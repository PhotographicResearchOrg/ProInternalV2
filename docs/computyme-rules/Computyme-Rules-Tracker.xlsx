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Rules" sheetId="2" state="visible" r:id="rId4"/>
    <sheet name="Programs" sheetId="3" state="visible" r:id="rId5"/>
  </sheets>
  <definedNames>
    <definedName function="false" hidden="true" localSheetId="2" name="_xlnm._FilterDatabase" vbProcedure="false">Programs!$A$1:$K$368</definedName>
    <definedName function="false" hidden="true" localSheetId="1" name="_xlnm._FilterDatabase" vbProcedure="false">Rules!$A$1:$L$1568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<sst xmlns="http://schemas.openxmlformats.org/spreadsheetml/2006/main" count="15056" uniqueCount="6022">
  <si>
    <t xml:space="preserve">Computyme rules to deal with</t>
  </si>
  <si>
    <t xml:space="preserve">Every business rule in the 367 BP_Computyme programs, with source lines and a suggested tag. Work through the Rules tab: fill the yellow columns (Decision, Owner, PIV2 home, Notes).</t>
  </si>
  <si>
    <t xml:space="preserve">Example: IV.AUTO.ORDER.03 · Decision SIMPLIFY · Owner Mark · PIV2 home "Product page › Order (PO build)" · Notes "suggest by vendor, one PO per vendor".</t>
  </si>
  <si>
    <t xml:space="preserve">Domain</t>
  </si>
  <si>
    <t xml:space="preserve">Programs</t>
  </si>
  <si>
    <t xml:space="preserve">Rules</t>
  </si>
  <si>
    <t xml:space="preserve">KEEP</t>
  </si>
  <si>
    <t xml:space="preserve">SIMPLIFY</t>
  </si>
  <si>
    <t xml:space="preserve">QUESTION</t>
  </si>
  <si>
    <t xml:space="preserve">OBSOLETE</t>
  </si>
  <si>
    <t xml:space="preserve">OBSOLETE-INTEGRATION</t>
  </si>
  <si>
    <t xml:space="preserve">WAREHOUSE-ONLY</t>
  </si>
  <si>
    <t xml:space="preserve">Decided</t>
  </si>
  <si>
    <t xml:space="preserve">Open</t>
  </si>
  <si>
    <t xml:space="preserve">Vendors</t>
  </si>
  <si>
    <t xml:space="preserve">AP</t>
  </si>
  <si>
    <t xml:space="preserve">Products</t>
  </si>
  <si>
    <t xml:space="preserve">Inventory</t>
  </si>
  <si>
    <t xml:space="preserve">Orders</t>
  </si>
  <si>
    <t xml:space="preserve">EDI</t>
  </si>
  <si>
    <t xml:space="preserve">Members</t>
  </si>
  <si>
    <t xml:space="preserve">AR</t>
  </si>
  <si>
    <t xml:space="preserve">Reporting</t>
  </si>
  <si>
    <t xml:space="preserve">Utility</t>
  </si>
  <si>
    <t xml:space="preserve">Total</t>
  </si>
  <si>
    <t xml:space="preserve">Relevance (programs)</t>
  </si>
  <si>
    <t xml:space="preserve">VENDOR</t>
  </si>
  <si>
    <t xml:space="preserve">PRODUCT</t>
  </si>
  <si>
    <t xml:space="preserve">PO</t>
  </si>
  <si>
    <t xml:space="preserve">PRICING</t>
  </si>
  <si>
    <t xml:space="preserve">Tags: KEEP rebuild as is · SIMPLIFY right intent, cleaner build · QUESTION business must answer (every hard-coded member/vendor/product number) · OBSOLETE dead/retired (COO/CFO sign-off) · OBSOLETE-INTEGRATION legacy file format (CTO sign-off) · WAREHOUSE-ONLY stays with warehouse system. Source: github PhotographicResearchOrg/Extracted-rules, BP/.</t>
  </si>
  <si>
    <t xml:space="preserve">Rule ID</t>
  </si>
  <si>
    <t xml:space="preserve">Program</t>
  </si>
  <si>
    <t xml:space="preserve">Mode</t>
  </si>
  <si>
    <t xml:space="preserve">Relevance</t>
  </si>
  <si>
    <t xml:space="preserve">Rule</t>
  </si>
  <si>
    <t xml:space="preserve">Source lines</t>
  </si>
  <si>
    <t xml:space="preserve">Suggested tag</t>
  </si>
  <si>
    <t xml:space="preserve">Decision</t>
  </si>
  <si>
    <t xml:space="preserve">Owner</t>
  </si>
  <si>
    <t xml:space="preserve">PIV2 home</t>
  </si>
  <si>
    <t xml:space="preserve">Notes</t>
  </si>
  <si>
    <t xml:space="preserve">AR17.01</t>
  </si>
  <si>
    <t xml:space="preserve">AR17</t>
  </si>
  <si>
    <t xml:space="preserve">Utility/maintenance</t>
  </si>
  <si>
    <t xml:space="preserve">Hard-coded vendors 195 and 279: IVEND attr 4 (F4) = sum of AMOUNT (attr 2) and attr 5 (F5) = sum of SURCHG (attr 3) for those two vendors</t>
  </si>
  <si>
    <t xml:space="preserve">L1, L16-24</t>
  </si>
  <si>
    <t xml:space="preserve">IV2.01</t>
  </si>
  <si>
    <t xml:space="preserve">IV2</t>
  </si>
  <si>
    <t xml:space="preserve">Interactive</t>
  </si>
  <si>
    <t xml:space="preserve">VENDOR, PRICING</t>
  </si>
  <si>
    <t xml:space="preserve">New vendor number from CONTROL 'VEND' attr 1; counter incremented by 3 after each add</t>
  </si>
  <si>
    <t xml:space="preserve">L32, L177</t>
  </si>
  <si>
    <t xml:space="preserve">IV2.02</t>
  </si>
  <si>
    <t xml:space="preserve">Hard-coded skipped vendor numbers 272, 713, 839, 902, 965 (if next number is one of these add 3)</t>
  </si>
  <si>
    <t xml:space="preserve">L12, L33</t>
  </si>
  <si>
    <t xml:space="preserve">IV2.03</t>
  </si>
  <si>
    <t xml:space="preserve">A new vendor must first exist in APMST; name, address, city/state, zip, phone are copied from APMST attrs 1,3,4,5,6,7</t>
  </si>
  <si>
    <t xml:space="preserve">L65-69</t>
  </si>
  <si>
    <t xml:space="preserve">IV2.04</t>
  </si>
  <si>
    <t xml:space="preserve">One APMST vendor may link to only one PRO vendor: VNIDX holds two-way index (vendor→APID and APID→vendor); duplicate rejected</t>
  </si>
  <si>
    <t xml:space="preserve">L70-71, L175-176</t>
  </si>
  <si>
    <t xml:space="preserve">IV2.05</t>
  </si>
  <si>
    <t xml:space="preserve">VNMST attr 12 APID = linked AP vendor</t>
  </si>
  <si>
    <t xml:space="preserve">L172</t>
  </si>
  <si>
    <t xml:space="preserve">IV2.06</t>
  </si>
  <si>
    <t xml:space="preserve">Validations: name 1-25 chars, name2 ≤25, street 1-25, city/state 1-22, zip exactly 5 digits, phone NNN-NNN-NNNN</t>
  </si>
  <si>
    <t xml:space="preserve">L76-124</t>
  </si>
  <si>
    <t xml:space="preserve">IV2.07</t>
  </si>
  <si>
    <t xml:space="preserve">Surcharge percent attr 8 stored in tenths of a percent (verify shows NI/10)</t>
  </si>
  <si>
    <t xml:space="preserve">L127-137</t>
  </si>
  <si>
    <t xml:space="preserve">IV2.08</t>
  </si>
  <si>
    <t xml:space="preserve">Surcharge type attr 6 (CODE), required when surcharge ≠ 0: 1 = surcharge rebated by vendor, 2 = surcharge added to vendor invoice</t>
  </si>
  <si>
    <t xml:space="preserve">L139-151</t>
  </si>
  <si>
    <t xml:space="preserve">IV2.09</t>
  </si>
  <si>
    <t xml:space="preserve">Vendor billing guarantee attr 13: 0 = none, 1 = vendor guarantees member billing</t>
  </si>
  <si>
    <t xml:space="preserve">L153-165</t>
  </si>
  <si>
    <t xml:space="preserve">IV46.9999.01</t>
  </si>
  <si>
    <t xml:space="preserve">IV46.9999</t>
  </si>
  <si>
    <t xml:space="preserve">Subroutine</t>
  </si>
  <si>
    <t xml:space="preserve">VENDOR, PO</t>
  </si>
  <si>
    <t xml:space="preserve">Misc vendor fields (name first; layout and validations defined in PROMPTS record, not in code) packed into INFO and stored on the PO</t>
  </si>
  <si>
    <t xml:space="preserve">L26-28, L55-63</t>
  </si>
  <si>
    <t xml:space="preserve">IV9.01</t>
  </si>
  <si>
    <t xml:space="preserve">IV9</t>
  </si>
  <si>
    <t xml:space="preserve">Report/print</t>
  </si>
  <si>
    <t xml:space="preserve">Label = VNMST attr 1 NAME, 2 NAME2, 3 STREET, 4 CITY.STATE + 5 ZIP; quantity must be a multiple of 3; max 40 vendors</t>
  </si>
  <si>
    <t xml:space="preserve">L12-33</t>
  </si>
  <si>
    <t xml:space="preserve">RPT.VENDRA.01</t>
  </si>
  <si>
    <t xml:space="preserve">RPT.VENDRA</t>
  </si>
  <si>
    <t xml:space="preserve">VENDOR, PRODUCT</t>
  </si>
  <si>
    <t xml:space="preserve">Return number must be numeric (pattern 1N0N)</t>
  </si>
  <si>
    <t xml:space="preserve">L12-15</t>
  </si>
  <si>
    <t xml:space="preserve">RPT.VENDRA.02</t>
  </si>
  <si>
    <t xml:space="preserve">The RA document lists, per return: vendor name, actual vendor (VENDRA attr 1 AVEND), product, catalog number, description, qty (attr 4), and RAW cost and total value through dict items (RAW/VALUE are computed in the dict, not in this program)</t>
  </si>
  <si>
    <t xml:space="preserve">L21-22</t>
  </si>
  <si>
    <t xml:space="preserve">RPT.VENDRA.03</t>
  </si>
  <si>
    <t xml:space="preserve">Hard-coded document heading: "DEFECTIVE MERCHANDISE RETURN REQUEST from PHOTOGRAPHIC RESEARCH ORGANIZATION" (company legal name)</t>
  </si>
  <si>
    <t xml:space="preserve">L22</t>
  </si>
  <si>
    <t xml:space="preserve">RPT.VENDRA.04</t>
  </si>
  <si>
    <t xml:space="preserve">Output options are Display, Printer (P.ASSIGN.SUB) or Slave print (terminal-attached printer)</t>
  </si>
  <si>
    <t xml:space="preserve">L16-34</t>
  </si>
  <si>
    <t xml:space="preserve">UPD.VENDRA.01</t>
  </si>
  <si>
    <t xml:space="preserve">UPD.VENDRA</t>
  </si>
  <si>
    <t xml:space="preserve">The return's vendor (VENDRA attr 1 AVEND) must exist in APMST, so AVEND is an APMST vendor id</t>
  </si>
  <si>
    <t xml:space="preserve">L16-17</t>
  </si>
  <si>
    <t xml:space="preserve">UPD.VENDRA.02</t>
  </si>
  <si>
    <t xml:space="preserve">Products (attr 3) are kept in ascending order with qty in attr 4. Qty 0 deletes the line. New products are inserted after confirmation. A product not in IVMST is only warned about and still allowed.</t>
  </si>
  <si>
    <t xml:space="preserve">L24-41</t>
  </si>
  <si>
    <t xml:space="preserve">UPD.VENDRA.03</t>
  </si>
  <si>
    <t xml:space="preserve">There is no check of SHIPPED (attr 6) or COMPLETED (attr 7). The header says "pending returns" but shipped or completed RAs can be edited.</t>
  </si>
  <si>
    <t xml:space="preserve">L16-42</t>
  </si>
  <si>
    <t xml:space="preserve">VEND.ENT.COMP.01</t>
  </si>
  <si>
    <t xml:space="preserve">VEND.ENT.COMP</t>
  </si>
  <si>
    <t xml:space="preserve">For a VENDRA return ("hold file reference number") whose vendor (attr 1) is in APMST, the operator enters MM.DD.YY and it is stored as COMP (attr 7). There is no check that the return was shipped (attr 6) or has an RA (attr 5), and an existing date can be overwritten.</t>
  </si>
  <si>
    <t xml:space="preserve">L6-14</t>
  </si>
  <si>
    <t xml:space="preserve">VEND.ENT.RA.01</t>
  </si>
  <si>
    <t xml:space="preserve">VEND.ENT.RA</t>
  </si>
  <si>
    <t xml:space="preserve">VENDRA attr 5 RA = the entered RA number (up to 10 chars), with no format check or overwrite protection</t>
  </si>
  <si>
    <t xml:space="preserve">L10-12</t>
  </si>
  <si>
    <t xml:space="preserve">VEND.ENT.SHIP.01</t>
  </si>
  <si>
    <t xml:space="preserve">VEND.ENT.SHIP</t>
  </si>
  <si>
    <t xml:space="preserve">After Y confirmation, VENDRA attr 6 SHIPPED = today. There is no check for an RA number (attr 5) before shipping.</t>
  </si>
  <si>
    <t xml:space="preserve">L11-13</t>
  </si>
  <si>
    <t xml:space="preserve">VEND.RA.HOLD.01</t>
  </si>
  <si>
    <t xml:space="preserve">VEND.RA.HOLD</t>
  </si>
  <si>
    <t xml:space="preserve">Blocked while IV.INP.RETURNS is running: CONTROL 'IV.INP.RETURNS' non-empty/true means stop. The lock wait is 10 x 5 s, then the program gives up.</t>
  </si>
  <si>
    <t xml:space="preserve">L17-31</t>
  </si>
  <si>
    <t xml:space="preserve">VEND.RA.HOLD.02</t>
  </si>
  <si>
    <t xml:space="preserve">The vendor number must exist in APMST and be confirmed. The request date defaults to today or is entered as MM.DD.YY.</t>
  </si>
  <si>
    <t xml:space="preserve">L46-54</t>
  </si>
  <si>
    <t xml:space="preserve">VEND.RA.HOLD.03</t>
  </si>
  <si>
    <t xml:space="preserve">Every VENDRET record with AVEND = vendor is moved onto the return: qty = VENDRET attr 1 (QUAN/DEF, defective) + attr 2 (PKG). The VENDRET record is deleted.</t>
  </si>
  <si>
    <t xml:space="preserve">L58-67</t>
  </si>
  <si>
    <t xml:space="preserve">VEND.RA.HOLD.04</t>
  </si>
  <si>
    <t xml:space="preserve">VENDRA `&lt;CONTROL RA#&gt;` gets attr 1 vendor, attr 2 request date, attr 3 products, attr 4 quantities. CONTROL 'RA' is incremented and the number is shown as the "Hold File Reference Number" (the vendor's own RA number is entered later in attr 5 by VEND.ENT.RA).</t>
  </si>
  <si>
    <t xml:space="preserve">L69-81</t>
  </si>
  <si>
    <t xml:space="preserve">AP.SEL.INVSPC.01</t>
  </si>
  <si>
    <t xml:space="preserve">AP.SEL.INVSPC</t>
  </si>
  <si>
    <t xml:space="preserve">Blocks new selection if CONTROL 'APCHK' attr 3 &gt; 0 (a selection exists or checks printed but not updated)</t>
  </si>
  <si>
    <t xml:space="preserve">L18-26</t>
  </si>
  <si>
    <t xml:space="preserve">AP.SEL.INVSPC.02</t>
  </si>
  <si>
    <t xml:space="preserve">Vendor must exist in APMST (attr 1 NAME read)</t>
  </si>
  <si>
    <t xml:space="preserve">L35-37</t>
  </si>
  <si>
    <t xml:space="preserve">AP.SEL.INVSPC.03</t>
  </si>
  <si>
    <t xml:space="preserve">Payment date defaults to today; validated by IDATE</t>
  </si>
  <si>
    <t xml:space="preserve">L40-45</t>
  </si>
  <si>
    <t xml:space="preserve">AP.SEL.INVSPC.04</t>
  </si>
  <si>
    <t xml:space="preserve">Additional discount % defaults to 2; accepts N, N.N or N.NN (error text says 1–9% but 0 and fractions under 1 are accepted)</t>
  </si>
  <si>
    <t xml:space="preserve">L47-57</t>
  </si>
  <si>
    <t xml:space="preserve">AP.SEL.INVSPC.05</t>
  </si>
  <si>
    <t xml:space="preserve">Selects APDIST for the vendor where STAT.PAID = "0"</t>
  </si>
  <si>
    <t xml:space="preserve">L60</t>
  </si>
  <si>
    <t xml:space="preserve">AP.SEL.INVSPC.06</t>
  </si>
  <si>
    <t xml:space="preserve">Hard-coded exclusion: invoices with DUE = "02/15/03" are skipped</t>
  </si>
  <si>
    <t xml:space="preserve">L61</t>
  </si>
  <si>
    <t xml:space="preserve">AP.SEL.INVSPC.07</t>
  </si>
  <si>
    <t xml:space="preserve">Special discount SPC = ROUND(APDIST attr 3 GROSS × disc% / 100) (integer, half-up; units as stored in APDIST, likely cents)</t>
  </si>
  <si>
    <t xml:space="preserve">L84</t>
  </si>
  <si>
    <t xml:space="preserve">AP.SEL.INVSPC.08</t>
  </si>
  <si>
    <t xml:space="preserve">Net to pay = GROSS (attr 3) − regular DISC (attr 4) − SPC</t>
  </si>
  <si>
    <t xml:space="preserve">L85</t>
  </si>
  <si>
    <t xml:space="preserve">AP.SEL.INVSPC.09</t>
  </si>
  <si>
    <t xml:space="preserve">Credits/zero nets (NET ≤ 0, or running total + NET ≤ 0) are held and only selected when a later positive invoice is selected, so credits net against payables</t>
  </si>
  <si>
    <t xml:space="preserve">L86-95, L105-124</t>
  </si>
  <si>
    <t xml:space="preserve">AP.SEL.INVSPC.10</t>
  </si>
  <si>
    <t xml:space="preserve">On selection: APDIST attr 1 STATUS 2nd character set to "1" (selected); APDIST attr 4 DISC += SPC; APHIST attr 3 NET = NET; APDUE record written with 1 = due/pay date, 2 = net, 5 = additional discount</t>
  </si>
  <si>
    <t xml:space="preserve">L96-102</t>
  </si>
  <si>
    <t xml:space="preserve">AP.SEL.INVSPC.11</t>
  </si>
  <si>
    <t xml:space="preserve">CONTROL APCHK attr 2 = pay date, attr 3 = check count (1 if total &gt; 0 else 0)</t>
  </si>
  <si>
    <t xml:space="preserve">L68-70</t>
  </si>
  <si>
    <t xml:space="preserve">AP10.01</t>
  </si>
  <si>
    <t xml:space="preserve">AP10</t>
  </si>
  <si>
    <t xml:space="preserve">Requires explicit "Y" confirmation</t>
  </si>
  <si>
    <t xml:space="preserve">L15-16</t>
  </si>
  <si>
    <t xml:space="preserve">AP10.02</t>
  </si>
  <si>
    <t xml:space="preserve">If CONTROL APCHK attr 4 is set, warns that checks were printed and must be voided manually (does not block)</t>
  </si>
  <si>
    <t xml:space="preserve">L18-20</t>
  </si>
  <si>
    <t xml:space="preserve">AP10.03</t>
  </si>
  <si>
    <t xml:space="preserve">For every APDUE record: delete it, reset APDIST attr 1 STATUS 2nd char to "0", APDIST attr 4 DISC −= APDUE attr 5 ADD.DISC, APHIST attr 3 NET += ADD.DISC</t>
  </si>
  <si>
    <t xml:space="preserve">L28-36</t>
  </si>
  <si>
    <t xml:space="preserve">AP10.04</t>
  </si>
  <si>
    <t xml:space="preserve">Clears CONTROL APCHK attrs 2, 3, 4 when done</t>
  </si>
  <si>
    <t xml:space="preserve">L23-26</t>
  </si>
  <si>
    <t xml:space="preserve">CUST.RBT.CHKS.01</t>
  </si>
  <si>
    <t xml:space="preserve">CUST.RBT.CHKS</t>
  </si>
  <si>
    <t xml:space="preserve">Select RBTDATA checks with CHK.NO between operator-entered start and end and WITHOUT PRINTED = Y</t>
  </si>
  <si>
    <t xml:space="preserve">L18-22</t>
  </si>
  <si>
    <t xml:space="preserve">CUST.RBT.CHKS.02</t>
  </si>
  <si>
    <t xml:space="preserve">Sets RBTDATA attr 7 = "Y" (printed) BEFORE the check is actually printed; a printer failure leaves it marked printed</t>
  </si>
  <si>
    <t xml:space="preserve">L26</t>
  </si>
  <si>
    <t xml:space="preserve">CUST.RBT.CHKS.03</t>
  </si>
  <si>
    <t xml:space="preserve">Check layout: date from RBTDATA attr 1, dealer name attr 2 value 2, consumer name/address attr 4 values 2-6, amount attr 5 (cents, shown MD2), up to two products from attr 6 with IVMST attr 4 DESC printed as "A &lt;desc&gt; AND A &lt;desc&gt;"</t>
  </si>
  <si>
    <t xml:space="preserve">L27-57</t>
  </si>
  <si>
    <t xml:space="preserve">CUST.RBT.CHKS.04</t>
  </si>
  <si>
    <t xml:space="preserve">Hard-coded bank MICR line on check: routing 021000021 and a bank account number embedded in code</t>
  </si>
  <si>
    <t xml:space="preserve">L45</t>
  </si>
  <si>
    <t xml:space="preserve">CUST.RBT.CHKS.05</t>
  </si>
  <si>
    <t xml:space="preserve">Check printing via HP PCL escape codes and a fixed 63-line form</t>
  </si>
  <si>
    <t xml:space="preserve">L8-9,L42-62</t>
  </si>
  <si>
    <t xml:space="preserve">CUST.RBT.LJ.01</t>
  </si>
  <si>
    <t xml:space="preserve">CUST.RBT.LJ</t>
  </si>
  <si>
    <t xml:space="preserve">Check number is operator-entered starting number and auto-increments by 1 after each check printed</t>
  </si>
  <si>
    <t xml:space="preserve">L18,L103</t>
  </si>
  <si>
    <t xml:space="preserve">CUST.RBT.LJ.02</t>
  </si>
  <si>
    <t xml:space="preserve">If entered check # already exists in RBTDATA, operator may void it; otherwise must enter a new starting number (no overwrite)</t>
  </si>
  <si>
    <t xml:space="preserve">L20-23</t>
  </si>
  <si>
    <t xml:space="preserve">CUST.RBT.LJ.03</t>
  </si>
  <si>
    <t xml:space="preserve">Void: if attr 2 value 1 already "VOID" reject; else set attr2&lt;1,1&gt;="VOID", attr2&lt;1,3&gt;=original check date, attr 1 = today, amount attr 5 negated by prefixing "-"</t>
  </si>
  <si>
    <t xml:space="preserve">L106-111</t>
  </si>
  <si>
    <t xml:space="preserve">CUST.RBT.LJ.04</t>
  </si>
  <si>
    <t xml:space="preserve">Dealer name looked up first in STRNAME attr 1, else ARMST attr 1 NAME; dealer must exist in one of them</t>
  </si>
  <si>
    <t xml:space="preserve">L28-29 (STRNAME purpose unclear)</t>
  </si>
  <si>
    <t xml:space="preserve">CUST.RBT.LJ.05</t>
  </si>
  <si>
    <t xml:space="preserve">Rebate amount and description come from RBTCODES (attr 1 desc, attr 2 amount in cents, attr 3 printed on check line 8); code must exist</t>
  </si>
  <si>
    <t xml:space="preserve">L33-35,L78</t>
  </si>
  <si>
    <t xml:space="preserve">CUST.RBT.LJ.06</t>
  </si>
  <si>
    <t xml:space="preserve">One required product and one optional second product, each must exist in IVMST; desc from IVMST attr 4</t>
  </si>
  <si>
    <t xml:space="preserve">L37-45</t>
  </si>
  <si>
    <t xml:space="preserve">CUST.RBT.LJ.07</t>
  </si>
  <si>
    <t xml:space="preserve">Purchase date must match NN.NN.NN, stored internal; consumer name/street/city/state/zip required, state must be 2 chars</t>
  </si>
  <si>
    <t xml:space="preserve">L48-65</t>
  </si>
  <si>
    <t xml:space="preserve">CUST.RBT.LJ.08</t>
  </si>
  <si>
    <t xml:space="preserve">RBTDATA layout: 1=check date (today), 2=dealer#VMdealer name, 3=rebate code, 4=purchase date VM name VM street VM city VM state VM zip, 5=amount, 6=prod1 VM prod2</t>
  </si>
  <si>
    <t xml:space="preserve">L71-77</t>
  </si>
  <si>
    <t xml:space="preserve">CUST.RBT.LJ.09</t>
  </si>
  <si>
    <t xml:space="preserve">LaserJet escape codes and fixed 60-line check form</t>
  </si>
  <si>
    <t xml:space="preserve">L78-101</t>
  </si>
  <si>
    <t xml:space="preserve">CUSTRBT.LJ.01</t>
  </si>
  <si>
    <t xml:space="preserve">CUSTRBT.LJ</t>
  </si>
  <si>
    <t xml:space="preserve">Test-variant</t>
  </si>
  <si>
    <t xml:space="preserve">Prints check number in large font and a hard-coded MICR line with routing 021000021 and a bank account number</t>
  </si>
  <si>
    <t xml:space="preserve">L80,L83</t>
  </si>
  <si>
    <t xml:space="preserve">CUSTRBT.LJ.02</t>
  </si>
  <si>
    <t xml:space="preserve">Different PCL layout (lines 5-60, orientation/margin escapes)</t>
  </si>
  <si>
    <t xml:space="preserve">L80-97</t>
  </si>
  <si>
    <t xml:space="preserve">CUSTRBT.NEW.01</t>
  </si>
  <si>
    <t xml:space="preserve">CUSTRBT.NEW</t>
  </si>
  <si>
    <t xml:space="preserve">Rebate record is written to RBTDATA with no check printed; check number still operator-entered and incremented</t>
  </si>
  <si>
    <t xml:space="preserve">L72-81</t>
  </si>
  <si>
    <t xml:space="preserve">CUSTRBTNEW1.01</t>
  </si>
  <si>
    <t xml:space="preserve">CUSTRBTNEW1</t>
  </si>
  <si>
    <t xml:space="preserve">Next rebate check number kept in CONTROL record 'RBTCHK' attr 1; read at start, incremented per entry, written back only when operator exits with E at dealer prompt</t>
  </si>
  <si>
    <t xml:space="preserve">L20,L24,L76</t>
  </si>
  <si>
    <t xml:space="preserve">CUSTRBTNEW1.02</t>
  </si>
  <si>
    <t xml:space="preserve">No check-exists test: MATWRITE overwrites any existing RBTDATA record with the same number; no void path</t>
  </si>
  <si>
    <t xml:space="preserve">L74</t>
  </si>
  <si>
    <t xml:space="preserve">FIX.RBTCHK.01</t>
  </si>
  <si>
    <t xml:space="preserve">FIX.RBTCHK</t>
  </si>
  <si>
    <t xml:space="preserve">Hard-coded: checks &gt;= 35790 copied to new id '2' + chars 2-5 of old id (old record not deleted)</t>
  </si>
  <si>
    <t xml:space="preserve">L4-8</t>
  </si>
  <si>
    <t xml:space="preserve">LJ.CHK.TEST.01</t>
  </si>
  <si>
    <t xml:space="preserve">LJ.CHK.TEST</t>
  </si>
  <si>
    <t xml:space="preserve">Printer-test only; prints dummy payee/amount and MICR string 'C12345C A028000121A 261D050346C' (contains what looks like a routing/account number — confirm whether real)</t>
  </si>
  <si>
    <t xml:space="preserve">L16</t>
  </si>
  <si>
    <t xml:space="preserve">REBUILD.APBR.01</t>
  </si>
  <si>
    <t xml:space="preserve">REBUILD.APBR</t>
  </si>
  <si>
    <t xml:space="preserve">APDIST key ID[1,4] = AP vendor (APMST key); APBR record per check # (APDIST attr 15): attr 1 vendor, 2 vendor name (APMST attr 1), 3 date paid (APDIST attr 10), 4 sum gross (attr 3), 5 sum discount (attr 4), 6 net = gross - discount</t>
  </si>
  <si>
    <t xml:space="preserve">L8-19</t>
  </si>
  <si>
    <t xml:space="preserve">REBUILD.APBR.02</t>
  </si>
  <si>
    <t xml:space="preserve">Hard-coded saved list APDIST.JOHN (user-specific one-off)</t>
  </si>
  <si>
    <t xml:space="preserve">L5</t>
  </si>
  <si>
    <t xml:space="preserve">ADJ.ARHIST.01</t>
  </si>
  <si>
    <t xml:space="preserve">ADJ.ARHIST</t>
  </si>
  <si>
    <t xml:space="preserve">PRODUCT, PRICING</t>
  </si>
  <si>
    <t xml:space="preserve">Average cost = INT(SUM(IVMST attr 25 AMT.RECD) / SUM(IVMST attr 24 QTY.REC)) when total received qty &gt; 0</t>
  </si>
  <si>
    <t xml:space="preserve">L13-14</t>
  </si>
  <si>
    <t xml:space="preserve">ADJ.ARHIST.02</t>
  </si>
  <si>
    <t xml:space="preserve">Fallback when nothing received: use IVMST attr 19 RAW cost; if RAW ends in "Y", cost = INT(numeric part / 110), else RAW as-is (the /110 implies "Y" means a 10% loaded price and a cents→dollars shift; units inconsistent with the other branch)</t>
  </si>
  <si>
    <t xml:space="preserve">ADJ.ARHIST.03</t>
  </si>
  <si>
    <t xml:space="preserve">ARHIST attr 15 (COST per ARSHIP naming) for each line = line qty (attr 3) × average cost</t>
  </si>
  <si>
    <t xml:space="preserve">L19</t>
  </si>
  <si>
    <t xml:space="preserve">BLD.IVMST.PW.01</t>
  </si>
  <si>
    <t xml:space="preserve">BLD.IVMST.PW</t>
  </si>
  <si>
    <t xml:space="preserve">Outbound-generator</t>
  </si>
  <si>
    <t xml:space="preserve">Only products with IVMST attr 36 DISPLAY ≠ "N" are exported (06-09-08)</t>
  </si>
  <si>
    <t xml:space="preserve">L6, L20</t>
  </si>
  <si>
    <t xml:space="preserve">BLD.IVMST.PW.02</t>
  </si>
  <si>
    <t xml:space="preserve">Member price = ROUND(NET.1 (attr 8, cents) × (1000 + SCH.PCT) / 1000), i.e. surcharge percentage stored in tenths of a percent (SCH.PCT via include; IVMST dict attr 12 = PCT)</t>
  </si>
  <si>
    <t xml:space="preserve">L28-29</t>
  </si>
  <si>
    <t xml:space="preserve">BLD.IVMST.PW.03</t>
  </si>
  <si>
    <t xml:space="preserve">Price exported in cents (MD2 conversion commented out); description tabs replaced by spaces</t>
  </si>
  <si>
    <t xml:space="preserve">L26, L30</t>
  </si>
  <si>
    <t xml:space="preserve">BLD.IVMST.PW.04</t>
  </si>
  <si>
    <t xml:space="preserve">Tab-delimited file staged as a PWDB record (07-02-08 replaced XML)</t>
  </si>
  <si>
    <t xml:space="preserve">L5, L18, L31-41</t>
  </si>
  <si>
    <t xml:space="preserve">BLD.IVMST.XML.01</t>
  </si>
  <si>
    <t xml:space="preserve">BLD.IVMST.XML</t>
  </si>
  <si>
    <t xml:space="preserve">Same selection (DISPLAY ≠ "N") and price formula ROUND(NET.1 × (1000 + SCH.PCT)/1000) as BLD.IVMST.PW, but price output in dollars (MD2)</t>
  </si>
  <si>
    <t xml:space="preserve">L22, L29-31</t>
  </si>
  <si>
    <t xml:space="preserve">BLD.IVMST.XML.02</t>
  </si>
  <si>
    <t xml:space="preserve">XML layout (INVENTORY/DETAIL with Product, Description CDATA, Cost, optional Multiple/Status/UPC) staged in PWDB</t>
  </si>
  <si>
    <t xml:space="preserve">L20, L32-43</t>
  </si>
  <si>
    <t xml:space="preserve">BUILD.IVCAT.01</t>
  </si>
  <si>
    <t xml:space="preserve">BUILD.IVCAT</t>
  </si>
  <si>
    <t xml:space="preserve">Hard-coded UPC prefix "0291440" + PRO product number + UPC-A check digit (odd positions ×3 + even, check = round-up-to-10 − total)</t>
  </si>
  <si>
    <t xml:space="preserve">L11-21</t>
  </si>
  <si>
    <t xml:space="preserve">BUILD.IVCAT.02</t>
  </si>
  <si>
    <t xml:space="preserve">IVCAT key = generated UPC, attr 1 = product</t>
  </si>
  <si>
    <t xml:space="preserve">BUILD.UPC.01</t>
  </si>
  <si>
    <t xml:space="preserve">BUILD.UPC</t>
  </si>
  <si>
    <t xml:space="preserve">Only products with no UPC (IVMST attr 29)</t>
  </si>
  <si>
    <t xml:space="preserve">L9</t>
  </si>
  <si>
    <t xml:space="preserve">BUILD.UPC.02</t>
  </si>
  <si>
    <t xml:space="preserve">Hard-coded vendor 992: its products are skipped unless IVMST attr 4 DESC starts with "PRO" (PRO private label)</t>
  </si>
  <si>
    <t xml:space="preserve">L4, L12</t>
  </si>
  <si>
    <t xml:space="preserve">BUILD.UPC.03</t>
  </si>
  <si>
    <t xml:space="preserve">UPC = "0291440" + product number + UPC-A check digit; written to IVMST attr 29 and IVCAT (key UPC → product)</t>
  </si>
  <si>
    <t xml:space="preserve">L13-26</t>
  </si>
  <si>
    <t xml:space="preserve">CASE.CTN.01</t>
  </si>
  <si>
    <t xml:space="preserve">CASE.CTN</t>
  </si>
  <si>
    <t xml:space="preserve">IVMST attr 27 CASE and attr 33 CARTON quantities entered per product with no validation</t>
  </si>
  <si>
    <t xml:space="preserve">L9-11</t>
  </si>
  <si>
    <t xml:space="preserve">COPY.UPC.01</t>
  </si>
  <si>
    <t xml:space="preserve">COPY.UPC</t>
  </si>
  <si>
    <t xml:space="preserve">IVMST attr 51 (W.UPC / EAN) = attr 29 UPC</t>
  </si>
  <si>
    <t xml:space="preserve">L7</t>
  </si>
  <si>
    <t xml:space="preserve">COPYWD.01</t>
  </si>
  <si>
    <t xml:space="preserve">COPYWD</t>
  </si>
  <si>
    <t xml:space="preserve">PRODUCT, PO</t>
  </si>
  <si>
    <t xml:space="preserve">Full overwrite copies of product master, discontinued products and open orders to web files</t>
  </si>
  <si>
    <t xml:space="preserve">L2-4</t>
  </si>
  <si>
    <t xml:space="preserve">COPYWD.02</t>
  </si>
  <si>
    <t xml:space="preserve">SCANORD lines copied only when UPLOAD &lt; 15, product ≠ 9999 (hard-coded pseudo-product) and qty shipped &gt; 0 (UPLOAD meaning unclear)</t>
  </si>
  <si>
    <t xml:space="preserve">L5-7</t>
  </si>
  <si>
    <t xml:space="preserve">COUNTRY.01</t>
  </si>
  <si>
    <t xml:space="preserve">COUNTRY</t>
  </si>
  <si>
    <t xml:space="preserve">Country name = CONTROL 'COO' attr 2 at the position of the code in attr 1; unknown code → blank; multivalued in/out</t>
  </si>
  <si>
    <t xml:space="preserve">L8-16</t>
  </si>
  <si>
    <t xml:space="preserve">DH1.01</t>
  </si>
  <si>
    <t xml:space="preserve">DH1</t>
  </si>
  <si>
    <t xml:space="preserve">Batch</t>
  </si>
  <si>
    <t xml:space="preserve">Months of history = CONTROL 'UPD' attr 2; reduced by 1 if not current month or day &lt; 20; abort if 0</t>
  </si>
  <si>
    <t xml:space="preserve">L10-15</t>
  </si>
  <si>
    <t xml:space="preserve">DH1.02</t>
  </si>
  <si>
    <t xml:space="preserve">Skip product if IVMST attr 2 (dict ORD.QTY/QO; used here as order multiple "QUAN") &lt; 1 or attr 15 STATUS &gt; 0</t>
  </si>
  <si>
    <t xml:space="preserve">L24-25</t>
  </si>
  <si>
    <t xml:space="preserve">DH1.03</t>
  </si>
  <si>
    <t xml:space="preserve">Trend factor = (avg nonzero monthly this-year attr 17 MORD) / (avg nonzero last-year attr 18 MPYR); if no last-year sales, AMT = INT(months_supply * this-year avg)</t>
  </si>
  <si>
    <t xml:space="preserve">L26-43,L36</t>
  </si>
  <si>
    <t xml:space="preserve">DH1.04</t>
  </si>
  <si>
    <t xml:space="preserve">Projected need = sum of last-year months following current month for N months supply (wrapping into attr 17), half month subtracted if fractional supply, times trend</t>
  </si>
  <si>
    <t xml:space="preserve">L44-52</t>
  </si>
  <si>
    <t xml:space="preserve">DH1.05</t>
  </si>
  <si>
    <t xml:space="preserve">Order = need - SUM(attr 24 QTY.REC) - SUM(attr 21 PO.QTY) + attr 3 REQ, rounded to nearest multiple of attr 2; skip if &lt; 10</t>
  </si>
  <si>
    <t xml:space="preserve">L53-55</t>
  </si>
  <si>
    <t xml:space="preserve">ENTER.HST.01</t>
  </si>
  <si>
    <t xml:space="preserve">ENTER.HST</t>
  </si>
  <si>
    <t xml:space="preserve">HS code must match 4N.2N.4N (e.g. 9006.59.0000) and is stored in IVMST attr 53 HS.CODE</t>
  </si>
  <si>
    <t xml:space="preserve">L12-13</t>
  </si>
  <si>
    <t xml:space="preserve">FIX.MON.ORDERS.01</t>
  </si>
  <si>
    <t xml:space="preserve">FIX.MON.ORDERS</t>
  </si>
  <si>
    <t xml:space="preserve">IVMST attr 17 MORD&lt;1,9&gt; += MORD&lt;1,12&gt;; MORD&lt;1,12&gt; cleared (monthly order buckets by month number)</t>
  </si>
  <si>
    <t xml:space="preserve">L14-19</t>
  </si>
  <si>
    <t xml:space="preserve">FIX.PO.CST.01</t>
  </si>
  <si>
    <t xml:space="preserve">FIX.PO.CST</t>
  </si>
  <si>
    <t xml:space="preserve">PO, PRODUCT</t>
  </si>
  <si>
    <t xml:space="preserve">IVMST carries a denormalized list of open POs per product (attr 20 PO.NO, 21 PO.QTY, 22 PO.CST ...); blank attr 22 filled from IVPO attr 8 COST of the matching product line</t>
  </si>
  <si>
    <t xml:space="preserve">L9-17</t>
  </si>
  <si>
    <t xml:space="preserve">FIX.UPC.01</t>
  </si>
  <si>
    <t xml:space="preserve">FIX.UPC</t>
  </si>
  <si>
    <t xml:space="preserve">IVCAT key = UPC (12N) → attr 1 PROD; for IVCAT entries with DESC LIKE "GE..." set IVMST attr 29 UPC = key</t>
  </si>
  <si>
    <t xml:space="preserve">L4-13</t>
  </si>
  <si>
    <t xml:space="preserve">INP.UPC.01</t>
  </si>
  <si>
    <t xml:space="preserve">INP.UPC</t>
  </si>
  <si>
    <t xml:space="preserve">UPC must be 12 or 13 digits; written to IVMST attr 29 UPC and to IVCAT (key UPC → product)</t>
  </si>
  <si>
    <t xml:space="preserve">L14-17</t>
  </si>
  <si>
    <t xml:space="preserve">INP.YEN.CONV.01</t>
  </si>
  <si>
    <t xml:space="preserve">INP.YEN.CONV</t>
  </si>
  <si>
    <t xml:space="preserve">PRICING, PO</t>
  </si>
  <si>
    <t xml:space="preserve">Yen rate stored as text ##.## (exactly 2 digits . 2 digits) in CONTROL 'YEN'; meaning/direction of the rate (e.g. yen per dollar vs dollars per 100 yen) not stated</t>
  </si>
  <si>
    <t xml:space="preserve">L8-14</t>
  </si>
  <si>
    <t xml:space="preserve">IV.AUTO.ORDER.01</t>
  </si>
  <si>
    <t xml:space="preserve">IV.AUTO.ORDER</t>
  </si>
  <si>
    <t xml:space="preserve">PO, PRODUCT, VENDOR, PRICING</t>
  </si>
  <si>
    <t xml:space="preserve">PO number must be 5 digits or 5 digits + 1 letter; PO date defaults to today, MM.DD.YY, no future dates</t>
  </si>
  <si>
    <t xml:space="preserve">L33-44</t>
  </si>
  <si>
    <t xml:space="preserve">IV.AUTO.ORDER.02</t>
  </si>
  <si>
    <t xml:space="preserve">If PO exists in IVPO, lines are appended to it; otherwise new IVPO with attr 1 VEND = M(5) and attr 2 DATE</t>
  </si>
  <si>
    <t xml:space="preserve">L49-51</t>
  </si>
  <si>
    <t xml:space="preserve">IV.AUTO.ORDER.03</t>
  </si>
  <si>
    <t xml:space="preserve">Every product in ORDER (attr 1 = qty) is added as a PO line: IVPO 6 PROD, 7 ORD.QTY, 8 COST = IVMST attr 19 RAW cost; no check that products share the PO's vendor</t>
  </si>
  <si>
    <t xml:space="preserve">L63-67</t>
  </si>
  <si>
    <t xml:space="preserve">IV.AUTO.ORDER.04</t>
  </si>
  <si>
    <t xml:space="preserve">IVMST open-PO multivalues updated: attr 20 PO.NO += PO, 21 PO.QTY += qty, 22 PO.CST += RAW cost</t>
  </si>
  <si>
    <t xml:space="preserve">L65-66</t>
  </si>
  <si>
    <t xml:space="preserve">IV.AUTO.ORDER.05</t>
  </si>
  <si>
    <t xml:space="preserve">ORDER work file cleared after the PO is written; no PO created if ORDER is empty</t>
  </si>
  <si>
    <t xml:space="preserve">L52-59</t>
  </si>
  <si>
    <t xml:space="preserve">IV.AUTO.ORDER.06</t>
  </si>
  <si>
    <t xml:space="preserve">Program start logged in PGM.AUDIT 'IV.AUTO.ORDER' (date, time, user, message)</t>
  </si>
  <si>
    <t xml:space="preserve">L29,L72-77</t>
  </si>
  <si>
    <t xml:space="preserve">IV.DSP.PROD.01</t>
  </si>
  <si>
    <t xml:space="preserve">IV.DSP.PROD</t>
  </si>
  <si>
    <t xml:space="preserve">PRODUCT, VENDOR, PRICING, PO</t>
  </si>
  <si>
    <t xml:space="preserve">Product may be looked up by product #, UPC or catalog # via IVCAT (key → product)</t>
  </si>
  <si>
    <t xml:space="preserve">L102-104,L132</t>
  </si>
  <si>
    <t xml:space="preserve">IV.DSP.PROD.02</t>
  </si>
  <si>
    <t xml:space="preserve">Prior-year comparisons read yearly snapshot file IVMST.&lt;yy&gt; for last year; if the system month (CONTROL 'UPD' attr 2) is still 12 in calendar January, use the year before (year-end not yet run)</t>
  </si>
  <si>
    <t xml:space="preserve">L34-45</t>
  </si>
  <si>
    <t xml:space="preserve">IV.DSP.PROD.03</t>
  </si>
  <si>
    <t xml:space="preserve">RAW.COST (dict attr 19 RAW) containing 'Y' is a yen cost shown as-is; otherwise cents shown MD2</t>
  </si>
  <si>
    <t xml:space="preserve">L159-161</t>
  </si>
  <si>
    <t xml:space="preserve">IV.DSP.PROD.04</t>
  </si>
  <si>
    <t xml:space="preserve">Price fields PRICE.1/2/3, PO.COST, RETAIL, MAP displayed as cents (MD2); surcharge pct SCH.PCT in tenths of a percent (MD1)</t>
  </si>
  <si>
    <t xml:space="preserve">L162-168</t>
  </si>
  <si>
    <t xml:space="preserve">IV.DSP.PROD.05</t>
  </si>
  <si>
    <t xml:space="preserve">Average cost = INT(SUM(AMT.REC)/SUM(QTY.REC)+.5) (dict attrs 25/24); units on hand UOH shown as SUM(QTY.REC)</t>
  </si>
  <si>
    <t xml:space="preserve">L174-179</t>
  </si>
  <si>
    <t xml:space="preserve">IV.DSP.PROD.06</t>
  </si>
  <si>
    <t xml:space="preserve">On order = SUM(QTY.ORD) + SUM(QTY.BO) (open PO qty + back-ordered)</t>
  </si>
  <si>
    <t xml:space="preserve">L181</t>
  </si>
  <si>
    <t xml:space="preserve">IV.DSP.PROD.07</t>
  </si>
  <si>
    <t xml:space="preserve">Product shows PRO vendor (VNMST name) and actual vendor (APMST name; actual vendor may be non-numeric/free text "until vendors are setup")</t>
  </si>
  <si>
    <t xml:space="preserve">L222-233,L17</t>
  </si>
  <si>
    <t xml:space="preserve">IV.DSP.PROD.08</t>
  </si>
  <si>
    <t xml:space="preserve">Flags: DISCARD and DONOTSHIP (header: IVMST attr 46) displayed YES when = 1</t>
  </si>
  <si>
    <t xml:space="preserve">L190-195,L10</t>
  </si>
  <si>
    <t xml:space="preserve">IV.DSP.PROD.09</t>
  </si>
  <si>
    <t xml:space="preserve">Country of origin code decoded through CONTROL 'COO' (attr 1 codes, attr 2 names)</t>
  </si>
  <si>
    <t xml:space="preserve">L58,L201-205</t>
  </si>
  <si>
    <t xml:space="preserve">IV.DSP.PROD.10</t>
  </si>
  <si>
    <t xml:space="preserve">Order history: monthly member orders MORD (attr 17) with YTD, prior-year MPYR (attr 18) with comparable-period total (months 1..current month) and full-year total</t>
  </si>
  <si>
    <t xml:space="preserve">L239-251</t>
  </si>
  <si>
    <t xml:space="preserve">IV.DSP.PROD.11</t>
  </si>
  <si>
    <t xml:space="preserve">Shipment history: monthly YTD (attr 13) this year vs same attr in the prior-year snapshot, comparable and full-year totals</t>
  </si>
  <si>
    <t xml:space="preserve">L264-276</t>
  </si>
  <si>
    <t xml:space="preserve">IV.DSP.PROD.12</t>
  </si>
  <si>
    <t xml:space="preserve">Header comment lists maintenance-side rules (PRICE.1 change prompts order update; DATE updated on PRICE.1/2/3 change; orders updated on PRO vendor change) — not implemented in this display program</t>
  </si>
  <si>
    <t xml:space="preserve">L17-19</t>
  </si>
  <si>
    <t xml:space="preserve">IV.MNT.PROD.01</t>
  </si>
  <si>
    <t xml:space="preserve">IV.MNT.PROD</t>
  </si>
  <si>
    <t xml:space="preserve">Lookup by product #, UPC or catalog # via IVCAT</t>
  </si>
  <si>
    <t xml:space="preserve">L88-90</t>
  </si>
  <si>
    <t xml:space="preserve">IV.MNT.PROD.02</t>
  </si>
  <si>
    <t xml:space="preserve">Product numbers are 4 digits; an unknown 4-digit number may be added; "A"/"N" adds with the next number</t>
  </si>
  <si>
    <t xml:space="preserve">L75-106</t>
  </si>
  <si>
    <t xml:space="preserve">IV.MNT.PROD.03</t>
  </si>
  <si>
    <t xml:space="preserve">New products are cloned from the last product viewed (all fields copied) except UPC and catalog # cleared</t>
  </si>
  <si>
    <t xml:space="preserve">L76-86,L101-102,L5</t>
  </si>
  <si>
    <t xml:space="preserve">IV.MNT.PROD.04</t>
  </si>
  <si>
    <t xml:space="preserve">Next product number from CONTROL 'PID' attr 1; skips numbers already in IVMST in steps of 7 and stores next = assigned + 7 (numbering in steps of 7 — reason undocumented)</t>
  </si>
  <si>
    <t xml:space="preserve">L642-653</t>
  </si>
  <si>
    <t xml:space="preserve">IV.MNT.PROD.05</t>
  </si>
  <si>
    <t xml:space="preserve">Description required</t>
  </si>
  <si>
    <t xml:space="preserve">L331-337</t>
  </si>
  <si>
    <t xml:space="preserve">IV.MNT.PROD.06</t>
  </si>
  <si>
    <t xml:space="preserve">Product group must exist in IGROUPS; web group (E.GRP) must exist in EGROUPS; sub-group free text</t>
  </si>
  <si>
    <t xml:space="preserve">L354-394</t>
  </si>
  <si>
    <t xml:space="preserve">IV.MNT.PROD.07</t>
  </si>
  <si>
    <t xml:space="preserve">PRO vendor (IVMST VEND, dict attr 5) must exist in VNMST</t>
  </si>
  <si>
    <t xml:space="preserve">L395-410</t>
  </si>
  <si>
    <t xml:space="preserve">IV.MNT.PROD.08</t>
  </si>
  <si>
    <t xml:space="preserve">Actual vendor (A.VENDOR, dict attr 37) accepts any input — APMST validation disabled 6/17/03 "until vendors are setup"</t>
  </si>
  <si>
    <t xml:space="preserve">L411-428,L8</t>
  </si>
  <si>
    <t xml:space="preserve">IV.MNT.PROD.09</t>
  </si>
  <si>
    <t xml:space="preserve">RAW cost (dict attr 19) entered as dollars "$$.$$" (stored cents), whole number "$$$$" stored unconverted, or yen "$$$$Y" stored with Y suffix</t>
  </si>
  <si>
    <t xml:space="preserve">L429-441</t>
  </si>
  <si>
    <t xml:space="preserve">IV.MNT.PROD.10</t>
  </si>
  <si>
    <t xml:space="preserve">PO cost, PRICE.1, PRICE.2, PRICE.3, RETAIL, MAP entered in dollars via MONEY (stored cents); "\" clears</t>
  </si>
  <si>
    <t xml:space="preserve">L447-458,L495-530,L554-577</t>
  </si>
  <si>
    <t xml:space="preserve">IV.MNT.PROD.11</t>
  </si>
  <si>
    <t xml:space="preserve">Any change to PRICE.1/2/3 sets IVMST DATE (dict attr 11 DATE-CHG) to today; new products also get today</t>
  </si>
  <si>
    <t xml:space="preserve">L138-142</t>
  </si>
  <si>
    <t xml:space="preserve">IV.MNT.PROD.12</t>
  </si>
  <si>
    <t xml:space="preserve">PRICE.1 change prompts to reprice existing orders by running IV8</t>
  </si>
  <si>
    <t xml:space="preserve">L162-174</t>
  </si>
  <si>
    <t xml:space="preserve">IV.MNT.PROD.13</t>
  </si>
  <si>
    <t xml:space="preserve">PRO vendor change automatically runs CHANGE.VNORD to move open vendor orders (product, old vendor)</t>
  </si>
  <si>
    <t xml:space="preserve">L141,L175-181</t>
  </si>
  <si>
    <t xml:space="preserve">IV.MNT.PROD.14</t>
  </si>
  <si>
    <t xml:space="preserve">Surcharge percent entered as whole number and stored x10 (tenths of a percent, displayed MD1)</t>
  </si>
  <si>
    <t xml:space="preserve">L542-553</t>
  </si>
  <si>
    <t xml:space="preserve">IV.MNT.PROD.15</t>
  </si>
  <si>
    <t xml:space="preserve">Special price quantity SP.QTY must be numeric or blank; PO/case/carton/multiple-order quantities and month's supply accepted without validation</t>
  </si>
  <si>
    <t xml:space="preserve">L459-494,L531-541,L611-619</t>
  </si>
  <si>
    <t xml:space="preserve">IV.MNT.PROD.16</t>
  </si>
  <si>
    <t xml:space="preserve">Rebate percent 1-2 digit whole number; 0 or '-' clears</t>
  </si>
  <si>
    <t xml:space="preserve">L620-634</t>
  </si>
  <si>
    <t xml:space="preserve">IV.MNT.PROD.17</t>
  </si>
  <si>
    <t xml:space="preserve">UPC and catalog # must be unique across products (checked in IVCAT); on save IVCAT entries written for new values and old values deleted</t>
  </si>
  <si>
    <t xml:space="preserve">L144-159,L578-610</t>
  </si>
  <si>
    <t xml:space="preserve">IV.MNT.PROD.18</t>
  </si>
  <si>
    <t xml:space="preserve">PRO private-label UPC: '0291440' + 4-digit product + UPC-A check digit (3x odd positions + even positions, round up to next 10)</t>
  </si>
  <si>
    <t xml:space="preserve">L660-673</t>
  </si>
  <si>
    <t xml:space="preserve">IV.MNT.PROD.N.01</t>
  </si>
  <si>
    <t xml:space="preserve">IV.MNT.PROD.N</t>
  </si>
  <si>
    <t xml:space="preserve">PRODUCT, VENDOR, PRICING</t>
  </si>
  <si>
    <t xml:space="preserve">Access requires the login user to be listed in CONTROL 'IV.MNT.PROD' attr 1 with a matching authority code pattern in attr 2</t>
  </si>
  <si>
    <t xml:space="preserve">L70-89</t>
  </si>
  <si>
    <t xml:space="preserve">IV.MNT.PROD.N.02</t>
  </si>
  <si>
    <t xml:space="preserve">Product lookup by product number, UPC or catalog no. via IVCAT</t>
  </si>
  <si>
    <t xml:space="preserve">L149-152</t>
  </si>
  <si>
    <t xml:space="preserve">IV.MNT.PROD.N.03</t>
  </si>
  <si>
    <t xml:space="preserve">A 4-digit product number found in IVMST.DISC (discontinued) can never be reused</t>
  </si>
  <si>
    <t xml:space="preserve">L159-167</t>
  </si>
  <si>
    <t xml:space="preserve">IV.MNT.PROD.N.04</t>
  </si>
  <si>
    <t xml:space="preserve">'A'/'N' starts a blank new product; 'R' repeats the last product's data, clearing UPC, catalog no., YTD/monthly history, PO fields, stock layers, REQ, SYTD/PYTD, delete status, pick/stock locations, W.UPC, weight, dimensions</t>
  </si>
  <si>
    <t xml:space="preserve">L125-148</t>
  </si>
  <si>
    <t xml:space="preserve">IV.MNT.PROD.N.05</t>
  </si>
  <si>
    <t xml:space="preserve">New product number from CONTROL 'PID', stepping by 7, skipping numbers used in IVMST, IVCAT, IVMST.DISC or APMST; above 9989 wraps to 1005; counter saved as number + 7</t>
  </si>
  <si>
    <t xml:space="preserve">L1005-1036</t>
  </si>
  <si>
    <t xml:space="preserve">IV.MNT.PROD.N.06</t>
  </si>
  <si>
    <t xml:space="preserve">If no UPC entered, operator may generate a PRO UPC: '0291440' + 4-digit product + UPC-A check digit (odd positions × 3 + even, mod 10)</t>
  </si>
  <si>
    <t xml:space="preserve">L214-224, L1101-1114</t>
  </si>
  <si>
    <t xml:space="preserve">IV.MNT.PROD.N.07</t>
  </si>
  <si>
    <t xml:space="preserve">UPC and catalog no. must be unique across products (IVCAT); IVCAT entries are written for new values and deleted for replaced values</t>
  </si>
  <si>
    <t xml:space="preserve">L237-252, L761-794</t>
  </si>
  <si>
    <t xml:space="preserve">IV.MNT.PROD.N.08</t>
  </si>
  <si>
    <t xml:space="preserve">Group must exist in IGROUPS; web group (E.GRP) must exist in EGROUPS; sub-group should be ≥ 0 (warning only)</t>
  </si>
  <si>
    <t xml:space="preserve">L515-561</t>
  </si>
  <si>
    <t xml:space="preserve">IV.MNT.PROD.N.09</t>
  </si>
  <si>
    <t xml:space="preserve">PRO vendor (attr 5) must exist in VNMST; actual vendor (ACT.VEND, attr 37) accepts any value — APMST validation disabled "until vendors are setup" (6-17-03)</t>
  </si>
  <si>
    <t xml:space="preserve">L563-597</t>
  </si>
  <si>
    <t xml:space="preserve">IV.MNT.PROD.N.10</t>
  </si>
  <si>
    <t xml:space="preserve">RAW cost (attr 19) entered as whole cents, $$.$$ (converted to cents), or yen with 'Y' suffix</t>
  </si>
  <si>
    <t xml:space="preserve">L599-616</t>
  </si>
  <si>
    <t xml:space="preserve">IV.MNT.PROD.N.11</t>
  </si>
  <si>
    <t xml:space="preserve">PO.COST (attr 38) — per header comment used only by IV45 to display/print a special PO cost; PRICE.1/2/3, RETAIL, MAP entered as money (cents)</t>
  </si>
  <si>
    <t xml:space="preserve">L29, L618-759</t>
  </si>
  <si>
    <t xml:space="preserve">IV.MNT.PROD.N.12</t>
  </si>
  <si>
    <t xml:space="preserve">Surcharge % (attr 12) entered as whole percent and stored ×10 (tenths of a percent)</t>
  </si>
  <si>
    <t xml:space="preserve">L722-733</t>
  </si>
  <si>
    <t xml:space="preserve">IV.MNT.PROD.N.13</t>
  </si>
  <si>
    <t xml:space="preserve">On update of an existing product: PRICE.1 change stamps date attr 11 value 2 and offers to re-price open orders (IV8); PRICE.2/PRICE.3 change stamps attr 11 value 1; new products get attr 11 = today</t>
  </si>
  <si>
    <t xml:space="preserve">L226-231, L259-272</t>
  </si>
  <si>
    <t xml:space="preserve">IV.MNT.PROD.N.14</t>
  </si>
  <si>
    <t xml:space="preserve">PRO vendor change runs CHANGE.VNORD to move open vendor orders</t>
  </si>
  <si>
    <t xml:space="preserve">L230, L274-280</t>
  </si>
  <si>
    <t xml:space="preserve">IV.MNT.PROD.N.15</t>
  </si>
  <si>
    <t xml:space="preserve">Special price qty (SP.QTY) whole number; month's supply whole number; rebate % 1-2 digits (0/'-' clears)</t>
  </si>
  <si>
    <t xml:space="preserve">L710-821</t>
  </si>
  <si>
    <t xml:space="preserve">IV.MNT.PROD.N.16</t>
  </si>
  <si>
    <t xml:space="preserve">Flags: warehouse rebate WHSREB 'N' or blank; warehouse IPI WHSIPI 'Y' or blank; DISCARD and DO-NOT-SHIP 1/blank; delete status blank/0/1/2/3</t>
  </si>
  <si>
    <t xml:space="preserve">L823-897</t>
  </si>
  <si>
    <t xml:space="preserve">IV.MNT.PROD.N.17</t>
  </si>
  <si>
    <t xml:space="preserve">Weight stored as lbs with 2 decimals; dimensions normalised to LxWxH (accepts : / space X x delimiters, up to 1 decimal)</t>
  </si>
  <si>
    <t xml:space="preserve">L899-958</t>
  </si>
  <si>
    <t xml:space="preserve">IV.MNT.PROD.N.18</t>
  </si>
  <si>
    <t xml:space="preserve">Country of origin must be a code in CONTROL 'COO' (single letter, e.g. C,T,H,J,K,U); HS code format ####.##.####; duty %% format #.#; customs entry no. AA#-#######-#</t>
  </si>
  <si>
    <t xml:space="preserve">L960-1003</t>
  </si>
  <si>
    <t xml:space="preserve">IV.MNT.PROD.N.19</t>
  </si>
  <si>
    <t xml:space="preserve">Every changed field logged to IVMST.LOG (key date*time): user, product, field name, attr, old, new, type code D=description/web desc, I=PRICE.1, V=PRICE.2, R=retail, M=MAP, N=web display</t>
  </si>
  <si>
    <t xml:space="preserve">L1038-1099</t>
  </si>
  <si>
    <t xml:space="preserve">IV.MNT.PROD.O.01</t>
  </si>
  <si>
    <t xml:space="preserve">IV.MNT.PROD.O</t>
  </si>
  <si>
    <t xml:space="preserve">No duty % or customs entry-number maintenance; otherwise identical rules (same surcharge ×10 behaviour at L721)</t>
  </si>
  <si>
    <t xml:space="preserve">L52-53, L352</t>
  </si>
  <si>
    <t xml:space="preserve">IV.UPD.01</t>
  </si>
  <si>
    <t xml:space="preserve">IV.UPD</t>
  </si>
  <si>
    <t xml:space="preserve">PRODUCT, PRICING, VENDOR</t>
  </si>
  <si>
    <t xml:space="preserve">For every IVMST.AUX record, overwrite IVMST attr 35 (AUX/WEB.DESC)=AUX 1, attr 31 (RETAIL)=AUX 3, attr 32 (MAP)=AUX 4, attr 36 (DISPLAY)=AUX 5, attr 37 (A.VENDOR)=AUX 6, attr 33 (CARTON)=AUX 8</t>
  </si>
  <si>
    <t xml:space="preserve">L3-9</t>
  </si>
  <si>
    <t xml:space="preserve">IV1.01</t>
  </si>
  <si>
    <t xml:space="preserve">IV1</t>
  </si>
  <si>
    <t xml:space="preserve">Product numbers are exactly 4 digits for change lookup</t>
  </si>
  <si>
    <t xml:space="preserve">L44</t>
  </si>
  <si>
    <t xml:space="preserve">IV1.02</t>
  </si>
  <si>
    <t xml:space="preserve">New product number taken from CONTROL 'PROD' attr 1; after add the counter is incremented by 7</t>
  </si>
  <si>
    <t xml:space="preserve">L33, L67</t>
  </si>
  <si>
    <t xml:space="preserve">IV1.03</t>
  </si>
  <si>
    <t xml:space="preserve">Required on add: description (≤30 chars, attr 4), vendor (attr 5, must exist in VNMST), product group (attr 6, must be non-blank in CONTROL 'GRP' table of 25), surcharge percent (attr 12), basic item cost (attr 8), raw cost (attr 19)</t>
  </si>
  <si>
    <t xml:space="preserve">L94-205</t>
  </si>
  <si>
    <t xml:space="preserve">IV1.04</t>
  </si>
  <si>
    <t xml:space="preserve">Surcharge percent attr 12 entered as whole number in tenths of a percent (60 = 6.0%)</t>
  </si>
  <si>
    <t xml:space="preserve">L135-139</t>
  </si>
  <si>
    <t xml:space="preserve">IV1.05</t>
  </si>
  <si>
    <t xml:space="preserve">Basic item cost attr 8 and special cost attr 9 entered in cents without decimal (MD2)</t>
  </si>
  <si>
    <t xml:space="preserve">L148-164</t>
  </si>
  <si>
    <t xml:space="preserve">IV1.06</t>
  </si>
  <si>
    <t xml:space="preserve">Special order quantity attr 7 is required whenever special cost attr 9 is entered and cannot be entered without a special cost; clearing special cost clears attr 7</t>
  </si>
  <si>
    <t xml:space="preserve">L157-179</t>
  </si>
  <si>
    <t xml:space="preserve">IV1.07</t>
  </si>
  <si>
    <t xml:space="preserve">Multiple purchase quantity attr 16 (MOQ/MULT) must be a whole number &lt; 100 (actually ≤100)</t>
  </si>
  <si>
    <t xml:space="preserve">L184-187</t>
  </si>
  <si>
    <t xml:space="preserve">IV1.08</t>
  </si>
  <si>
    <t xml:space="preserve">Raw purchase cost attr 19 entered in cents, or in yen with a 'Y' suffix (225Y = 225 yen)</t>
  </si>
  <si>
    <t xml:space="preserve">L198-205</t>
  </si>
  <si>
    <t xml:space="preserve">IV1.09</t>
  </si>
  <si>
    <t xml:space="preserve">Promotional cost attr 10 (NET.3) entered in cents, only via correction</t>
  </si>
  <si>
    <t xml:space="preserve">L208-214</t>
  </si>
  <si>
    <t xml:space="preserve">IV1.10</t>
  </si>
  <si>
    <t xml:space="preserve">On save, attr 11 (DATE-CHG) = today</t>
  </si>
  <si>
    <t xml:space="preserve">L66</t>
  </si>
  <si>
    <t xml:space="preserve">IV1.11</t>
  </si>
  <si>
    <t xml:space="preserve">If basic cost changed on an existing product, operator is offered to re-price all open member orders (IV8)</t>
  </si>
  <si>
    <t xml:space="preserve">L68-73</t>
  </si>
  <si>
    <t xml:space="preserve">IV1.12</t>
  </si>
  <si>
    <t xml:space="preserve">If vendor changed, CHANGE.VNORD is run with product and old vendor to move open vendor orders</t>
  </si>
  <si>
    <t xml:space="preserve">L75-79</t>
  </si>
  <si>
    <t xml:space="preserve">IV1.13</t>
  </si>
  <si>
    <t xml:space="preserve">DEL deletes the IVMST record outright with no stock/order checks</t>
  </si>
  <si>
    <t xml:space="preserve">L56-59</t>
  </si>
  <si>
    <t xml:space="preserve">IV15.01</t>
  </si>
  <si>
    <t xml:space="preserve">IV15</t>
  </si>
  <si>
    <t xml:space="preserve">Hard delete allowed only when SUM(attr 21 PO.QTY on vendor order)=0, SUM(attr 24)=0 (stock; dict calls attr 24 QTY.REC) and attr 3 REQ (member orders)=0</t>
  </si>
  <si>
    <t xml:space="preserve">L17-24</t>
  </si>
  <si>
    <t xml:space="preserve">IV15.02</t>
  </si>
  <si>
    <t xml:space="preserve">On delete, set attr 11 (DATE-CHG) to today, write the whole record to IVMST.DISC, then delete from IVMST (discontinued archive)</t>
  </si>
  <si>
    <t xml:space="preserve">L27-30</t>
  </si>
  <si>
    <t xml:space="preserve">IV15.03</t>
  </si>
  <si>
    <t xml:space="preserve">Suspend: if attr 15 STATUS already 1 offer re-instate (set 0)</t>
  </si>
  <si>
    <t xml:space="preserve">L36-43</t>
  </si>
  <si>
    <t xml:space="preserve">IV15.04</t>
  </si>
  <si>
    <t xml:space="preserve">Suspend status codes written to attr 15: 3 = vendor orders+stock+member orders all zero; 2 = no vendor orders/stock but member orders exist; 1 = otherwise. Per screen text, suspended products accept no orders exceeding available units and are removed at year end</t>
  </si>
  <si>
    <t xml:space="preserve">L7-12, L44-48</t>
  </si>
  <si>
    <t xml:space="preserve">IV16.01</t>
  </si>
  <si>
    <t xml:space="preserve">IV16</t>
  </si>
  <si>
    <t xml:space="preserve">Product to delete must have zero vendor-order qty (SUM attr 21), zero stock (SUM attr 24) and zero member orders (attr 3)</t>
  </si>
  <si>
    <t xml:space="preserve">L21-25</t>
  </si>
  <si>
    <t xml:space="preserve">IV16.02</t>
  </si>
  <si>
    <t xml:space="preserve">Add the old product's 12 monthly buckets into the kept product for attr 13 (YTD), attr 17 (MORD) and attr 18 (MPYR); zero results are blanked</t>
  </si>
  <si>
    <t xml:space="preserve">L26-32</t>
  </si>
  <si>
    <t xml:space="preserve">IV16.03</t>
  </si>
  <si>
    <t xml:space="preserve">Old product archived to IVMST.DISC with attr 11 = today, then deleted from IVMST</t>
  </si>
  <si>
    <t xml:space="preserve">L34-36</t>
  </si>
  <si>
    <t xml:space="preserve">IV16.04</t>
  </si>
  <si>
    <t xml:space="preserve">In every IVSOLD record, move old product's quantity (value list attr 2) to the kept product (insert sorted in attr 1 if missing) and remove the old product entry</t>
  </si>
  <si>
    <t xml:space="preserve">L37-51</t>
  </si>
  <si>
    <t xml:space="preserve">IV22.01</t>
  </si>
  <si>
    <t xml:space="preserve">IV22</t>
  </si>
  <si>
    <t xml:space="preserve">IVMST.DISC attr 11 holds the deletion date; operator can overwrite it with an MM.DD.YY date</t>
  </si>
  <si>
    <t xml:space="preserve">L7-13</t>
  </si>
  <si>
    <t xml:space="preserve">I_IVMNT_COMMON.01</t>
  </si>
  <si>
    <t xml:space="preserve">I_IVMNT_COMMON</t>
  </si>
  <si>
    <t xml:space="preserve">Product record held as R(150) with V(150) shadow plus OLDVEND/OLDGRP/OLDUPC/OLDBRND/HLDVEND/HLDGRP "before" values used to detect vendor/group/UPC/brand changes in maintenance</t>
  </si>
  <si>
    <t xml:space="preserve">L5, L15-17</t>
  </si>
  <si>
    <t xml:space="preserve">I_READ_IVCAT.01</t>
  </si>
  <si>
    <t xml:space="preserve">I_READ_IVCAT</t>
  </si>
  <si>
    <t xml:space="preserve">Product lookup: IVCAT&lt;PRODUCT&gt; attr 1; if not found and length &lt; 10 treat input as product number; else try PRODUCT[2,10], [2,12], [1,10], [1,11] (strips UPC check/leading digits); else leave unchanged</t>
  </si>
  <si>
    <t xml:space="preserve">L2-14</t>
  </si>
  <si>
    <t xml:space="preserve">MAX.01</t>
  </si>
  <si>
    <t xml:space="preserve">MAX</t>
  </si>
  <si>
    <t xml:space="preserve">IVMST attr 34 (dict name MOS — purpose unclear, possibly max/stock level) overwritten from MAXLEVEL attr 1 without validation</t>
  </si>
  <si>
    <t xml:space="preserve">L5-6</t>
  </si>
  <si>
    <t xml:space="preserve">ORDUP1.01</t>
  </si>
  <si>
    <t xml:space="preserve">ORDUP1</t>
  </si>
  <si>
    <t xml:space="preserve">Delete ORDDUE records for products now in stock (IVMST INSTK="YES" with DDATE)</t>
  </si>
  <si>
    <t xml:space="preserve">ORDUP1.02</t>
  </si>
  <si>
    <t xml:space="preserve">Delete ORDDUE records whose DUE date &lt;= today (past due dates are dropped, not escalated)</t>
  </si>
  <si>
    <t xml:space="preserve">L13-15</t>
  </si>
  <si>
    <t xml:space="preserve">ORDUP1.03</t>
  </si>
  <si>
    <t xml:space="preserve">Report: IVMST group &gt;= "1", not in stock, no due date, and F14 not "N", by group/description, showing net available and open PO number/qty/date</t>
  </si>
  <si>
    <t xml:space="preserve">PRO.LBL.01</t>
  </si>
  <si>
    <t xml:space="preserve">PRO.LBL</t>
  </si>
  <si>
    <t xml:space="preserve">Label count per product = ORDER attr 1 (QUAN); description = FILTERS attr 4, else "***MISSING***"</t>
  </si>
  <si>
    <t xml:space="preserve">L11-17</t>
  </si>
  <si>
    <t xml:space="preserve">REBUILD.MSALES.01</t>
  </si>
  <si>
    <t xml:space="preserve">REBUILD.MSALES</t>
  </si>
  <si>
    <t xml:space="preserve">MSALES keyed by product: attr 1 += ARHIST QUAN (attr 3), attr 2 += AMOUNT (attr 4, cents; dict calls attr 2 TCOST)</t>
  </si>
  <si>
    <t xml:space="preserve">L12,19-22</t>
  </si>
  <si>
    <t xml:space="preserve">REBUILD.MSALES.02</t>
  </si>
  <si>
    <t xml:space="preserve">Products &gt; 9989 (non-merchandise/system codes) excluded</t>
  </si>
  <si>
    <t xml:space="preserve">L17</t>
  </si>
  <si>
    <t xml:space="preserve">SET.DISCARD.01</t>
  </si>
  <si>
    <t xml:space="preserve">SET.DISCARD</t>
  </si>
  <si>
    <t xml:space="preserve">For an entered product, show the description (attr 4). On a blank confirmation, set IVMST attr 41 DISCD = 1. Any other answer does nothing. There is no audit, no un-set path, and no date.</t>
  </si>
  <si>
    <t xml:space="preserve">L5-9</t>
  </si>
  <si>
    <t xml:space="preserve">UPC.CODE.01</t>
  </si>
  <si>
    <t xml:space="preserve">UPC.CODE</t>
  </si>
  <si>
    <t xml:space="preserve">Hard-coded UPC prefix '0291440' (PRO's GS1 company prefix, by inference). PRO private-label UPC = '0291440' + 4-digit product code + check digit.</t>
  </si>
  <si>
    <t xml:space="preserve">UPC.CODE.02</t>
  </si>
  <si>
    <t xml:space="preserve">Check digit = standard UPC-A mod-10: 3 x (sum of odd positions 1,3..11) + (sum of even positions 2..10), then (10 - total mod 10) mod 10</t>
  </si>
  <si>
    <t xml:space="preserve">L10-19</t>
  </si>
  <si>
    <t xml:space="preserve">UPD.IVMST.LCOST.01</t>
  </si>
  <si>
    <t xml:space="preserve">UPD.IVMST.LCOST</t>
  </si>
  <si>
    <t xml:space="preserve">LAST.COST (attr 28) = INT(last AMT.REC (attr 25) / last QTY.REC (attr 24) + 0.5), taking the last value in each multivalued list as the most recent receipt (same units as AMT.REC, presumably cents)</t>
  </si>
  <si>
    <t xml:space="preserve">L27-31</t>
  </si>
  <si>
    <t xml:space="preserve">UPD.IVMST.LCOST.02</t>
  </si>
  <si>
    <t xml:space="preserve">If the last receipt qty &lt;= 0 (or there are no receipts), LAST.COST is overwritten with blank, which erases any previous last cost</t>
  </si>
  <si>
    <t xml:space="preserve">L29-31</t>
  </si>
  <si>
    <t xml:space="preserve">UPD.RAW.01</t>
  </si>
  <si>
    <t xml:space="preserve">UPD.RAW</t>
  </si>
  <si>
    <t xml:space="preserve">For every TEMPDATA record (key = product), IVMST attr 19 RAW cost = TEMPDATA attr 1. There is no validation, no check that the product exists (WRITEV creates a stub record), no audit and no DATE-CHG update. Units follow whatever was loaded.</t>
  </si>
  <si>
    <t xml:space="preserve">UPD.RAW.02</t>
  </si>
  <si>
    <t xml:space="preserve">Staging via a generic TEMPDATA file loaded outside BASIC</t>
  </si>
  <si>
    <t xml:space="preserve">L4, L7</t>
  </si>
  <si>
    <t xml:space="preserve">UPD.UPC.01</t>
  </si>
  <si>
    <t xml:space="preserve">UPD.UPC</t>
  </si>
  <si>
    <t xml:space="preserve">IVCAT entries whose key is exactly 12 digits are treated as UPCs. The product they point to (IVCAT attr 1) gets IVMST attr 29 UPC = that key. When a product has several 12-digit aliases, the last one processed wins (unordered SELECT).</t>
  </si>
  <si>
    <t xml:space="preserve">L5-12</t>
  </si>
  <si>
    <t xml:space="preserve">UPDATE.UPC.01</t>
  </si>
  <si>
    <t xml:space="preserve">UPDATE.UPC</t>
  </si>
  <si>
    <t xml:space="preserve">IVMST attr 51 W.UPC = attr 29 UPC for selected products. This establishes that the warehouse-scan UPC defaults to the catalog UPC.</t>
  </si>
  <si>
    <t xml:space="preserve">L4-6</t>
  </si>
  <si>
    <t xml:space="preserve">WHSE.DUE.01</t>
  </si>
  <si>
    <t xml:space="preserve">WHSE.DUE</t>
  </si>
  <si>
    <t xml:space="preserve">The product must exist in IVMST. The due date (MM.DD.YY) must be after today. A date 180+ days out gets a warning only.</t>
  </si>
  <si>
    <t xml:space="preserve">L11-19</t>
  </si>
  <si>
    <t xml:space="preserve">WHSE.DUE.02</t>
  </si>
  <si>
    <t xml:space="preserve">ORDDUE `&lt;product&gt;` attr 1 = due date (internal). There is one date per product (not per PO) and it overwrites the previous date.</t>
  </si>
  <si>
    <t xml:space="preserve">L23-25</t>
  </si>
  <si>
    <t xml:space="preserve">BLD.IVPO.01</t>
  </si>
  <si>
    <t xml:space="preserve">BLD.IVPO</t>
  </si>
  <si>
    <t xml:space="preserve">VENDOR, PRODUCT, PO</t>
  </si>
  <si>
    <t xml:space="preserve">For each IVMST PO value: IVPO key = attr 20 PO.NUM; IVPO attr 6 product, 7 qty (attr 21 PO.QTY), 8 cost (attr 22 PO.CST) appended</t>
  </si>
  <si>
    <t xml:space="preserve">BLD.IVPO.02</t>
  </si>
  <si>
    <t xml:space="preserve">IVPO attr 1 = IVMST attr 5 VENDOR and IVPO attr 2 = IVMST attr 23 PO.BO of the first product on that PO (attr 2 purpose unclear)</t>
  </si>
  <si>
    <t xml:space="preserve">L31</t>
  </si>
  <si>
    <t xml:space="preserve">BLD.IVPO.03</t>
  </si>
  <si>
    <t xml:space="preserve">PO cost with a "Y" flag is stripped to its numeric part; IVPO attr 12 += qty × unit cost (dict names attr 12 COST.REC)</t>
  </si>
  <si>
    <t xml:space="preserve">L17-18</t>
  </si>
  <si>
    <t xml:space="preserve">BLD.IVPO.04</t>
  </si>
  <si>
    <t xml:space="preserve">IVMST attr 23 PO.BO cleared for every converted PO line</t>
  </si>
  <si>
    <t xml:space="preserve">FIX.IVPO.01</t>
  </si>
  <si>
    <t xml:space="preserve">FIX.IVPO</t>
  </si>
  <si>
    <t xml:space="preserve">For RECLOG entry (1 PROD, 2 QUAN, 3 AMOUNT, 6 PO): IVPO line for that product gets attr 9 QTY.REC = qty, attr 12 COST.REC = amount, attr 11 DATE.REC = today</t>
  </si>
  <si>
    <t xml:space="preserve">L13-19</t>
  </si>
  <si>
    <t xml:space="preserve">FIX.SERIAL.NOS.01</t>
  </si>
  <si>
    <t xml:space="preserve">FIX.SERIAL.NOS</t>
  </si>
  <si>
    <t xml:space="preserve">Serial key = product (attr 2) prefixed to serial; skipped if key already starts with product (assumes 4-char product) or target exists</t>
  </si>
  <si>
    <t xml:space="preserve">L12-19</t>
  </si>
  <si>
    <t xml:space="preserve">FIX.TPOCST.01</t>
  </si>
  <si>
    <t xml:space="preserve">FIX.TPOCST</t>
  </si>
  <si>
    <t xml:space="preserve">PO, PRICING</t>
  </si>
  <si>
    <t xml:space="preserve">IVPO attr 12 COST.REC = attr 8 COST x attr 9 QTY.REC for lines with qty received &gt; 0</t>
  </si>
  <si>
    <t xml:space="preserve">L13-22</t>
  </si>
  <si>
    <t xml:space="preserve">FIX.TPOCST.02</t>
  </si>
  <si>
    <t xml:space="preserve">Yen-cost POs: a 'Y' in IVPO attr 8 marks the unit cost as yen; total kept in yen with 'Y' suffix</t>
  </si>
  <si>
    <t xml:space="preserve">INP.SERIAL.NOS.01</t>
  </si>
  <si>
    <t xml:space="preserve">INP.SERIAL.NOS</t>
  </si>
  <si>
    <t xml:space="preserve">Only products listed in CONTROL 'SERIAL.CTRL' (each attr: value 1 product, value 2 sub-valued serial match patterns, up to 2 formats) may be serialized</t>
  </si>
  <si>
    <t xml:space="preserve">L17-25,L45</t>
  </si>
  <si>
    <t xml:space="preserve">INP.SERIAL.NOS.02</t>
  </si>
  <si>
    <t xml:space="preserve">Quantity 1-999; quantities &gt; 100 must be re-entered to confirm</t>
  </si>
  <si>
    <t xml:space="preserve">L80-93</t>
  </si>
  <si>
    <t xml:space="preserve">INP.SERIAL.NOS.03</t>
  </si>
  <si>
    <t xml:space="preserve">Serial uppercased, spaces removed, leading '%' (scanner prefix) stripped; must match the product's pattern</t>
  </si>
  <si>
    <t xml:space="preserve">L105-116</t>
  </si>
  <si>
    <t xml:space="preserve">INP.SERIAL.NOS.04</t>
  </si>
  <si>
    <t xml:space="preserve">Hard-coded product 9527: 9-char serials truncated to first 8</t>
  </si>
  <si>
    <t xml:space="preserve">L118</t>
  </si>
  <si>
    <t xml:space="preserve">INP.SERIAL.NOS.05</t>
  </si>
  <si>
    <t xml:space="preserve">Reject serial already entered in this session or already on SERIAL.NOS (key PROD:SERIAL); record = 1 date received, 2 product</t>
  </si>
  <si>
    <t xml:space="preserve">L119-133</t>
  </si>
  <si>
    <t xml:space="preserve">IV.ADJ.01</t>
  </si>
  <si>
    <t xml:space="preserve">IV.ADJ</t>
  </si>
  <si>
    <t xml:space="preserve">IVMST field usage here does not match the PRO IVMST dictionary: attr 3 used as description (dict: REQ), 4 as product type (dict: DESC), 7/8 unit cost (dict: QUAN/NET.1), 17 units in stock (dict: MORD), 18 inventory value (dict: MPYR), 19 per-store stock (dict: RAW), 21 (dict: PO.QTY). Appears to be a Computyme retail-package (PHOTO2K) program for a different IVMST layout — likely not used at PRO</t>
  </si>
  <si>
    <t xml:space="preserve">L105-107,L161,L258,L269-275</t>
  </si>
  <si>
    <t xml:space="preserve">IV.ADJ.02</t>
  </si>
  <si>
    <t xml:space="preserve">Access: employee # plus authorization; master password 'PRIMOS' bypasses the check, else EMP:AUTH must be in CONTROL 'ADJ' attr 2</t>
  </si>
  <si>
    <t xml:space="preserve">L38-54</t>
  </si>
  <si>
    <t xml:space="preserve">IV.ADJ.03</t>
  </si>
  <si>
    <t xml:space="preserve">Adjustments blocked when IVADJ not purged for &gt;= 370 days; warning requiring OK at 180-369 days (last purge date CONTROL 'ADJPUR', defaults to today-30)</t>
  </si>
  <si>
    <t xml:space="preserve">L32-36,L71-82</t>
  </si>
  <si>
    <t xml:space="preserve">IV.ADJ.04</t>
  </si>
  <si>
    <t xml:space="preserve">Hard-coded product range 500-599 = MISC &amp; USED products: no value adjustments allowed; description and cost come from the item (IVINV attr 6/8) not the master</t>
  </si>
  <si>
    <t xml:space="preserve">L106,L141-142,L207,L260,L311,L315</t>
  </si>
  <si>
    <t xml:space="preserve">IV.ADJ.05</t>
  </si>
  <si>
    <t xml:space="preserve">Serial change only for product type starting with 3 (serialized); IVINV attr 5 serial replaced, old serial logged</t>
  </si>
  <si>
    <t xml:space="preserve">L110-121</t>
  </si>
  <si>
    <t xml:space="preserve">IV.ADJ.06</t>
  </si>
  <si>
    <t xml:space="preserve">Value adjustment: new value = attr 18 + entered total (cents); rejected if stock &gt; 0 and value &lt; 0; new average cost = value/stock rounded</t>
  </si>
  <si>
    <t xml:space="preserve">L161-176</t>
  </si>
  <si>
    <t xml:space="preserve">IV.ADJ.07</t>
  </si>
  <si>
    <t xml:space="preserve">Average cost = INT(value/stock + .5); if stock 0, use attr 8 cost if &gt; 0 else attr 7; if average 0, use master cost</t>
  </si>
  <si>
    <t xml:space="preserve">L273-276,L455-458</t>
  </si>
  <si>
    <t xml:space="preserve">IV.ADJ.08</t>
  </si>
  <si>
    <t xml:space="preserve">Warehouse reduction: unit cost entered must be positive; confirm if greater than both average and master cost, or less than 90% of average</t>
  </si>
  <si>
    <t xml:space="preserve">L209-237</t>
  </si>
  <si>
    <t xml:space="preserve">IV.ADJ.09</t>
  </si>
  <si>
    <t xml:space="preserve">Reduction may not take total stock or store stock negative; whole numbers only; max 99999 per entry</t>
  </si>
  <si>
    <t xml:space="preserve">L507-518</t>
  </si>
  <si>
    <t xml:space="preserve">IV.ADJ.10</t>
  </si>
  <si>
    <t xml:space="preserve">Serialized/item-tracked types (2 or 3): each item # must belong to the product and not repeat; items deleted from IVINV and store stock decremented per item; else warehouse store (CONTROL 'WHSE') stock reduced by qty</t>
  </si>
  <si>
    <t xml:space="preserve">L241-286</t>
  </si>
  <si>
    <t xml:space="preserve">IV.ADJ.11</t>
  </si>
  <si>
    <t xml:space="preserve">Reduction lowers units (attr 17) by qty and value (attr 18) by qty x entered cost (or sum of item costs for 500-599)</t>
  </si>
  <si>
    <t xml:space="preserve">L268-270</t>
  </si>
  <si>
    <t xml:space="preserve">IV.ADJ.12</t>
  </si>
  <si>
    <t xml:space="preserve">Delete item: cost removed = item cost for 500-599, else average (or master cost if stock &lt; 1); store and total stock -1</t>
  </si>
  <si>
    <t xml:space="preserve">L315-329</t>
  </si>
  <si>
    <t xml:space="preserve">IV.ADJ.13</t>
  </si>
  <si>
    <t xml:space="preserve">Store bulk adjustment (non-serialized only): set store stock to entered level (negative allowed with confirmation); delta changes total units and value at average cost</t>
  </si>
  <si>
    <t xml:space="preserve">L190-201,L359-384,L524-529</t>
  </si>
  <si>
    <t xml:space="preserve">IV.ADJ.14</t>
  </si>
  <si>
    <t xml:space="preserve">Remove batch sale date: clears IVINV attr 9 (sale date) on an item</t>
  </si>
  <si>
    <t xml:space="preserve">L393-414</t>
  </si>
  <si>
    <t xml:space="preserve">IV.ADJ.15</t>
  </si>
  <si>
    <t xml:space="preserve">Reason required (5-25 chars) on every adjustment</t>
  </si>
  <si>
    <t xml:space="preserve">L472-474</t>
  </si>
  <si>
    <t xml:space="preserve">IV.ADJ.16</t>
  </si>
  <si>
    <t xml:space="preserve">Every adjustment logged to IVADJ under sequential id from CONTROL 'ADJ' attr 1: 1 date, 2 employee, 3 product, 4 qty, 5 amount, 6 reason+description, 7 store, 8 item, 9 old serial, 10 unit cost, 11 option</t>
  </si>
  <si>
    <t xml:space="preserve">L67,L494-499</t>
  </si>
  <si>
    <t xml:space="preserve">IV.ADJ.17</t>
  </si>
  <si>
    <t xml:space="preserve">Purge deletes IVADJ entries older than 90 days and records purge date</t>
  </si>
  <si>
    <t xml:space="preserve">L422-445</t>
  </si>
  <si>
    <t xml:space="preserve">IV.INP.RETURNS.01</t>
  </si>
  <si>
    <t xml:space="preserve">IV.INP.RETURNS</t>
  </si>
  <si>
    <t xml:space="preserve">PRODUCT, VENDOR</t>
  </si>
  <si>
    <t xml:space="preserve">Return header: 1 member (must exist), 2 employee (not validated), 3 date, 4 member's return ref (default 'No-Ref-#')</t>
  </si>
  <si>
    <t xml:space="preserve">L18-28,L57</t>
  </si>
  <si>
    <t xml:space="preserve">IV.INP.RETURNS.02</t>
  </si>
  <si>
    <t xml:space="preserve">Product entered as product #, or UPC/catalog # resolved via IVCAT attr 1</t>
  </si>
  <si>
    <t xml:space="preserve">L33-36</t>
  </si>
  <si>
    <t xml:space="preserve">IV.INP.RETURNS.03</t>
  </si>
  <si>
    <t xml:space="preserve">Quantity non-zero numeric; negative allowed only with confirmation (adjustment)</t>
  </si>
  <si>
    <t xml:space="preserve">L38-44</t>
  </si>
  <si>
    <t xml:space="preserve">IV.INP.RETURNS.04</t>
  </si>
  <si>
    <t xml:space="preserve">Reason code D = defective, P = packaging; lines in attrs 5 prod, 6 qty, 7 reason</t>
  </si>
  <si>
    <t xml:space="preserve">L45-54</t>
  </si>
  <si>
    <t xml:space="preserve">IV.INP.RETURNS.05</t>
  </si>
  <si>
    <t xml:space="preserve">Return number from CONTROL 'RETURN' attr 1, incremented</t>
  </si>
  <si>
    <t xml:space="preserve">L58-64</t>
  </si>
  <si>
    <t xml:space="preserve">IV.INP.RETURNS.06</t>
  </si>
  <si>
    <t xml:space="preserve">VNRET&lt;product&gt; attr 1 += defective qty, attr 2 += packaging qty (running totals, no date)</t>
  </si>
  <si>
    <t xml:space="preserve">L65-73</t>
  </si>
  <si>
    <t xml:space="preserve">IV.ORD.REC.01</t>
  </si>
  <si>
    <t xml:space="preserve">IV.ORD.REC</t>
  </si>
  <si>
    <t xml:space="preserve">PO, VENDOR, PRODUCT, PRICING</t>
  </si>
  <si>
    <t xml:space="preserve">Option 1 (enter/change vendor orders) hands off to IV46</t>
  </si>
  <si>
    <t xml:space="preserve">L65</t>
  </si>
  <si>
    <t xml:space="preserve">IV.ORD.REC.02</t>
  </si>
  <si>
    <t xml:space="preserve">Only one receiver at a time: CONTROL 'BATCH' attr 2 = 'O' while receiving; attr 1 = batch number, incremented when the receiver exits; operator told to record batch #</t>
  </si>
  <si>
    <t xml:space="preserve">L67-86, L116-127</t>
  </si>
  <si>
    <t xml:space="preserve">IV.ORD.REC.03</t>
  </si>
  <si>
    <t xml:space="preserve">PO number format: 5 digits, 1 letter + 5 digits, or 5 digits + 1 letter</t>
  </si>
  <si>
    <t xml:space="preserve">L130-132</t>
  </si>
  <si>
    <t xml:space="preserve">IV.ORD.REC.04</t>
  </si>
  <si>
    <t xml:space="preserve">Receiving requires an existing IVPO record; receipt date MM.DD.YY, defaults to today, no future dates</t>
  </si>
  <si>
    <t xml:space="preserve">L133-148</t>
  </si>
  <si>
    <t xml:space="preserve">IV.ORD.REC.05</t>
  </si>
  <si>
    <t xml:space="preserve">Yen-to-dollar rate entered as whole number in hundredths (22505 = 225.05 yen/$); saved to CONTROL 'YEN.CONV' (date, rate); blank reuses last rate</t>
  </si>
  <si>
    <t xml:space="preserve">L150-161</t>
  </si>
  <si>
    <t xml:space="preserve">IV.ORD.REC.06</t>
  </si>
  <si>
    <t xml:space="preserve">Additional-charges % (freight/duty landed cost) entered in hundredths of a percent (1200 = 12%) per receiving session</t>
  </si>
  <si>
    <t xml:space="preserve">IV.ORD.REC.07</t>
  </si>
  <si>
    <t xml:space="preserve">Receiving by product number or catalog number via IVCAT</t>
  </si>
  <si>
    <t xml:space="preserve">L192</t>
  </si>
  <si>
    <t xml:space="preserve">IV.ORD.REC.08</t>
  </si>
  <si>
    <t xml:space="preserve">Product must carry the PO in IVMST attr 20 and be a line on IVPO attr 6; remaining qty = IVMST attr 21 (PO qty) + attr 23 (backorder qty); unit cost = attr 22 (cents, or yen with 'Y' suffix)</t>
  </si>
  <si>
    <t xml:space="preserve">L198-207</t>
  </si>
  <si>
    <t xml:space="preserve">IV.ORD.REC.09</t>
  </si>
  <si>
    <t xml:space="preserve">Over-receipt allowed after re-entering the quantity to confirm</t>
  </si>
  <si>
    <t xml:space="preserve">L225-229</t>
  </si>
  <si>
    <t xml:space="preserve">IV.ORD.REC.10</t>
  </si>
  <si>
    <t xml:space="preserve">'C' or '-' with "YES" cancels the remaining backorder: PO removed from the product's attr 20-23, POADJ log written (cancelled qty), IVPO ordered qty reset to received total, a 0 receipt appended</t>
  </si>
  <si>
    <t xml:space="preserve">L213-218, L314-326</t>
  </si>
  <si>
    <t xml:space="preserve">IV.ORD.REC.11</t>
  </si>
  <si>
    <t xml:space="preserve">Receipt ≥ remaining removes the PO from IVMST attrs 20-23; partial receipt blanks attr 21 and sets attr 23 (backorder) = remaining − received</t>
  </si>
  <si>
    <t xml:space="preserve">L278-283</t>
  </si>
  <si>
    <t xml:space="preserve">IV.ORD.REC.12</t>
  </si>
  <si>
    <t xml:space="preserve">Extended receipt cost TCST = cost × qty; yen cost converted INT(TCST/rate × 10000 + .5) into cents; landed TCST += INT(TCST × pct/10000 + .05)</t>
  </si>
  <si>
    <t xml:space="preserve">L284-288</t>
  </si>
  <si>
    <t xml:space="preserve">IV.ORD.REC.13</t>
  </si>
  <si>
    <t xml:space="preserve">Last cost IVMST LAST.COST (attr 28 per dict) = INT(TCST/qty + .5)</t>
  </si>
  <si>
    <t xml:space="preserve">L289</t>
  </si>
  <si>
    <t xml:space="preserve">IV.ORD.REC.14</t>
  </si>
  <si>
    <t xml:space="preserve">Stock layers: if first layer qty ≤ 0 (negative/zero stock), receipt nets into that layer, value = TCST − |neg qty × last cost|, layer deleted if it nets to 0; otherwise a new layer (qty, TCST, date) is appended</t>
  </si>
  <si>
    <t xml:space="preserve">L290-300</t>
  </si>
  <si>
    <t xml:space="preserve">IV.ORD.REC.15</t>
  </si>
  <si>
    <t xml:space="preserve">When receiving against negative stock, IV.UPD.COGS is called with the negative qty and unit cost to back out profit on prior shipments</t>
  </si>
  <si>
    <t xml:space="preserve">L309-312</t>
  </si>
  <si>
    <t xml:space="preserve">IV.ORD.REC.16</t>
  </si>
  <si>
    <t xml:space="preserve">RECLOG&lt;date*time*user*seq&gt;: product, qty, amount, PO, batch, last cost</t>
  </si>
  <si>
    <t xml:space="preserve">L302-305</t>
  </si>
  <si>
    <t xml:space="preserve">IV.ORD.REC.17</t>
  </si>
  <si>
    <t xml:space="preserve">IVPO receipts kept as subvalues: attr 9 qty, attr 11 date, attr 12 cost; PO flagged complete (attr 13 = 1) when ordered − received = 0 for all lines</t>
  </si>
  <si>
    <t xml:space="preserve">L187-189, L247-249, L307-308</t>
  </si>
  <si>
    <t xml:space="preserve">IV.ORD.REC.18</t>
  </si>
  <si>
    <t xml:space="preserve">Automatic receiving receives every IVPO line in full at PO cost</t>
  </si>
  <si>
    <t xml:space="preserve">L232-250</t>
  </si>
  <si>
    <t xml:space="preserve">IV.ORD.REC.19</t>
  </si>
  <si>
    <t xml:space="preserve">Automatic PO creation: every product in ORDER file (qty attr 1, from IV21) is added to the PO — IVMST attr 20/21/22 (PO no., qty, cost = RAW attr 19) and IVPO header vendor = IVMST attr 5, date; ORDER is then cleared</t>
  </si>
  <si>
    <t xml:space="preserve">L251-275</t>
  </si>
  <si>
    <t xml:space="preserve">IV.ORD.REC.20</t>
  </si>
  <si>
    <t xml:space="preserve">Automatic backorders: on exit, if CONTROL 'ABO' = 1 and something was received and the last BO run (CONTROL 'BORUN') is before today, chain to IV11.AUTO (forced if &gt; 3 days since last run, else operator confirms "last receiving for today")</t>
  </si>
  <si>
    <t xml:space="preserve">L88-108</t>
  </si>
  <si>
    <t xml:space="preserve">IV.ORD.REC.21</t>
  </si>
  <si>
    <t xml:space="preserve">Usage logged to PGM.AUDIT 'IV6'</t>
  </si>
  <si>
    <t xml:space="preserve">L327-332</t>
  </si>
  <si>
    <t xml:space="preserve">IV.ORD.REC.N.01</t>
  </si>
  <si>
    <t xml:space="preserve">IV.ORD.REC.N</t>
  </si>
  <si>
    <t xml:space="preserve">PO, PRODUCT, PRICING</t>
  </si>
  <si>
    <t xml:space="preserve">A PO already flagged received in full (IVPO attr 13 = 1) cannot be received again</t>
  </si>
  <si>
    <t xml:space="preserve">L166-169</t>
  </si>
  <si>
    <t xml:space="preserve">IV.ORD.REC.N.02</t>
  </si>
  <si>
    <t xml:space="preserve">Customs/broker entry number required in format AA#-#######-# (e.g. RS3-1234567-1) or 'XXX' to bypass; stored on IVMST ENTRY.NO (attr 55 per dict) on every received product</t>
  </si>
  <si>
    <t xml:space="preserve">L223-232, L400</t>
  </si>
  <si>
    <t xml:space="preserve">IV.ORD.REC.N.03</t>
  </si>
  <si>
    <t xml:space="preserve">Yen rate may be entered with 2 decimals (×100) or whole; always re-saved to CONTROL 'YEN.CONV' attr 2</t>
  </si>
  <si>
    <t xml:space="preserve">L200-208</t>
  </si>
  <si>
    <t xml:space="preserve">IV.ORD.REC.N.04</t>
  </si>
  <si>
    <t xml:space="preserve">IVMST dimensioned to 360 attributes</t>
  </si>
  <si>
    <t xml:space="preserve">L38</t>
  </si>
  <si>
    <t xml:space="preserve">IV.PI.COUNT.01</t>
  </si>
  <si>
    <t xml:space="preserve">IV.PI.COUNT</t>
  </si>
  <si>
    <t xml:space="preserve">Employee number must be numeric and exist in IVEMP</t>
  </si>
  <si>
    <t xml:space="preserve">L17-20</t>
  </si>
  <si>
    <t xml:space="preserve">IV.PI.COUNT.02</t>
  </si>
  <si>
    <t xml:space="preserve">Product resolved through IVCAT cross-reference; must exist in IVMST</t>
  </si>
  <si>
    <t xml:space="preserve">IV.PI.COUNT.03</t>
  </si>
  <si>
    <t xml:space="preserve">Each count appends EMP to PHYSLOG&lt;prod&gt; attr 1 and QTY to attr 2 (counts accumulate); 'Q' shows current summed count</t>
  </si>
  <si>
    <t xml:space="preserve">L31-44</t>
  </si>
  <si>
    <t xml:space="preserve">IV.PI.COUNT.04</t>
  </si>
  <si>
    <t xml:space="preserve">Count qty must be numeric and not &gt; 1000 (string comparison)</t>
  </si>
  <si>
    <t xml:space="preserve">L39-40</t>
  </si>
  <si>
    <t xml:space="preserve">IV.UPD.COGS.01</t>
  </si>
  <si>
    <t xml:space="preserve">IV.UPD.COGS</t>
  </si>
  <si>
    <t xml:space="preserve">Called with QOH as a negative quantity; walk billed SCANORD shipments of the product newest first, consuming shipped qty until QOH reaches 0 (last shipment partially)</t>
  </si>
  <si>
    <t xml:space="preserve">L9, L26-52</t>
  </si>
  <si>
    <t xml:space="preserve">IV.UPD.COGS.02</t>
  </si>
  <si>
    <t xml:space="preserve">For each consumed qty, subtract QUAN × AVG from IVMST YPROF (monthly profit bucket; equate IVMST.YPROF from FILE.INCLUDES not in extract, attr number unconfirmed)</t>
  </si>
  <si>
    <t xml:space="preserve">L75</t>
  </si>
  <si>
    <t xml:space="preserve">IV.UPD.COGS.03</t>
  </si>
  <si>
    <t xml:space="preserve">Month bucket = CONTROL 'UPD' attr 2 (IVMON, current inventory month) − billed month, where billed month advances by 1 if billed day &gt; 26 and month &lt; 12; 0 → 1; negative → +13</t>
  </si>
  <si>
    <t xml:space="preserve">L71-74</t>
  </si>
  <si>
    <t xml:space="preserve">IV.UPD.COGS.04</t>
  </si>
  <si>
    <t xml:space="preserve">Subtract QUAN × AVG from member ARMST WH.PROFIT (attr 40 per dict) of the shipment's member</t>
  </si>
  <si>
    <t xml:space="preserve">L83-96</t>
  </si>
  <si>
    <t xml:space="preserve">IV.UPD.COGS.05</t>
  </si>
  <si>
    <t xml:space="preserve">Waits (6-second sleep) on IVMST/ARMST locks indefinitely</t>
  </si>
  <si>
    <t xml:space="preserve">L59-67, L84-92</t>
  </si>
  <si>
    <t xml:space="preserve">IV.UPD.PLOG.01</t>
  </si>
  <si>
    <t xml:space="preserve">IV.UPD.PLOG</t>
  </si>
  <si>
    <t xml:space="preserve">Operator must enter alphabetic initials (recorded as adjustment employee)</t>
  </si>
  <si>
    <t xml:space="preserve">IV.UPD.PLOG.02</t>
  </si>
  <si>
    <t xml:space="preserve">Only PHYSLOG records not yet updated (attr 5 UPD empty) processed; counted qty = SUM(PHYSLOG attr 2); book qty = SUM(IVMST attr 24 stock layers)</t>
  </si>
  <si>
    <t xml:space="preserve">L27, L33</t>
  </si>
  <si>
    <t xml:space="preserve">IV.UPD.PLOG.03</t>
  </si>
  <si>
    <t xml:space="preserve">Stock is held as FIFO-style layers: IVMST attr 24 qty, attr 25 value (cents, AMT.REC), attr 26 date received</t>
  </si>
  <si>
    <t xml:space="preserve">L57-58, L65-70</t>
  </si>
  <si>
    <t xml:space="preserve">IV.UPD.PLOG.04</t>
  </si>
  <si>
    <t xml:space="preserve">Average unit cost = SUM(attr 25)/SUM(attr 24); if book stock 0 use attr 19 RAW cost</t>
  </si>
  <si>
    <t xml:space="preserve">L36-40</t>
  </si>
  <si>
    <t xml:space="preserve">IV.UPD.PLOG.05</t>
  </si>
  <si>
    <t xml:space="preserve">Count &gt; book: add a new layer qty DIFF, value INT(AVG×DIFF+.5), dated today</t>
  </si>
  <si>
    <t xml:space="preserve">L56-61</t>
  </si>
  <si>
    <t xml:space="preserve">IV.UPD.PLOG.06</t>
  </si>
  <si>
    <t xml:space="preserve">Count &lt; book: remove qty from oldest layers first; partially consumed layer revalued at STK×AVG</t>
  </si>
  <si>
    <t xml:space="preserve">L62-76</t>
  </si>
  <si>
    <t xml:space="preserve">IV.UPD.PLOG.07</t>
  </si>
  <si>
    <t xml:space="preserve">IVADJ record (key date+time*seq): emp, product, qty change, value change, reason "PI Adjustments - &lt;date&gt;" + before/after text; PHYSLOG attr 5 set to 1</t>
  </si>
  <si>
    <t xml:space="preserve">L48, L77-88</t>
  </si>
  <si>
    <t xml:space="preserve">IV.UPD.PLOG.TST.01</t>
  </si>
  <si>
    <t xml:space="preserve">IV.UPD.PLOG.TST</t>
  </si>
  <si>
    <t xml:space="preserve">Count &gt; book with existing layers: add DIFF to the first (oldest) layer at that layer's own unit cost, instead of a new layer</t>
  </si>
  <si>
    <t xml:space="preserve">L61-69</t>
  </si>
  <si>
    <t xml:space="preserve">IV.UPD.PLOG.TST.02</t>
  </si>
  <si>
    <t xml:space="preserve">Count &lt; book: value removed/revalued at each layer's own cost (VAL/QTY), not average</t>
  </si>
  <si>
    <t xml:space="preserve">L73-85</t>
  </si>
  <si>
    <t xml:space="preserve">IV.UPD.PLOG.TST.03</t>
  </si>
  <si>
    <t xml:space="preserve">IVADJ description values divided by 100 (cents → dollars); totals of qty and value adjusted displayed</t>
  </si>
  <si>
    <t xml:space="preserve">L94-96, L56</t>
  </si>
  <si>
    <t xml:space="preserve">IV.UPD.PLOG.TST.04</t>
  </si>
  <si>
    <t xml:space="preserve">Clears the adjustment file before run</t>
  </si>
  <si>
    <t xml:space="preserve">L28</t>
  </si>
  <si>
    <t xml:space="preserve">IV13.01</t>
  </si>
  <si>
    <t xml:space="preserve">IV13</t>
  </si>
  <si>
    <t xml:space="preserve">Zero IVMST attr 3 (REQ = member quantity on order) for every product, then for each IVORD order add each line qty (IVORD attr 3) to IVMST attr 3 of the line product (IVORD attr 2)</t>
  </si>
  <si>
    <t xml:space="preserve">L8-22</t>
  </si>
  <si>
    <t xml:space="preserve">IV13.02</t>
  </si>
  <si>
    <t xml:space="preserve">Maximum 300 lines per order processed; message says "OVER 200 ITEMS"</t>
  </si>
  <si>
    <t xml:space="preserve">L17, L23</t>
  </si>
  <si>
    <t xml:space="preserve">IV17.01</t>
  </si>
  <si>
    <t xml:space="preserve">IV17</t>
  </si>
  <si>
    <t xml:space="preserve">Elapsed-period divisor D = (current month − 1) concatenated with INT(day/3+.5) — intended as months elapsed with a fractional tenth</t>
  </si>
  <si>
    <t xml:space="preserve">L8-9</t>
  </si>
  <si>
    <t xml:space="preserve">IV17.02</t>
  </si>
  <si>
    <t xml:space="preserve">QR = INT(((REQ+YTDORD)*10/D) * M/10 − (STOCK+ORDERED−REQ)) where M = target months of supply ×10 (entered as M.M)</t>
  </si>
  <si>
    <t xml:space="preserve">L10-14</t>
  </si>
  <si>
    <t xml:space="preserve">IV17.03</t>
  </si>
  <si>
    <t xml:space="preserve">SUPPLY = (STOCK+ORDERED−REQ)*10 / ((REQ+YTDORD)*10/D), 0 if no demand</t>
  </si>
  <si>
    <t xml:space="preserve">IV19.01</t>
  </si>
  <si>
    <t xml:space="preserve">IV19</t>
  </si>
  <si>
    <t xml:space="preserve">Open POs for a product are the parallel multivalues IVMST attr 20 PO.NO, attr 21 PO.QTY, attr 22 PO.CST (cents), attr 23 used as PO date (dict names attr 23 BO/PO.BO)</t>
  </si>
  <si>
    <t xml:space="preserve">L19-24</t>
  </si>
  <si>
    <t xml:space="preserve">IV19.02</t>
  </si>
  <si>
    <t xml:space="preserve">A PO cost suffixed 'Y' denotes yen; total = numeric part × qty with 'Y' re-appended</t>
  </si>
  <si>
    <t xml:space="preserve">L25</t>
  </si>
  <si>
    <t xml:space="preserve">IV20.01</t>
  </si>
  <si>
    <t xml:space="preserve">IV20</t>
  </si>
  <si>
    <t xml:space="preserve">PO, VENDOR</t>
  </si>
  <si>
    <t xml:space="preserve">PO lines found by locating PO number in IVMST attr 20 and taking qty attr 21 and unit cost attr 22 (cents, MD2) at the same position; total = cost × qty</t>
  </si>
  <si>
    <t xml:space="preserve">L29-42</t>
  </si>
  <si>
    <t xml:space="preserve">IV20.02</t>
  </si>
  <si>
    <t xml:space="preserve">Yen costs ('Y' suffix) print with 'Y' and grand total is marked 'Y' if any line was yen</t>
  </si>
  <si>
    <t xml:space="preserve">L39-41, L46</t>
  </si>
  <si>
    <t xml:space="preserve">IV20.03</t>
  </si>
  <si>
    <t xml:space="preserve">Hard-coded letterhead "PHOTOGRAPHIC RESEARCH ORGANIZATION, 360 Tunxis Hill Rd, PO Box 320236, Fairfield CT 06432, 203-336-0183"</t>
  </si>
  <si>
    <t xml:space="preserve">L20-25</t>
  </si>
  <si>
    <t xml:space="preserve">IV21.01</t>
  </si>
  <si>
    <t xml:space="preserve">IV21</t>
  </si>
  <si>
    <t xml:space="preserve">Current month MON = this month, minus 1 if day &lt; 20 (Jan→12); FMON = 12 − MON remaining months</t>
  </si>
  <si>
    <t xml:space="preserve">L6-10</t>
  </si>
  <si>
    <t xml:space="preserve">IV21.02</t>
  </si>
  <si>
    <t xml:space="preserve">Products with attr 15 STATUS &gt; 0 (suspended) are skipped</t>
  </si>
  <si>
    <t xml:space="preserve">IV21.03</t>
  </si>
  <si>
    <t xml:space="preserve">Available = SUM(attr 21 PO qty) + SUM(attr 24 stock) − attr 3 REQ</t>
  </si>
  <si>
    <t xml:space="preserve">L29</t>
  </si>
  <si>
    <t xml:space="preserve">IV21.04</t>
  </si>
  <si>
    <t xml:space="preserve">Prior-year average PAVG from attr 18 (MPYR) first MON months over non-empty months; current average CAVG from attr 17 (MORD)</t>
  </si>
  <si>
    <t xml:space="preserve">L28-38</t>
  </si>
  <si>
    <t xml:space="preserve">IV21.05</t>
  </si>
  <si>
    <t xml:space="preserve">If no prior-year sales in period: qty = CAVG × months − available; else trend PCT = CAVG/PAVG capped at 2, qty = INT(PFUT×PCT/FMON)×months − available, floored at CAVG×months − available</t>
  </si>
  <si>
    <t xml:space="preserve">L42-49</t>
  </si>
  <si>
    <t xml:space="preserve">IV21.06</t>
  </si>
  <si>
    <t xml:space="preserve">Quantities under 100 round to nearest 12 for group 8 (bags) else 10</t>
  </si>
  <si>
    <t xml:space="preserve">L51-53</t>
  </si>
  <si>
    <t xml:space="preserve">IV21.07</t>
  </si>
  <si>
    <t xml:space="preserve">Group 19 (filters) with qty &lt; 30: multiply by (12 − months) if months &lt; 12, zero if below CAVG, cap at 50</t>
  </si>
  <si>
    <t xml:space="preserve">L54-58</t>
  </si>
  <si>
    <t xml:space="preserve">IV21.08</t>
  </si>
  <si>
    <t xml:space="preserve">Qty ≥ 100 rounds to case pack attr 2 (default 10 when blank); group 19 uses double case; if &gt; 2 cases round to case</t>
  </si>
  <si>
    <t xml:space="preserve">L61-65</t>
  </si>
  <si>
    <t xml:space="preserve">IV21.09</t>
  </si>
  <si>
    <t xml:space="preserve">Quantities under 10 are not written; otherwise ORDER&lt;product&gt; attr 1 = qty</t>
  </si>
  <si>
    <t xml:space="preserve">L67-68</t>
  </si>
  <si>
    <t xml:space="preserve">IV21.10</t>
  </si>
  <si>
    <t xml:space="preserve">Hard-coded group menu: LENSES=1, FLASH=4, MODULES=5, BAGS=8, STRAPS=9, TRIPODS=10, FILTERS=19, FILM=20</t>
  </si>
  <si>
    <t xml:space="preserve">IV45.01</t>
  </si>
  <si>
    <t xml:space="preserve">IV45</t>
  </si>
  <si>
    <t xml:space="preserve">PO, VENDOR, PRICING</t>
  </si>
  <si>
    <t xml:space="preserve">Vendor address from IVPO attr 17 for vendor 9999, else APMST then VNMST record of IVPO attr 1</t>
  </si>
  <si>
    <t xml:space="preserve">L88-97</t>
  </si>
  <si>
    <t xml:space="preserve">IV45.02</t>
  </si>
  <si>
    <t xml:space="preserve">If the vendor record attr 21 (dealer/account no. PRO holds with the vendor) is set, "DEALER NO. &lt;ref&gt;" heads the Bill-To block (PRO address from CONTROL 'WHO' attrs 2-5, fax attr 7)</t>
  </si>
  <si>
    <t xml:space="preserve">L98-107</t>
  </si>
  <si>
    <t xml:space="preserve">IV45.03</t>
  </si>
  <si>
    <t xml:space="preserve">Terms printed from IVPO attr 3, else vendor attr 9 % + attr 10 ("DAYS" or "OF THE MONTH")</t>
  </si>
  <si>
    <t xml:space="preserve">IV45.04</t>
  </si>
  <si>
    <t xml:space="preserve">Line unit cost = IVMST attr 38 (PO.COST) when non-blank, overriding the IVPO line cost attr 8; yen costs ('Y') printed unconverted</t>
  </si>
  <si>
    <t xml:space="preserve">L208-216</t>
  </si>
  <si>
    <t xml:space="preserve">IV45.05</t>
  </si>
  <si>
    <t xml:space="preserve">Line description from IVPO attr 15 (special order desc) else IVMST attr 4; catalog no. IVMST attr 30 else product no.</t>
  </si>
  <si>
    <t xml:space="preserve">L189-195</t>
  </si>
  <si>
    <t xml:space="preserve">IV45.06</t>
  </si>
  <si>
    <t xml:space="preserve">Up to 15 special-instruction lines (IVPO attr 4) printed</t>
  </si>
  <si>
    <t xml:space="preserve">L173-182</t>
  </si>
  <si>
    <t xml:space="preserve">IV45.07</t>
  </si>
  <si>
    <t xml:space="preserve">Employee who placed PO (IVPO attr 22, name IVEMP attr 5) printed when CUSTOM flag 19 on</t>
  </si>
  <si>
    <t xml:space="preserve">L231-235</t>
  </si>
  <si>
    <t xml:space="preserve">IV45.08</t>
  </si>
  <si>
    <t xml:space="preserve">Hard-coded ship-to "PRO Warehouse Facility, 2950 Turnpike Drive, Building Section 6-9, Hatboro PA 19040"</t>
  </si>
  <si>
    <t xml:space="preserve">L13-16, L239-240</t>
  </si>
  <si>
    <t xml:space="preserve">IV46.01</t>
  </si>
  <si>
    <t xml:space="preserve">IV46</t>
  </si>
  <si>
    <t xml:space="preserve">'A' generates a new PO number from CONTROL 'IVPO' (default 1000), skipping numbers already on IVPO; counter = number + 1</t>
  </si>
  <si>
    <t xml:space="preserve">L86-98</t>
  </si>
  <si>
    <t xml:space="preserve">IV46.02</t>
  </si>
  <si>
    <t xml:space="preserve">Existing PO numbers must be 3-7 characters with no spaces</t>
  </si>
  <si>
    <t xml:space="preserve">L99-104</t>
  </si>
  <si>
    <t xml:space="preserve">IV46.03</t>
  </si>
  <si>
    <t xml:space="preserve">'LIST &lt;vendor&gt;' shows open POs (IVPO RECV ≠ 1) for a vendor with date and total cost</t>
  </si>
  <si>
    <t xml:space="preserve">L80-84, L190-205</t>
  </si>
  <si>
    <t xml:space="preserve">IV46.04</t>
  </si>
  <si>
    <t xml:space="preserve">PO fully received (IVPO attr 13 = 1) cannot be changed; partially received (attr 11 receipts present) requires confirmation</t>
  </si>
  <si>
    <t xml:space="preserve">L140-149</t>
  </si>
  <si>
    <t xml:space="preserve">IV46.05</t>
  </si>
  <si>
    <t xml:space="preserve">PO date validated by IDATE with no past limit and up to 15 days in the future (PAST='', FUTURE=15)</t>
  </si>
  <si>
    <t xml:space="preserve">L50, L153-158</t>
  </si>
  <si>
    <t xml:space="preserve">IV46.06</t>
  </si>
  <si>
    <t xml:space="preserve">Vendor number looked up first in APMST (AP vendor), then VNMST (PRO vendor); stored in IVPO attr 1 value 1</t>
  </si>
  <si>
    <t xml:space="preserve">L180-186, L215</t>
  </si>
  <si>
    <t xml:space="preserve">IV46.07</t>
  </si>
  <si>
    <t xml:space="preserve">Default PO terms (IVPO attr 3): from APMST attr 9 (%) + attr 10, or from VNMST attr 8 + '%'</t>
  </si>
  <si>
    <t xml:space="preserve">L216-222</t>
  </si>
  <si>
    <t xml:space="preserve">IV46.08</t>
  </si>
  <si>
    <t xml:space="preserve">Hard-coded vendor 9999 = miscellaneous/one-time vendor; name and details captured in IVPO attr 17 via IV46.9999</t>
  </si>
  <si>
    <t xml:space="preserve">L126-127, L151, L207-210</t>
  </si>
  <si>
    <t xml:space="preserve">IV46.09</t>
  </si>
  <si>
    <t xml:space="preserve">Special instructions: up to 15 lines × 70 chars in IVPO attr 4; terms editable (35 chars)</t>
  </si>
  <si>
    <t xml:space="preserve">L254-286</t>
  </si>
  <si>
    <t xml:space="preserve">IV46.10</t>
  </si>
  <si>
    <t xml:space="preserve">If CUSTOM&lt;WHO&gt; attr 3 value 19 is set, the employee number (IVEMP) is captured into IVPO attr 22</t>
  </si>
  <si>
    <t xml:space="preserve">L294-302</t>
  </si>
  <si>
    <t xml:space="preserve">IV46.11</t>
  </si>
  <si>
    <t xml:space="preserve">Secondary vendor (SVND) logic entirely commented out</t>
  </si>
  <si>
    <t xml:space="preserve">L226-252</t>
  </si>
  <si>
    <t xml:space="preserve">IV46.DSCR.01</t>
  </si>
  <si>
    <t xml:space="preserve">IV46.DSCR</t>
  </si>
  <si>
    <t xml:space="preserve">Screen layout only; displays ORDER, PO.DATE, PVND/PVNAME, SVND/SVNAME from common</t>
  </si>
  <si>
    <t xml:space="preserve">L6-15</t>
  </si>
  <si>
    <t xml:space="preserve">IV46.PROD.01</t>
  </si>
  <si>
    <t xml:space="preserve">IV46.PROD</t>
  </si>
  <si>
    <t xml:space="preserve">PO, PRODUCT, PRICING, VENDOR</t>
  </si>
  <si>
    <t xml:space="preserve">Lines cannot be deleted once the PO is partially received (IVPO attr 11 non-empty)</t>
  </si>
  <si>
    <t xml:space="preserve">L91-93, L462-466, L830-832</t>
  </si>
  <si>
    <t xml:space="preserve">IV46.PROD.02</t>
  </si>
  <si>
    <t xml:space="preserve">Product entry resolves catalog numbers via IVCAT; numeric products &lt; 1000 rejected</t>
  </si>
  <si>
    <t xml:space="preserve">L689-690, L692, L742</t>
  </si>
  <si>
    <t xml:space="preserve">IV46.PROD.03</t>
  </si>
  <si>
    <t xml:space="preserve">Hard-coded product 555 = special-order placeholder: operator enters an IVSPORD number; line takes IVSPORD product attr 1, qty attr 3, cost attr 6, desc attr 2, ext sale attr 12; IVSPORD attr 4 set to the PO (must be blank or this PO) and ship-to name/address filled from ARMST (attr 3/4-6) or IVCUST</t>
  </si>
  <si>
    <t xml:space="preserve">L693-739</t>
  </si>
  <si>
    <t xml:space="preserve">IV46.PROD.04</t>
  </si>
  <si>
    <t xml:space="preserve">Product prefixed or suffixed '*' = tracked special order: new special-order number from CONTROL 'SPORD' (default 1000, skip existing) stored in IVPO attr 18</t>
  </si>
  <si>
    <t xml:space="preserve">L680-688, L779-789</t>
  </si>
  <si>
    <t xml:space="preserve">IV46.PROD.05</t>
  </si>
  <si>
    <t xml:space="preserve">Product not on IVMST may be entered as a special order (new SPORD number in IVPO attr 14)</t>
  </si>
  <si>
    <t xml:space="preserve">L791-807</t>
  </si>
  <si>
    <t xml:space="preserve">IV46.PROD.06</t>
  </si>
  <si>
    <t xml:space="preserve">Warn if product's IVMST vendor (attr 5) ≠ PO vendor unless vendor 9999; operator may confirm or Ignore all</t>
  </si>
  <si>
    <t xml:space="preserve">L766-778</t>
  </si>
  <si>
    <t xml:space="preserve">IV46.PROD.07</t>
  </si>
  <si>
    <t xml:space="preserve">Warn if product already on this PO</t>
  </si>
  <si>
    <t xml:space="preserve">L810-817</t>
  </si>
  <si>
    <t xml:space="preserve">IV46.PROD.08</t>
  </si>
  <si>
    <t xml:space="preserve">Qty 0 deletes the line (unless partially received); qty cannot be reduced below received qty; multiple-of check uses hard-coded OQ=1 (effectively off)</t>
  </si>
  <si>
    <t xml:space="preserve">L829-875</t>
  </si>
  <si>
    <t xml:space="preserve">IV46.PROD.09</t>
  </si>
  <si>
    <t xml:space="preserve">'C' at qty lets the operator change unit cost; unit cost entered as money (cents) or yen with 'Y' suffix</t>
  </si>
  <si>
    <t xml:space="preserve">L846-852, L876-884</t>
  </si>
  <si>
    <t xml:space="preserve">IV46.PROD.10</t>
  </si>
  <si>
    <t xml:space="preserve">Default unit cost = IVMST attr 19 RAW cost</t>
  </si>
  <si>
    <t xml:space="preserve">L900-903</t>
  </si>
  <si>
    <t xml:space="preserve">IV46.PROD.11</t>
  </si>
  <si>
    <t xml:space="preserve">When unit cost differs from IVMST raw cost, operator may push the new cost to IVMST attr 19; restored to original if operator exits without update</t>
  </si>
  <si>
    <t xml:space="preserve">L187-210, L253-260</t>
  </si>
  <si>
    <t xml:space="preserve">IV46.PROD.12</t>
  </si>
  <si>
    <t xml:space="preserve">PO value = Σ qty × unit cost; any yen line marks total 'Y'</t>
  </si>
  <si>
    <t xml:space="preserve">L366-379</t>
  </si>
  <si>
    <t xml:space="preserve">IV46.PROD.13</t>
  </si>
  <si>
    <t xml:space="preserve">Update rebuild: for each line with open qty (ordered − Σ received subvalues) or changed qty/cost, IVMST attr 20 PO no., attr 22 cost; if PO partially received remaining qty goes to attr 23 (backorder) with attr 21 blank, else attr 21 = qty; entry removed when both 0; deleted lines removed from IVMST</t>
  </si>
  <si>
    <t xml:space="preserve">L277-364</t>
  </si>
  <si>
    <t xml:space="preserve">IV46.PROD.14</t>
  </si>
  <si>
    <t xml:space="preserve">Update with no product lines deletes the IVPO record</t>
  </si>
  <si>
    <t xml:space="preserve">L114-124</t>
  </si>
  <si>
    <t xml:space="preserve">IV52.01</t>
  </si>
  <si>
    <t xml:space="preserve">IV52</t>
  </si>
  <si>
    <t xml:space="preserve">Single receiver lock via CONTROL 'IV' attr 5 (override by typing OVERRIDE); multi-receiving (CUSTOM flag 24) uses per-user control record; attr 4 &gt; 1 forces labels/receiving report to be printed first</t>
  </si>
  <si>
    <t xml:space="preserve">L63-97</t>
  </si>
  <si>
    <t xml:space="preserve">IV52.02</t>
  </si>
  <si>
    <t xml:space="preserve">Receipt cost = lower of PO cost and IVMST attr 8 (or attr 7) unless CUSTOM flag 14 (always use PO cost) or product 555</t>
  </si>
  <si>
    <t xml:space="preserve">L274-277</t>
  </si>
  <si>
    <t xml:space="preserve">IV52.03</t>
  </si>
  <si>
    <t xml:space="preserve">Receiving options: entire PO, exclude backorder products, receive specific with/without prompting; qty &gt; ordered or &gt; 100 needs confirmation; max 9999</t>
  </si>
  <si>
    <t xml:space="preserve">L170-370</t>
  </si>
  <si>
    <t xml:space="preserve">IV52.04</t>
  </si>
  <si>
    <t xml:space="preserve">Cost change on receipt warns if above sale price (special-order average unit sale or IVMST attr 6)</t>
  </si>
  <si>
    <t xml:space="preserve">L329-359</t>
  </si>
  <si>
    <t xml:space="preserve">IV52.05</t>
  </si>
  <si>
    <t xml:space="preserve">Serialized item numbers from CONTROL 'IV' attr 2 stepping by 7, skipping IDs used in IVMST/IVCAT/IVINV/IVSOLD, wrapping at 999999</t>
  </si>
  <si>
    <t xml:space="preserve">L627-651</t>
  </si>
  <si>
    <t xml:space="preserve">IV52.06</t>
  </si>
  <si>
    <t xml:space="preserve">Special-order receipts distributed to customers; explode into individual items optional (forced by product type), &gt; 25 requires typing EXP</t>
  </si>
  <si>
    <t xml:space="preserve">L418-541</t>
  </si>
  <si>
    <t xml:space="preserve">IV52.07</t>
  </si>
  <si>
    <t xml:space="preserve">Hard-coded product 555 = special-order bucket; products 500-599 carry their own description/cost on the item</t>
  </si>
  <si>
    <t xml:space="preserve">L140, L586-590, L720-771</t>
  </si>
  <si>
    <t xml:space="preserve">IV52.08</t>
  </si>
  <si>
    <t xml:space="preserve">RECLOG keyed date*time*user*seq (seq from CONTROL 'RECLOG', default 1000) with product, qty, ext cost, items, store, PO</t>
  </si>
  <si>
    <t xml:space="preserve">L773-786</t>
  </si>
  <si>
    <t xml:space="preserve">IV54.01</t>
  </si>
  <si>
    <t xml:space="preserve">IV54</t>
  </si>
  <si>
    <t xml:space="preserve">PO that is fully received (IVPO attr 13) or partially received (attr 9 present) cannot be cancelled</t>
  </si>
  <si>
    <t xml:space="preserve">L59-66, L79-82</t>
  </si>
  <si>
    <t xml:space="preserve">IV54.02</t>
  </si>
  <si>
    <t xml:space="preserve">Gross value shown = Σ qty (attr 7) × cost (attr 8), cents</t>
  </si>
  <si>
    <t xml:space="preserve">L74-78</t>
  </si>
  <si>
    <t xml:space="preserve">IV54.03</t>
  </si>
  <si>
    <t xml:space="preserve">On cancel, special orders listed in IVPO attr 14 are deleted from IVSPORD and the IVPO record deleted</t>
  </si>
  <si>
    <t xml:space="preserve">L107-111</t>
  </si>
  <si>
    <t xml:space="preserve">IV54.04</t>
  </si>
  <si>
    <t xml:space="preserve">Products missing from IVMST are redirected to hard-coded product record 555</t>
  </si>
  <si>
    <t xml:space="preserve">L93-98</t>
  </si>
  <si>
    <t xml:space="preserve">IV56.01</t>
  </si>
  <si>
    <t xml:space="preserve">IV56</t>
  </si>
  <si>
    <t xml:space="preserve">Option 1 lists all lines with open backorder (ordered − Σ received) and cancels all after confirmation; option 2 cancels chosen products (product or catalog no. via IVMST/IVCAT)</t>
  </si>
  <si>
    <t xml:space="preserve">L59-98, L167-198</t>
  </si>
  <si>
    <t xml:space="preserve">IV56.02</t>
  </si>
  <si>
    <t xml:space="preserve">Cancelling a line sets IVPO received qty attr 9 = ordered qty attr 7 (cancellation recorded as received, no POADJ log)</t>
  </si>
  <si>
    <t xml:space="preserve">L115</t>
  </si>
  <si>
    <t xml:space="preserve">IV56.03</t>
  </si>
  <si>
    <t xml:space="preserve">IVMST open PO qty recomputed per product across PO lines: remaining &gt; 0 → attr 21 (if PO never received, attr 11 empty) or attr 23 (backorder); 0 → PO removed from attrs 20-23</t>
  </si>
  <si>
    <t xml:space="preserve">L118-139</t>
  </si>
  <si>
    <t xml:space="preserve">IV56.04</t>
  </si>
  <si>
    <t xml:space="preserve">PO complete flag attr 13 = 1 when every line ordered ≤ received, else 0</t>
  </si>
  <si>
    <t xml:space="preserve">L145-154</t>
  </si>
  <si>
    <t xml:space="preserve">IV56.05</t>
  </si>
  <si>
    <t xml:space="preserve">Lines with a special-order description (IVPO attr 15) are applied to hard-coded product record 555</t>
  </si>
  <si>
    <t xml:space="preserve">L101, L183</t>
  </si>
  <si>
    <t xml:space="preserve">IV6.01</t>
  </si>
  <si>
    <t xml:space="preserve">IV6</t>
  </si>
  <si>
    <t xml:space="preserve">PO number must be 5 digits or 5 digits + letter (no leading-letter form)</t>
  </si>
  <si>
    <t xml:space="preserve">L118-120</t>
  </si>
  <si>
    <t xml:space="preserve">IV6.02</t>
  </si>
  <si>
    <t xml:space="preserve">Receipt into a zero/negative first stock layer simply adds qty and TCST to that layer (no last-cost netting, no COGS correction, no LAST.COST update)</t>
  </si>
  <si>
    <t xml:space="preserve">L274-283</t>
  </si>
  <si>
    <t xml:space="preserve">IV6.PO.01</t>
  </si>
  <si>
    <t xml:space="preserve">IV6.PO</t>
  </si>
  <si>
    <t xml:space="preserve">Manual PO line: IVMST attr 20 PO no., 21 qty, 22 cost = RAW attr 19 (no longer entered/confirmed), attr 23 = PO date; a product cannot be added twice to the same PO</t>
  </si>
  <si>
    <t xml:space="preserve">L75-95</t>
  </si>
  <si>
    <t xml:space="preserve">IV6.PO.02</t>
  </si>
  <si>
    <t xml:space="preserve">Manual receipt cannot exceed the ordered qty</t>
  </si>
  <si>
    <t xml:space="preserve">L104-106</t>
  </si>
  <si>
    <t xml:space="preserve">IV6.PO.03</t>
  </si>
  <si>
    <t xml:space="preserve">Auto PO creation accumulates IVPO attr 12 as running extended cost (Q × raw cost), 'Y' suffix if yen</t>
  </si>
  <si>
    <t xml:space="preserve">L173-176</t>
  </si>
  <si>
    <t xml:space="preserve">IV7.01</t>
  </si>
  <si>
    <t xml:space="preserve">IV7</t>
  </si>
  <si>
    <t xml:space="preserve">PRODUCT, PRICING, PO</t>
  </si>
  <si>
    <t xml:space="preserve">Operator must enter non-numeric initials</t>
  </si>
  <si>
    <t xml:space="preserve">L21-24</t>
  </si>
  <si>
    <t xml:space="preserve">IV7.02</t>
  </si>
  <si>
    <t xml:space="preserve">Locked product waits up to 120 seconds then asks for another product</t>
  </si>
  <si>
    <t xml:space="preserve">L28-39</t>
  </si>
  <si>
    <t xml:space="preserve">IV7.03</t>
  </si>
  <si>
    <t xml:space="preserve">Option 1 (adjust vendor-order qty/raw cost on IVMST attr 20-23) disabled since 7-7-03 ("NOT NOW")</t>
  </si>
  <si>
    <t xml:space="preserve">L5, L48-49, L90-113, L177-190</t>
  </si>
  <si>
    <t xml:space="preserve">IV7.04</t>
  </si>
  <si>
    <t xml:space="preserve">Option 2: change quantity of an individual stock layer (attr 24); layer value attr 25 re-prorated = INT(old value / old qty × new qty + .5)</t>
  </si>
  <si>
    <t xml:space="preserve">L114-134, L171-176</t>
  </si>
  <si>
    <t xml:space="preserve">IV7.05</t>
  </si>
  <si>
    <t xml:space="preserve">Option 3: set total stock value (cents, no decimals): all layers collapse to one layer (qty = total, value = entered, date = today)</t>
  </si>
  <si>
    <t xml:space="preserve">L135-146</t>
  </si>
  <si>
    <t xml:space="preserve">IV7.06</t>
  </si>
  <si>
    <t xml:space="preserve">Reason required, 5-25 chars, upper-cased, defaults to last reason</t>
  </si>
  <si>
    <t xml:space="preserve">L209-221</t>
  </si>
  <si>
    <t xml:space="preserve">IV7.07</t>
  </si>
  <si>
    <t xml:space="preserve">On save, suspended-product status recalculated (3 when PO+BO+stock+REQ = 0; 2 when PO+BO+stock = 0 and REQ ≠ 0); zero-qty PO entries and zero-qty stock layers removed</t>
  </si>
  <si>
    <t xml:space="preserve">L53-74</t>
  </si>
  <si>
    <t xml:space="preserve">IV7.08</t>
  </si>
  <si>
    <t xml:space="preserve">IVADJ record keyed DATE():TIME(): emp, product, qty change, value change, reason + description</t>
  </si>
  <si>
    <t xml:space="preserve">L191-208</t>
  </si>
  <si>
    <t xml:space="preserve">IVPO.ON.ORD.01</t>
  </si>
  <si>
    <t xml:space="preserve">IVPO.ON.ORD</t>
  </si>
  <si>
    <t xml:space="preserve">For each value I: on-order = QO&lt;1,I&gt; − SUM(QR&lt;1,I&gt;) (ordered minus all received sub-values)</t>
  </si>
  <si>
    <t xml:space="preserve">L2-5</t>
  </si>
  <si>
    <t xml:space="preserve">I_BLD.MEQHIST.01</t>
  </si>
  <si>
    <t xml:space="preserve">I_BLD.MEQHIST</t>
  </si>
  <si>
    <t xml:space="preserve">MEQHIST entries whose key date (first '*' field, internal date) is older than TODAY-30 are deleted (30-day retention)</t>
  </si>
  <si>
    <t xml:space="preserve">L5-16</t>
  </si>
  <si>
    <t xml:space="preserve">I_BLD.MEQHIST.02</t>
  </si>
  <si>
    <t xml:space="preserve">Header record MEQDATA 'RECS' (default '0,0') holds the record count in its 2nd comma field; it is copied to MEQHIST key TODAY*TIME*RECS, then each MEQDATA record 1..RECS is copied to MEQHIST key TODAY*TIME*n</t>
  </si>
  <si>
    <t xml:space="preserve">I_IV46_COMMON.01</t>
  </si>
  <si>
    <t xml:space="preserve">I_IV46_COMMON</t>
  </si>
  <si>
    <t xml:space="preserve">PO header context carried in COMMON: PO number, PO date, primary vendor number+name and second vendor number+name (SVND purpose not stated here)</t>
  </si>
  <si>
    <t xml:space="preserve">L2</t>
  </si>
  <si>
    <t xml:space="preserve">I_IV46_COMMON.02</t>
  </si>
  <si>
    <t xml:space="preserve">Fixed file-handle slot map (FILES(1..23): PROMPTS, SCREENS, APMST, ARMST, CONTROL, CUSTIDX, IVCAT, IVCUST, IVEMP, IVINV, IVSOLD, IVMST, THROWAYS, ZIPPREF, TERMINALS, APIDX, TREES, IVORD, IVPO, IVNEW, IVSPORD)</t>
  </si>
  <si>
    <t xml:space="preserve">L7-29</t>
  </si>
  <si>
    <t xml:space="preserve">I_MEQ.ERROR.01</t>
  </si>
  <si>
    <t xml:space="preserve">I_MEQ.ERROR</t>
  </si>
  <si>
    <t xml:space="preserve">Error report lists Emp, Store, Seq, Product, Qty, message and the prior record's product + description (IVINV attr 6 description, else IVMST attr 3 — attr 3 per D_IVMST is REQ, so "attr 3 (purpose unclear)" used as description)</t>
  </si>
  <si>
    <t xml:space="preserve">L13-38</t>
  </si>
  <si>
    <t xml:space="preserve">I_MEQ.ERROR.02</t>
  </si>
  <si>
    <t xml:space="preserve">Catalog-number resolution fallback: look up IVCAT with full product; if length &lt; 10 use as is; else try substrings [2,10], [2,12], [1,10], [1,11]; else use raw value</t>
  </si>
  <si>
    <t xml:space="preserve">L69-82</t>
  </si>
  <si>
    <t xml:space="preserve">I_MEQ.ERROR.03</t>
  </si>
  <si>
    <t xml:space="preserve">ERROR file entries are purged when the date in the 4th '.'-field of the key + 185 days &lt; today (comment at L5 says 120 days)</t>
  </si>
  <si>
    <t xml:space="preserve">L83-94</t>
  </si>
  <si>
    <t xml:space="preserve">LOOKUP.01</t>
  </si>
  <si>
    <t xml:space="preserve">LOOKUP</t>
  </si>
  <si>
    <t xml:space="preserve">PARTS record: attr 1 = location, attr 2 = description (lens parts)</t>
  </si>
  <si>
    <t xml:space="preserve">PO.DISC.01</t>
  </si>
  <si>
    <t xml:space="preserve">PO.DISC</t>
  </si>
  <si>
    <t xml:space="preserve">IVPO line is open when qty ordered (IVPO attr 7) &gt; total received (sum of IVPO attr 9 subvalues via SUMM)</t>
  </si>
  <si>
    <t xml:space="preserve">PO.DISC.02</t>
  </si>
  <si>
    <t xml:space="preserve">Open IVPO line whose PO # is not in IVMST attr 20 is appended to IVMST: PO # -&gt; attr 20, PO cost (IVPO attr 8, cents) -&gt; attr 22 (PO.CST, added 01-09-12)</t>
  </si>
  <si>
    <t xml:space="preserve">L37-39,98-102</t>
  </si>
  <si>
    <t xml:space="preserve">PO.DISC.03</t>
  </si>
  <si>
    <t xml:space="preserve">If nothing received yet (IVPO attr 9 blank): IVMST attr 21 = qty ordered, attr 23 = blank; if partially received: attr 21 = blank and attr 23 (backorder) = ordered - received</t>
  </si>
  <si>
    <t xml:space="preserve">L100-110</t>
  </si>
  <si>
    <t xml:space="preserve">PO.DISC.04</t>
  </si>
  <si>
    <t xml:space="preserve">Product on IVPO not in IVMST but whose IVPO attr 14 special-order id exists in IVSPORD is booked against hard-coded catch-all product 555</t>
  </si>
  <si>
    <t xml:space="preserve">L42-48</t>
  </si>
  <si>
    <t xml:space="preserve">PO.DISC.05</t>
  </si>
  <si>
    <t xml:space="preserve">IVPO product found in neither IVMST nor IVSPORD is only reported ("NOT FOUND ON IVMST OR IVSPORD"), no fix</t>
  </si>
  <si>
    <t xml:space="preserve">L51</t>
  </si>
  <si>
    <t xml:space="preserve">PO.DISC.06</t>
  </si>
  <si>
    <t xml:space="preserve">Pass 2: for every IVMST PO entry, delete it (attrs 20-23 at that position) if PO not on IVPO, if product not on that PO and no IVSPORD record, or if received &gt;= ordered</t>
  </si>
  <si>
    <t xml:space="preserve">L74-90,115-121</t>
  </si>
  <si>
    <t xml:space="preserve">PO.DISC.07</t>
  </si>
  <si>
    <t xml:space="preserve">Waits indefinitely (5s sleep loop) on locked IVMST records rather than skipping</t>
  </si>
  <si>
    <t xml:space="preserve">L30-35,65-70</t>
  </si>
  <si>
    <t xml:space="preserve">UPD.IVMST.QREC.01</t>
  </si>
  <si>
    <t xml:space="preserve">UPD.IVMST.QREC</t>
  </si>
  <si>
    <t xml:space="preserve">Hard-coded physical inventory dates 01/03/08, 01/03/07, 01/04/06, 01/04/05</t>
  </si>
  <si>
    <t xml:space="preserve">L7-10</t>
  </si>
  <si>
    <t xml:space="preserve">UPD.IVMST.QREC.02</t>
  </si>
  <si>
    <t xml:space="preserve">When a receipt layer has DATE.REC (attr 26) equal to a PI date and is not the first layer, its QTY.REC (attr 24) and AMT.REC (attr 25) are added to the previous layer and the layer is deleted. Inventory cost layers therefore treat PI adjustments as part of the earlier receipt.</t>
  </si>
  <si>
    <t xml:space="preserve">L29-39</t>
  </si>
  <si>
    <t xml:space="preserve">WH.DATA.01</t>
  </si>
  <si>
    <t xml:space="preserve">WH.DATA</t>
  </si>
  <si>
    <t xml:space="preserve">Product lookup accepts a product number, UPC or catalog number, resolved through IVCAT (attr 1 = product). The product must already exist in IVMST, because this screen never creates products.</t>
  </si>
  <si>
    <t xml:space="preserve">L55-91</t>
  </si>
  <si>
    <t xml:space="preserve">WH.DATA.02</t>
  </si>
  <si>
    <t xml:space="preserve">A 4-digit product number found in IVMST.DISC is reported as "discontinued and cannot be reused", so PRO product numbers are never recycled</t>
  </si>
  <si>
    <t xml:space="preserve">L75-84</t>
  </si>
  <si>
    <t xml:space="preserve">WH.DATA.03</t>
  </si>
  <si>
    <t xml:space="preserve">Editable fields: CASE.QTY (IVMST attr 27) and CARTON.QTY (attr 33), free entry. The help text says "whole number" but this is not validated.</t>
  </si>
  <si>
    <t xml:space="preserve">L179-197</t>
  </si>
  <si>
    <t xml:space="preserve">WH.DATA.04</t>
  </si>
  <si>
    <t xml:space="preserve">WEIGHT (attr 49) in lbs, normalised to 2 decimals (accepts N, N.N, N.NN)</t>
  </si>
  <si>
    <t xml:space="preserve">L199-222</t>
  </si>
  <si>
    <t xml:space="preserve">WH.DATA.05</t>
  </si>
  <si>
    <t xml:space="preserve">DIMENSIONS (attr 50) as L x W x H. The delimiter may be ':', '/', space, 'X' or 'x', each part an integer or 1-decimal number, stored as "LxWxH" (the dict header says Ln:Wth:Ht)</t>
  </si>
  <si>
    <t xml:space="preserve">L224-258</t>
  </si>
  <si>
    <t xml:space="preserve">WH.DATA.06</t>
  </si>
  <si>
    <t xml:space="preserve">Primary (attr 47) and secondary (attr 48) bin locations must match letter-dash-digits (Aisle-Section, e.g. A-12). Invalid input silently reverts to the old value.</t>
  </si>
  <si>
    <t xml:space="preserve">L260-280</t>
  </si>
  <si>
    <t xml:space="preserve">WH.DATA.07</t>
  </si>
  <si>
    <t xml:space="preserve">Audit: on Update, every changed field is logged to IVMST.LOG `&lt;date&gt;*&lt;time&gt;` with user (from @LOGNAME), product, field name, attr, old value and new value</t>
  </si>
  <si>
    <t xml:space="preserve">L282-307</t>
  </si>
  <si>
    <t xml:space="preserve">WH.DATA.08</t>
  </si>
  <si>
    <t xml:space="preserve">Lock handling: a locked IVMST record is reported with the locking user and is not edited (correct locked/not-found separation)</t>
  </si>
  <si>
    <t xml:space="preserve">L69-88</t>
  </si>
  <si>
    <t xml:space="preserve">X.01</t>
  </si>
  <si>
    <t xml:space="preserve">X</t>
  </si>
  <si>
    <t xml:space="preserve">Hard-coded product 6507, negative QOH -1, average cost 1492 passed to IV.UPD.COGS. Running it would post a real COGS adjustment.</t>
  </si>
  <si>
    <t xml:space="preserve">L1-2</t>
  </si>
  <si>
    <t xml:space="preserve">AUTO.ORDER.01</t>
  </si>
  <si>
    <t xml:space="preserve">AUTO.ORDER</t>
  </si>
  <si>
    <t xml:space="preserve">Staging-processor</t>
  </si>
  <si>
    <t xml:space="preserve">VENDOR, PRODUCT, PO, PRICING</t>
  </si>
  <si>
    <t xml:space="preserve">TEAMPRO staging: key = member #; record = attr 1 PO, 2 special instructions, 3 discount, 4 future date (D4/), then repeating product/qty pairs; record "ID" (header row) skipped; record deleted after order created</t>
  </si>
  <si>
    <t xml:space="preserve">L42-75, L162</t>
  </si>
  <si>
    <t xml:space="preserve">AUTO.ORDER.02</t>
  </si>
  <si>
    <t xml:space="preserve">Unit cost = ROUND(base × multiplier) where multiplier = "1.0" concatenated with IVMST attr 12 PCT (e.g. PCT 5 → 1.05; PCT 15 → 1.015); base = IVMST attr 9 NET.2 when attr 7 QUAN (break qty) &gt; 0, ordered qty ≥ QUAN and NET.2 &gt; 0, otherwise attr 8 NET.1/COST (cents)</t>
  </si>
  <si>
    <t xml:space="preserve">L79-82</t>
  </si>
  <si>
    <t xml:space="preserve">AUTO.ORDER.03</t>
  </si>
  <si>
    <t xml:space="preserve">Order total (cents) added to ARMST attr 17 ORDERS (open orders, used in credit exposure)</t>
  </si>
  <si>
    <t xml:space="preserve">L83, L91, L144</t>
  </si>
  <si>
    <t xml:space="preserve">AUTO.ORDER.04</t>
  </si>
  <si>
    <t xml:space="preserve">Order number = CONTROL 'ORD' attr 1 (then +1); if missing, operator enters last known number and the program scans IVORD for the next free one</t>
  </si>
  <si>
    <t xml:space="preserve">L99-108</t>
  </si>
  <si>
    <t xml:space="preserve">AUTO.ORDER.05</t>
  </si>
  <si>
    <t xml:space="preserve">Order header: ORDER 1 member, 2 products, 3 qtys, 4 unit costs (original entry order kept, 05-22-06), 6 date = today, 7 PO, 8 ship date blank, 9 special instructions, 10 total cost, 11 DISC, 12 FUTURE date; written to both IVORD and ORDHIST</t>
  </si>
  <si>
    <t xml:space="preserve">L64-71, L86-89, L145-161</t>
  </si>
  <si>
    <t xml:space="preserve">AUTO.ORDER.06</t>
  </si>
  <si>
    <t xml:space="preserve">One VNORD record per vendor per order, key = IVMST attr 5 VENDOR : order #; holds member, products, qtys, date, PO, ship date, instructions</t>
  </si>
  <si>
    <t xml:space="preserve">L110-142</t>
  </si>
  <si>
    <t xml:space="preserve">AUTO.ORDER.07</t>
  </si>
  <si>
    <t xml:space="preserve">Freight prepaid flag (VNORD attr 8 value 1) when order total &gt; 59999 cents ($600)</t>
  </si>
  <si>
    <t xml:space="preserve">L128</t>
  </si>
  <si>
    <t xml:space="preserve">AUTO.ORDER.08</t>
  </si>
  <si>
    <t xml:space="preserve">Hard-coded members 1000, 1819, 1846 ("Larmon &amp; Cutler &amp; Camera Shop Inc"): freight always prepaid; 1000 and 1819 also start the order total at 60000 cents</t>
  </si>
  <si>
    <t xml:space="preserve">L63, L126-127</t>
  </si>
  <si>
    <t xml:space="preserve">AUTO.ORDER.09</t>
  </si>
  <si>
    <t xml:space="preserve">Hard-coded product group 10: quantities of IVMST attr 6 GRP = 10 products accumulated in VNORD attr 8 value 2 (purpose unclear)</t>
  </si>
  <si>
    <t xml:space="preserve">L141</t>
  </si>
  <si>
    <t xml:space="preserve">AUTO.ORDER.10</t>
  </si>
  <si>
    <t xml:space="preserve">IVMST attr 3 REQ (quantity requested/on order) += qty; IVMST attr 17 MORD (monthly ordered qty, multivalued by AR month CONTROL 'UPD' attr 2) += qty</t>
  </si>
  <si>
    <t xml:space="preserve">L136-139</t>
  </si>
  <si>
    <t xml:space="preserve">AUTO.ORDER.11</t>
  </si>
  <si>
    <t xml:space="preserve">Order discount (attr 11) is stored but not applied to cost</t>
  </si>
  <si>
    <t xml:space="preserve">L69, L79-82</t>
  </si>
  <si>
    <t xml:space="preserve">BLD.SCANORD.UPS.01</t>
  </si>
  <si>
    <t xml:space="preserve">BLD.SCANORD.UPS</t>
  </si>
  <si>
    <t xml:space="preserve">Every run first clears tracking #, packages, published cost and negotiated cost on ALL SCANORD records, then rebuilds (10-14-11)</t>
  </si>
  <si>
    <t xml:space="preserve">L5, L20-32</t>
  </si>
  <si>
    <t xml:space="preserve">BLD.SCANORD.UPS.02</t>
  </si>
  <si>
    <t xml:space="preserve">UPS export staging: records whose key starts "EXP" hold CSV lines (line 1 header); columns 1 SCANORD id, 2 tracking #, 3 published cost, 4 negotiated cost (dollars → cents via MD2), 5 package count, 6 void flag</t>
  </si>
  <si>
    <t xml:space="preserve">L36-43, L63-70, L86-88</t>
  </si>
  <si>
    <t xml:space="preserve">BLD.SCANORD.UPS.03</t>
  </si>
  <si>
    <t xml:space="preserve">Voided shipments (col 6 = "Y") are ignored</t>
  </si>
  <si>
    <t xml:space="preserve">L7, L67-68</t>
  </si>
  <si>
    <t xml:space="preserve">BLD.SCANORD.UPS.04</t>
  </si>
  <si>
    <t xml:space="preserve">Each new tracking # appended to SCANORD attr 15 with matching packages (16), published cost (17), negotiated cost (18); duplicates skipped</t>
  </si>
  <si>
    <t xml:space="preserve">L92-98</t>
  </si>
  <si>
    <t xml:space="preserve">BLD.SCANORD.UPS.05</t>
  </si>
  <si>
    <t xml:space="preserve">For multi-package shipments, package counts and costs are summed into single totals while all tracking numbers are kept</t>
  </si>
  <si>
    <t xml:space="preserve">L46-57, L103-129</t>
  </si>
  <si>
    <t xml:space="preserve">CHANGE.INST.01</t>
  </si>
  <si>
    <t xml:space="preserve">CHANGE.INST</t>
  </si>
  <si>
    <t xml:space="preserve">Order must exist in ORDHIST and its member in ARMST</t>
  </si>
  <si>
    <t xml:space="preserve">CHANGE.INST.02</t>
  </si>
  <si>
    <t xml:space="preserve">"Dated" orders — special instructions (attr 9) starting with "1" or "2" — cannot be changed</t>
  </si>
  <si>
    <t xml:space="preserve">L30</t>
  </si>
  <si>
    <t xml:space="preserve">CHANGE.INST.03</t>
  </si>
  <si>
    <t xml:space="preserve">No change allowed once any VNORD record for the order has a STATUS (attr 12) value (order started)</t>
  </si>
  <si>
    <t xml:space="preserve">L63-73</t>
  </si>
  <si>
    <t xml:space="preserve">CHANGE.INST.04</t>
  </si>
  <si>
    <t xml:space="preserve">Instructions = two lines of max 24 chars joined by a space; line 1 cannot start with 1 or 2; shortcut "D1" → "1st Dated Order", "D2" → "2nd Dated Order" (which then makes the order a dated order)</t>
  </si>
  <si>
    <t xml:space="preserve">L37-58</t>
  </si>
  <si>
    <t xml:space="preserve">CHANGE.INST.05</t>
  </si>
  <si>
    <t xml:space="preserve">New instructions written to every VNORD for the order (attr 7 INST), ORDHIST attr 9 and IVORD attr 9</t>
  </si>
  <si>
    <t xml:space="preserve">L75-90</t>
  </si>
  <si>
    <t xml:space="preserve">CHANGE.VNORD.01</t>
  </si>
  <si>
    <t xml:space="preserve">CHANGE.VNORD</t>
  </si>
  <si>
    <t xml:space="preserve">Old vendor must exist in VNMST; product in IVMST; new vendor = IVMST attr 5 VENDOR</t>
  </si>
  <si>
    <t xml:space="preserve">L12-15, L39</t>
  </si>
  <si>
    <t xml:space="preserve">CHANGE.VNORD.02</t>
  </si>
  <si>
    <t xml:space="preserve">Product line (VNORD attr 2 product, attr 3 qty) removed from old vendor order; old VNORD deleted if no lines remain</t>
  </si>
  <si>
    <t xml:space="preserve">L22-35</t>
  </si>
  <si>
    <t xml:space="preserve">CHANGE.VNORD.03</t>
  </si>
  <si>
    <t xml:space="preserve">New VNORD key = new vendor : chars 4-10 of old key (assumes 3-digit vendor prefix); line appended to existing new-vendor order or a new one created copying header attrs 1, 4-11</t>
  </si>
  <si>
    <t xml:space="preserve">L39-44</t>
  </si>
  <si>
    <t xml:space="preserve">CHANGE.VNORD.04</t>
  </si>
  <si>
    <t xml:space="preserve">Hard-coded product group 10 (IVMST attr 6): VNORD attr 8 value 2 qty moved with the line</t>
  </si>
  <si>
    <t xml:space="preserve">L33, L42-43</t>
  </si>
  <si>
    <t xml:space="preserve">CHANGE.VNORD.05</t>
  </si>
  <si>
    <t xml:space="preserve">NUMBER records whose VN is one of the changed vendor orders get attr 4 = new vendor (NUMBER purpose not documented here)</t>
  </si>
  <si>
    <t xml:space="preserve">L48-59</t>
  </si>
  <si>
    <t xml:space="preserve">CHG.DATING.01</t>
  </si>
  <si>
    <t xml:space="preserve">CHG.DATING</t>
  </si>
  <si>
    <t xml:space="preserve">Dated status is stored as text in special instructions: "1st Dated Order", "2nd Dated Order" or blank (other instructions are overwritten)</t>
  </si>
  <si>
    <t xml:space="preserve">L18-24</t>
  </si>
  <si>
    <t xml:space="preserve">CHG.DATING.02</t>
  </si>
  <si>
    <t xml:space="preserve">Same value written to IVORD attr 9, ORDHIST attr 9 and every VNORD attr 7 for the order, with no started-order check (unlike CHANGE.INST)</t>
  </si>
  <si>
    <t xml:space="preserve">L23-28</t>
  </si>
  <si>
    <t xml:space="preserve">CONVERT.DATED.01</t>
  </si>
  <si>
    <t xml:space="preserve">CONVERT.DATED</t>
  </si>
  <si>
    <t xml:space="preserve">Refused if any VNORD for the order has STATUS (attr 12) set</t>
  </si>
  <si>
    <t xml:space="preserve">L22-27</t>
  </si>
  <si>
    <t xml:space="preserve">CONVERT.DATED.02</t>
  </si>
  <si>
    <t xml:space="preserve">Sets instructions to "1st Dated Order" / "2nd Dated Order" on all vendor orders, ORDHIST and IVORD (overwriting existing instructions)</t>
  </si>
  <si>
    <t xml:space="preserve">L17-38</t>
  </si>
  <si>
    <t xml:space="preserve">CONVERT.TERMS.01</t>
  </si>
  <si>
    <t xml:space="preserve">CONVERT.TERMS</t>
  </si>
  <si>
    <t xml:space="preserve">Not allowed if ORDHIST attr 15 DELETED is set (deleted/cancelled order)</t>
  </si>
  <si>
    <t xml:space="preserve">CONVERT.TERMS.02</t>
  </si>
  <si>
    <t xml:space="preserve">Not allowed if any line has a billed date (ORDHIST attr 14 DT.BILLED)</t>
  </si>
  <si>
    <t xml:space="preserve">L30-36</t>
  </si>
  <si>
    <t xml:space="preserve">CONVERT.TERMS.03</t>
  </si>
  <si>
    <t xml:space="preserve">New terms must be numeric 2-10 and are written to ORDHIST and IVORD attr 11 (dict name DISC — terms/discount meaning, e.g. % or days, not stated)</t>
  </si>
  <si>
    <t xml:space="preserve">L50-58</t>
  </si>
  <si>
    <t xml:space="preserve">CS.UPD.UPS.01</t>
  </si>
  <si>
    <t xml:space="preserve">CS.UPD.UPS</t>
  </si>
  <si>
    <t xml:space="preserve">Only transactions whose first type is S, R, OS or OR and that contain at least one sale line (S) are sent</t>
  </si>
  <si>
    <t xml:space="preserve">L31-35</t>
  </si>
  <si>
    <t xml:space="preserve">CS.UPD.UPS.02</t>
  </si>
  <si>
    <t xml:space="preserve">Shipping is identified by sale lines whose product is in CONTROL 'UPS.SHIP.PRODS'; UPS service code = that line's misc-desc subvalue 2; service 9 or none → no UPS record</t>
  </si>
  <si>
    <t xml:space="preserve">L64-76</t>
  </si>
  <si>
    <t xml:space="preserve">CS.UPD.UPS.03</t>
  </si>
  <si>
    <t xml:space="preserve">Declared insurance value = INT(merchandise COST / 10000) × 100 (cost in cents → whole hundreds of dollars); if below CONTROL 'UPS.VALUES' value 1 INS.MIN (comment: 400) it is set to 100</t>
  </si>
  <si>
    <t xml:space="preserve">L8, L23, L77-78</t>
  </si>
  <si>
    <t xml:space="preserve">CS.UPD.UPS.04</t>
  </si>
  <si>
    <t xml:space="preserve">Delivery confirmation when merchandise sale dollars &gt; UPS.VALUES value 3; adult signature when &gt; value 2</t>
  </si>
  <si>
    <t xml:space="preserve">L23, L82-84</t>
  </si>
  <si>
    <t xml:space="preserve">CS.UPD.UPS.05</t>
  </si>
  <si>
    <t xml:space="preserve">Customer PO is encrypted with seed CONTROL 'ENCRYPT.CODES' attr 1 (default literal "TOTALLYENCRYPTED") before export (08-06-08)</t>
  </si>
  <si>
    <t xml:space="preserve">L5, L22, L59-63</t>
  </si>
  <si>
    <t xml:space="preserve">CS.UPD.UPS.06</t>
  </si>
  <si>
    <t xml:space="preserve">Ship-to taken from customer fields; "Last, First" names reversed; email notification flagged when IVCUST has an email</t>
  </si>
  <si>
    <t xml:space="preserve">L38-57, L80-81</t>
  </si>
  <si>
    <t xml:space="preserve">CS.UPD.UPS.07</t>
  </si>
  <si>
    <t xml:space="preserve">CSV layout (invoice, acct, names, address, zip, city, state, phone, fax, service, package, insured value, PO, refs, notify, email, conf, signature, Saturday) appended to DOWNLOADS 'UPS.CSV' with header CONTROL 'UPS.HDRS' attr 2</t>
  </si>
  <si>
    <t xml:space="preserve">L85-91</t>
  </si>
  <si>
    <t xml:space="preserve">DEL.NUMBER.01</t>
  </si>
  <si>
    <t xml:space="preserve">DEL.NUMBER</t>
  </si>
  <si>
    <t xml:space="preserve">NUMBER attr 2 ORDER = IVORD order id, attr 4 VENDOR; VNORD key = VENDOR:ORDER</t>
  </si>
  <si>
    <t xml:space="preserve">DEL.NUMBER.02</t>
  </si>
  <si>
    <t xml:space="preserve">Default answer (blank) to confirm prompt = Yes, deletes the shipping number</t>
  </si>
  <si>
    <t xml:space="preserve">DEL.NUMBER.03</t>
  </si>
  <si>
    <t xml:space="preserve">After deleting the shipping number, VNORD attr 12 STATUS reset to 0 (meaning of status codes unclear)</t>
  </si>
  <si>
    <t xml:space="preserve">L19-20</t>
  </si>
  <si>
    <t xml:space="preserve">ENV.1.01</t>
  </si>
  <si>
    <t xml:space="preserve">ENV.1</t>
  </si>
  <si>
    <t xml:space="preserve">New envelope number from DICT PRO.ENV 'ENV' attr 2, incremented</t>
  </si>
  <si>
    <t xml:space="preserve">L26-29</t>
  </si>
  <si>
    <t xml:space="preserve">ENV.1.02</t>
  </si>
  <si>
    <t xml:space="preserve">Ship date defaults to today, may not be more than 3 days in the future</t>
  </si>
  <si>
    <t xml:space="preserve">L66-71</t>
  </si>
  <si>
    <t xml:space="preserve">ENV.1.03</t>
  </si>
  <si>
    <t xml:space="preserve">Ship type M=Mail, U=UPS, N=Next Day UPS; origin A=Abington, H=Huntingdon Valley (hard-coded office locations)</t>
  </si>
  <si>
    <t xml:space="preserve">L84-100,L130-135</t>
  </si>
  <si>
    <t xml:space="preserve">ENV.1.04</t>
  </si>
  <si>
    <t xml:space="preserve">On exit, deletes envelopes with SHIP.DATE older than today-12 days</t>
  </si>
  <si>
    <t xml:space="preserve">L137-151</t>
  </si>
  <si>
    <t xml:space="preserve">FIX.CAN.UPS.01</t>
  </si>
  <si>
    <t xml:space="preserve">FIX.CAN.UPS</t>
  </si>
  <si>
    <t xml:space="preserve">Master and dependent shipping numbers must exist in SCANORD</t>
  </si>
  <si>
    <t xml:space="preserve">L13-24</t>
  </si>
  <si>
    <t xml:space="preserve">FIX.CAN.UPS.02</t>
  </si>
  <si>
    <t xml:space="preserve">Combine: dependent lines removed from UPS_DOM; dependent numbers inserted after CSV column 14 of the master line; UPS_INT dependent lines re-keyed to master number</t>
  </si>
  <si>
    <t xml:space="preserve">L25-64</t>
  </si>
  <si>
    <t xml:space="preserve">FIX.CAN.UPS.03</t>
  </si>
  <si>
    <t xml:space="preserve">Filename-keyed CSV staging records in file UPS (UPS_DOM.CSV, UPS_DOM_2.CSV, UPS_DOM_4.CSV, same for UPS_INT) all overwritten with the same content</t>
  </si>
  <si>
    <t xml:space="preserve">L41-43,L62-72</t>
  </si>
  <si>
    <t xml:space="preserve">FIX.COST.01</t>
  </si>
  <si>
    <t xml:space="preserve">FIX.COST</t>
  </si>
  <si>
    <t xml:space="preserve">PRICING, PRODUCT</t>
  </si>
  <si>
    <t xml:space="preserve">Line price = INT(('1.0' concatenated with IVMST attr 12 PCT) x unit cost + .5); the markup factor is built by string concatenation (PCT 5 → 1.05, but PCT 12 → 1.012)</t>
  </si>
  <si>
    <t xml:space="preserve">L14-18</t>
  </si>
  <si>
    <t xml:space="preserve">FIX.COST.02</t>
  </si>
  <si>
    <t xml:space="preserve">Quantity break: if IVMST attr 7 QUAN &gt; 0 and order qty &gt;= QUAN and attr 9 NET.2 &gt; 0 use NET.2, else attr 8 NET.1/COST (cents)</t>
  </si>
  <si>
    <t xml:space="preserve">L15-19</t>
  </si>
  <si>
    <t xml:space="preserve">FIX.COST.03</t>
  </si>
  <si>
    <t xml:space="preserve">IVORD attr 4 COST per line set; attr 10 COST.QTY = sum(qty x price)</t>
  </si>
  <si>
    <t xml:space="preserve">L20-24</t>
  </si>
  <si>
    <t xml:space="preserve">FIX.DUP.PROD.01</t>
  </si>
  <si>
    <t xml:space="preserve">FIX.DUP.PROD</t>
  </si>
  <si>
    <t xml:space="preserve">Creates I-descriptor DUP.PROD = COUNT(PROD,&lt;product&gt;) in SCANORD/ORDHIST dicts to find orders with the product more than once</t>
  </si>
  <si>
    <t xml:space="preserve">L30-34,L54-58</t>
  </si>
  <si>
    <t xml:space="preserve">FIX.DUP.PROD.02</t>
  </si>
  <si>
    <t xml:space="preserve">Second occurrence's prod/qty/cost removed; COST.QTY&lt;1&gt; -= cost x qty and COST.QTY&lt;2&gt; -= qty</t>
  </si>
  <si>
    <t xml:space="preserve">L108-121,L144-157,L180-194</t>
  </si>
  <si>
    <t xml:space="preserve">FIX.DUP.PROD.03</t>
  </si>
  <si>
    <t xml:space="preserve">Hard-coded vendor 497 prefixed to ORDHIST order to form the VNORD key (VNORD key = vendor:order); SCANORD VORD minus 3-char prefix = IVORD order</t>
  </si>
  <si>
    <t xml:space="preserve">L64,L88-91</t>
  </si>
  <si>
    <t xml:space="preserve">IV.INP.SCANORD.01</t>
  </si>
  <si>
    <t xml:space="preserve">IV.INP.SCANORD</t>
  </si>
  <si>
    <t xml:space="preserve">Employee # (max 4 digits) must exist in IVEMP</t>
  </si>
  <si>
    <t xml:space="preserve">IV.INP.SCANORD.02</t>
  </si>
  <si>
    <t xml:space="preserve">Shipping number must exist in NUMBER; order = NUMBER attr 4 VENDOR : attr 2 ORDER → VNORD key; skip if VNORD locked or missing</t>
  </si>
  <si>
    <t xml:space="preserve">L98-110</t>
  </si>
  <si>
    <t xml:space="preserve">IV.INP.SCANORD.03</t>
  </si>
  <si>
    <t xml:space="preserve">Future shipment hold: if VNORD attr 6 SHIP (ship-after date) &gt; today-1 (i.e. today or later) scanning requires hard-coded override code 'THE.CODE'</t>
  </si>
  <si>
    <t xml:space="preserve">L111-116</t>
  </si>
  <si>
    <t xml:space="preserve">IV.INP.SCANORD.04</t>
  </si>
  <si>
    <t xml:space="preserve">New SCANORD record: 1 prods, 2 qty ordered (from VNORD 2/3), 4 emp, 5 date, 6 start times (MV per session), 8 member, 11 status 'O', 12 VNORD key, 13 type (NUMBER attr 3)</t>
  </si>
  <si>
    <t xml:space="preserve">L117-129</t>
  </si>
  <si>
    <t xml:space="preserve">IV.INP.SCANORD.05</t>
  </si>
  <si>
    <t xml:space="preserve">Already billed (SCANORD attr 10 BILLED set) shipments cannot be rescanned; closed ('C') can be reopened with "O"</t>
  </si>
  <si>
    <t xml:space="preserve">L130-140</t>
  </si>
  <si>
    <t xml:space="preserve">IV.INP.SCANORD.06</t>
  </si>
  <si>
    <t xml:space="preserve">VNORD attr 12 STATUS set to 2 when scanning starts</t>
  </si>
  <si>
    <t xml:space="preserve">L141-142</t>
  </si>
  <si>
    <t xml:space="preserve">IV.INP.SCANORD.07</t>
  </si>
  <si>
    <t xml:space="preserve">Scanned product must be on the order; IVMST attr 46 HOLD = 1 → "on hold", cannot ship</t>
  </si>
  <si>
    <t xml:space="preserve">L154-160,L23</t>
  </si>
  <si>
    <t xml:space="preserve">IV.INP.SCANORD.08</t>
  </si>
  <si>
    <t xml:space="preserve">Quantity whole number, default = ordered qty; 'X' clears previous; scanning a UPC (&gt;=12 chars) at qty prompt counts IVMST attr 16 MULT units, but if MULT &gt; 1 operator must key the qty</t>
  </si>
  <si>
    <t xml:space="preserve">L163-179</t>
  </si>
  <si>
    <t xml:space="preserve">IV.INP.SCANORD.09</t>
  </si>
  <si>
    <t xml:space="preserve">Cannot ship more than ordered (shipped attr 3 + qty &lt;= ordered attr 2)</t>
  </si>
  <si>
    <t xml:space="preserve">L180-184</t>
  </si>
  <si>
    <t xml:space="preserve">IV.INP.SCANORD.10</t>
  </si>
  <si>
    <t xml:space="preserve">Serial capture for products in CONTROL 'SERIAL.CTRL' with format match; SERIAL.NOS PROD:SERIAL appends shipment # (attr 3) and emp (attr 5); new ones get date, prod, 'ISO' in attr 4</t>
  </si>
  <si>
    <t xml:space="preserve">L187-212</t>
  </si>
  <si>
    <t xml:space="preserve">IV.INP.SCANORD.11</t>
  </si>
  <si>
    <t xml:space="preserve">Hard-coded product 9527: 9-char serials truncated to 8</t>
  </si>
  <si>
    <t xml:space="preserve">L206</t>
  </si>
  <si>
    <t xml:space="preserve">IV.INP.SCANORD.12</t>
  </si>
  <si>
    <t xml:space="preserve">Hard-coded member 1810 with product group 12 / sub-group 2: custom serials (min 8 chars) captured to SERIAL.CARD</t>
  </si>
  <si>
    <t xml:space="preserve">L190,L215-232</t>
  </si>
  <si>
    <t xml:space="preserve">IV.INP.SCANORD.13</t>
  </si>
  <si>
    <t xml:space="preserve">P = pend, PP = pend + packing list, C = complete + packing list; on C, status 'NS' (needs shipping charge) if VNORD attr 8 TORD&lt;1&gt; &lt; 1 (purpose of TORD test unclear); if shipped &lt;&gt; ordered, must confirm C else pended (backorders)</t>
  </si>
  <si>
    <t xml:space="preserve">L152,L234-248</t>
  </si>
  <si>
    <t xml:space="preserve">IV.INP.SCANORD.14</t>
  </si>
  <si>
    <t xml:space="preserve">Commented-out rule: member 9985 orders got shipping product 9991 at default $10.00 (DEF.SHIP.CHG = 1000 cents)</t>
  </si>
  <si>
    <t xml:space="preserve">L20-22,L79,L249-258</t>
  </si>
  <si>
    <t xml:space="preserve">IV.INP.SCANORD.15</t>
  </si>
  <si>
    <t xml:space="preserve">UPS staging update via UPD.UPS when UPS/UPS.IDX files and CONTROL 'UPS.PARAMS' exist</t>
  </si>
  <si>
    <t xml:space="preserve">L68-75,L261</t>
  </si>
  <si>
    <t xml:space="preserve">IV.INP.SHPCHG.01</t>
  </si>
  <si>
    <t xml:space="preserve">IV.INP.SHPCHG</t>
  </si>
  <si>
    <t xml:space="preserve">Shipments with SCANORD attr 11 STATUS = "NS" (no shipping) are presented; operator enters amount (##.## or whole dollars via MONEY, stored cents) or S to skip</t>
  </si>
  <si>
    <t xml:space="preserve">L12-15,L26-33</t>
  </si>
  <si>
    <t xml:space="preserve">IV.INP.SHPCHG.02</t>
  </si>
  <si>
    <t xml:space="preserve">Zero shipping must be confirmed by re-entering 0</t>
  </si>
  <si>
    <t xml:space="preserve">L35-38</t>
  </si>
  <si>
    <t xml:space="preserve">IV.INP.SHPCHG.03</t>
  </si>
  <si>
    <t xml:space="preserve">Non-zero charge: add line product 9999 (hard-coded shipping product) qty ordered 1, shipped 1; attr 9 SHIPPING = charge; status → 'C'</t>
  </si>
  <si>
    <t xml:space="preserve">L44-47</t>
  </si>
  <si>
    <t xml:space="preserve">IV.PRT.PACKLIST.01</t>
  </si>
  <si>
    <t xml:space="preserve">IV.PRT.PACKLIST</t>
  </si>
  <si>
    <t xml:space="preserve">Shipping number may be entered as "SN*MASTER" (Canada master shipment)</t>
  </si>
  <si>
    <t xml:space="preserve">L4, L29</t>
  </si>
  <si>
    <t xml:space="preserve">IV.PRT.PACKLIST.02</t>
  </si>
  <si>
    <t xml:space="preserve">SCANORD attr 12 holds the VNORD key (vendor 3 + order 5); SCANORD attr 1/2/3 = product/qty ordered/qty shipped; backorder = ordered − shipped</t>
  </si>
  <si>
    <t xml:space="preserve">L37-39, L69-70</t>
  </si>
  <si>
    <t xml:space="preserve">IV.PRT.PACKLIST.03</t>
  </si>
  <si>
    <t xml:space="preserve">SCANORD attr 13 = 'B' labels the order as a BACKORDER</t>
  </si>
  <si>
    <t xml:space="preserve">L49</t>
  </si>
  <si>
    <t xml:space="preserve">IV.PRT.PACKLIST.04</t>
  </si>
  <si>
    <t xml:space="preserve">Checked-by = SCANORD attr 4 (EMP)</t>
  </si>
  <si>
    <t xml:space="preserve">L64</t>
  </si>
  <si>
    <t xml:space="preserve">IV.PRT.PACKLIST.05</t>
  </si>
  <si>
    <t xml:space="preserve">Terms: billing month = next month, +1 more if today's day &gt; 25; due day the 10th</t>
  </si>
  <si>
    <t xml:space="preserve">L108-110, L130</t>
  </si>
  <si>
    <t xml:space="preserve">IV.PRT.PACKLIST.06</t>
  </si>
  <si>
    <t xml:space="preserve">Future-dating (FTR) from VNMST attr 17 (FTR), else IVORD attr 12; terms % from VNMST attr 16, else IVORD attr 11 (DISC). If FTR date &gt; the 10th of billing month, months offset = FTR month − billing month (wrap 12) else 0</t>
  </si>
  <si>
    <t xml:space="preserve">L111-122</t>
  </si>
  <si>
    <t xml:space="preserve">IV.PRT.PACKLIST.07</t>
  </si>
  <si>
    <t xml:space="preserve">Terms text: "&lt;pct&gt;% MM/10/YY" when terms ≠ 0, else "NET MM/10/YY" using billing month</t>
  </si>
  <si>
    <t xml:space="preserve">L124-130</t>
  </si>
  <si>
    <t xml:space="preserve">IV.PRT.PACKLIST.08</t>
  </si>
  <si>
    <t xml:space="preserve">Ship-to precedence VNORD 9/10 → ARMST 31/32 → ARMST bill address; "CHARGE SHIPPING" unless VNORD attr 8 &gt; 0</t>
  </si>
  <si>
    <t xml:space="preserve">L45-47, L67</t>
  </si>
  <si>
    <t xml:space="preserve">IV.PRT.PACKLIST.09</t>
  </si>
  <si>
    <t xml:space="preserve">Hard-coded "PRO WAREHOUSE, 2950 Turnpike Drive, Hatboro PA 19040"</t>
  </si>
  <si>
    <t xml:space="preserve">IV.PRT.PACKLIST.CT.01</t>
  </si>
  <si>
    <t xml:space="preserve">IV.PRT.PACKLIST.CT</t>
  </si>
  <si>
    <t xml:space="preserve">Header from ORDHIST: member attr 1, order date attr 6, ship-after attr 8, instructions attr 9, ship-to attr 19/20, attr 18 (TORD) for shipping flag</t>
  </si>
  <si>
    <t xml:space="preserve">L34-62</t>
  </si>
  <si>
    <t xml:space="preserve">IV.PRT.PACKLIST.CT.02</t>
  </si>
  <si>
    <t xml:space="preserve">Terms are not reprinted (left blank)</t>
  </si>
  <si>
    <t xml:space="preserve">L50-51</t>
  </si>
  <si>
    <t xml:space="preserve">IV.PRT.PACKLIST.CT.03</t>
  </si>
  <si>
    <t xml:space="preserve">Shipping charge flag: blank when ORDHIST attr 18 &gt; 0 or empty</t>
  </si>
  <si>
    <t xml:space="preserve">L62</t>
  </si>
  <si>
    <t xml:space="preserve">IV.PRT.PACKLIST.CT.04</t>
  </si>
  <si>
    <t xml:space="preserve">Ship date from SCANORD attr 5</t>
  </si>
  <si>
    <t xml:space="preserve">IV.SCAN.ORD.01</t>
  </si>
  <si>
    <t xml:space="preserve">IV.SCAN.ORD</t>
  </si>
  <si>
    <t xml:space="preserve">Program body is only "$ USE IV.INP.SCANORD"; no logic of its own</t>
  </si>
  <si>
    <t xml:space="preserve">L1</t>
  </si>
  <si>
    <t xml:space="preserve">IV.UPD.BILLPEND.01</t>
  </si>
  <si>
    <t xml:space="preserve">IV.UPD.BILLPEND</t>
  </si>
  <si>
    <t xml:space="preserve">Program body is only "$ USE IV.UPD.SCANORD"; no logic of its own</t>
  </si>
  <si>
    <t xml:space="preserve">IV.UPD.SCANORD.01</t>
  </si>
  <si>
    <t xml:space="preserve">IV.UPD.SCANORD</t>
  </si>
  <si>
    <t xml:space="preserve">Run blocked when CONTROL 'UPD' attr 1 &gt; 2</t>
  </si>
  <si>
    <t xml:space="preserve">L96</t>
  </si>
  <si>
    <t xml:space="preserve">IV.UPD.SCANORD.02</t>
  </si>
  <si>
    <t xml:space="preserve">Shipment cutoff date defaults to yesterday; operator may enter 'TODAY' to include today; future dates rejected</t>
  </si>
  <si>
    <t xml:space="preserve">L105-117</t>
  </si>
  <si>
    <t xml:space="preserve">IV.UPD.SCANORD.03</t>
  </si>
  <si>
    <t xml:space="preserve">Bill SCANORD records with no BILLED (attr 10), STATUS (attr 11) = 'C' (complete) and DATE (attr 5) ≤ cutoff; skip again at read time if billed or not 'C'</t>
  </si>
  <si>
    <t xml:space="preserve">L118, L145-146</t>
  </si>
  <si>
    <t xml:space="preserve">IV.UPD.SCANORD.04</t>
  </si>
  <si>
    <t xml:space="preserve">NUMBER&lt;shipping no&gt; supplies PRO order (attr 2) and vendor (attr 4); shipments missing from NUMBER are skipped</t>
  </si>
  <si>
    <t xml:space="preserve">L147-149</t>
  </si>
  <si>
    <t xml:space="preserve">IV.UPD.SCANORD.05</t>
  </si>
  <si>
    <t xml:space="preserve">Billing month BM = next month (year +1 when current month is 12); if day &gt; 21 add one month (ADM=1); if day &gt; 25 and the prior-to-BM month ≠ CONTROL 'UPD' attr 2 (inventory month) then BM advances one more and ADM=0</t>
  </si>
  <si>
    <t xml:space="preserve">L119-130</t>
  </si>
  <si>
    <t xml:space="preserve">IV.UPD.SCANORD.06</t>
  </si>
  <si>
    <t xml:space="preserve">Terms % from VNMST attr 16 and future-dating FTR from VNMST attr 17; fall back to IVORD attr 11 / attr 12</t>
  </si>
  <si>
    <t xml:space="preserve">L158-160</t>
  </si>
  <si>
    <t xml:space="preserve">IV.UPD.SCANORD.07</t>
  </si>
  <si>
    <t xml:space="preserve">FTR (internal date) converted to a month offset from BM (minus ADM, wrap +12) if FTR is after the 10th of BM, else 0; then FTR += ADM</t>
  </si>
  <si>
    <t xml:space="preserve">L161-170</t>
  </si>
  <si>
    <t xml:space="preserve">IV.UPD.SCANORD.08</t>
  </si>
  <si>
    <t xml:space="preserve">Due/terms text "&lt;pct&gt;% MM/10/YY" (or "NET MM/10/YY" with DM=BM+ADM when terms = 0); ARINV aging = −FTR (or −ADM when NET)</t>
  </si>
  <si>
    <t xml:space="preserve">L174-181</t>
  </si>
  <si>
    <t xml:space="preserve">IV.UPD.SCANORD.09</t>
  </si>
  <si>
    <t xml:space="preserve">Lines with shipped qty &lt; 1 are counted as backorder (TBO) and not billed</t>
  </si>
  <si>
    <t xml:space="preserve">L233-236</t>
  </si>
  <si>
    <t xml:space="preserve">IV.UPD.SCANORD.10</t>
  </si>
  <si>
    <t xml:space="preserve">Product numbers &gt; 9989 are charge lines: amount = SCANORD attr 9 (SHIPPING), excluded from member YTD sales (R(9) −= TOT), counted in ETOT; product 9999 also adds to CONTROL MS attr 2</t>
  </si>
  <si>
    <t xml:space="preserve">L237-243</t>
  </si>
  <si>
    <t xml:space="preserve">IV.UPD.SCANORD.11</t>
  </si>
  <si>
    <t xml:space="preserve">A shipped product must be on both the IVORD order and the VNORD vendor order; else operator warning and line skipped</t>
  </si>
  <si>
    <t xml:space="preserve">L244-249</t>
  </si>
  <si>
    <t xml:space="preserve">IV.UPD.SCANORD.12</t>
  </si>
  <si>
    <t xml:space="preserve">Ship qty ≥ ordered: order line removed; over-shipment (Q − ordered) × cost added to ETOT. Ship qty &lt; ordered: remaining qty stays open on IVORD and VNORD (backorder)</t>
  </si>
  <si>
    <t xml:space="preserve">L252-261</t>
  </si>
  <si>
    <t xml:space="preserve">IV.UPD.SCANORD.13</t>
  </si>
  <si>
    <t xml:space="preserve">Billed price = IVORD line cost attr 4 (cents, includes surcharge); line total = qty × cost</t>
  </si>
  <si>
    <t xml:space="preserve">L252, L266</t>
  </si>
  <si>
    <t xml:space="preserve">IV.UPD.SCANORD.14</t>
  </si>
  <si>
    <t xml:space="preserve">ORDHIST line added if missing (prod, qty, cost); shipped qty and post date appended to ORDHIST attr 13/14 subvalues</t>
  </si>
  <si>
    <t xml:space="preserve">L262-265</t>
  </si>
  <si>
    <t xml:space="preserve">IV.UPD.SCANORD.15</t>
  </si>
  <si>
    <t xml:space="preserve">MSALES&lt;prod&gt; attr 1 += qty, attr 2 += line total</t>
  </si>
  <si>
    <t xml:space="preserve">L268-275</t>
  </si>
  <si>
    <t xml:space="preserve">IV.UPD.SCANORD.16</t>
  </si>
  <si>
    <t xml:space="preserve">Surcharge portion of each line = INT(TOT − TOT/(1000 + IVMST attr 12)×1000 ± .5) accumulated to member SC, vendor VSC and CONTROL MS attr 1</t>
  </si>
  <si>
    <t xml:space="preserve">L276-277</t>
  </si>
  <si>
    <t xml:space="preserve">IV.UPD.SCANORD.17</t>
  </si>
  <si>
    <t xml:space="preserve">Average cost = INT(SUM(attr 25 value)/SUM(attr 24 qty)) when on-hand &gt; 0, else 0 (old yen/110 fallback commented out)</t>
  </si>
  <si>
    <t xml:space="preserve">L279-284</t>
  </si>
  <si>
    <t xml:space="preserve">IV.UPD.SCANORD.18</t>
  </si>
  <si>
    <t xml:space="preserve">Stock relieved FIFO from oldest layer (attr 24/25/26); if the last layer is exhausted stock goes negative on that layer, value forced negative; empty layer valued at AVG</t>
  </si>
  <si>
    <t xml:space="preserve">L285-302</t>
  </si>
  <si>
    <t xml:space="preserve">IV.UPD.SCANORD.19</t>
  </si>
  <si>
    <t xml:space="preserve">IVMST attr 3 REQ −= ordered qty (net of over-ship); attr 13 monthly shipped qty, attr 44 monthly sales, attr 45 monthly profit (TOT − AVG×qty) in bucket CONTROL 'UPD' attr 2</t>
  </si>
  <si>
    <t xml:space="preserve">L303-307</t>
  </si>
  <si>
    <t xml:space="preserve">IV.UPD.SCANORD.20</t>
  </si>
  <si>
    <t xml:space="preserve">If product is suspended (attr 15 &gt; 0): status 3 when PO qty+stock+REQ all 0, status 2 when PO qty+stock 0 but REQ ≠ 0; in either case a copy is written to IVMST.DISC with attr 11 = today (product remains in IVMST)</t>
  </si>
  <si>
    <t xml:space="preserve">L308-322</t>
  </si>
  <si>
    <t xml:space="preserve">IV.UPD.SCANORD.21</t>
  </si>
  <si>
    <t xml:space="preserve">Member IVSOLD history += shipped qty per product</t>
  </si>
  <si>
    <t xml:space="preserve">L323-328</t>
  </si>
  <si>
    <t xml:space="preserve">IV.UPD.SCANORD.22</t>
  </si>
  <si>
    <t xml:space="preserve">ARSHIP invoice lines: product, qty, total (cents); attr 15 = AVG×qty cost (except product 9999)</t>
  </si>
  <si>
    <t xml:space="preserve">L329-332</t>
  </si>
  <si>
    <t xml:space="preserve">IV.UPD.SCANORD.23</t>
  </si>
  <si>
    <t xml:space="preserve">CONTROL 'ORDB' high-water order number updated only for orders &lt; 90000 (rollover guard)</t>
  </si>
  <si>
    <t xml:space="preserve">L338-343</t>
  </si>
  <si>
    <t xml:space="preserve">IV.UPD.SCANORD.24</t>
  </si>
  <si>
    <t xml:space="preserve">Fully shipped IVORD deleted and ORDHIST attr 15 (DELETED) = 1; empty VNORD deleted, else VNORD attr 12 (STATUS) = 0 and instructions attr 7 starting '1'/'2' trimmed to chars 5-16 ("Dated Order")</t>
  </si>
  <si>
    <t xml:space="preserve">L344-357</t>
  </si>
  <si>
    <t xml:space="preserve">IV.UPD.SCANORD.25</t>
  </si>
  <si>
    <t xml:space="preserve">Canada: members with ARMST ZONE = 10 get a surcharge line product 9990, qty 1, amount INT(GTOT × pct/1000 + .5) where pct comes from CONTROL 'FS.SURCHG' by province (ARMST STATE) default 50 (5.0%)</t>
  </si>
  <si>
    <t xml:space="preserve">L359-361, L463-468</t>
  </si>
  <si>
    <t xml:space="preserve">IV.UPD.SCANORD.26</t>
  </si>
  <si>
    <t xml:space="preserve">ARMST updates: attr 9 YTD sales, 15 balance += total; 21 surcharge += SC; 18 last sale = date; 10 NEW.MON += total if no FTR else 24 FUTURE += total; 16 HI.CRED and 36 CY.HI.CRED raised to INT(balance/100) (whole dollars); 17 open orders −= total − ETOT (floor 0); 26 PRO.SALES += total − ETOT − SC; 40 WH.PROFIT += profit</t>
  </si>
  <si>
    <t xml:space="preserve">L364-373</t>
  </si>
  <si>
    <t xml:space="preserve">IV.UPD.SCANORD.27</t>
  </si>
  <si>
    <t xml:space="preserve">Vendor billing guarantee: if VNMST attr 13 = 1, ARMST attr 22 VN.CRED += total and ARINV attr 8 flag = 1 on the invoice</t>
  </si>
  <si>
    <t xml:space="preserve">L371, L396-398</t>
  </si>
  <si>
    <t xml:space="preserve">IV.UPD.SCANORD.28</t>
  </si>
  <si>
    <t xml:space="preserve">Invoice number from CONTROL 'INV' + 1, wraps to 1 at 999999; ARINV&lt;member&gt; appends invoice, date, amount, terms %, aging</t>
  </si>
  <si>
    <t xml:space="preserve">L375-399</t>
  </si>
  <si>
    <t xml:space="preserve">IV.UPD.SCANORD.29</t>
  </si>
  <si>
    <t xml:space="preserve">BILLLOG&lt;inv&gt; logs member, terms, FTR, pct, aging, ADM, cutoff date, BM</t>
  </si>
  <si>
    <t xml:space="preserve">L400-402</t>
  </si>
  <si>
    <t xml:space="preserve">IV.UPD.SCANORD.30</t>
  </si>
  <si>
    <t xml:space="preserve">NUMBER&lt;shipping no&gt; deleted after billing; SCANORD attr 10 = billed date@VMtime</t>
  </si>
  <si>
    <t xml:space="preserve">L403-409, L433-434</t>
  </si>
  <si>
    <t xml:space="preserve">IV.UPD.SCANORD.31</t>
  </si>
  <si>
    <t xml:space="preserve">ARSHIP&lt;member:inv&gt;: date posted, PO (IVORD attr 7), terms text, shipping no, surcharge, posted date</t>
  </si>
  <si>
    <t xml:space="preserve">L417-419</t>
  </si>
  <si>
    <t xml:space="preserve">IV.UPD.SCANORD.32</t>
  </si>
  <si>
    <t xml:space="preserve">CONTROL 'MS' attrs 1-6 accumulate month-to-date totals (1 surcharge, 2 product-9999 charges, 3 billing)</t>
  </si>
  <si>
    <t xml:space="preserve">L420-431</t>
  </si>
  <si>
    <t xml:space="preserve">IV.UPD.SCANORD.33</t>
  </si>
  <si>
    <t xml:space="preserve">Per vendor: VNMST attr 7 (YTD.SALES) += vendor total and attr 9 (SURCHARGES) += surcharge, written on vendor change; vendor 0 → "No orders" stop</t>
  </si>
  <si>
    <t xml:space="preserve">L442-462</t>
  </si>
  <si>
    <t xml:space="preserve">IV.UPD.SCANORD.34</t>
  </si>
  <si>
    <t xml:space="preserve">Members with ARMST TYPE = 3 (FotoSource Canada) get an invoice row via IV.UPD.FSINV.XLS; at end the FSINV file is emailed via EMAIL.FSINV</t>
  </si>
  <si>
    <t xml:space="preserve">L435-438, L470-474</t>
  </si>
  <si>
    <t xml:space="preserve">IV.UPD.SCANORD.PRO.01</t>
  </si>
  <si>
    <t xml:space="preserve">IV.UPD.SCANORD.PRO</t>
  </si>
  <si>
    <t xml:space="preserve">Charge-line threshold is product &gt; 9950 (vs &gt; 9989)</t>
  </si>
  <si>
    <t xml:space="preserve">L187</t>
  </si>
  <si>
    <t xml:space="preserve">IV.UPD.SCANORD.PRO.02</t>
  </si>
  <si>
    <t xml:space="preserve">Empty FIFO layer valued at LC (never assigned except 0) — no average cost, no profit buckets, no ARSHIP cost, no IVMST.DISC copy, no ORDB &lt; 90000 guard, no Canada surcharge/FSINV</t>
  </si>
  <si>
    <t xml:space="preserve">L201, L237, L264-265</t>
  </si>
  <si>
    <t xml:space="preserve">IV.UPD.SCANORD.PRO.03</t>
  </si>
  <si>
    <t xml:space="preserve">NET terms do not set aging to −ADM</t>
  </si>
  <si>
    <t xml:space="preserve">L125-126</t>
  </si>
  <si>
    <t xml:space="preserve">IV.UPD.SCANORD.SJL.01</t>
  </si>
  <si>
    <t xml:space="preserve">IV.UPD.SCANORD.SJL</t>
  </si>
  <si>
    <t xml:space="preserve">Charge-line threshold product &gt; 9990</t>
  </si>
  <si>
    <t xml:space="preserve">L197</t>
  </si>
  <si>
    <t xml:space="preserve">IV.UPD.SCANORD.SJL.02</t>
  </si>
  <si>
    <t xml:space="preserve">When on-hand ≤ 0, AVG falls back to raw cost attr 19; yen raw costs ('Y' suffix) converted at a hard-coded 110 yen/$ (INT(yen/110))</t>
  </si>
  <si>
    <t xml:space="preserve">L239-243</t>
  </si>
  <si>
    <t xml:space="preserve">IV.UPD.SCANORD.SJL.03</t>
  </si>
  <si>
    <t xml:space="preserve">No ORDB &lt; 90000 guard, no IVMST.DISC copy, no CY.HI.CRED, no WH.PROFIT, no Canada handling</t>
  </si>
  <si>
    <t xml:space="preserve">L287-291</t>
  </si>
  <si>
    <t xml:space="preserve">IV10.01</t>
  </si>
  <si>
    <t xml:space="preserve">IV10</t>
  </si>
  <si>
    <t xml:space="preserve">Only orders with order number &gt; CONTROL 'LASTORD' are printed; LASTORD is advanced to the highest printed order</t>
  </si>
  <si>
    <t xml:space="preserve">L27-37, L35</t>
  </si>
  <si>
    <t xml:space="preserve">IV10.02</t>
  </si>
  <si>
    <t xml:space="preserve">Orders whose description matches "...DISPLAY..." are excluded (comment: Fuji Film displays)</t>
  </si>
  <si>
    <t xml:space="preserve">L8, L34</t>
  </si>
  <si>
    <t xml:space="preserve">IV10.03</t>
  </si>
  <si>
    <t xml:space="preserve">VNORD key = 3-char vendor + 5-digit PRO order number (ID[1,3], ID[4,5])</t>
  </si>
  <si>
    <t xml:space="preserve">L36, L61-62</t>
  </si>
  <si>
    <t xml:space="preserve">IV10.04</t>
  </si>
  <si>
    <t xml:space="preserve">Each printed order gets the next shipping number from CONTROL 'SN'; NUMBER&lt;SN&gt; = date, order no (attr 2), vendor (attr 4)</t>
  </si>
  <si>
    <t xml:space="preserve">L60-63</t>
  </si>
  <si>
    <t xml:space="preserve">IV10.05</t>
  </si>
  <si>
    <t xml:space="preserve">Ship-to precedence: VNORD attr 9/10 ship info → ARMST attr 31/32 ship street/CSZ → ARMST bill address attr 3-6</t>
  </si>
  <si>
    <t xml:space="preserve">L46-48</t>
  </si>
  <si>
    <t xml:space="preserve">IV10.06</t>
  </si>
  <si>
    <t xml:space="preserve">UPS zone from VNORD attr 11 else ARMST attr 25</t>
  </si>
  <si>
    <t xml:space="preserve">IV10.07</t>
  </si>
  <si>
    <t xml:space="preserve">"** CHARGE SHIPPING **" printed unless VNORD attr 8 first value &gt; 0 (attr 8 dict TORD; purpose unclear)</t>
  </si>
  <si>
    <t xml:space="preserve">IV10.08</t>
  </si>
  <si>
    <t xml:space="preserve">'*' flag next to a line when product stock (SUM IVMST attr 24) &lt; 1 and the order has no ship-after date</t>
  </si>
  <si>
    <t xml:space="preserve">L7, L51, L69-70</t>
  </si>
  <si>
    <t xml:space="preserve">IV10.09</t>
  </si>
  <si>
    <t xml:space="preserve">Hard-coded warehouse address "PRO 2950 Turnpike Drive, Hatboro PA 19040"</t>
  </si>
  <si>
    <t xml:space="preserve">L23, L73</t>
  </si>
  <si>
    <t xml:space="preserve">IV10.LJ.01</t>
  </si>
  <si>
    <t xml:space="preserve">IV10.LJ</t>
  </si>
  <si>
    <t xml:space="preserve">Excludes orders with description matching "...FUJI DISPLAY..." (narrower than IV10's "...DISPLAY...")</t>
  </si>
  <si>
    <t xml:space="preserve">L47</t>
  </si>
  <si>
    <t xml:space="preserve">IV10.LJ.02</t>
  </si>
  <si>
    <t xml:space="preserve">Order sequence rollover: if LASTORD &gt; 99997 reset to 9999 so next selected is 10000</t>
  </si>
  <si>
    <t xml:space="preserve">L37-41</t>
  </si>
  <si>
    <t xml:space="preserve">IV10.LJ.03</t>
  </si>
  <si>
    <t xml:space="preserve">Shipping number rolls over from &gt;99998 to 10000</t>
  </si>
  <si>
    <t xml:space="preserve">L88</t>
  </si>
  <si>
    <t xml:space="preserve">IV10.LJ.04</t>
  </si>
  <si>
    <t xml:space="preserve">Pick lines sorted ascending by IVMST attr 6 group (2-digit, 99 if product missing) then product number</t>
  </si>
  <si>
    <t xml:space="preserve">L61-71</t>
  </si>
  <si>
    <t xml:space="preserve">IV10.LJ.05</t>
  </si>
  <si>
    <t xml:space="preserve">Ship-to name/address from VNORD attr 9 values 1-3 (name, street, CSZ) else ARMST 31/32 else bill address</t>
  </si>
  <si>
    <t xml:space="preserve">L72-75</t>
  </si>
  <si>
    <t xml:space="preserve">IV10.LJ.06</t>
  </si>
  <si>
    <t xml:space="preserve">Shipping number printed as Code 39 barcode *SN*</t>
  </si>
  <si>
    <t xml:space="preserve">L18-19, L125-129</t>
  </si>
  <si>
    <t xml:space="preserve">IV10.RP.01</t>
  </si>
  <si>
    <t xml:space="preserve">IV10.RP</t>
  </si>
  <si>
    <t xml:space="preserve">Reprint still assigns a NEW shipping number (increments CONTROL 'SN' and writes NUMBER) for every reprinted order</t>
  </si>
  <si>
    <t xml:space="preserve">L49-52</t>
  </si>
  <si>
    <t xml:space="preserve">IV10.RP.02</t>
  </si>
  <si>
    <t xml:space="preserve">No zero-stock '*' flag and no DISPLAY exclusion; uses active select list</t>
  </si>
  <si>
    <t xml:space="preserve">L25, L56-67</t>
  </si>
  <si>
    <t xml:space="preserve">IV11.01</t>
  </si>
  <si>
    <t xml:space="preserve">IV11</t>
  </si>
  <si>
    <t xml:space="preserve">If CONTROL 'SHIP' starts with 'Y' (post-ship on), operator sets a maximum post-ship date; orders with ship-after (VNORD attr 6) later than that date (or than today when off) are skipped</t>
  </si>
  <si>
    <t xml:space="preserve">L11-17, L65</t>
  </si>
  <si>
    <t xml:space="preserve">IV11.02</t>
  </si>
  <si>
    <t xml:space="preserve">Selection by product group (IVMST attr 6, must exist in CONTROL 'GRP') or by up to 300 entered products; only matching lines of each order are printed</t>
  </si>
  <si>
    <t xml:space="preserve">L36-79</t>
  </si>
  <si>
    <t xml:space="preserve">IV11.03</t>
  </si>
  <si>
    <t xml:space="preserve">Members on credit hold (ARMST attr 27 CRED.STAT &gt; 0) get no backorder tickets</t>
  </si>
  <si>
    <t xml:space="preserve">L82-83</t>
  </si>
  <si>
    <t xml:space="preserve">IV11.04</t>
  </si>
  <si>
    <t xml:space="preserve">Each ticket gets a new shipping number; NUMBER&lt;SN&gt; = date, order no, 'B' (backorder type), vendor</t>
  </si>
  <si>
    <t xml:space="preserve">L21, L101-104</t>
  </si>
  <si>
    <t xml:space="preserve">IV11.05</t>
  </si>
  <si>
    <t xml:space="preserve">Case count = qty / IVMST attr 27 CASE (default 20 when missing or &lt; 1), accumulated only when product stock (SUM attr 24) ≥ 1</t>
  </si>
  <si>
    <t xml:space="preserve">L110-115</t>
  </si>
  <si>
    <t xml:space="preserve">IV11.06</t>
  </si>
  <si>
    <t xml:space="preserve">Optional operator message printed on all backorder tickets</t>
  </si>
  <si>
    <t xml:space="preserve">L19, L139</t>
  </si>
  <si>
    <t xml:space="preserve">IV11.07</t>
  </si>
  <si>
    <t xml:space="preserve">Ship-to, UPS zone and "CHARGE SHIPPING" rules as IV10</t>
  </si>
  <si>
    <t xml:space="preserve">L86-107</t>
  </si>
  <si>
    <t xml:space="preserve">IV11.AUTO.01</t>
  </si>
  <si>
    <t xml:space="preserve">IV11.AUTO</t>
  </si>
  <si>
    <t xml:space="preserve">VNORD attr 12 status codes: '' new, 1 backorder printed, 2 being scanned, 0 billed (from comment header)</t>
  </si>
  <si>
    <t xml:space="preserve">IV11.AUTO.02</t>
  </si>
  <si>
    <t xml:space="preserve">Order cutoff = (oldest unshipped, non-backorder NUMBER record's order) − 1; if none, CONTROL 'ORDB'</t>
  </si>
  <si>
    <t xml:space="preserve">L91-109</t>
  </si>
  <si>
    <t xml:space="preserve">IV11.AUTO.03</t>
  </si>
  <si>
    <t xml:space="preserve">Order-number rollover handled by selecting orders &gt; 93999 OR ≤ cutoff</t>
  </si>
  <si>
    <t xml:space="preserve">L115, L160</t>
  </si>
  <si>
    <t xml:space="preserve">IV11.AUTO.04</t>
  </si>
  <si>
    <t xml:space="preserve">Candidate products: on IVORD lines for members not on credit hold, ship date before today, with stock &gt; 0 and stock ≥ order multiple (MULT)</t>
  </si>
  <si>
    <t xml:space="preserve">L116</t>
  </si>
  <si>
    <t xml:space="preserve">IV11.AUTO.05</t>
  </si>
  <si>
    <t xml:space="preserve">Skip product if it equals the operator skip product or IVMST attr 46 HOLD = 1</t>
  </si>
  <si>
    <t xml:space="preserve">L127-130</t>
  </si>
  <si>
    <t xml:space="preserve">IV11.AUTO.06</t>
  </si>
  <si>
    <t xml:space="preserve">Stock exactly 1 with REQ (attr 3) &gt; 4 is not allocated; written to BKEXP (qty, date) for review</t>
  </si>
  <si>
    <t xml:space="preserve">L148-153</t>
  </si>
  <si>
    <t xml:space="preserve">IV11.AUTO.07</t>
  </si>
  <si>
    <t xml:space="preserve">Orders considered: VNORD status &lt; 1 and member credit status &lt; 1, oldest order first; skip Canadian members (ARMST attr 25 zone = 10) when SC on; skip CONTROL 'SKIP.MEMB' member; skip orders never printed (attr 14 empty) or post-ship (attr 6 set) never started (attr 12 empty)</t>
  </si>
  <si>
    <t xml:space="preserve">L160-174</t>
  </si>
  <si>
    <t xml:space="preserve">IV11.AUTO.08</t>
  </si>
  <si>
    <t xml:space="preserve">Dated orders: instructions starting with the SKIP digit are skipped; when SKIP = 1 also skip those starting '2'</t>
  </si>
  <si>
    <t xml:space="preserve">L176-177</t>
  </si>
  <si>
    <t xml:space="preserve">IV11.AUTO.09</t>
  </si>
  <si>
    <t xml:space="preserve">Allocation: each order line gets its full ordered qty while the product's remaining stock &gt; 0 (stock may go negative; no partial allocation)</t>
  </si>
  <si>
    <t xml:space="preserve">L182-192</t>
  </si>
  <si>
    <t xml:space="preserve">IV11.AUTO.10</t>
  </si>
  <si>
    <t xml:space="preserve">BKORD is cleared on first allocation then one record per order (member, products, qtys)</t>
  </si>
  <si>
    <t xml:space="preserve">L194-200</t>
  </si>
  <si>
    <t xml:space="preserve">IV11.AUTO.11</t>
  </si>
  <si>
    <t xml:space="preserve">Tickets printed sorted by TP, UPS zone (descending), member; credit-hold members' BKORD deleted</t>
  </si>
  <si>
    <t xml:space="preserve">L205, L229</t>
  </si>
  <si>
    <t xml:space="preserve">IV11.AUTO.12</t>
  </si>
  <si>
    <t xml:space="preserve">Printing sets VNORD attr 12 = 1 (backorder printed), new shipping number (rolls 99999→10000) with NUMBER type 'B'; CONTROL 'BORUN' = run date/time</t>
  </si>
  <si>
    <t xml:space="preserve">L210-211, L260-265</t>
  </si>
  <si>
    <t xml:space="preserve">IV11.AUTO.13</t>
  </si>
  <si>
    <t xml:space="preserve">Ship-after not shown if &gt; 60 days old; pick location attr 47 printed</t>
  </si>
  <si>
    <t xml:space="preserve">L250, L283-284</t>
  </si>
  <si>
    <t xml:space="preserve">IV11.AUTO.14</t>
  </si>
  <si>
    <t xml:space="preserve">Hard-coded users: logins with chars 11-12 'dh' or 'mi' are prompted to skip Canada / a member / a product; user 'dharrar' gets DHPRT at end</t>
  </si>
  <si>
    <t xml:space="preserve">L60-71, L217, L226</t>
  </si>
  <si>
    <t xml:space="preserve">IV11.AUTO.15</t>
  </si>
  <si>
    <t xml:space="preserve">Run start/stop/errors logged to PGM.AUDIT 'IV11.AUTO' (date, time, user, message)</t>
  </si>
  <si>
    <t xml:space="preserve">L314-319</t>
  </si>
  <si>
    <t xml:space="preserve">IV11.AUTO.16</t>
  </si>
  <si>
    <t xml:space="preserve">Commented-out December air-shipping days and Pentax ZX-60 kit rules (inactive)</t>
  </si>
  <si>
    <t xml:space="preserve">L131-142, L273-279</t>
  </si>
  <si>
    <t xml:space="preserve">IV11.DHPRT.01</t>
  </si>
  <si>
    <t xml:space="preserve">IV11.DHPRT</t>
  </si>
  <si>
    <t xml:space="preserve">If CONTROL 'SKIP' = 1, orders whose instructions (VNORD attr 7) start with '2' (2nd dated order) are skipped</t>
  </si>
  <si>
    <t xml:space="preserve">L23-25, L79-80</t>
  </si>
  <si>
    <t xml:space="preserve">IV11.DHPRT.02</t>
  </si>
  <si>
    <t xml:space="preserve">Ship-to from VNORD attr 9 values 1-3</t>
  </si>
  <si>
    <t xml:space="preserve">L101-103</t>
  </si>
  <si>
    <t xml:space="preserve">IV11.DHPRT.03</t>
  </si>
  <si>
    <t xml:space="preserve">Shipping number rolls 99999 → 10000</t>
  </si>
  <si>
    <t xml:space="preserve">IV11.DHPRT.04</t>
  </si>
  <si>
    <t xml:space="preserve">Pick location IVMST attr 47 (P.LOC) printed on each line</t>
  </si>
  <si>
    <t xml:space="preserve">L130-133</t>
  </si>
  <si>
    <t xml:space="preserve">IV11.DHPRT.05</t>
  </si>
  <si>
    <t xml:space="preserve">Missing VNORD record no longer stops the run (skips)</t>
  </si>
  <si>
    <t xml:space="preserve">L76</t>
  </si>
  <si>
    <t xml:space="preserve">IV11.LJ.01</t>
  </si>
  <si>
    <t xml:space="preserve">IV11.LJ</t>
  </si>
  <si>
    <t xml:space="preserve">Ship-after date not printed when more than 60 days old</t>
  </si>
  <si>
    <t xml:space="preserve">L97</t>
  </si>
  <si>
    <t xml:space="preserve">IV11.LJ.02</t>
  </si>
  <si>
    <t xml:space="preserve">Shipping number printed as Code 39 barcode</t>
  </si>
  <si>
    <t xml:space="preserve">L7-10, L148-152</t>
  </si>
  <si>
    <t xml:space="preserve">IV12.01</t>
  </si>
  <si>
    <t xml:space="preserve">IV12</t>
  </si>
  <si>
    <t xml:space="preserve">Option 1 deletes an existing NUMBER record (error if not on file); option 2 adds a NUMBER record with attr 1 = entered date (MM.DD.YY converted to internal) and refuses duplicates</t>
  </si>
  <si>
    <t xml:space="preserve">L5-21</t>
  </si>
  <si>
    <t xml:space="preserve">IV18.01</t>
  </si>
  <si>
    <t xml:space="preserve">IV18</t>
  </si>
  <si>
    <t xml:space="preserve">Line value = IVORD qty (attr 3) × cost (attr 4, cents, printed MD2); subtotal per product (only when ≥2 lines) and grand total</t>
  </si>
  <si>
    <t xml:space="preserve">L20-47</t>
  </si>
  <si>
    <t xml:space="preserve">IV18.02</t>
  </si>
  <si>
    <t xml:space="preserve">Users with @USERNO &gt; 10 get output routed to printer</t>
  </si>
  <si>
    <t xml:space="preserve">L11</t>
  </si>
  <si>
    <t xml:space="preserve">IV3.01</t>
  </si>
  <si>
    <t xml:space="preserve">IV3</t>
  </si>
  <si>
    <t xml:space="preserve">PRICING, PRODUCT, VENDOR</t>
  </si>
  <si>
    <t xml:space="preserve">Standard terms = 2% (due 10th); else discount 0-50% (0 = NET) and optional future due date; terms stored IVORD attr 11 (disc) and attr 12 (FTR due date)</t>
  </si>
  <si>
    <t xml:space="preserve">L76-118, L517-518</t>
  </si>
  <si>
    <t xml:space="preserve">IV3.02</t>
  </si>
  <si>
    <t xml:space="preserve">Member lookup by number or name search (SORT ARMST NAME LIKE)</t>
  </si>
  <si>
    <t xml:space="preserve">L139-141, L561-570</t>
  </si>
  <si>
    <t xml:space="preserve">IV3.03</t>
  </si>
  <si>
    <t xml:space="preserve">Members on credit hold (ARMST attr 27 &gt; 0) cannot order</t>
  </si>
  <si>
    <t xml:space="preserve">L152</t>
  </si>
  <si>
    <t xml:space="preserve">IV3.04</t>
  </si>
  <si>
    <t xml:space="preserve">Hard-coded member 1000 (comment: Larmon): freight always prepaid (order value forced to 60000 and VNORD/IVORD freight flag set)</t>
  </si>
  <si>
    <t xml:space="preserve">L153-154, L488-489</t>
  </si>
  <si>
    <t xml:space="preserve">IV3.05</t>
  </si>
  <si>
    <t xml:space="preserve">Hard-coded member 9985 (comment: IPI): must enter a misc ship-to address, never freight prepaid, exempt from the "close to prepaid" prompt</t>
  </si>
  <si>
    <t xml:space="preserve">L206-208, L377, L481, L490</t>
  </si>
  <si>
    <t xml:space="preserve">IV3.06</t>
  </si>
  <si>
    <t xml:space="preserve">Member number suffixed 'X' = expedited order; only honoured between internal dates 14938-14958 (23 Nov–13 Dec 2008); air service 1/2/3 not offered for UPS zone &lt; 3</t>
  </si>
  <si>
    <t xml:space="preserve">L134-138, L176-184</t>
  </si>
  <si>
    <t xml:space="preserve">IV3.07</t>
  </si>
  <si>
    <t xml:space="preserve">Order date defaults to today and must be within 150 days past / 30 days future; ship-after date before order date needs confirmation</t>
  </si>
  <si>
    <t xml:space="preserve">L156-198</t>
  </si>
  <si>
    <t xml:space="preserve">IV3.08</t>
  </si>
  <si>
    <t xml:space="preserve">Ship-to: member default (ARMST attr 31/32), temporary address (validated state from ZIPREF STATES, 5 or 5-4 zip, UPS zone from ZIPREF UPS by zip3), or SHIPTO code; missing code offers AR.SHIP.MNT</t>
  </si>
  <si>
    <t xml:space="preserve">L200-242, L571-607</t>
  </si>
  <si>
    <t xml:space="preserve">IV3.09</t>
  </si>
  <si>
    <t xml:space="preserve">Product entered by number or catalog no. (IVCAT); re-entering a product offers change qty / delete</t>
  </si>
  <si>
    <t xml:space="preserve">L261-284</t>
  </si>
  <si>
    <t xml:space="preserve">IV3.10</t>
  </si>
  <si>
    <t xml:space="preserve">Products with negative basic cost (attr 8 &lt; 0) cannot be ordered</t>
  </si>
  <si>
    <t xml:space="preserve">L288</t>
  </si>
  <si>
    <t xml:space="preserve">IV3.11</t>
  </si>
  <si>
    <t xml:space="preserve">Suspended products (attr 15 &gt; 0): available = PO qty (21) + backorder (23) + stock (24) − REQ (3); no orders if &lt; 1, qty capped at available</t>
  </si>
  <si>
    <t xml:space="preserve">L289-294, L304</t>
  </si>
  <si>
    <t xml:space="preserve">IV3.12</t>
  </si>
  <si>
    <t xml:space="preserve">Large-quantity confirmation: group 10 &gt; 144, group 19 &gt; 900, any product &gt; 100 (comment says lenses 50, tripods 144, filters 300)</t>
  </si>
  <si>
    <t xml:space="preserve">L305-314</t>
  </si>
  <si>
    <t xml:space="preserve">IV3.13</t>
  </si>
  <si>
    <t xml:space="preserve">Quantity not a multiple of IVMST attr 16 (order multiple) needs approval</t>
  </si>
  <si>
    <t xml:space="preserve">L315-321</t>
  </si>
  <si>
    <t xml:space="preserve">IV3.14</t>
  </si>
  <si>
    <t xml:space="preserve">Price tiers (cents, including surcharge factor '1.0':attr 12): prefix 'S' → low/promo price attr 10 (NET.3, error if blank); prefix '*' → operator-keyed price (flag in IVORD attr 23 MCOST); qty ≥ attr 7 with attr 9 &gt; 0 → special price attr 9 (NET.2); else basic cost attr 8</t>
  </si>
  <si>
    <t xml:space="preserve">L301-302, L322-348</t>
  </si>
  <si>
    <t xml:space="preserve">IV3.15</t>
  </si>
  <si>
    <t xml:space="preserve">Credit check: exposure = (order total + vendor-direct open orders [VENDORD attr 4 − attr 5] + balance ARMST 15 + open orders ARMST 17 − vendor-guaranteed ARMST 22)/100 vs credit limit ARMST attr 7 (whole dollars); over limit requires typed OK</t>
  </si>
  <si>
    <t xml:space="preserve">L146-147, L244, L371-393</t>
  </si>
  <si>
    <t xml:space="preserve">IV3.16</t>
  </si>
  <si>
    <t xml:space="preserve">Past-due shown = (ARMST 30+60+90-day buckets)/100</t>
  </si>
  <si>
    <t xml:space="preserve">L148-150</t>
  </si>
  <si>
    <t xml:space="preserve">IV3.17</t>
  </si>
  <si>
    <t xml:space="preserve">Freight prepaid threshold: order total &gt; 59999 cents ($600) sets VNORD attr 8 v1 / IVORD attr 18 v1 = 1; orders $570.00-$599.99 prompt to add product or approve prepaid (forces 61000)</t>
  </si>
  <si>
    <t xml:space="preserve">L377-385, L490</t>
  </si>
  <si>
    <t xml:space="preserve">IV3.18</t>
  </si>
  <si>
    <t xml:space="preserve">Group 10 unit count accumulated in VNORD attr 8 v2 / IVORD attr 10 v2 / attr 18 v2</t>
  </si>
  <si>
    <t xml:space="preserve">L352, L512, L517</t>
  </si>
  <si>
    <t xml:space="preserve">IV3.19</t>
  </si>
  <si>
    <t xml:space="preserve">Special instructions 2×24 chars; cannot start with '1' or '2'; 'D1'/'D2' become "1st/2nd Dated Order"; for vendor 992 dated-order text is not copied to VNORD</t>
  </si>
  <si>
    <t xml:space="preserve">L397-428, L480</t>
  </si>
  <si>
    <t xml:space="preserve">IV3.20</t>
  </si>
  <si>
    <t xml:space="preserve">Order number from CONTROL 'ORD' (search forward from operator-entered last number if missing); rolls over 99998 → 10000</t>
  </si>
  <si>
    <t xml:space="preserve">L440-459</t>
  </si>
  <si>
    <t xml:space="preserve">IV3.21</t>
  </si>
  <si>
    <t xml:space="preserve">One VNORD per vendor (key vendor:order) with member, dates, PO, instructions, ship-to (attr 9), zone (attr 11), air (attr 13)</t>
  </si>
  <si>
    <t xml:space="preserve">L460-515</t>
  </si>
  <si>
    <t xml:space="preserve">IV3.22</t>
  </si>
  <si>
    <t xml:space="preserve">IVMST attr 3 (REQ) += qty and attr 17 monthly ordered += qty (month = CONTROL 'UPD' attr 2)</t>
  </si>
  <si>
    <t xml:space="preserve">L508-510</t>
  </si>
  <si>
    <t xml:space="preserve">IV3.23</t>
  </si>
  <si>
    <t xml:space="preserve">Member open orders ARMST attr 17 += order total (cents)</t>
  </si>
  <si>
    <t xml:space="preserve">L429, L516</t>
  </si>
  <si>
    <t xml:space="preserve">IV3.24</t>
  </si>
  <si>
    <t xml:space="preserve">IVORD attr 21 = timestamp + login user; same record written to ORDHIST</t>
  </si>
  <si>
    <t xml:space="preserve">L518-535</t>
  </si>
  <si>
    <t xml:space="preserve">IV3.25</t>
  </si>
  <si>
    <t xml:space="preserve">Products with no vendor (IVMST attr 5 blank) block with "call Computyme" until OK typed</t>
  </si>
  <si>
    <t xml:space="preserve">L367, L431-438</t>
  </si>
  <si>
    <t xml:space="preserve">IV3.26</t>
  </si>
  <si>
    <t xml:space="preserve">Qty 0 line triggers "CRITICAL ERROR - contact Computyme 215-886-8520" until 'OK.TO.CONTINUE' typed</t>
  </si>
  <si>
    <t xml:space="preserve">L354-361</t>
  </si>
  <si>
    <t xml:space="preserve">IV3.NEW.01</t>
  </si>
  <si>
    <t xml:space="preserve">IV3.NEW</t>
  </si>
  <si>
    <t xml:space="preserve">Freight-prepaid nudge and flag apply to all members including 9985</t>
  </si>
  <si>
    <t xml:space="preserve">L246, L342</t>
  </si>
  <si>
    <t xml:space="preserve">IV3.NEW.02</t>
  </si>
  <si>
    <t xml:space="preserve">Member PO limited to 8 characters</t>
  </si>
  <si>
    <t xml:space="preserve">L105</t>
  </si>
  <si>
    <t xml:space="preserve">IV3.ORIG.01</t>
  </si>
  <si>
    <t xml:space="preserve">IV3.ORIG</t>
  </si>
  <si>
    <t xml:space="preserve">Order lines kept sorted by group+product ('AR' locate/insert)</t>
  </si>
  <si>
    <t xml:space="preserve">L174, L233-237</t>
  </si>
  <si>
    <t xml:space="preserve">IV3.TEST.01</t>
  </si>
  <si>
    <t xml:space="preserve">IV3.TEST</t>
  </si>
  <si>
    <t xml:space="preserve">Discount limited to 0-10%</t>
  </si>
  <si>
    <t xml:space="preserve">L46</t>
  </si>
  <si>
    <t xml:space="preserve">IV3.TEST.02</t>
  </si>
  <si>
    <t xml:space="preserve">Credit exposure excludes vendor-guaranteed amount ARMST attr 22</t>
  </si>
  <si>
    <t xml:space="preserve">L215</t>
  </si>
  <si>
    <t xml:space="preserve">IV3A.01</t>
  </si>
  <si>
    <t xml:space="preserve">IV3A</t>
  </si>
  <si>
    <t xml:space="preserve">Operator lists member accounts to exclude and products to ship; product with negative cost rejected; zero cost billed at no charge; a product can be listed once</t>
  </si>
  <si>
    <t xml:space="preserve">L30-58</t>
  </si>
  <si>
    <t xml:space="preserve">IV3A.02</t>
  </si>
  <si>
    <t xml:space="preserve">Every included member gets: qty 1 per product, order date today, member PO 'SAMPLE', IVORD attr 10 = 40000@VM36 ("freight is always prepaid")</t>
  </si>
  <si>
    <t xml:space="preserve">L26-28</t>
  </si>
  <si>
    <t xml:space="preserve">IV3A.03</t>
  </si>
  <si>
    <t xml:space="preserve">Price = INT(('1.0' concatenated with surcharge attr 12) × basic cost attr 8 + .5)</t>
  </si>
  <si>
    <t xml:space="preserve">L51-52</t>
  </si>
  <si>
    <t xml:space="preserve">IV3A.04</t>
  </si>
  <si>
    <t xml:space="preserve">New order number from CONTROL 'ORD'; one VNORD per vendor (key vendor:order) with VNORD attr 8 = 40000@VM36; member open orders ARMST attr 17 += order total; IVMST attr 3 (REQ) += qty and attr 17 monthly ordered += qty in month CONTROL 'UPD' attr 2</t>
  </si>
  <si>
    <t xml:space="preserve">L65-92</t>
  </si>
  <si>
    <t xml:space="preserve">IV4.01</t>
  </si>
  <si>
    <t xml:space="preserve">IV4</t>
  </si>
  <si>
    <t xml:space="preserve">VENDOR, PRODUCT, PRICING</t>
  </si>
  <si>
    <t xml:space="preserve">L37-38</t>
  </si>
  <si>
    <t xml:space="preserve">IV4.02</t>
  </si>
  <si>
    <t xml:space="preserve">Billing date defaults to today; after the 25th billing month advances an extra month, and entries after the 25th are refused while the previous month (CONTROL 'UPD' attr 2) is still open</t>
  </si>
  <si>
    <t xml:space="preserve">L42-52</t>
  </si>
  <si>
    <t xml:space="preserve">IV4.03</t>
  </si>
  <si>
    <t xml:space="preserve">Terms keyed by operator: default 2% 10th; discount 0-10% (0 = NET); optional future billing of 0-9 extra months (aging = −months)</t>
  </si>
  <si>
    <t xml:space="preserve">L53-70</t>
  </si>
  <si>
    <t xml:space="preserve">IV4.04</t>
  </si>
  <si>
    <t xml:space="preserve">Order 'CR…' = credit/ad-hoc invoice to a member with no order</t>
  </si>
  <si>
    <t xml:space="preserve">L90-95</t>
  </si>
  <si>
    <t xml:space="preserve">IV4.05</t>
  </si>
  <si>
    <t xml:space="preserve">Shipping number must exist in NUMBER and match the order, else re-key to confirm; backorder tickets (type 'B') force product-entry mode</t>
  </si>
  <si>
    <t xml:space="preserve">L129-146</t>
  </si>
  <si>
    <t xml:space="preserve">IV4.06</t>
  </si>
  <si>
    <t xml:space="preserve">Billing options: 1 complete order, 2 prompted products, 3 keyed products</t>
  </si>
  <si>
    <t xml:space="preserve">L146-170</t>
  </si>
  <si>
    <t xml:space="preserve">IV4.07</t>
  </si>
  <si>
    <t xml:space="preserve">Product &lt; 9900 must belong to the vendor being billed (IVMST attr 5)</t>
  </si>
  <si>
    <t xml:space="preserve">L183</t>
  </si>
  <si>
    <t xml:space="preserve">IV4.08</t>
  </si>
  <si>
    <t xml:space="preserve">Products &gt; 9900 are keyed-amount charges: 9999 shipping (MS attr 2), 9995 (MS attr 5), 9992 (MS attr 6); excluded from member YTD sales</t>
  </si>
  <si>
    <t xml:space="preserve">L184-193</t>
  </si>
  <si>
    <t xml:space="preserve">IV4.09</t>
  </si>
  <si>
    <t xml:space="preserve">Product not on order may be billed after confirmation, priced at special cost (attr 9) if qty ≥ special qty attr 7, else basic cost attr 8, plus surcharge INT(cost × attr 12/1000 + .5)</t>
  </si>
  <si>
    <t xml:space="preserve">L195-204, L240-244</t>
  </si>
  <si>
    <t xml:space="preserve">IV4.10</t>
  </si>
  <si>
    <t xml:space="preserve">Warnings: shipment driving stock negative, negative quantity, over-shipment vs order all require confirmation; qty below −500 rejected</t>
  </si>
  <si>
    <t xml:space="preserve">L213-231, L247-252</t>
  </si>
  <si>
    <t xml:space="preserve">IV4.11</t>
  </si>
  <si>
    <t xml:space="preserve">If product has no stock layers, operator keys a unit landed cost (cents) used to value the negative layer</t>
  </si>
  <si>
    <t xml:space="preserve">L232-239, L280</t>
  </si>
  <si>
    <t xml:space="preserve">IV4.12</t>
  </si>
  <si>
    <t xml:space="preserve">Stock relief, IVMST/ORDHIST/MSALES/IVSOLD/ARMST/ARINV/ARSHIP/vendor updates as IV.UPD.SCANORD (without profit buckets)</t>
  </si>
  <si>
    <t xml:space="preserve">L260-366</t>
  </si>
  <si>
    <t xml:space="preserve">IV4.13</t>
  </si>
  <si>
    <t xml:space="preserve">"CHARGE SHIPPING" forces operator to add a shipping line unless VNORD attr 8 &gt; 0 or a 9999 line was billed</t>
  </si>
  <si>
    <t xml:space="preserve">L305-308</t>
  </si>
  <si>
    <t xml:space="preserve">IV4.14</t>
  </si>
  <si>
    <t xml:space="preserve">Vendor billing guarantee (VNMST attr 13 = 1) or IVORD attr 12 = 1 (CL) credits ARMST attr 22 and flags ARINV attr 8</t>
  </si>
  <si>
    <t xml:space="preserve">L108, L334, L337, L350-352</t>
  </si>
  <si>
    <t xml:space="preserve">IV4.15</t>
  </si>
  <si>
    <t xml:space="preserve">Invoice numbers wrap to 1 at 99999 (current billing wraps at 999999)</t>
  </si>
  <si>
    <t xml:space="preserve">L340</t>
  </si>
  <si>
    <t xml:space="preserve">IV4.NEW.01</t>
  </si>
  <si>
    <t xml:space="preserve">IV4.NEW</t>
  </si>
  <si>
    <t xml:space="preserve">Shipped qty limited to 500 (−500..510)</t>
  </si>
  <si>
    <t xml:space="preserve">L153</t>
  </si>
  <si>
    <t xml:space="preserve">IV46.SPORD.01</t>
  </si>
  <si>
    <t xml:space="preserve">IV46.SPORD</t>
  </si>
  <si>
    <t xml:space="preserve">IVSPORD layout: 1 product, 2 desc, 3 qty, 4 PO, 5 order date, 6 unit cost, 7 customer, 8 address, 9 CSZ, 10 store no., 11 qty per customer, 12 extended sale, 16 phone</t>
  </si>
  <si>
    <t xml:space="preserve">L22-28, L65-66</t>
  </si>
  <si>
    <t xml:space="preserve">IV46.SPORD.02</t>
  </si>
  <si>
    <t xml:space="preserve">Customer quantities must sum to the ordered qty before update; cannot exceed it</t>
  </si>
  <si>
    <t xml:space="preserve">L95-99, L362-379</t>
  </si>
  <si>
    <t xml:space="preserve">IV46.SPORD.03</t>
  </si>
  <si>
    <t xml:space="preserve">Warn when extended cost ≥ extended sale; unit sale 0 or below unit cost needs confirmation</t>
  </si>
  <si>
    <t xml:space="preserve">L101-110, L542-559</t>
  </si>
  <si>
    <t xml:space="preserve">IV46.SPORD.04</t>
  </si>
  <si>
    <t xml:space="preserve">'SS' assigns the remaining qty to "STORE STOCK" at unit cost</t>
  </si>
  <si>
    <t xml:space="preserve">L456-470</t>
  </si>
  <si>
    <t xml:space="preserve">IV46.SPORD.05</t>
  </si>
  <si>
    <t xml:space="preserve">New mailing-list customers numbered '01' + 5-digit counter from CONTROL 'CUST', skipping IDs in ARMST/IVCUST; indexed by name and last-4 phone digits</t>
  </si>
  <si>
    <t xml:space="preserve">L516-531, L113-135</t>
  </si>
  <si>
    <t xml:space="preserve">IV46.SPORD.06</t>
  </si>
  <si>
    <t xml:space="preserve">City/state/zip validated against ZIPREF patterns (US 5/9-digit, Canada 7-char); zip-only input expanded from ZIPREF</t>
  </si>
  <si>
    <t xml:space="preserve">L564-580</t>
  </si>
  <si>
    <t xml:space="preserve">IV5.01</t>
  </si>
  <si>
    <t xml:space="preserve">IV5</t>
  </si>
  <si>
    <t xml:space="preserve">Products cannot be added to an existing order (must enter a new order)</t>
  </si>
  <si>
    <t xml:space="preserve">L78-81</t>
  </si>
  <si>
    <t xml:space="preserve">IV5.02</t>
  </si>
  <si>
    <t xml:space="preserve">New quantity must be ≥ 0; 0 removes the line; cost may be overridden (cents, incl. surcharge)</t>
  </si>
  <si>
    <t xml:space="preserve">L83-89, L147-152</t>
  </si>
  <si>
    <t xml:space="preserve">IV5.03</t>
  </si>
  <si>
    <t xml:space="preserve">No changes allowed while VNORD attr 12 (status) ≠ 0 (being scanned / ready to bill)</t>
  </si>
  <si>
    <t xml:space="preserve">L98-102</t>
  </si>
  <si>
    <t xml:space="preserve">IV5.04</t>
  </si>
  <si>
    <t xml:space="preserve">Hard-coded group 10: quantity change adjusts VNORD attr 8 value 2 and IVORD attr 10 value 2 (unit count) instead of order dollars</t>
  </si>
  <si>
    <t xml:space="preserve">L108-110</t>
  </si>
  <si>
    <t xml:space="preserve">IV5.05</t>
  </si>
  <si>
    <t xml:space="preserve">Other groups except hard-coded group 11: IVORD attr 10 value 1 (order $ total, cents) adjusted; if it falls below 60000 ($600) the free-freight flag VNORD attr 8 value 1 is cleared (shipping charged)</t>
  </si>
  <si>
    <t xml:space="preserve">L111-115</t>
  </si>
  <si>
    <t xml:space="preserve">IV5.06</t>
  </si>
  <si>
    <t xml:space="preserve">ORDHIST keeps original qty (attr 16) and original cost (attr 17) when changed</t>
  </si>
  <si>
    <t xml:space="preserve">L131-137</t>
  </si>
  <si>
    <t xml:space="preserve">IV5.07</t>
  </si>
  <si>
    <t xml:space="preserve">IVMST attr 3 (REQ) and attr 17 monthly ordered (month = CONTROL 'UPD' attr 2) adjusted by qty delta; suspended-product status recalculated (3/2) including backorder qty attr 23</t>
  </si>
  <si>
    <t xml:space="preserve">L139-144</t>
  </si>
  <si>
    <t xml:space="preserve">IV5.08</t>
  </si>
  <si>
    <t xml:space="preserve">Order emptied → IVORD deleted, ORDHIST attr 9 = 'DELETED &lt;timestamp&gt;', attr 15 = 'D'</t>
  </si>
  <si>
    <t xml:space="preserve">L154-158</t>
  </si>
  <si>
    <t xml:space="preserve">IV5.09</t>
  </si>
  <si>
    <t xml:space="preserve">Cancel refused if any unbilled SCANORD shipment exists for the order</t>
  </si>
  <si>
    <t xml:space="preserve">L167-182</t>
  </si>
  <si>
    <t xml:space="preserve">IV5.10</t>
  </si>
  <si>
    <t xml:space="preserve">Cancel removes each line's VNORD, reverses IVMST REQ/monthly ordered, deletes IVORD, marks ORDHIST deleted, and reduces ARMST attr 17 by the order total</t>
  </si>
  <si>
    <t xml:space="preserve">L184-212, L65</t>
  </si>
  <si>
    <t xml:space="preserve">IV5.11</t>
  </si>
  <si>
    <t xml:space="preserve">Special instructions (24+24 chars) editable unless they start with '1' or '2' (dated orders); 'D1'/'D2' expand to "1st/2nd Dated Order"</t>
  </si>
  <si>
    <t xml:space="preserve">L52-53, L234-264</t>
  </si>
  <si>
    <t xml:space="preserve">IV8.01</t>
  </si>
  <si>
    <t xml:space="preserve">IV8</t>
  </si>
  <si>
    <t xml:space="preserve">Default new price = INT((1 + attr 12 PCT/1000) × attr 8 COST + .5), i.e. cost in cents plus surcharge where attr 12 is tenths of a percent</t>
  </si>
  <si>
    <t xml:space="preserve">L27-28</t>
  </si>
  <si>
    <t xml:space="preserve">IV8.02</t>
  </si>
  <si>
    <t xml:space="preserve">Operator may enter any amount (cents, digits only, "including surcharge")</t>
  </si>
  <si>
    <t xml:space="preserve">L32-34</t>
  </si>
  <si>
    <t xml:space="preserve">IV8.03</t>
  </si>
  <si>
    <t xml:space="preserve">For each IVORD order containing the product, set every matching line's cost (attr 4) to the new price and add qty × (new − old) to ARMST attr 17 (ORDERS, member open-order total, cents)</t>
  </si>
  <si>
    <t xml:space="preserve">L50-68</t>
  </si>
  <si>
    <t xml:space="preserve">IV8.04</t>
  </si>
  <si>
    <t xml:space="preserve">Waits on locked IVORD/ARMST records (2-second sleep loop)</t>
  </si>
  <si>
    <t xml:space="preserve">L42-57</t>
  </si>
  <si>
    <t xml:space="preserve">ORD.EML.01</t>
  </si>
  <si>
    <t xml:space="preserve">ORD.EML</t>
  </si>
  <si>
    <t xml:space="preserve">Confirmation shows member account (IVORD attr 1), ARMST name/address, order date attr 6, PRO order # = IVORD key, member PO attr 7</t>
  </si>
  <si>
    <t xml:space="preserve">L26,50-56</t>
  </si>
  <si>
    <t xml:space="preserve">ORD.EML.02</t>
  </si>
  <si>
    <t xml:space="preserve">Lines with qty 0 omitted; unit price = attr 4 / qty (treats IVORD attr 4 as extended amount, cents)</t>
  </si>
  <si>
    <t xml:space="preserve">L38-41</t>
  </si>
  <si>
    <t xml:space="preserve">ORD.EML.03</t>
  </si>
  <si>
    <t xml:space="preserve">Email delivery via spooler hold-file naming ACCOUNT-ORDER.EML</t>
  </si>
  <si>
    <t xml:space="preserve">ORD.EML.04</t>
  </si>
  <si>
    <t xml:space="preserve">CONTROL 'LASTORD' read with lock; if &gt; 99997 reset to 9999 (value then unused because select is commented out)</t>
  </si>
  <si>
    <t xml:space="preserve">L19-21</t>
  </si>
  <si>
    <t xml:space="preserve">ORD.EML.TEST.01</t>
  </si>
  <si>
    <t xml:space="preserve">ORD.EML.TEST</t>
  </si>
  <si>
    <t xml:space="preserve">Differs from ORD.EML: line amount = qty * IVORD attr 4 (attr 4 treated as unit cost in cents)</t>
  </si>
  <si>
    <t xml:space="preserve">L32-35</t>
  </si>
  <si>
    <t xml:space="preserve">ORD.EML.TEST.02</t>
  </si>
  <si>
    <t xml:space="preserve">Output staged as EMAIL record keyed ACCOUNT-ORDER.EML</t>
  </si>
  <si>
    <t xml:space="preserve">L23,42</t>
  </si>
  <si>
    <t xml:space="preserve">ORD.EML1.01</t>
  </si>
  <si>
    <t xml:space="preserve">ORD.EML1</t>
  </si>
  <si>
    <t xml:space="preserve">Orders needing confirmation = IVORD WITH PS (attr 14) &lt; 1; after writing email, PS set to 1</t>
  </si>
  <si>
    <t xml:space="preserve">L24,65</t>
  </si>
  <si>
    <t xml:space="preserve">ORD.EML1.02</t>
  </si>
  <si>
    <t xml:space="preserve">Line extended amount = qty * IVORD attr 4 (unit cost, cents); qty 0 lines omitted; order total = sum</t>
  </si>
  <si>
    <t xml:space="preserve">L48-53,57</t>
  </si>
  <si>
    <t xml:space="preserve">ORD.EML1.03</t>
  </si>
  <si>
    <t xml:space="preserve">Description from IVMST attr 4, fallback IVMST.DISC attr 4</t>
  </si>
  <si>
    <t xml:space="preserve">L45-46</t>
  </si>
  <si>
    <t xml:space="preserve">ORD.EML1.04</t>
  </si>
  <si>
    <t xml:space="preserve">Email text staged in EMAIL file keyed ACCOUNT-ORDER.EML (external mailer sends it)</t>
  </si>
  <si>
    <t xml:space="preserve">L39,64</t>
  </si>
  <si>
    <t xml:space="preserve">ORD.EML1.05</t>
  </si>
  <si>
    <t xml:space="preserve">Waits (10s loop) for record locks on IVORD and EMAIL rather than skipping</t>
  </si>
  <si>
    <t xml:space="preserve">L30-35,58-63</t>
  </si>
  <si>
    <t xml:space="preserve">ORD.EML1.06</t>
  </si>
  <si>
    <t xml:space="preserve">Comment history: 03-19-09 selection "SHIP AFTER TODAY" replaced 03-24-09 by PS&lt;1 (comment-only evidence)</t>
  </si>
  <si>
    <t xml:space="preserve">ORD.PRINT.01</t>
  </si>
  <si>
    <t xml:space="preserve">ORD.PRINT</t>
  </si>
  <si>
    <t xml:space="preserve">Orders to print = VNORD with ORDER &gt; CONTROL LASTORD and DESC not matching "...DISPLAY..." (display orders excluded); LASTORD advanced to highest order printed</t>
  </si>
  <si>
    <t xml:space="preserve">L19,26-29,27</t>
  </si>
  <si>
    <t xml:space="preserve">ORD.PRINT.02</t>
  </si>
  <si>
    <t xml:space="preserve">VNORD key = 3-char prefix (written to NUMBER attr 4 VENDOR) + 5-digit PRO order number (ID[4,5])</t>
  </si>
  <si>
    <t xml:space="preserve">L28,54-55</t>
  </si>
  <si>
    <t xml:space="preserve">ORD.PRINT.03</t>
  </si>
  <si>
    <t xml:space="preserve">Each pick ticket gets next shipping number SN = CONTROL 'SN' +1; NUMBER record SN = date, order, prefix (attr 1,2,4)</t>
  </si>
  <si>
    <t xml:space="preserve">ORD.PRINT.04</t>
  </si>
  <si>
    <t xml:space="preserve">Ship-to precedence: VNORD attr 9/10 ship-to info, else ARMST attrs 31/32 ship address, else ARMST billing address (3-6)</t>
  </si>
  <si>
    <t xml:space="preserve">L39-41</t>
  </si>
  <si>
    <t xml:space="preserve">ORD.PRINT.05</t>
  </si>
  <si>
    <t xml:space="preserve">Ship-after date (VNORD attr 6) printed; when present, out-of-stock '*' flags suppressed (ZEROSTK=0)</t>
  </si>
  <si>
    <t xml:space="preserve">ORD.PRINT.06</t>
  </si>
  <si>
    <t xml:space="preserve">Line flagged '*' when IVMST attr 24 (QTY.REC — dict name; used here as stock) sum &lt; 1 (page 1) or = 0 (continuation)</t>
  </si>
  <si>
    <t xml:space="preserve">L62-63,73-74</t>
  </si>
  <si>
    <t xml:space="preserve">ORD.PRINT.07</t>
  </si>
  <si>
    <t xml:space="preserve">L57</t>
  </si>
  <si>
    <t xml:space="preserve">ORD.PRINT.08</t>
  </si>
  <si>
    <t xml:space="preserve">"** CHARGE SHIPPING **" printed unless VNORD attr 8 (TORD) first value &gt; 0</t>
  </si>
  <si>
    <t xml:space="preserve">L58-59</t>
  </si>
  <si>
    <t xml:space="preserve">ORD.PRINT.09</t>
  </si>
  <si>
    <t xml:space="preserve">Hard-coded return address Hatboro, PA 19040</t>
  </si>
  <si>
    <t xml:space="preserve">PACK.LIST.COMPU.01</t>
  </si>
  <si>
    <t xml:space="preserve">PACK.LIST.COMPU</t>
  </si>
  <si>
    <t xml:space="preserve">Shipping number -&gt; NUMBER record; VNORD key = NUMBER attr 4 (prefix/vendor) : attr 2 (order)</t>
  </si>
  <si>
    <t xml:space="preserve">L27,30</t>
  </si>
  <si>
    <t xml:space="preserve">PACK.LIST.COMPU.02</t>
  </si>
  <si>
    <t xml:space="preserve">NUMBER attr 3 = 'B' marks a backorder shipment (label "BACKORDER NO") else "PRO ORDER NO"</t>
  </si>
  <si>
    <t xml:space="preserve">L42</t>
  </si>
  <si>
    <t xml:space="preserve">PACK.LIST.COMPU.03</t>
  </si>
  <si>
    <t xml:space="preserve">BILL.PEND attr 1 products, attr 2 ordered, attr 3 shipped, attr 4 checked-by; backorder = ordered - shipped per line and in total</t>
  </si>
  <si>
    <t xml:space="preserve">L32,55,59-60</t>
  </si>
  <si>
    <t xml:space="preserve">PACK.LIST.COMPU.04</t>
  </si>
  <si>
    <t xml:space="preserve">Ship-to precedence same as ORD.PRINT.04 (VNORD 9/10, ARMST 31/32, ARMST address)</t>
  </si>
  <si>
    <t xml:space="preserve">L38-40</t>
  </si>
  <si>
    <t xml:space="preserve">PACK.LIST.COMPU.05</t>
  </si>
  <si>
    <t xml:space="preserve">Out-of-stock '*' when IVMST attr 24 sums to 0 and no ship-after date</t>
  </si>
  <si>
    <t xml:space="preserve">L46,62-63</t>
  </si>
  <si>
    <t xml:space="preserve">PACK.LIST.COMPU.06</t>
  </si>
  <si>
    <t xml:space="preserve">Hard-coded warehouse address 2950 Turnpike Drive, Hatboro PA 19040</t>
  </si>
  <si>
    <t xml:space="preserve">PROCESS.EXPORT.01</t>
  </si>
  <si>
    <t xml:space="preserve">PROCESS.EXPORT</t>
  </si>
  <si>
    <t xml:space="preserve">Filename-keyed staging: CSV content in UPS.PERM record 'Export_sjl.csv'; header row skipped; columns 1 shipping#, 2 tracking#, 3 published cost, 4 negotiated cost, 5 packages, 6 void flag</t>
  </si>
  <si>
    <t xml:space="preserve">L23,51-54,74-75</t>
  </si>
  <si>
    <t xml:space="preserve">PROCESS.EXPORT.02</t>
  </si>
  <si>
    <t xml:space="preserve">Voided shipments (col 6 = 'Y') are ignored</t>
  </si>
  <si>
    <t xml:space="preserve">L54-55</t>
  </si>
  <si>
    <t xml:space="preserve">PROCESS.EXPORT.03</t>
  </si>
  <si>
    <t xml:space="preserve">Freight costs converted dollars -&gt; cents (ICONV MD2) and stored per tracking number; a tracking # already on the shipment is not updated again</t>
  </si>
  <si>
    <t xml:space="preserve">L75,79-84</t>
  </si>
  <si>
    <t xml:space="preserve">PROCESS.EXPORT.04</t>
  </si>
  <si>
    <t xml:space="preserve">For shipments with PACKAGES &gt; 1: totals packages, published and negotiated cost across tracking numbers into the first value and blanks per-package values</t>
  </si>
  <si>
    <t xml:space="preserve">L35-44,90-116</t>
  </si>
  <si>
    <t xml:space="preserve">PROCESS.EXPORT.05</t>
  </si>
  <si>
    <t xml:space="preserve">Comment says only last 5 days are updated and only when negotiated cost differs (10-03/10-14-11); CUTOFF computed but never used and no cost-difference check exists</t>
  </si>
  <si>
    <t xml:space="preserve">L5-6,22</t>
  </si>
  <si>
    <t xml:space="preserve">PURGE.UPS.01</t>
  </si>
  <si>
    <t xml:space="preserve">PURGE.UPS</t>
  </si>
  <si>
    <t xml:space="preserve">Filename-keyed staging: UPS WorldShip export CSVs from three workstations (suffix 1/2/4) concatenated; each reset to header row after reading</t>
  </si>
  <si>
    <t xml:space="preserve">L15-21</t>
  </si>
  <si>
    <t xml:space="preserve">PURGE.UPS.02</t>
  </si>
  <si>
    <t xml:space="preserve">CSV columns: 1 shipping #, 2 tracking #, 3 published cost, 4 negotiated cost (dollars -&gt; cents), 5 packages, 6 void (read but not acted on)</t>
  </si>
  <si>
    <t xml:space="preserve">PURGE.UPS.03</t>
  </si>
  <si>
    <t xml:space="preserve">Every export line appends tracking#/packages/pub cost/neg cost to SCANORD (no duplicate check, voids included)</t>
  </si>
  <si>
    <t xml:space="preserve">L37,88-91</t>
  </si>
  <si>
    <t xml:space="preserve">PURGE.UPS.04</t>
  </si>
  <si>
    <t xml:space="preserve">Shipments that appear in the export are removed from the pending UPS_DOM (and, nested, UPS_INT) import lists; UPS_DOM written back to all three station copies; UPS_DOM_2/_4 and UPS_INT_2/_4 deleted</t>
  </si>
  <si>
    <t xml:space="preserve">L23-29,38-52</t>
  </si>
  <si>
    <t xml:space="preserve">REM.PROD.ORDHIST.01</t>
  </si>
  <si>
    <t xml:space="preserve">REM.PROD.ORDHIST</t>
  </si>
  <si>
    <t xml:space="preserve">Product must appear at least twice on the order; operator picks occurrence 1 or 2 by quantity ordered</t>
  </si>
  <si>
    <t xml:space="preserve">L26-50</t>
  </si>
  <si>
    <t xml:space="preserve">REM.PROD.ORDHIST.02</t>
  </si>
  <si>
    <t xml:space="preserve">Deletes PROD, QUAN, QUAN.SHIP, DATE.SHIP, ORIG.QTY, ORIG.COST at that position (COST attr 4, COST.QTY, SP.PRICE etc. are not deleted)</t>
  </si>
  <si>
    <t xml:space="preserve">L54-56</t>
  </si>
  <si>
    <t xml:space="preserve">REPRINT.BO.01</t>
  </si>
  <si>
    <t xml:space="preserve">REPRINT.BO</t>
  </si>
  <si>
    <t xml:space="preserve">Shipping numbers on reprint = operator start number +1 per order; not recorded in NUMBER or CONTROL 'SN' (writes commented out)</t>
  </si>
  <si>
    <t xml:space="preserve">L12-13,28-30,54</t>
  </si>
  <si>
    <t xml:space="preserve">REPRINT.BO.02</t>
  </si>
  <si>
    <t xml:space="preserve">Ship-to precedence, UPS zone, "CHARGE SHIPPING" (VNORD attr 8 first value not &gt; 0) same as ORD.PRINT.04/07/08</t>
  </si>
  <si>
    <t xml:space="preserve">L39-41,56-58</t>
  </si>
  <si>
    <t xml:space="preserve">REPRINT.BO.03</t>
  </si>
  <si>
    <t xml:space="preserve">L18,63</t>
  </si>
  <si>
    <t xml:space="preserve">REPRINT.ORDERS.01</t>
  </si>
  <si>
    <t xml:space="preserve">REPRINT.ORDERS</t>
  </si>
  <si>
    <t xml:space="preserve">No rule differences from REPRINT.BO; only printer destination (AT WH8100) and DIM V(13) differ</t>
  </si>
  <si>
    <t xml:space="preserve">L6,29</t>
  </si>
  <si>
    <t xml:space="preserve">SCAN.ORD.01</t>
  </si>
  <si>
    <t xml:space="preserve">SCAN.ORD</t>
  </si>
  <si>
    <t xml:space="preserve">L1 `$ USE IV.INP.SCANORD` marks this program as superseded by IV.INP.SCANORD</t>
  </si>
  <si>
    <t xml:space="preserve">SCAN.ORD.02</t>
  </si>
  <si>
    <t xml:space="preserve">Ship number lookup: NUMBER record SN gives the VNORD key = NUMBER attr 4 : attr 2 (purpose of each part unclear). The order must exist in VNORD.</t>
  </si>
  <si>
    <t xml:space="preserve">L28-32</t>
  </si>
  <si>
    <t xml:space="preserve">SCAN.ORD.03</t>
  </si>
  <si>
    <t xml:space="preserve">A new SCANORD ticket is seeded from VNORD: attr 1 products = VNORD attr 2, attr 2 ordered qty = VNORD attr 3, attr 5 date = today, attr 6 start time, attr 8 member = VNORD attr 1</t>
  </si>
  <si>
    <t xml:space="preserve">SCAN.ORD.04</t>
  </si>
  <si>
    <t xml:space="preserve">Tickets already billed (SCANORD attr 10 BILLED non-blank) cannot be scanned. A closed ticket (attr 11 = 'C') needs "O" to reopen.</t>
  </si>
  <si>
    <t xml:space="preserve">SCAN.ORD.05</t>
  </si>
  <si>
    <t xml:space="preserve">The scanned product must be on the order (it is resolved through the IVCAT include, presumably UPC/alias to product). Quantities are whole numbers only. Blank qty = the full ordered qty. Cumulative shipped qty (attr 3) may not exceed the ordered qty. 'X' clears the line's previous entries.</t>
  </si>
  <si>
    <t xml:space="preserve">L49-74</t>
  </si>
  <si>
    <t xml:space="preserve">SCAN.ORD.06</t>
  </si>
  <si>
    <t xml:space="preserve">A qty entry of 12+ characters is treated as a scanned barcode: it becomes the next product with qty 1</t>
  </si>
  <si>
    <t xml:space="preserve">L69</t>
  </si>
  <si>
    <t xml:space="preserve">SCAN.ORD.07</t>
  </si>
  <si>
    <t xml:space="preserve">Finishing: 'P' = pending, 'C' = complete. Stores employee (attr 4) and stop time (attr 7). If 'C' and VNORD attr 8 TORD value 1 &lt; 1, status becomes 'NS' (meaning unclear). For anything not pending, a packing list is printed.</t>
  </si>
  <si>
    <t xml:space="preserve">L77-85</t>
  </si>
  <si>
    <t xml:space="preserve">SHIP.TICKET.01</t>
  </si>
  <si>
    <t xml:space="preserve">SHIP.TICKET</t>
  </si>
  <si>
    <t xml:space="preserve">No business logic (the program ends after the OPEN statements)</t>
  </si>
  <si>
    <t xml:space="preserve">L1-11</t>
  </si>
  <si>
    <t xml:space="preserve">TEST.OH.01</t>
  </si>
  <si>
    <t xml:space="preserve">TEST.OH</t>
  </si>
  <si>
    <t xml:space="preserve">Hard-coded order 21154 and product list (8362, 7280, 2986, 2979, 7676, 6548, 6997, 7004, 6017, 4155, 7343, 2597, 7216, 4851). Test data only, no business meaning.</t>
  </si>
  <si>
    <t xml:space="preserve">L4-5</t>
  </si>
  <si>
    <t xml:space="preserve">UPD.MEMEDI.01</t>
  </si>
  <si>
    <t xml:space="preserve">UPD.MEMEDI</t>
  </si>
  <si>
    <t xml:space="preserve">PRODUCT, PO, PRICING, VENDOR</t>
  </si>
  <si>
    <t xml:space="preserve">Filename-keyed staging: reads MEMEDI record 'ORDER.TXT', archives it to MEMEDI.PERM as ORDER_&lt;date&gt;_&lt;time&gt;, then deletes it. Orders are delimited by 'ENDOFINVOICE'. Header field positions come from the MEMEDI.FIELDS include (not available). Detail lines are blocks of 4 (product, qty, cost, desc) starting after field 10.</t>
  </si>
  <si>
    <t xml:space="preserve">L83-96, L136-141, L239-252</t>
  </si>
  <si>
    <t xml:space="preserve">UPD.MEMEDI.02</t>
  </si>
  <si>
    <t xml:space="preserve">Account field: chars 1-4 = member, chars 5-6 = alternate ship-to code (zero-padded), looked up as SHIPTO member*code (name, addr1, city/state/zip, zone)</t>
  </si>
  <si>
    <t xml:space="preserve">L100-103, L227-233</t>
  </si>
  <si>
    <t xml:space="preserve">UPD.MEMEDI.03</t>
  </si>
  <si>
    <t xml:space="preserve">Order cash discount (DISC) defaults to 2 when blank or 0</t>
  </si>
  <si>
    <t xml:space="preserve">L105-106</t>
  </si>
  <si>
    <t xml:space="preserve">UPD.MEMEDI.04</t>
  </si>
  <si>
    <t xml:space="preserve">Dating ("TERMS") field: free-form date digits are parsed into MM/DD/YY as the future-dating date (FTR). If it equals the standard due date, it is cleared (no dating).</t>
  </si>
  <si>
    <t xml:space="preserve">L108-121, L187-188</t>
  </si>
  <si>
    <t xml:space="preserve">UPD.MEMEDI.05</t>
  </si>
  <si>
    <t xml:space="preserve">Standard due date = the 10th of next month. After the 22nd: if the current month is still the open AR month (CONTROL 'UPD' attr 2), the operator must type OK. Otherwise the standard due moves to the 10th of the month after next.</t>
  </si>
  <si>
    <t xml:space="preserve">L62-78</t>
  </si>
  <si>
    <t xml:space="preserve">UPD.MEMEDI.06</t>
  </si>
  <si>
    <t xml:space="preserve">Duplicate guard: MEMEDIIDX member:PO holds the list of order dates already posted. The same member + PO + order date is rejected as "Already posted" and saved to MEMEDI 'EDIDUPS'.</t>
  </si>
  <si>
    <t xml:space="preserve">L124-134, L457-460</t>
  </si>
  <si>
    <t xml:space="preserve">UPD.MEMEDI.07</t>
  </si>
  <si>
    <t xml:space="preserve">Total check: sum(qty x cost x 100) (+ SHIP, always 0) must be within 100 cents ($1.00) of the header total (dollars to cents), otherwise the whole order is rejected and saved to MEMEDI 'EDIAMTS'</t>
  </si>
  <si>
    <t xml:space="preserve">L136-162</t>
  </si>
  <si>
    <t xml:space="preserve">UPD.MEMEDI.08</t>
  </si>
  <si>
    <t xml:space="preserve">Non-numeric qty or cost is logged and the line is set to qty 0/cost 0</t>
  </si>
  <si>
    <t xml:space="preserve">L142-150, L241-249</t>
  </si>
  <si>
    <t xml:space="preserve">UPD.MEMEDI.09</t>
  </si>
  <si>
    <t xml:space="preserve">Member must exist in ARMST. Credit hold (ARMST attr 27 CRED.STAT &gt; 0) rejects the whole order.</t>
  </si>
  <si>
    <t xml:space="preserve">L192-199, L217-224</t>
  </si>
  <si>
    <t xml:space="preserve">UPD.MEMEDI.10</t>
  </si>
  <si>
    <t xml:space="preserve">Hard-coded member 1000 ("Larmon"): order cost total is pre-seeded to 60000 cents, so freight is always prepaid (free)</t>
  </si>
  <si>
    <t xml:space="preserve">L225, L234, L407-408</t>
  </si>
  <si>
    <t xml:space="preserve">UPD.MEMEDI.11</t>
  </si>
  <si>
    <t xml:space="preserve">Hard-coded member 9985: the alternate ship-to block is always written into the vendor order and IVORD ship info, even when blank</t>
  </si>
  <si>
    <t xml:space="preserve">L401-405</t>
  </si>
  <si>
    <t xml:space="preserve">UPD.MEMEDI.12</t>
  </si>
  <si>
    <t xml:space="preserve">Product alias resolution: IVCAT attr 1 maps the ordered number to the PRO product. The product must exist in IVMST.</t>
  </si>
  <si>
    <t xml:space="preserve">L259-267</t>
  </si>
  <si>
    <t xml:space="preserve">UPD.MEMEDI.13</t>
  </si>
  <si>
    <t xml:space="preserve">Line rejected if IVMST COST (attr 8, PRICE-1) &lt; 0 ("No Cost in IVMST")</t>
  </si>
  <si>
    <t xml:space="preserve">L270-277</t>
  </si>
  <si>
    <t xml:space="preserve">UPD.MEMEDI.14</t>
  </si>
  <si>
    <t xml:space="preserve">Suspended product (IVMST attr 15 STATUS &gt; 0): available = sum PO.QTY (attr 21) + sum BO.QTY (attr 23) + sum QTY.REC (attr 24) - REQ (attr 3). If &lt; 1 the line is rejected. If qty &gt; available, qty is cut to available.</t>
  </si>
  <si>
    <t xml:space="preserve">L278-299</t>
  </si>
  <si>
    <t xml:space="preserve">UPD.MEMEDI.15</t>
  </si>
  <si>
    <t xml:space="preserve">Hard-coded group limit: product group (IVMST attr 6) &lt; 3 ("Lenses") rejects qty &gt; 50</t>
  </si>
  <si>
    <t xml:space="preserve">L300-301</t>
  </si>
  <si>
    <t xml:space="preserve">UPD.MEMEDI.16</t>
  </si>
  <si>
    <t xml:space="preserve">Hard-coded group limit: group 10 ("Tripods") rejects qty &gt; 144</t>
  </si>
  <si>
    <t xml:space="preserve">L302</t>
  </si>
  <si>
    <t xml:space="preserve">UPD.MEMEDI.17</t>
  </si>
  <si>
    <t xml:space="preserve">Hard-coded group limit: group 19 ("Filters") rejects qty &gt; 900</t>
  </si>
  <si>
    <t xml:space="preserve">L303</t>
  </si>
  <si>
    <t xml:space="preserve">UPD.MEMEDI.18</t>
  </si>
  <si>
    <t xml:space="preserve">Any line with qty &gt; 1000 is rejected</t>
  </si>
  <si>
    <t xml:space="preserve">L304</t>
  </si>
  <si>
    <t xml:space="preserve">UPD.MEMEDI.19</t>
  </si>
  <si>
    <t xml:space="preserve">PRICING: the line cost is the member-supplied EDI cost (dollars x 100 = cents). It is NOT checked against IVMST pricing in this version (UPD.MEMEDI.TST adds the check).</t>
  </si>
  <si>
    <t xml:space="preserve">L250, L313-316, L327</t>
  </si>
  <si>
    <t xml:space="preserve">UPD.MEMEDI.20</t>
  </si>
  <si>
    <t xml:space="preserve">Qty = 0 after validation stops processing with "CRITICAL ERROR - contact Computyme" until the operator types OK.TO.CONTINUE</t>
  </si>
  <si>
    <t xml:space="preserve">L318-325</t>
  </si>
  <si>
    <t xml:space="preserve">UPD.MEMEDI.21</t>
  </si>
  <si>
    <t xml:space="preserve">Credit-limit check (in dollars): exposure = INT((order total + open vendor POs (VENDORD sum attr 4 - sum attr 5 billed) + ARMST balance attr 15 + open orders attr 17 - VN.CRED attr 22) / 100). If it exceeds the credit limit (ARMST attr 7), an error is logged, but the order is STILL posted.</t>
  </si>
  <si>
    <t xml:space="preserve">L212-215, L237, L330-348</t>
  </si>
  <si>
    <t xml:space="preserve">UPD.MEMEDI.22</t>
  </si>
  <si>
    <t xml:space="preserve">Missing vendor (IVMST attr 5 VEND blank) forces an operator OK ("internal program error") but the order continues</t>
  </si>
  <si>
    <t xml:space="preserve">L317, L355-360</t>
  </si>
  <si>
    <t xml:space="preserve">UPD.MEMEDI.23</t>
  </si>
  <si>
    <t xml:space="preserve">Order number = CONTROL 'ORD' attr 1 (if missing, the operator enters the last known number and the program scans IVORD forward). Above 99998 it wraps to 10000.</t>
  </si>
  <si>
    <t xml:space="preserve">L361-379</t>
  </si>
  <si>
    <t xml:space="preserve">UPD.MEMEDI.24</t>
  </si>
  <si>
    <t xml:space="preserve">Vendor split: each line goes to VNORD `&lt;IVMST vendor&gt;&lt;order#&gt;`. New VNORD gets member (1), date (4), PO (5), ship (6), instructions (7), ship-to (9), UPS zone (11). Product/qty are appended to 2/3.</t>
  </si>
  <si>
    <t xml:space="preserve">L381-412, L435</t>
  </si>
  <si>
    <t xml:space="preserve">UPD.MEMEDI.25</t>
  </si>
  <si>
    <t xml:space="preserve">Hard-coded vendor 992: instructions are suppressed on the vendor order when they start with "2" and the vendor is 992 (also when they start with "1" for any vendor, depending on AND/OR precedence)</t>
  </si>
  <si>
    <t xml:space="preserve">L400</t>
  </si>
  <si>
    <t xml:space="preserve">UPD.MEMEDI.26</t>
  </si>
  <si>
    <t xml:space="preserve">Free freight: VNORD attr 8 value 1 and IVORD FREE.SHIP = 1 when the order cost total &gt; 59999 cents ($600). The threshold is hard-coded.</t>
  </si>
  <si>
    <t xml:space="preserve">L409</t>
  </si>
  <si>
    <t xml:space="preserve">UPD.MEMEDI.27</t>
  </si>
  <si>
    <t xml:space="preserve">Group 10 (tripod) quantities are accumulated in VNORD attr 8 value 2, IVORD FREE.SHIP value 2 and the order's COST.QTY value 2 (purpose of the tripod count is unclear)</t>
  </si>
  <si>
    <t xml:space="preserve">L315, L431-434, L438</t>
  </si>
  <si>
    <t xml:space="preserve">UPD.MEMEDI.28</t>
  </si>
  <si>
    <t xml:space="preserve">Demand update: IVMST attr 3 REQ (member ordered) += qty, and attr 17 MORD value &lt;open month&gt; += qty (monthly ordered)</t>
  </si>
  <si>
    <t xml:space="preserve">L427-429</t>
  </si>
  <si>
    <t xml:space="preserve">UPD.MEMEDI.29</t>
  </si>
  <si>
    <t xml:space="preserve">ARMST attr 17 ORDERS += order total (cents)</t>
  </si>
  <si>
    <t xml:space="preserve">L353, L437</t>
  </si>
  <si>
    <t xml:space="preserve">UPD.MEMEDI.30</t>
  </si>
  <si>
    <t xml:space="preserve">IVORD and ORDHIST `&lt;order#&gt;` written with member, products, qty, cost, date, PO, instructions (folded to 2 x 24 chars), COST.QTY (total cost, tripod qty), DISC, FTR, WEBORDER = online order number, timestamp</t>
  </si>
  <si>
    <t xml:space="preserve">L349-352, L438-456</t>
  </si>
  <si>
    <t xml:space="preserve">UPD.MEMEDI.31</t>
  </si>
  <si>
    <t xml:space="preserve">Every validation error is written to WEBERRORS key `&lt;date&gt;*&lt;time&gt;*&lt;n&gt;` (online#, member, PO, product, message), and today's WEBERRORS are printed at the end</t>
  </si>
  <si>
    <t xml:space="preserve">L179, L467-472</t>
  </si>
  <si>
    <t xml:space="preserve">UPD.MEMEDI.TST.01</t>
  </si>
  <si>
    <t xml:space="preserve">UPD.MEMEDI.TST</t>
  </si>
  <si>
    <t xml:space="preserve">Staging id is entered by the operator instead of 'ORDER.TXT'. No archive to MEMEDI.PERM. No writes to IVMST, VNORD, ARMST, IVORD, ORDHIST, MEMEDIIDX or CONTROL 'ORD'.</t>
  </si>
  <si>
    <t xml:space="preserve">L91-96, L408-499</t>
  </si>
  <si>
    <t xml:space="preserve">UPD.MEMEDI.TST.02</t>
  </si>
  <si>
    <t xml:space="preserve">Header-vs-detail total tolerance raised to 10,000,000 cents, which effectively disables the check</t>
  </si>
  <si>
    <t xml:space="preserve">L163</t>
  </si>
  <si>
    <t xml:space="preserve">UPD.MEMEDI.TST.03</t>
  </si>
  <si>
    <t xml:space="preserve">Lens limit (group &lt; 3) raised from 50 to 200 (comment dated 12-29-10)</t>
  </si>
  <si>
    <t xml:space="preserve">L312-314</t>
  </si>
  <si>
    <t xml:space="preserve">UPD.MEMEDI.TST.04</t>
  </si>
  <si>
    <t xml:space="preserve">New rule: if IVMST attr 16 MULT (order multiple) &gt; 0, the qty must be a multiple of it or the line is rejected</t>
  </si>
  <si>
    <t xml:space="preserve">L318-319</t>
  </si>
  <si>
    <t xml:space="preserve">UPD.MEMEDI.TST.05</t>
  </si>
  <si>
    <t xml:space="preserve">New PRICING rule ("Always use PRO pricing from IVMST", 04-20-11). Price = INT(SC x IVMST attr 8 PRICE-1 + 0.5), where SC is the string '1.0' concatenated with IVMST attr 12 (S/C PCT), e.g. 5 -&gt; 1.05. If attr 7 SP-QTY &gt; 0, attr 9 PRICE-2 &gt; 0 and qty &gt; SP-QTY, PRICE-2 is used instead (quantity break). When this differs from the member-sent cost, a "Price Change" error is logged and the PRO price replaces it.</t>
  </si>
  <si>
    <t xml:space="preserve">L330-342</t>
  </si>
  <si>
    <t xml:space="preserve">UPD.MEMEDI.TST.06</t>
  </si>
  <si>
    <t xml:space="preserve">ARMST lock wait is 120 s and then requires the operator to type OK. The DEBUG at L97 is removed.</t>
  </si>
  <si>
    <t xml:space="preserve">L209-219</t>
  </si>
  <si>
    <t xml:space="preserve">UPD.SCANORD.UPS.01</t>
  </si>
  <si>
    <t xml:space="preserve">UPD.SCANORD.UPS</t>
  </si>
  <si>
    <t xml:space="preserve">Staging: UPS.PERM records with ids like EXP... dated within the last 5 days, as CSV lines (header skipped) with field 1 ship#, 2 tracking#, 3 published cost, 4 negotiated cost (dollars to cents), 5 packages, 6 void flag</t>
  </si>
  <si>
    <t xml:space="preserve">L22-31, L50-57, L74-75</t>
  </si>
  <si>
    <t xml:space="preserve">UPD.SCANORD.UPS.02</t>
  </si>
  <si>
    <t xml:space="preserve">Voided shipments (field 6 = 'Y') are ignored</t>
  </si>
  <si>
    <t xml:space="preserve">UPD.SCANORD.UPS.03</t>
  </si>
  <si>
    <t xml:space="preserve">A tracking number not already on the ticket is appended to SCANORD attr 15 with matching packages (16), published cost (17) and negotiated cost (18). Duplicates are skipped.</t>
  </si>
  <si>
    <t xml:space="preserve">L73-88</t>
  </si>
  <si>
    <t xml:space="preserve">UPD.SCANORD.UPS.04</t>
  </si>
  <si>
    <t xml:space="preserve">For tickets with PACKAGES &gt; 1, package count and published/negotiated costs are summed into a single value per ticket while all tracking numbers are kept</t>
  </si>
  <si>
    <t xml:space="preserve">L35-44, L90-116</t>
  </si>
  <si>
    <t xml:space="preserve">UPD.UPS.01</t>
  </si>
  <si>
    <t xml:space="preserve">UPD.UPS</t>
  </si>
  <si>
    <t xml:space="preserve">Ship-to address: the vendor order's SHIP.INFO if present, else ARMST SHIP.STREET (attr 31) / SHIP.CSZ (attr 32), else ARMST street/city/state/zip. Name 2 defaults to 'RECEIVING'.</t>
  </si>
  <si>
    <t xml:space="preserve">L45-63</t>
  </si>
  <si>
    <t xml:space="preserve">UPD.UPS.02</t>
  </si>
  <si>
    <t xml:space="preserve">Hard-coded zone 10 = Canada: ARMST UPS zone (attr 25) other than 10 becomes 1. ARMST AIR (attr 39), if set, overrides the zone. Zone 10 means country 'CA', otherwise 'US'.</t>
  </si>
  <si>
    <t xml:space="preserve">UPD.UPS.03</t>
  </si>
  <si>
    <t xml:space="preserve">Backorder tickets (SCANORD type 'B') always ship ground (zone 1) unless Canada</t>
  </si>
  <si>
    <t xml:space="preserve">L71</t>
  </si>
  <si>
    <t xml:space="preserve">UPD.UPS.04</t>
  </si>
  <si>
    <t xml:space="preserve">Declared insurance value is hard-coded at "100.00" per shipment</t>
  </si>
  <si>
    <t xml:space="preserve">UPD.UPS.05</t>
  </si>
  <si>
    <t xml:space="preserve">A ship# already in today's file is not written again</t>
  </si>
  <si>
    <t xml:space="preserve">L77-79</t>
  </si>
  <si>
    <t xml:space="preserve">UPD.UPS.06</t>
  </si>
  <si>
    <t xml:space="preserve">Canada consolidation: if the member already has a line in the file, the first ship# becomes the master and later ship#s are appended to REF4. The existing line is replaced.</t>
  </si>
  <si>
    <t xml:space="preserve">L81-86</t>
  </si>
  <si>
    <t xml:space="preserve">UPD.UPS.07</t>
  </si>
  <si>
    <t xml:space="preserve">DOM CSV layout (19 fields: ship#, member, names, address, zip, city, state, phone, zone, country, insurance, PO as REF2, REF3-5, notes, internal date, zone)</t>
  </si>
  <si>
    <t xml:space="preserve">L14-18, L90-95</t>
  </si>
  <si>
    <t xml:space="preserve">UPD.UPS.08</t>
  </si>
  <si>
    <t xml:space="preserve">Canada customs lines per shipped product on the vendor order: description = IVMST attr 4 (default 'MERCHANDICE', quotes/commas stripped), country of origin = IVMST COO (attr 52, default 'USA'), HS code = IVMST attr 53 without dots, unit value = IVMST NET.1 (attr 8, PRICE-1) in dollars, USD, UOM EACH, general description "PHOTO PRODUCTS"</t>
  </si>
  <si>
    <t xml:space="preserve">L101-129</t>
  </si>
  <si>
    <t xml:space="preserve">UPD.UPS.09</t>
  </si>
  <si>
    <t xml:space="preserve">Three identical copies of each CSV (.CSV, _2.CSV, _4.CSV) are maintained, presumably one per WorldShip station</t>
  </si>
  <si>
    <t xml:space="preserve">L97-99, L127-129</t>
  </si>
  <si>
    <t xml:space="preserve">UPD.WEBORDERS.01</t>
  </si>
  <si>
    <t xml:space="preserve">UPD.WEBORDERS</t>
  </si>
  <si>
    <t xml:space="preserve">Filename-keyed staging: WEBORDERS 'TEST_ORDER.TXT' is archived to WEBORD.PERM ORDER_&lt;date&gt;_&lt;time&gt; and deleted. Each CSV line (1 member, 2 web order#, 3 PO, 4 product, 5 qty, 6 price in dollars, 7 dating date MMDDYY, 8 terms/discount, 9 ship-after MMDDYY) is re-staged as WEBORDERS record &lt;seq&gt;</t>
  </si>
  <si>
    <t xml:space="preserve">L67-84</t>
  </si>
  <si>
    <t xml:space="preserve">UPD.WEBORDERS.02</t>
  </si>
  <si>
    <t xml:space="preserve">Duplicate guard: if WEBORD.PERM `&lt;member&gt;*&lt;web order#&gt;` already exists, an error is logged and ALL remaining lines for that member in this run are skipped</t>
  </si>
  <si>
    <t xml:space="preserve">L109-114, L405-412</t>
  </si>
  <si>
    <t xml:space="preserve">UPD.WEBORDERS.03</t>
  </si>
  <si>
    <t xml:space="preserve">Order grouping: lines sorted by member, web order, bill date, discount. A new PRO order is started when member, dating date or discount changes. Web order number alone does NOT start a new order, so several web orders with the same member/date/discount merge into one PRO order.</t>
  </si>
  <si>
    <t xml:space="preserve">L87, L115-142</t>
  </si>
  <si>
    <t xml:space="preserve">UPD.WEBORDERS.04</t>
  </si>
  <si>
    <t xml:space="preserve">Standard due date = the 10th of next month (moved a month later after the 22nd when the AR month is already closed). The operator must type OK after the 22nd when the month is still open, and "DEBUG" bypasses this. A web dating date equal to the standard due means no future dating (FTR = '').</t>
  </si>
  <si>
    <t xml:space="preserve">L47-63, L116-121</t>
  </si>
  <si>
    <t xml:space="preserve">UPD.WEBORDERS.05</t>
  </si>
  <si>
    <t xml:space="preserve">Member must exist in ARMST. If locked for more than 60 s, the member is skipped. Credit hold (ARMST attr 27 &gt; 0) skips the member's orders.</t>
  </si>
  <si>
    <t xml:space="preserve">L144-170</t>
  </si>
  <si>
    <t xml:space="preserve">UPD.WEBORDERS.06</t>
  </si>
  <si>
    <t xml:space="preserve">Hard-coded member 1000 ("Larmon"): freight always prepaid (order cost total pre-seeded to 60000 cents)</t>
  </si>
  <si>
    <t xml:space="preserve">L171-172, L331-332</t>
  </si>
  <si>
    <t xml:space="preserve">UPD.WEBORDERS.07</t>
  </si>
  <si>
    <t xml:space="preserve">Hard-coded member 9985 ("IPI members"): the special ship-to logic is commented out, but blank ship-to info is still written to VNORD/IVORD for this member</t>
  </si>
  <si>
    <t xml:space="preserve">L176-186, L325-329</t>
  </si>
  <si>
    <t xml:space="preserve">UPD.WEBORDERS.08</t>
  </si>
  <si>
    <t xml:space="preserve">Product alias via IVCAT attr 1. The product must be in IVMST. IVMST COST (attr 8) &lt; 0 rejects the line.</t>
  </si>
  <si>
    <t xml:space="preserve">L189-207</t>
  </si>
  <si>
    <t xml:space="preserve">UPD.WEBORDERS.09</t>
  </si>
  <si>
    <t xml:space="preserve">Suspended product (IVMST attr 15 &gt; 0): rejected if on-order + backorder + received - requested &lt; 1. Then, using available = received (attr 24) - requested (attr 3) only, a line with qty &gt; available is rejected (not reduced, unlike UPD.MEMEDI).</t>
  </si>
  <si>
    <t xml:space="preserve">L208-224</t>
  </si>
  <si>
    <t xml:space="preserve">UPD.WEBORDERS.10</t>
  </si>
  <si>
    <t xml:space="preserve">PRICING: the line cost is the web price x 100 (cents) as sent by the web site. The IVMST price calculation (PRICE-1 x (1.0 &amp; S/C pct), or PRICE-2 when qty &gt;= SP-QTY) is commented out, so web prices are trusted without validation.</t>
  </si>
  <si>
    <t xml:space="preserve">L219, L234-239</t>
  </si>
  <si>
    <t xml:space="preserve">UPD.WEBORDERS.11</t>
  </si>
  <si>
    <t xml:space="preserve">Hard-coded group 1-2 (group &lt; 3, "Lenses"): qty &gt; 50 is flagged "Large Quantity" but the line is still accepted</t>
  </si>
  <si>
    <t xml:space="preserve">L225-226, L230-233</t>
  </si>
  <si>
    <t xml:space="preserve">UPD.WEBORDERS.12</t>
  </si>
  <si>
    <t xml:space="preserve">Hard-coded group 10 ("Tripods"): qty &gt; 144 is flagged but accepted</t>
  </si>
  <si>
    <t xml:space="preserve">L227</t>
  </si>
  <si>
    <t xml:space="preserve">UPD.WEBORDERS.13</t>
  </si>
  <si>
    <t xml:space="preserve">Hard-coded group 19 ("Filters"): qty &gt; 900 is flagged but accepted (comment says 300)</t>
  </si>
  <si>
    <t xml:space="preserve">L228</t>
  </si>
  <si>
    <t xml:space="preserve">UPD.WEBORDERS.14</t>
  </si>
  <si>
    <t xml:space="preserve">Any qty &gt; 100 is flagged but accepted (comment "Other mds=100"; UPD.MEMEDI rejects &gt; 1000)</t>
  </si>
  <si>
    <t xml:space="preserve">L229</t>
  </si>
  <si>
    <t xml:space="preserve">UPD.WEBORDERS.15</t>
  </si>
  <si>
    <t xml:space="preserve">Credit-limit exposure = (order total + open vendor POs + balance + open orders - VN.CRED)/100 compared to ARMST attr 7. If over, an error is logged and the order is STILL posted.</t>
  </si>
  <si>
    <t xml:space="preserve">L161-164, L187, L259-268</t>
  </si>
  <si>
    <t xml:space="preserve">UPD.WEBORDERS.16</t>
  </si>
  <si>
    <t xml:space="preserve">Ship-after date (field 9) goes to IVORD SHIP</t>
  </si>
  <si>
    <t xml:space="preserve">L272-276</t>
  </si>
  <si>
    <t xml:space="preserve">UPD.WEBORDERS.17</t>
  </si>
  <si>
    <t xml:space="preserve">Order number from CONTROL 'ORD' (wraps 99998 to 10000). Vendor split into VNORD `&lt;vendor&gt;&lt;order#&gt;`, same as UPD.MEMEDI.23-24.</t>
  </si>
  <si>
    <t xml:space="preserve">L285-336</t>
  </si>
  <si>
    <t xml:space="preserve">UPD.WEBORDERS.18</t>
  </si>
  <si>
    <t xml:space="preserve">Hard-coded vendor 992: instruction suppression on the vendor order (always blank here since web instructions are blank)</t>
  </si>
  <si>
    <t xml:space="preserve">L269-271, L324</t>
  </si>
  <si>
    <t xml:space="preserve">UPD.WEBORDERS.19</t>
  </si>
  <si>
    <t xml:space="preserve">Free freight when the order cost total &gt; 59999 cents ($600). Group 10 qty is accumulated in VNORD attr 8 value 2 / IVORD FREE.SHIP value 2.</t>
  </si>
  <si>
    <t xml:space="preserve">L333, L355</t>
  </si>
  <si>
    <t xml:space="preserve">UPD.WEBORDERS.20</t>
  </si>
  <si>
    <t xml:space="preserve">IVMST attr 3 REQ += qty and attr 17 MORD &lt;open month&gt; += qty. ARMST attr 17 ORDERS += order total.</t>
  </si>
  <si>
    <t xml:space="preserve">L277, L351-353, L358</t>
  </si>
  <si>
    <t xml:space="preserve">UPD.WEBORDERS.21</t>
  </si>
  <si>
    <t xml:space="preserve">IVORD/ORDHIST get COST.QTY, DISC, FTR and WEBORDER = web order#. Special instructions are blank.</t>
  </si>
  <si>
    <t xml:space="preserve">L269-271, L359-377</t>
  </si>
  <si>
    <t xml:space="preserve">UPD.WEBORDERS.22</t>
  </si>
  <si>
    <t xml:space="preserve">Processed lines are appended to WEBORD.PERM `&lt;member&gt;*&lt;web order#&gt;` (this is also the duplicate key), and the WEBORDERS seq records are deleted</t>
  </si>
  <si>
    <t xml:space="preserve">L378-398</t>
  </si>
  <si>
    <t xml:space="preserve">UPD.WEBORDERS.23</t>
  </si>
  <si>
    <t xml:space="preserve">Errors go to WEBERRORS key `&lt;date&gt;*&lt;time&gt;`, with a 1-second sleep to avoid key collisions</t>
  </si>
  <si>
    <t xml:space="preserve">L399-404</t>
  </si>
  <si>
    <t xml:space="preserve">EDI.CREDIT.01</t>
  </si>
  <si>
    <t xml:space="preserve">EDI.CREDIT</t>
  </si>
  <si>
    <t xml:space="preserve">Staging: all credits arrive in one record EDI 'CREDITS'; invoices separated by 'ENDOFINVOICE' line; header fields 1=vendor(APMST id), 2=member, 3=invoice date, 4=invoice #, 5=PO, 6=terms %, 7=due date, 8=amount, 9=shipping; then 4-line detail groups (qty, cost, vendor prod, desc)</t>
  </si>
  <si>
    <t xml:space="preserve">L51-74,L82-174</t>
  </si>
  <si>
    <t xml:space="preserve">EDI.CREDIT.02</t>
  </si>
  <si>
    <t xml:space="preserve">Abort if CONTROL 'UPD' attr 1 &gt; 2 (control/run state; purpose unclear)</t>
  </si>
  <si>
    <t xml:space="preserve">L31-32</t>
  </si>
  <si>
    <t xml:space="preserve">EDI.CREDIT.03</t>
  </si>
  <si>
    <t xml:space="preserve">Vendor must exist in APMST and member in ARMST; otherwise the invoice is appended to EDI 'ERROR' and skipped</t>
  </si>
  <si>
    <t xml:space="preserve">L83-105</t>
  </si>
  <si>
    <t xml:space="preserve">EDI.CREDIT.04</t>
  </si>
  <si>
    <t xml:space="preserve">APMST vendor mapped to VNMST via VNIDX attr 1; VNMST attr 15 ADMDAYS and attr 14 SPCDED used in terms</t>
  </si>
  <si>
    <t xml:space="preserve">L91-95</t>
  </si>
  <si>
    <t xml:space="preserve">EDI.CREDIT.05</t>
  </si>
  <si>
    <t xml:space="preserve">Billing cutoff: if today is after the 22nd, the billing month start (DAY.ONE) is moved forward by CONTROL 'DAYS' days for the month</t>
  </si>
  <si>
    <t xml:space="preserve">L37-46</t>
  </si>
  <si>
    <t xml:space="preserve">EDI.CREDIT.06</t>
  </si>
  <si>
    <t xml:space="preserve">Member due date: day = APMST attr 10 DUE.DAYS; month = invoice month+1 if invoice day &lt; 26 and invoice date &gt;= billing month start, else +2</t>
  </si>
  <si>
    <t xml:space="preserve">L111-120</t>
  </si>
  <si>
    <t xml:space="preserve">EDI.CREDIT.07</t>
  </si>
  <si>
    <t xml:space="preserve">Future-terms count FTR by days between vendor due date and today less ADMDAYS: &lt;=45 -&gt;0, 46-76 -&gt;1, 77-107 -&gt;2, 108-137 -&gt;3, else 4; due month pushed forward FTR months; +1 if early-month invoice before billing month start (only in first two bands)</t>
  </si>
  <si>
    <t xml:space="preserve">L123-145</t>
  </si>
  <si>
    <t xml:space="preserve">EDI.CREDIT.08</t>
  </si>
  <si>
    <t xml:space="preserve">Vendor discount APMST attr 9 PCT: if &gt; 20 it is treated as a flat whole-dollar amount (x100 cents) else a percent rounded; result NET is computed but never stored</t>
  </si>
  <si>
    <t xml:space="preserve">EDI.CREDIT.09</t>
  </si>
  <si>
    <t xml:space="preserve">Surcharge SRCH = round(AMT * APMST attr 30 SRCH / 1000) (attr 30 in tenths of a percent, AMT in cents); added into amount only when APMST attr 29 CODE = 2</t>
  </si>
  <si>
    <t xml:space="preserve">L155-157</t>
  </si>
  <si>
    <t xml:space="preserve">EDI.CREDIT.10</t>
  </si>
  <si>
    <t xml:space="preserve">Member terms text = (EDI terms % - APMST attr 30/10 - VNMST SPCDED) as "N% " else "NET ", followed by computed due date</t>
  </si>
  <si>
    <t xml:space="preserve">EDI.CREDIT.11</t>
  </si>
  <si>
    <t xml:space="preserve">Credit sequence number from CONTROL 'EDIC' attr 1, +1, wraps to 1 at 99999; EDICREDITS key = member:seq</t>
  </si>
  <si>
    <t xml:space="preserve">L163-165,L180</t>
  </si>
  <si>
    <t xml:space="preserve">EDI.CREDIT.12</t>
  </si>
  <si>
    <t xml:space="preserve">EDICREDITS layout: 1=inv date, 2=vendor, 4=amount, 5=PO, 6=terms text, 7=vendor invoice #, 8=surcharge, 9=vendor, 10-13 detail vendor prod/desc/qty/cost(cents)</t>
  </si>
  <si>
    <t xml:space="preserve">L166-174</t>
  </si>
  <si>
    <t xml:space="preserve">EDI.CREDIT.13</t>
  </si>
  <si>
    <t xml:space="preserve">Shipping amount added as a detail line with hard-coded product code 9999 "Shipping Charges" qty 1</t>
  </si>
  <si>
    <t xml:space="preserve">L175-179</t>
  </si>
  <si>
    <t xml:space="preserve">EDI.CREDIT.14</t>
  </si>
  <si>
    <t xml:space="preserve">Grand total of credits displayed; staging record deleted at end</t>
  </si>
  <si>
    <t xml:space="preserve">L184-185</t>
  </si>
  <si>
    <t xml:space="preserve">EDI.CREDITS.01</t>
  </si>
  <si>
    <t xml:space="preserve">EDI.CREDITS</t>
  </si>
  <si>
    <t xml:space="preserve">VENDOR, PO, PRICING</t>
  </si>
  <si>
    <t xml:space="preserve">Staging: single record EDI 'DATA' holds all invoices separated by 'ENDOFINVOICE'; header 1=APMST vendor, 2=member, 3=inv date, 4=vendor inv #, 5=PO, 6=terms %, 7=vendor due date, 8=amount (dollars, ICONV MD2 to cents), 9=shipping; 4-line detail groups qty/cost/vendor prod/desc</t>
  </si>
  <si>
    <t xml:space="preserve">L66-102,L132,L168,L303-309</t>
  </si>
  <si>
    <t xml:space="preserve">EDI.CREDITS.02</t>
  </si>
  <si>
    <t xml:space="preserve">Abort if CONTROL 'UPD' attr 1 &gt; 2 (control state; purpose unclear)</t>
  </si>
  <si>
    <t xml:space="preserve">EDI.CREDITS.03</t>
  </si>
  <si>
    <t xml:space="preserve">AP batch number from CONTROL 'APBAT' attr 1 (incremented each run, zero-padded to 3 digits) and period from 'APPER'; APDIST id piece = PERIOD:BATCH:counter</t>
  </si>
  <si>
    <t xml:space="preserve">L42-47,L273</t>
  </si>
  <si>
    <t xml:space="preserve">EDI.CREDITS.04</t>
  </si>
  <si>
    <t xml:space="preserve">After the 22nd of the month in the billing month (CONTROL 'UPD' attr 2), operator must type OK to continue; billing-month start DAY.ONE then moved forward by CONTROL 'DAYS'&lt;month&gt; days</t>
  </si>
  <si>
    <t xml:space="preserve">L52-61</t>
  </si>
  <si>
    <t xml:space="preserve">EDI.CREDITS.05</t>
  </si>
  <si>
    <t xml:space="preserve">Negative-amount invoices (credits) are not billed: whole raw invoice written to EDICREDITS under next free number from CONTROL 'NEXT.EDICR', and reported as an error line for manual handling</t>
  </si>
  <si>
    <t xml:space="preserve">EDI.CREDITS.06</t>
  </si>
  <si>
    <t xml:space="preserve">Vendor must exist in APMST and member in ARMST, else invoice appended to EDI 'ERROR' and skipped</t>
  </si>
  <si>
    <t xml:space="preserve">L133-157</t>
  </si>
  <si>
    <t xml:space="preserve">EDI.CREDITS.07</t>
  </si>
  <si>
    <t xml:space="preserve">Duplicate check: if APHIST already has key vendor*invoice#, invoice rejected to EDI 'ERROR'</t>
  </si>
  <si>
    <t xml:space="preserve">L170-186</t>
  </si>
  <si>
    <t xml:space="preserve">EDI.CREDITS.08</t>
  </si>
  <si>
    <t xml:space="preserve">L187-197</t>
  </si>
  <si>
    <t xml:space="preserve">EDI.CREDITS.09</t>
  </si>
  <si>
    <t xml:space="preserve">Future-terms months FTR from (vendor due date - today - VNMST attr 15 ADMDAYS): &lt;=45 -&gt;0, 46-76 -&gt;1, 77-107 -&gt;2, 108-137 -&gt;3, else 4; member due month pushed FTR months; FTR+1 when invoice day &lt; 26 and before billing month start (bands 0-1 only)</t>
  </si>
  <si>
    <t xml:space="preserve">L198-222,L7</t>
  </si>
  <si>
    <t xml:space="preserve">EDI.CREDITS.10</t>
  </si>
  <si>
    <t xml:space="preserve">Vendor AP discount from APMST attr 9 PCT: &gt; 20 treated as flat dollar amount x100, else percent rounded; gives AP NET</t>
  </si>
  <si>
    <t xml:space="preserve">L225-230</t>
  </si>
  <si>
    <t xml:space="preserve">EDI.CREDITS.11</t>
  </si>
  <si>
    <t xml:space="preserve">PO tracking: if invoice PO is in member's VENDORD for that vendor, add amount to VENDORD attr 5 BILLED; when BILLED &gt; 90% of attr 4 AMOUNT the PO line is removed (considered fully billed)</t>
  </si>
  <si>
    <t xml:space="preserve">L231-247</t>
  </si>
  <si>
    <t xml:space="preserve">EDI.CREDITS.12</t>
  </si>
  <si>
    <t xml:space="preserve">Member surcharge SRCH = round(AMT x APMST attr 30 SRCH / 1000) (tenths of a percent, cents), added to the billed amount only when APMST attr 29 CODE = 2</t>
  </si>
  <si>
    <t xml:space="preserve">L250-252</t>
  </si>
  <si>
    <t xml:space="preserve">EDI.CREDITS.13</t>
  </si>
  <si>
    <t xml:space="preserve">Hard-coded vendors 497, 569 (comment: charge back) and 1322 skip the IVEND member-by-vendor purchase accumulation</t>
  </si>
  <si>
    <t xml:space="preserve">L253-254</t>
  </si>
  <si>
    <t xml:space="preserve">EDI.CREDITS.14</t>
  </si>
  <si>
    <t xml:space="preserve">IVEND per member: vendor list kept sorted; attr 2 += amount, attr 3 += surcharge; vendor entry removed when amount nets to 0</t>
  </si>
  <si>
    <t xml:space="preserve">L255-264</t>
  </si>
  <si>
    <t xml:space="preserve">EDI.CREDITS.15</t>
  </si>
  <si>
    <t xml:space="preserve">ARMST updates: attr 9 YTD.SALES += amt, 15 BALANCE += amt, 21 SURCHG += srch, 18 LAST.SALE = invoice date; attr 22 VN.CRED += amt if VNMST attr 13 (purpose unclear) set; amt to attr 10 NEW.MON if FTR=0 else attr 24 FUTURE</t>
  </si>
  <si>
    <t xml:space="preserve">L266-268</t>
  </si>
  <si>
    <t xml:space="preserve">EDI.CREDITS.16</t>
  </si>
  <si>
    <t xml:space="preserve">High credit: if BALANCE/100 &gt; ARMST attr 16 HI.CRED then HI.CRED = INT(BALANCE/100) — HI.CRED stored in whole dollars while BALANCE is cents</t>
  </si>
  <si>
    <t xml:space="preserve">L269</t>
  </si>
  <si>
    <t xml:space="preserve">EDI.CREDITS.17</t>
  </si>
  <si>
    <t xml:space="preserve">AP distribution APDIST (key vendor*invoice): 1='100' (purpose unclear), 2=period+batch+counter, 3=gross, 4=discount = gross x EDI terms % (not APMST PCT), 5=inv date, 6=member due date, 7/9=APMST attr 12 LEDGER and amount when ledger set; APHIST 1 date, 2 gross, 3 net, 6 due</t>
  </si>
  <si>
    <t xml:space="preserve">L271-282</t>
  </si>
  <si>
    <t xml:space="preserve">EDI.CREDITS.18</t>
  </si>
  <si>
    <t xml:space="preserve">Member terms = EDI terms % - APMST attr 30/10 - VNMST attr 14 SPCDED; shown "N% " or "NET " plus due date</t>
  </si>
  <si>
    <t xml:space="preserve">L283-285</t>
  </si>
  <si>
    <t xml:space="preserve">EDI.CREDITS.19</t>
  </si>
  <si>
    <t xml:space="preserve">AR invoice number from CONTROL 'INV' attr 1, +1, wraps to 1 at 99999; appended to ARINV attrs 1-5 (inv, date, amount incl. surcharge, MTERMS, AGING = -FTR); ARINV attr 8 VN.CRED = 1 when VNMST attr 13 = 1</t>
  </si>
  <si>
    <t xml:space="preserve">L286-300</t>
  </si>
  <si>
    <t xml:space="preserve">EDI.CREDITS.20</t>
  </si>
  <si>
    <t xml:space="preserve">ARSHIP (key member:inv) holds invoice header and line detail; shipping added as line with hard-coded product 9999 "Shipping Charges"</t>
  </si>
  <si>
    <t xml:space="preserve">L301-316</t>
  </si>
  <si>
    <t xml:space="preserve">EDI.CREDITS.21</t>
  </si>
  <si>
    <t xml:space="preserve">Vendor totals flushed per vendor: APMST attr 15 YTD.GROSS and 16 OPEN.GROSS += gross, attr 31 += surcharge (dict names attr 31 R.CSZ — purpose unclear); VNMST attr 7 YTD.SALES += billed, attr 9 SURCHARGES += surcharge</t>
  </si>
  <si>
    <t xml:space="preserve">L106-127</t>
  </si>
  <si>
    <t xml:space="preserve">EDI.CREDITS.22</t>
  </si>
  <si>
    <t xml:space="preserve">Monthly sales totals CONTROL 'MS' attrs 1-6 accumulated (1 = surcharge, 3 = billed amount; others purpose unclear)</t>
  </si>
  <si>
    <t xml:space="preserve">L265,L318-323</t>
  </si>
  <si>
    <t xml:space="preserve">EDI.CREDITS.23</t>
  </si>
  <si>
    <t xml:space="preserve">Run totals displayed (billings, credits, shipping, AP gross/disc/net); staging record deleted</t>
  </si>
  <si>
    <t xml:space="preserve">L327-334</t>
  </si>
  <si>
    <t xml:space="preserve">EDI.UPDATE.01</t>
  </si>
  <si>
    <t xml:space="preserve">EDI.UPDATE</t>
  </si>
  <si>
    <t xml:space="preserve">Staging: one record EDI 'DATA' with invoices separated by 'ENDOFINVOICE'; header 1=APMST vendor, 2=member, 3=inv date, 4=vendor inv #, 5=PO, 6=terms %, 7=vendor due date, 8=total (dollars), 9=misc/shipping; detail in 4-line groups qty / unit cost (dollars, up to 3 decimals) / vendor product / description</t>
  </si>
  <si>
    <t xml:space="preserve">L91-114,L117-121,L365-372</t>
  </si>
  <si>
    <t xml:space="preserve">EDI.UPDATE.02</t>
  </si>
  <si>
    <t xml:space="preserve">Abort if CONTROL 'UPD' attr 1 &gt; 2 (run state; purpose unclear)</t>
  </si>
  <si>
    <t xml:space="preserve">L59-60</t>
  </si>
  <si>
    <t xml:space="preserve">EDI.UPDATE.03</t>
  </si>
  <si>
    <t xml:space="preserve">AP batch from CONTROL 'APBAT' (incremented per run, 3-digit) and period 'APPER' form APDIST ref PERIOD:BATCH:counter</t>
  </si>
  <si>
    <t xml:space="preserve">L62-67,L335</t>
  </si>
  <si>
    <t xml:space="preserve">EDI.UPDATE.04</t>
  </si>
  <si>
    <t xml:space="preserve">Standard member due date STDDUE = 10th of next month; if run after the 22nd and month is closed (current month &lt;&gt; CONTROL 'UPD' attr 2) CLOSED.MN=1 and STDDUE moves to 10th of the month after; if after the 22nd and month not closed operator must type OK</t>
  </si>
  <si>
    <t xml:space="preserve">L72-87</t>
  </si>
  <si>
    <t xml:space="preserve">EDI.UPDATE.05</t>
  </si>
  <si>
    <t xml:space="preserve">Operator can type DEBUG at the OK prompt to enter the debugger</t>
  </si>
  <si>
    <t xml:space="preserve">L78</t>
  </si>
  <si>
    <t xml:space="preserve">EDI.UPDATE.06</t>
  </si>
  <si>
    <t xml:space="preserve">Total check: sum(qty x unit x 100) rounded + shipping must equal invoice total (cents) exactly, else invoice moved to EDI 'EDIAMTS'</t>
  </si>
  <si>
    <t xml:space="preserve">L117-131</t>
  </si>
  <si>
    <t xml:space="preserve">EDI.UPDATE.07</t>
  </si>
  <si>
    <t xml:space="preserve">Negative-total invoices are appended to EDI 'CREDITS' and processed afterwards by EDI.CREDIT</t>
  </si>
  <si>
    <t xml:space="preserve">L132-137,L407-409</t>
  </si>
  <si>
    <t xml:space="preserve">EDI.UPDATE.08</t>
  </si>
  <si>
    <t xml:space="preserve">Vendor must be non-blank and in APMST, else invoice to EDI 'EDIVEND'</t>
  </si>
  <si>
    <t xml:space="preserve">L172-183</t>
  </si>
  <si>
    <t xml:space="preserve">EDI.UPDATE.09</t>
  </si>
  <si>
    <t xml:space="preserve">APMST vendor mapped to VNMST via VNIDX attr 1; VNMST attr 15 value 1 = admin days, value 2 = PRO terms adjustment; attr 14 SPCDED special deduction; attr 18 VND.TERMS</t>
  </si>
  <si>
    <t xml:space="preserve">L184-189,L21</t>
  </si>
  <si>
    <t xml:space="preserve">EDI.UPDATE.10</t>
  </si>
  <si>
    <t xml:space="preserve">EDI terms % must equal VNMST attr 18 VND.TERMS, else invoice to EDI 'EDITERMS'; then terms += PRO terms adj (VNMST 15.2)</t>
  </si>
  <si>
    <t xml:space="preserve">L190-198</t>
  </si>
  <si>
    <t xml:space="preserve">EDI.UPDATE.11</t>
  </si>
  <si>
    <t xml:space="preserve">Member must exist in ARMST (waits on lock), else to EDI 'ERROR'</t>
  </si>
  <si>
    <t xml:space="preserve">L199-212</t>
  </si>
  <si>
    <t xml:space="preserve">EDI.UPDATE.12</t>
  </si>
  <si>
    <t xml:space="preserve">Reject invoice dated more than 7 days after today to EDI 'ERROR'</t>
  </si>
  <si>
    <t xml:space="preserve">L222-231</t>
  </si>
  <si>
    <t xml:space="preserve">EDI.UPDATE.13</t>
  </si>
  <si>
    <t xml:space="preserve">Duplicate if APHIST key vendor*invoice# exists; to EDI 'EDIDUPS'</t>
  </si>
  <si>
    <t xml:space="preserve">L232-248</t>
  </si>
  <si>
    <t xml:space="preserve">EDI.UPDATE.14</t>
  </si>
  <si>
    <t xml:space="preserve">Base due month: invoice day &lt; 26 → invoice month +1 (or +2 if CLOSED.MN); invoice day &gt;= 26 → +2; due day = first 2 chars of APMST attr 10 DUE.DAYS</t>
  </si>
  <si>
    <t xml:space="preserve">L249-259</t>
  </si>
  <si>
    <t xml:space="preserve">EDI.UPDATE.15</t>
  </si>
  <si>
    <t xml:space="preserve">Dating: DUEDAYS = vendor due date - today - admin days; &lt;=45 base month, 46-76 +1 month, 77-107 +2, 108-137 +3, &gt;137 +4</t>
  </si>
  <si>
    <t xml:space="preserve">L260-282</t>
  </si>
  <si>
    <t xml:space="preserve">EDI.UPDATE.16</t>
  </si>
  <si>
    <t xml:space="preserve">Member due date never earlier than STDDUE; FTR (future months) = due month - STDDUE month (mod 12); AGING = -FTR</t>
  </si>
  <si>
    <t xml:space="preserve">L283-284,L348</t>
  </si>
  <si>
    <t xml:space="preserve">EDI.UPDATE.17</t>
  </si>
  <si>
    <t xml:space="preserve">Vendor AP discount APMST attr 9 PCT: &gt; 20 = flat dollar amount (x100 cents) else percent rounded → AP NET</t>
  </si>
  <si>
    <t xml:space="preserve">L287-292</t>
  </si>
  <si>
    <t xml:space="preserve">EDI.UPDATE.18</t>
  </si>
  <si>
    <t xml:space="preserve">PO tracking in VENDORD: matching vendor+PO line gets attr 5 BILLED += amount; line removed when BILLED &gt; 90% of attr 4 AMOUNT</t>
  </si>
  <si>
    <t xml:space="preserve">L293-309</t>
  </si>
  <si>
    <t xml:space="preserve">EDI.UPDATE.19</t>
  </si>
  <si>
    <t xml:space="preserve">Member surcharge = round(amount x APMST attr 30 SRCH / 1000) (attr 30 in tenths of %); added to billed amount only if APMST attr 29 CODE = 2</t>
  </si>
  <si>
    <t xml:space="preserve">EDI.UPDATE.20</t>
  </si>
  <si>
    <t xml:space="preserve">Hard-coded vendors 497, 569 (comment "Charge Back") and 1322 excluded from IVEND member purchase totals</t>
  </si>
  <si>
    <t xml:space="preserve">L315-316</t>
  </si>
  <si>
    <t xml:space="preserve">EDI.UPDATE.21</t>
  </si>
  <si>
    <t xml:space="preserve">IVEND per member, sorted vendor list: attr 2 += amount, attr 3 += surcharge, entry dropped when amount nets to zero</t>
  </si>
  <si>
    <t xml:space="preserve">L317-326</t>
  </si>
  <si>
    <t xml:space="preserve">EDI.UPDATE.22</t>
  </si>
  <si>
    <t xml:space="preserve">ARMST: 9 YTD.SALES, 15 BALANCE += amount; 21 SURCHG += surcharge; 18 LAST.SALE = invoice date; 22 VN.CRED += amount if VNMST attr 13 (purpose unclear) set; amount to 10 NEW.MON when FTR=0 else 24 FUTURE</t>
  </si>
  <si>
    <t xml:space="preserve">L328-330</t>
  </si>
  <si>
    <t xml:space="preserve">EDI.UPDATE.23</t>
  </si>
  <si>
    <t xml:space="preserve">ARMST attr 16 HI.CRED kept in whole dollars: set to INT(BALANCE/100) when exceeded (BALANCE in cents)</t>
  </si>
  <si>
    <t xml:space="preserve">L331</t>
  </si>
  <si>
    <t xml:space="preserve">EDI.UPDATE.24</t>
  </si>
  <si>
    <t xml:space="preserve">APDIST/APHIST keyed vendor*invoice: gross = invoice amount before surcharge; discount = gross x EDI terms % (after PRO adj, not APMST PCT); 1='100' (purpose unclear); ledger APMST attr 12 copied to attr 7 with amount attr 9</t>
  </si>
  <si>
    <t xml:space="preserve">L333-344</t>
  </si>
  <si>
    <t xml:space="preserve">EDI.UPDATE.25</t>
  </si>
  <si>
    <t xml:space="preserve">Member terms % = terms - APMST attr 30/10 - SPCDED; text "N% &lt;due&gt;" or "NET &lt;due&gt;"</t>
  </si>
  <si>
    <t xml:space="preserve">L345-347</t>
  </si>
  <si>
    <t xml:space="preserve">EDI.UPDATE.26</t>
  </si>
  <si>
    <t xml:space="preserve">AR invoice # from CONTROL 'INV' attr 1, +1, wraps to 1 above 999999; ARINV attrs 1-5 appended (inv, date, amount incl surcharge, member terms %, aging); attr 8 VN.CRED flag = 1 when VNMST attr 13 = 1</t>
  </si>
  <si>
    <t xml:space="preserve">L349-362,L378</t>
  </si>
  <si>
    <t xml:space="preserve">EDI.UPDATE.27</t>
  </si>
  <si>
    <t xml:space="preserve">ARSHIP member:inv: 1 date, 2/9 vendor, 4 amount, 5 PO, 6 terms text, 7 vendor inv, 8 surcharge, 10-13 line vendor prod/desc/qty/unit cents, 14 DT.POSTED = today; misc/shipping line uses hard-coded product 9999</t>
  </si>
  <si>
    <t xml:space="preserve">L363-377</t>
  </si>
  <si>
    <t xml:space="preserve">EDI.UPDATE.28</t>
  </si>
  <si>
    <t xml:space="preserve">EDILOG member:inv records due-date derivation (DUEDAYS, months, FTR, admin days, closed flag, vendor, run date) for audit</t>
  </si>
  <si>
    <t xml:space="preserve">L285,L380-381</t>
  </si>
  <si>
    <t xml:space="preserve">EDI.UPDATE.29</t>
  </si>
  <si>
    <t xml:space="preserve">Per-vendor flush: APMST 15 YTD.GROSS and 16 OPEN.GROSS += gross, attr 31 += surcharge (dict calls 31 R.CSZ; purpose unclear); VNMST 7 YTD.SALES += billed, 9 SURCHARGES += surcharge</t>
  </si>
  <si>
    <t xml:space="preserve">EDI.UPDATE.30</t>
  </si>
  <si>
    <t xml:space="preserve">CONTROL 'MS' monthly totals attrs 1-6 accumulated (1 surcharge, 3 billed; others purpose unclear)</t>
  </si>
  <si>
    <t xml:space="preserve">L327,L383-388</t>
  </si>
  <si>
    <t xml:space="preserve">IPBILL.01</t>
  </si>
  <si>
    <t xml:space="preserve">IPBILL</t>
  </si>
  <si>
    <t xml:space="preserve">Include IPBILL records with CDATE in entered range; vendor = VENDXREF attr 1 for IPBILL attr 1; member = first 4 chars of attr 2</t>
  </si>
  <si>
    <t xml:space="preserve">L19-26</t>
  </si>
  <si>
    <t xml:space="preserve">IPBILL.02</t>
  </si>
  <si>
    <t xml:space="preserve">New invoice whenever member or vendor changes; invoice # = IPBILL id of first record</t>
  </si>
  <si>
    <t xml:space="preserve">L27-29,L36-44</t>
  </si>
  <si>
    <t xml:space="preserve">IPBILL.03</t>
  </si>
  <si>
    <t xml:space="preserve">Header: invoice date today, hard-coded terms 7 (%), due date today+30, total = sum of attr 6 amounts (dollars, 2 dp)</t>
  </si>
  <si>
    <t xml:space="preserve">L9,L32,L37-42</t>
  </si>
  <si>
    <t xml:space="preserve">IPBILL.04</t>
  </si>
  <si>
    <t xml:space="preserve">Detail per record: qty 1, unit = attr 6, product/code = attr 3, description "DATE: attr4 SHIPPED: attr5"</t>
  </si>
  <si>
    <t xml:space="preserve">L31-34</t>
  </si>
  <si>
    <t xml:space="preserve">IPBILL.05</t>
  </si>
  <si>
    <t xml:space="preserve">Output written field-by-field into IPBILL 'DATA' with ENDOFINVOICE separators (staging for EDI.UPDATE)</t>
  </si>
  <si>
    <t xml:space="preserve">L45-57</t>
  </si>
  <si>
    <t xml:space="preserve">PDF.EDI.INV.01</t>
  </si>
  <si>
    <t xml:space="preserve">PDF.EDI.INV</t>
  </si>
  <si>
    <t xml:space="preserve">Line data comes from vendor fields ARSHIP attr 10 VPROD, 11 VDESC, 12 VQTY, 13 VCOST (cents); line amount = VCOST * VQTY; description truncated to 43 chars</t>
  </si>
  <si>
    <t xml:space="preserve">L26,46-54</t>
  </si>
  <si>
    <t xml:space="preserve">PDF.EDI.INV.02</t>
  </si>
  <si>
    <t xml:space="preserve">Invoice total = sum of vendor line amounts (does not use ARSHIP attr 4 AMOUNT or attr 8 surcharge)</t>
  </si>
  <si>
    <t xml:space="preserve">L55,58</t>
  </si>
  <si>
    <t xml:space="preserve">PDF.EDI.INV.03</t>
  </si>
  <si>
    <t xml:space="preserve">"Billing for" vendor name = APMST attr 1 keyed by ARSHIP attr 9 VEND; else "VENDOR UNKNOWN" (ARSHIP VEND is an APMST key)</t>
  </si>
  <si>
    <t xml:space="preserve">L64-66</t>
  </si>
  <si>
    <t xml:space="preserve">PDF.EDI.INV.04</t>
  </si>
  <si>
    <t xml:space="preserve">Header: member ARMST address, invoice date attr 1, invoice # ID[5,6], terms attr 6, PO attr 5, vendor invoice # attr 7</t>
  </si>
  <si>
    <t xml:space="preserve">L65-70</t>
  </si>
  <si>
    <t xml:space="preserve">PDF.EDI.INV.05</t>
  </si>
  <si>
    <t xml:space="preserve">PDF generation by writing a .CFG control file (invoice id, 66, 97, CM margins) and .TXT body to spooler HOLD for an external PDF converter</t>
  </si>
  <si>
    <t xml:space="preserve">L34-43</t>
  </si>
  <si>
    <t xml:space="preserve">PRT.EDI.CREDIT.01</t>
  </si>
  <si>
    <t xml:space="preserve">PRT.EDI.CREDIT</t>
  </si>
  <si>
    <t xml:space="preserve">EDICREDITS uses ARSHIP layout; lines from attr 10 VPROD, 11 VDESC (43 chars), 12 VQTY, 13 VCOST (cents); line amount = VCOST*VQTY; total = sum</t>
  </si>
  <si>
    <t xml:space="preserve">L21,31-43</t>
  </si>
  <si>
    <t xml:space="preserve">PRT.EDI.CREDIT.02</t>
  </si>
  <si>
    <t xml:space="preserve">Vendor name from APMST attr 1 keyed by attr 9 VEND, else "VENDOR UNKNOWN"</t>
  </si>
  <si>
    <t xml:space="preserve">PRT.EDI.CREDIT.03</t>
  </si>
  <si>
    <t xml:space="preserve">Header prints surcharge attr 8 (cents) alongside date, invoice ID[5,5], terms attr 6, PO attr 5, vendor invoice attr 7</t>
  </si>
  <si>
    <t xml:space="preserve">L54</t>
  </si>
  <si>
    <t xml:space="preserve">PRT.EDI.INV.01</t>
  </si>
  <si>
    <t xml:space="preserve">PRT.EDI.INV</t>
  </si>
  <si>
    <t xml:space="preserve">Identical to PRT.EDI.CREDIT.01-03 except source ARSHIP and invoice # ID[5,6]</t>
  </si>
  <si>
    <t xml:space="preserve">L24,54</t>
  </si>
  <si>
    <t xml:space="preserve">REDI.RPT.01</t>
  </si>
  <si>
    <t xml:space="preserve">REDI.RPT</t>
  </si>
  <si>
    <t xml:space="preserve">Select ARHIST by INVNO between two operator-entered numbers (prompts mislabelled as dates and validated as MM.DD.YY)</t>
  </si>
  <si>
    <t xml:space="preserve">UPD.EDICREDITS.01</t>
  </si>
  <si>
    <t xml:space="preserve">UPD.EDICREDITS</t>
  </si>
  <si>
    <t xml:space="preserve">Blocked if CONTROL 'UPD' attr 1 &gt; 2 (update in progress)</t>
  </si>
  <si>
    <t xml:space="preserve">L40-41</t>
  </si>
  <si>
    <t xml:space="preserve">UPD.EDICREDITS.02</t>
  </si>
  <si>
    <t xml:space="preserve">AP batch number = CONTROL 'APBAT' attr 1, incremented per run and shown as 3 digits. Period = CONTROL 'APPER'. Each APDIST gets reference period:batch:counter.</t>
  </si>
  <si>
    <t xml:space="preserve">L43-48, L274</t>
  </si>
  <si>
    <t xml:space="preserve">UPD.EDICREDITS.03</t>
  </si>
  <si>
    <t xml:space="preserve">Month-end: after the 22nd, if the current month = CONTROL 'UPD' attr 2, the operator must type OK to proceed. Also after the 22nd, the "first day of billing month" (DAY.ONE) is moved forward by CONTROL 'DAYS' attr &lt;month&gt; days, i.e. to next month. Comments say 25th while code uses 22.</t>
  </si>
  <si>
    <t xml:space="preserve">L51-62, L10-13</t>
  </si>
  <si>
    <t xml:space="preserve">UPD.EDICREDITS.04</t>
  </si>
  <si>
    <t xml:space="preserve">Staging format: one record EDI 'DATA', invoices delimited by an 'ENDOFINVOICE' field. Header fields: 1 PRO vendor (APMST id), 2 member, 3 invoice date, 4 vendor invoice#, 5 member PO, 6 terms %, 7 vendor due date, 8 amount (dollars, ICONV MD2 to cents), 9 shipping (dollars to cents). Detail starts at field 10 in groups of 4 (qty, unit cost dollars, vendor product#, description). The record is deleted at the end.</t>
  </si>
  <si>
    <t xml:space="preserve">L67-84, L133-147, L169, L199, L224, L304-310, L329</t>
  </si>
  <si>
    <t xml:space="preserve">UPD.EDICREDITS.05</t>
  </si>
  <si>
    <t xml:space="preserve">Credit invoices (amount &lt; 0) are NOT posted. They are written to EDICREDITS under the next CONTROL 'NEXT.EDICR' number (skipping used ids) and listed as "CREDIT INVOICE" for manual handling.</t>
  </si>
  <si>
    <t xml:space="preserve">L87-99</t>
  </si>
  <si>
    <t xml:space="preserve">UPD.EDICREDITS.06</t>
  </si>
  <si>
    <t xml:space="preserve">Rejections go to EDI 'ERROR' with a message: vendor not in APMST, member not in ARMST, or duplicate invoice (APHIST key vendor*vendor-invoice already exists)</t>
  </si>
  <si>
    <t xml:space="preserve">L134-141, L150-158, L171-187</t>
  </si>
  <si>
    <t xml:space="preserve">UPD.EDICREDITS.07</t>
  </si>
  <si>
    <t xml:space="preserve">The APMST vendor is mapped to the VNMST vendor through VNIDX attr 1. VNMST supplies attr 15 ADMDAYS (admin days), attr 14 SPCDED (special deduction %) and attr 13 (vendor-credit flag, purpose not named in dict)</t>
  </si>
  <si>
    <t xml:space="preserve">L142-146, L268, L299</t>
  </si>
  <si>
    <t xml:space="preserve">UPD.EDICREDITS.08</t>
  </si>
  <si>
    <t xml:space="preserve">Member due-date base month: if the invoice day &lt; 26 and the invoice date &gt;= DAY.ONE, invoice month + 1. Otherwise (day &gt;= 26, or dated before the billing month) invoice month + 2. Due day-of-month = first 2 chars of APMST attr 10 DUE.DAYS.</t>
  </si>
  <si>
    <t xml:space="preserve">L188-198</t>
  </si>
  <si>
    <t xml:space="preserve">UPD.EDICREDITS.09</t>
  </si>
  <si>
    <t xml:space="preserve">Extended-terms buckets on (vendor due date - today - ADMDAYS): &lt;=45 days = base month, FTR 0. 46-76 = +1 month, FTR 1. 77-107 = +2, FTR 2. 108-137 = +3, FTR 3. Over 137 = +4, FTR 4. FTR is incremented by 1 more (buckets &lt;=76 only) when invoice day &lt; 26 and the date is before DAY.ONE.</t>
  </si>
  <si>
    <t xml:space="preserve">L199-223</t>
  </si>
  <si>
    <t xml:space="preserve">UPD.EDICREDITS.10</t>
  </si>
  <si>
    <t xml:space="preserve">Member billing with FTR = 0 goes to ARMST NEW.MON (attr 10). With FTR &gt; 0 it goes to FUTURE (attr 24), and the ARINV aging is set to -FTR.</t>
  </si>
  <si>
    <t xml:space="preserve">L269, L287</t>
  </si>
  <si>
    <t xml:space="preserve">UPD.EDICREDITS.11</t>
  </si>
  <si>
    <t xml:space="preserve">AP discount for APHIST net: APMST attr 9 PCT. If &gt; 20 it is treated as a flat dollar amount (x100 cents), otherwise as a percent rounded to the cent</t>
  </si>
  <si>
    <t xml:space="preserve">L226-231</t>
  </si>
  <si>
    <t xml:space="preserve">UPD.EDICREDITS.12</t>
  </si>
  <si>
    <t xml:space="preserve">APDIST discount = invoice amount x EDI terms % (field 6), rounded. APDIST: attr 1 '100' (purpose unclear), 3 gross, 4 discount, 5 invoice date, 6 due = the member due date computed above (not the vendor's due date), 7 GL = APMST attr 12, 9 gross. APHIST: attr 1 date, 2 gross, 3 net (from rule .11), 6 due. Two different discount bases are used.</t>
  </si>
  <si>
    <t xml:space="preserve">L272-282</t>
  </si>
  <si>
    <t xml:space="preserve">UPD.EDICREDITS.13</t>
  </si>
  <si>
    <t xml:space="preserve">Member PO close-out: on VENDORD &lt;member&gt;, find the PO (attr 2) for this vendor (attr 1) and add the invoice amount to attr 5 BILLED. When billed &gt; 90% of the PO amount (attr 4), the PO line is removed (treated as fully billed).</t>
  </si>
  <si>
    <t xml:space="preserve">UPD.EDICREDITS.14</t>
  </si>
  <si>
    <t xml:space="preserve">PRO surcharge = round(amount x APMST attr 30 / 1000), i.e. attr 30 in tenths of a percent (dict calls attr 30 R.ADD.SHORT/SRCH%). The surcharge is added to the member's billed amount only when APMST attr 29 CODE = 2. Otherwise it is recorded but not added.</t>
  </si>
  <si>
    <t xml:space="preserve">L251-253</t>
  </si>
  <si>
    <t xml:space="preserve">UPD.EDICREDITS.15</t>
  </si>
  <si>
    <t xml:space="preserve">Member terms shown on the invoice = EDI terms % - (APMST attr 30 / 10) - VNMST SPCDED. If &lt;= 0 the member gets "NET". Terms text = "&lt;pct&gt;% &lt;due date&gt;". So PRO keeps surcharge points out of the vendor's discount.</t>
  </si>
  <si>
    <t xml:space="preserve">L284-286</t>
  </si>
  <si>
    <t xml:space="preserve">UPD.EDICREDITS.16</t>
  </si>
  <si>
    <t xml:space="preserve">Hard-coded vendor 497: no IVEND (member purchases-by-vendor) update. The comment calls it a charge back.</t>
  </si>
  <si>
    <t xml:space="preserve">L254-255</t>
  </si>
  <si>
    <t xml:space="preserve">UPD.EDICREDITS.17</t>
  </si>
  <si>
    <t xml:space="preserve">Hard-coded vendor 569: no IVEND update (comment: charge back)</t>
  </si>
  <si>
    <t xml:space="preserve">UPD.EDICREDITS.18</t>
  </si>
  <si>
    <t xml:space="preserve">Hard-coded vendor 1322: no IVEND update (not explained in comment)</t>
  </si>
  <si>
    <t xml:space="preserve">L255</t>
  </si>
  <si>
    <t xml:space="preserve">UPD.EDICREDITS.19</t>
  </si>
  <si>
    <t xml:space="preserve">IVEND &lt;member&gt;: per-vendor attr 2 += amount (incl. surcharge if added), attr 3 += surcharge. The vendor entry is removed when its amount nets to 0.</t>
  </si>
  <si>
    <t xml:space="preserve">L256-265</t>
  </si>
  <si>
    <t xml:space="preserve">UPD.EDICREDITS.20</t>
  </si>
  <si>
    <t xml:space="preserve">ARMST updates: attr 9 YTD += amount, attr 15 balance += amount, attr 21 surcharge += surcharge, attr 18 LAST.SALE = invoice date, attr 22 VN.CRED += amount when VNMST attr 13 is set. High credit attr 16 = INT(balance/100) when higher, which is stored in dollars while balance is in cents.</t>
  </si>
  <si>
    <t xml:space="preserve">L266-271</t>
  </si>
  <si>
    <t xml:space="preserve">UPD.EDICREDITS.21</t>
  </si>
  <si>
    <t xml:space="preserve">Member invoice number = CONTROL 'INV' + 1, wrapping to 1 at 99999, with no collision check</t>
  </si>
  <si>
    <t xml:space="preserve">L289-291</t>
  </si>
  <si>
    <t xml:space="preserve">UPD.EDICREDITS.22</t>
  </si>
  <si>
    <t xml:space="preserve">ARINV append: number, date, amount, terms (MTERMS %), aging. Attr 8 = 1 for vendor-credit vendors (VNMST attr 13 = 1).</t>
  </si>
  <si>
    <t xml:space="preserve">L288-301</t>
  </si>
  <si>
    <t xml:space="preserve">UPD.EDICREDITS.23</t>
  </si>
  <si>
    <t xml:space="preserve">ARSHIP `&lt;member&gt;&lt;inv&gt;`: 1 date, 2 vendor, 4 amount, 5 PO, 6 terms text, 7 vendor invoice, 8 surcharge, 9 vendor. Lines in attrs 10-13 (vendor product, description, qty, cost cents). Non-zero shipping is added as pseudo-product 9999 "Shipping Charges", qty 1.</t>
  </si>
  <si>
    <t xml:space="preserve">L302-317</t>
  </si>
  <si>
    <t xml:space="preserve">UPD.EDICREDITS.24</t>
  </si>
  <si>
    <t xml:space="preserve">Shipping (field 9) is NOT added to the billed amount (`AMT += SHIP` is commented out) and is only listed as a detail line. This assumes the vendor amount already includes it.</t>
  </si>
  <si>
    <t xml:space="preserve">L224-225</t>
  </si>
  <si>
    <t xml:space="preserve">UPD.EDICREDITS.25</t>
  </si>
  <si>
    <t xml:space="preserve">CONTROL 'MS' running totals: attr 1 += surcharge, attr 3 += billed amount</t>
  </si>
  <si>
    <t xml:space="preserve">L266, L319-324</t>
  </si>
  <si>
    <t xml:space="preserve">UPD.EDICREDITS.26</t>
  </si>
  <si>
    <t xml:space="preserve">Per vendor (flushed when processing moves on): APMST attr 15 YTD.GROSS and attr 16 OPEN.GROSS += gross, APMST attr 31 += surcharge (dict names attr 31 R.CSZ, so the purpose is unclear). VNMST attr 7 YTD.SALES += billed, attr 9 SURCHARGES += surcharge.</t>
  </si>
  <si>
    <t xml:space="preserve">L107-131</t>
  </si>
  <si>
    <t xml:space="preserve">UPD.EDICREDITS.27</t>
  </si>
  <si>
    <t xml:space="preserve">End-of-run totals: billings, credits, shipping, AP gross/discount/net, error list</t>
  </si>
  <si>
    <t xml:space="preserve">L330-343</t>
  </si>
  <si>
    <t xml:space="preserve">ADJ.01</t>
  </si>
  <si>
    <t xml:space="preserve">ADJ</t>
  </si>
  <si>
    <t xml:space="preserve">STOCK attr 8 (WH.PROFIT) = WH.PROFIT − operator-entered amount for the entered member; no validation, no audit, units not stated (operator types raw stored units)</t>
  </si>
  <si>
    <t xml:space="preserve">L4-7</t>
  </si>
  <si>
    <t xml:space="preserve">AR.SHIP.MNT.01</t>
  </si>
  <si>
    <t xml:space="preserve">AR.SHIP.MNT</t>
  </si>
  <si>
    <t xml:space="preserve">Member must exist in ARMST</t>
  </si>
  <si>
    <t xml:space="preserve">L44-50</t>
  </si>
  <si>
    <t xml:space="preserve">AR.SHIP.MNT.02</t>
  </si>
  <si>
    <t xml:space="preserve">Ship-to key = member : "*" : code; code max 2 chars, zero-padded right-justified to 2, must be unique per member</t>
  </si>
  <si>
    <t xml:space="preserve">L71-92, L404</t>
  </si>
  <si>
    <t xml:space="preserve">AR.SHIP.MNT.03</t>
  </si>
  <si>
    <t xml:space="preserve">Name (default = member name), Address-1 and City are required, max 25/25/15 chars, and cannot be a single repeated character</t>
  </si>
  <si>
    <t xml:space="preserve">L102-140, L190-208</t>
  </si>
  <si>
    <t xml:space="preserve">AR.SHIP.MNT.04</t>
  </si>
  <si>
    <t xml:space="preserve">Address line 2 is not used (input bypassed)</t>
  </si>
  <si>
    <t xml:space="preserve">L136, L142-144</t>
  </si>
  <si>
    <t xml:space="preserve">AR.SHIP.MNT.05</t>
  </si>
  <si>
    <t xml:space="preserve">ZIP must match 5N, 5N-4, or Canadian A1A-1A1- pattern (Canadian added 09-15-11)</t>
  </si>
  <si>
    <t xml:space="preserve">L5, L171</t>
  </si>
  <si>
    <t xml:space="preserve">AR.SHIP.MNT.06</t>
  </si>
  <si>
    <t xml:space="preserve">UPS zone = ZIPREF 'UPS' attr 2 value at the position of the 3-digit ZIP prefix in sorted attr 1 (nearest lower prefix if not exact, first if none)</t>
  </si>
  <si>
    <t xml:space="preserve">L173-175</t>
  </si>
  <si>
    <t xml:space="preserve">AR.SHIP.MNT.07</t>
  </si>
  <si>
    <t xml:space="preserve">City/State auto-filled from ZIPREF record keyed by full ZIP if present</t>
  </si>
  <si>
    <t xml:space="preserve">L177-182</t>
  </si>
  <si>
    <t xml:space="preserve">AR.SHIP.MNT.08</t>
  </si>
  <si>
    <t xml:space="preserve">State must be in ZIPREF 'STATES' list</t>
  </si>
  <si>
    <t xml:space="preserve">L217</t>
  </si>
  <si>
    <t xml:space="preserve">AR.SHIP.MNT.09</t>
  </si>
  <si>
    <t xml:space="preserve">"City, ST Zip" combined length must not exceed 25 chars</t>
  </si>
  <si>
    <t xml:space="preserve">L220-223</t>
  </si>
  <si>
    <t xml:space="preserve">AR.SHIP.MNT.10</t>
  </si>
  <si>
    <t xml:space="preserve">Manual UPS zone override differing from the standard zone requires re-entry to confirm (SHIP.ZONE routine)</t>
  </si>
  <si>
    <t xml:space="preserve">L231-259</t>
  </si>
  <si>
    <t xml:space="preserve">AR.SHIP.MNT.11</t>
  </si>
  <si>
    <t xml:space="preserve">Delete one or all ship-tos requires typing "DELETE"</t>
  </si>
  <si>
    <t xml:space="preserve">L273-282, L301-335, L392-402</t>
  </si>
  <si>
    <t xml:space="preserve">AR1.01</t>
  </si>
  <si>
    <t xml:space="preserve">AR1</t>
  </si>
  <si>
    <t xml:space="preserve">New member number = CONTROL 'AR' attr 1; after adding, next number = current + 7 (member numbers step by 7)</t>
  </si>
  <si>
    <t xml:space="preserve">L12, L120</t>
  </si>
  <si>
    <t xml:space="preserve">AR1.02</t>
  </si>
  <si>
    <t xml:space="preserve">New member blocked if ARMST record already has a name ("CONTROL ERROR ... IN USE")</t>
  </si>
  <si>
    <t xml:space="preserve">L23</t>
  </si>
  <si>
    <t xml:space="preserve">AR1.03</t>
  </si>
  <si>
    <t xml:space="preserve">Name, Name2, Street max 25 chars; City max 20; State must be a 2-char code in ZIPREF 'STATES' attr 1</t>
  </si>
  <si>
    <t xml:space="preserve">L28-70</t>
  </si>
  <si>
    <t xml:space="preserve">AR1.04</t>
  </si>
  <si>
    <t xml:space="preserve">Air zone suffix appended to ARMST attr 25 (UPS zone) from ZIPREF 'STATES' attr 3 for that state</t>
  </si>
  <si>
    <t xml:space="preserve">AR1.05</t>
  </si>
  <si>
    <t xml:space="preserve">ZIP must be 5 digits; UPS ground zone = ZIPREF 'UPS' attr 2 at position of ZIP's first 3 digits in sorted attr 1 (nearest lower); stored in ARMST attr 25 with air zone kept as second word</t>
  </si>
  <si>
    <t xml:space="preserve">L81-85</t>
  </si>
  <si>
    <t xml:space="preserve">AR1.06</t>
  </si>
  <si>
    <t xml:space="preserve">Credit limit (ARMST attr 7 LIMIT) entered in whole dollars — decimals rejected (other money fields are cents)</t>
  </si>
  <si>
    <t xml:space="preserve">L87-96</t>
  </si>
  <si>
    <t xml:space="preserve">AR1.07</t>
  </si>
  <si>
    <t xml:space="preserve">Phone must be NNN-NNN-NNNN (ARMST attr 20)</t>
  </si>
  <si>
    <t xml:space="preserve">AR1.08</t>
  </si>
  <si>
    <t xml:space="preserve">"No. mailings" free-entered into ARMST attr 23 (TP/MAIL) — only via change menu; AR1A shows attr 23 is actually member type (1 = PRO, 2 = IPI), so this prompt can overwrite the member type</t>
  </si>
  <si>
    <t xml:space="preserve">L109-111</t>
  </si>
  <si>
    <t xml:space="preserve">AR1.09</t>
  </si>
  <si>
    <t xml:space="preserve">Dues: answer N → ARMST attr 30 DUES = 1 (exempt flag), otherwise blank (dues charged)</t>
  </si>
  <si>
    <t xml:space="preserve">L112-113</t>
  </si>
  <si>
    <t xml:space="preserve">AR1.10</t>
  </si>
  <si>
    <t xml:space="preserve">EIN stored on STOCK attr 4 EIN</t>
  </si>
  <si>
    <t xml:space="preserve">L115, L119</t>
  </si>
  <si>
    <t xml:space="preserve">AR1.11</t>
  </si>
  <si>
    <t xml:space="preserve">New members start with ARMST attr 27 CRED.STAT = 0 (not on credit hold)</t>
  </si>
  <si>
    <t xml:space="preserve">L117</t>
  </si>
  <si>
    <t xml:space="preserve">AR13.01</t>
  </si>
  <si>
    <t xml:space="preserve">AR13</t>
  </si>
  <si>
    <t xml:space="preserve">Letter only for members with ARMST attr 8 PREV.YR sales ≥ 1 and a STOCK record</t>
  </si>
  <si>
    <t xml:space="preserve">AR13.02</t>
  </si>
  <si>
    <t xml:space="preserve">Shows prior-year surcharges = STOCK attr 1 /100, shares owned = STOCK attr 2 SHARES, shares earned = STOCK attr 3 (dict calls it PATR.BAL), total = 2 + 3</t>
  </si>
  <si>
    <t xml:space="preserve">L24-28</t>
  </si>
  <si>
    <t xml:space="preserve">AR13.03</t>
  </si>
  <si>
    <t xml:space="preserve">Policy text: "one share is earned for each $100 in surcharges" (printed text only; no calculation here)</t>
  </si>
  <si>
    <t xml:space="preserve">AR13.04</t>
  </si>
  <si>
    <t xml:space="preserve">Hard-coded letterhead "Photographic Research Organization, 360 Tunxis Hill Road, Fairfield CT 06430"</t>
  </si>
  <si>
    <t xml:space="preserve">AR14.01</t>
  </si>
  <si>
    <t xml:space="preserve">AR14</t>
  </si>
  <si>
    <t xml:space="preserve">Writes 1..n into chosen field (ARMST 28 N1, 29 N2, 33 N3, 34 N4, 35 PROMASTER) in select-list order (ranking/sort sequence; purpose of N1-N4 unclear)</t>
  </si>
  <si>
    <t xml:space="preserve">L9-15</t>
  </si>
  <si>
    <t xml:space="preserve">AR15.01</t>
  </si>
  <si>
    <t xml:space="preserve">AR15</t>
  </si>
  <si>
    <t xml:space="preserve">Buyout shares X = (member shares − 0.20 × total shares) / 0.80 — hard-coded 20% (comment: 5% per member × 4 members); original 5% formula commented out</t>
  </si>
  <si>
    <t xml:space="preserve">L3-10</t>
  </si>
  <si>
    <t xml:space="preserve">AR16.01</t>
  </si>
  <si>
    <t xml:space="preserve">AR16</t>
  </si>
  <si>
    <t xml:space="preserve">Credit hold stored in ARMST attr 27 CRED.STAT: 0 = OK; &gt; 0 = on hold since that internal date; "CHANGE" toggles (sets today's date or 0)</t>
  </si>
  <si>
    <t xml:space="preserve">L12, L25-30</t>
  </si>
  <si>
    <t xml:space="preserve">AR16.02</t>
  </si>
  <si>
    <t xml:space="preserve">Display: past due = attrs 12+13+14 (30/60/90, cents); LIMIT shown in whole dollars; HI.CRED stored in dollars (×100 for display); BALANCE and ORDERS in cents</t>
  </si>
  <si>
    <t xml:space="preserve">L13-23</t>
  </si>
  <si>
    <t xml:space="preserve">AR18.01</t>
  </si>
  <si>
    <t xml:space="preserve">AR18</t>
  </si>
  <si>
    <t xml:space="preserve">Vendor must exist in APMST; member must exist in ARMST</t>
  </si>
  <si>
    <t xml:space="preserve">L20-27</t>
  </si>
  <si>
    <t xml:space="preserve">AR18.02</t>
  </si>
  <si>
    <t xml:space="preserve">Gross and surcharge amounts must be numeric with NO decimal point — operator keys cents (displayed via MD2); negatives allowed to correct mistakes</t>
  </si>
  <si>
    <t xml:space="preserve">L18, L30-35</t>
  </si>
  <si>
    <t xml:space="preserve">AR18.03</t>
  </si>
  <si>
    <t xml:space="preserve">ARMST attr 21 SURCHG (YTD surcharge, cents) += surcharge amount</t>
  </si>
  <si>
    <t xml:space="preserve">AR18.04</t>
  </si>
  <si>
    <t xml:space="preserve">BVEND per member: vendor list attr 1 (sorted), attr 2 AMOUNT += gross, attr 3 SURCHG += surcharge (new vendor inserted in sort order)</t>
  </si>
  <si>
    <t xml:space="preserve">L39-47</t>
  </si>
  <si>
    <t xml:space="preserve">AR19.01</t>
  </si>
  <si>
    <t xml:space="preserve">AR19</t>
  </si>
  <si>
    <t xml:space="preserve">Member must exist in ARMST; vendor must exist in APMST; blank vendor reuses the previous vendor</t>
  </si>
  <si>
    <t xml:space="preserve">L16-27</t>
  </si>
  <si>
    <t xml:space="preserve">AR19.02</t>
  </si>
  <si>
    <t xml:space="preserve">VENDORD per member: parallel multivalues 1 VENDOR, 2 PO (sorted 'AL'), 3 DATE, 4 AMOUNT (cents), 5 BILLED</t>
  </si>
  <si>
    <t xml:space="preserve">L33, L92-98</t>
  </si>
  <si>
    <t xml:space="preserve">AR19.03</t>
  </si>
  <si>
    <t xml:space="preserve">Same PO + same vendor = existing entry → confirm change; same PO for a different vendor is allowed as a new entry</t>
  </si>
  <si>
    <t xml:space="preserve">L33-54</t>
  </si>
  <si>
    <t xml:space="preserve">AR19.04</t>
  </si>
  <si>
    <t xml:space="preserve">Date defaults to today; accepts MM.DD.YY or MM.DD</t>
  </si>
  <si>
    <t xml:space="preserve">L55-65</t>
  </si>
  <si>
    <t xml:space="preserve">AR19.05</t>
  </si>
  <si>
    <t xml:space="preserve">Delete removes the PO line (all 5 attrs)</t>
  </si>
  <si>
    <t xml:space="preserve">L104-111</t>
  </si>
  <si>
    <t xml:space="preserve">AR19.06</t>
  </si>
  <si>
    <t xml:space="preserve">(Context) ARMST dictionary I-types use VENDORD: TOT-ORD = ΣAMOUNT − ΣBILLED + ORDERS; EXCESS = that + BALANCE − LIMIT×100 (credit exposure)</t>
  </si>
  <si>
    <t xml:space="preserve">dict D_ARMST</t>
  </si>
  <si>
    <t xml:space="preserve">AR1A.01</t>
  </si>
  <si>
    <t xml:space="preserve">AR1A</t>
  </si>
  <si>
    <t xml:space="preserve">IPI member numbers come from separate counter CONTROL 'AR2' attr 1, stepping by 7</t>
  </si>
  <si>
    <t xml:space="preserve">L7, L116</t>
  </si>
  <si>
    <t xml:space="preserve">AR1A.02</t>
  </si>
  <si>
    <t xml:space="preserve">ARMST attr 23 = 1 marks a PRO member: such records cannot be changed here</t>
  </si>
  <si>
    <t xml:space="preserve">L20</t>
  </si>
  <si>
    <t xml:space="preserve">AR1A.03</t>
  </si>
  <si>
    <t xml:space="preserve">Every add/change forces ARMST attr 23 = 2 (IPI member type), overriding the "No. mailings" entry</t>
  </si>
  <si>
    <t xml:space="preserve">L114</t>
  </si>
  <si>
    <t xml:space="preserve">AR1A.04</t>
  </si>
  <si>
    <t xml:space="preserve">No EIN/STOCK record for IPI members (STOCK not opened)</t>
  </si>
  <si>
    <t xml:space="preserve">L3-6</t>
  </si>
  <si>
    <t xml:space="preserve">AR1B.01</t>
  </si>
  <si>
    <t xml:space="preserve">AR1B</t>
  </si>
  <si>
    <t xml:space="preserve">Canadian members share the IPI counter CONTROL 'AR2' (step 7)</t>
  </si>
  <si>
    <t xml:space="preserve">L11, L133</t>
  </si>
  <si>
    <t xml:space="preserve">AR1B.02</t>
  </si>
  <si>
    <t xml:space="preserve">Records with ARMST attr 23 = 1 (PRO) or 2 (affiliate/IPI) cannot be changed here</t>
  </si>
  <si>
    <t xml:space="preserve">AR1B.03</t>
  </si>
  <si>
    <t xml:space="preserve">Province must be in ZIPREF 'PROVINCE' attr 1 (13 provinces/territories listed on screen)</t>
  </si>
  <si>
    <t xml:space="preserve">L16-29, L90</t>
  </si>
  <si>
    <t xml:space="preserve">AR1B.04</t>
  </si>
  <si>
    <t xml:space="preserve">Postal code must match A1A-1A1 (with dash)</t>
  </si>
  <si>
    <t xml:space="preserve">L31-33, L100</t>
  </si>
  <si>
    <t xml:space="preserve">AR1B.05</t>
  </si>
  <si>
    <t xml:space="preserve">UPS zone (ARMST attr 25) hard-coded to 10 for all Canadian members</t>
  </si>
  <si>
    <t xml:space="preserve">L101</t>
  </si>
  <si>
    <t xml:space="preserve">AR1B.06</t>
  </si>
  <si>
    <t xml:space="preserve">Every add/change sets ARMST attr 23 = 3 (Canadian member type); mailings option disabled</t>
  </si>
  <si>
    <t xml:space="preserve">L131, L134</t>
  </si>
  <si>
    <t xml:space="preserve">AR20.01</t>
  </si>
  <si>
    <t xml:space="preserve">AR20</t>
  </si>
  <si>
    <t xml:space="preserve">ARMST attr 31 SHIP.STREET (max 24) and attr 32 SHIP.CSZ = "City ST" (max 19) + " " + 5-digit ZIP; state = last 2 chars, must be in ZIPREF 'STATES'</t>
  </si>
  <si>
    <t xml:space="preserve">L21-30</t>
  </si>
  <si>
    <t xml:space="preserve">AR20.02</t>
  </si>
  <si>
    <t xml:space="preserve">ARMST attr 25 UPS zone replaced by the zone for the ship-to ZIP's 3-digit prefix</t>
  </si>
  <si>
    <t xml:space="preserve">L32-33</t>
  </si>
  <si>
    <t xml:space="preserve">AR21.01</t>
  </si>
  <si>
    <t xml:space="preserve">AR21</t>
  </si>
  <si>
    <t xml:space="preserve">ARMST attr 8 PREV.YR = INT(ARMST2 attr 9 YTD / 100) + INT(ΣBVEND2 attr 2 AMOUNT + .5) / 100 (prior-year sales include direct-billing vendor purchases)</t>
  </si>
  <si>
    <t xml:space="preserve">AR8.01</t>
  </si>
  <si>
    <t xml:space="preserve">AR8</t>
  </si>
  <si>
    <t xml:space="preserve">Not allowed while CONTROL 'UPD' attr 1 &gt; 2</t>
  </si>
  <si>
    <t xml:space="preserve">L39</t>
  </si>
  <si>
    <t xml:space="preserve">AR8.02</t>
  </si>
  <si>
    <t xml:space="preserve">Hard-coded product 9995 = dues line; its IVMST attr 4 DESC rewritten to "MONTHLY DUES FOR &lt;month name from CONTROL 'MON'&gt;" every run</t>
  </si>
  <si>
    <t xml:space="preserve">L33, L40, L59</t>
  </si>
  <si>
    <t xml:space="preserve">AR8.03</t>
  </si>
  <si>
    <t xml:space="preserve">Billing date defaults to today; blocked if day &gt; 25 and month = AR month (prior month not closed)</t>
  </si>
  <si>
    <t xml:space="preserve">L46-57</t>
  </si>
  <si>
    <t xml:space="preserve">AR8.04</t>
  </si>
  <si>
    <t xml:space="preserve">PRO and Affiliate dues amounts entered each run; values with a decimal point are ×100 (to cents), values without a decimal are taken as cents as-is</t>
  </si>
  <si>
    <t xml:space="preserve">L60-70</t>
  </si>
  <si>
    <t xml:space="preserve">AR8.05</t>
  </si>
  <si>
    <t xml:space="preserve">Members with ARMST attr 30 DUES = 1 are exempt</t>
  </si>
  <si>
    <t xml:space="preserve">L80</t>
  </si>
  <si>
    <t xml:space="preserve">AR8.06</t>
  </si>
  <si>
    <t xml:space="preserve">Dues by member type (ARMST.TYPE via include; attr 23 per AR1A/AR1B): type 1 → PRO dues; types 2 and 3 → Affiliate dues; any other type → no dues</t>
  </si>
  <si>
    <t xml:space="preserve">L81-82</t>
  </si>
  <si>
    <t xml:space="preserve">AR8.07</t>
  </si>
  <si>
    <t xml:space="preserve">Dues invoice: terms text "NET DUE 10TH", TERMS 0, AGING 0, qty 1; ARMST NEW.MON (10) and BALANCE (15) += dues; ARINV appended; ARSHIP member:INV written with DT.POSTED (attr 14)</t>
  </si>
  <si>
    <t xml:space="preserve">L59, L83-98</t>
  </si>
  <si>
    <t xml:space="preserve">AR8.08</t>
  </si>
  <si>
    <t xml:space="preserve">Invoice number = CONTROL 'INV' + 1 (wraps at 999999)</t>
  </si>
  <si>
    <t xml:space="preserve">L87-89</t>
  </si>
  <si>
    <t xml:space="preserve">AR8.09</t>
  </si>
  <si>
    <t xml:space="preserve">Type 3 members get an FSINV spreadsheet line and one email to FotoSource after the run (09-12-11)</t>
  </si>
  <si>
    <t xml:space="preserve">L99-102, L114-117</t>
  </si>
  <si>
    <t xml:space="preserve">AR8.10</t>
  </si>
  <si>
    <t xml:space="preserve">Operator reminder: dues posted to FotoSource member accounts must be moved manually to the FS master account</t>
  </si>
  <si>
    <t xml:space="preserve">L111-112</t>
  </si>
  <si>
    <t xml:space="preserve">AR8.11</t>
  </si>
  <si>
    <t xml:space="preserve">CONTROL 'MS' attr 3 (receivables) and attr 5 (dues) += total dues</t>
  </si>
  <si>
    <t xml:space="preserve">L104-110</t>
  </si>
  <si>
    <t xml:space="preserve">BUILD.PROMASTER.01</t>
  </si>
  <si>
    <t xml:space="preserve">BUILD.PROMASTER</t>
  </si>
  <si>
    <t xml:space="preserve">Hard-coded start date 12/31/01</t>
  </si>
  <si>
    <t xml:space="preserve">L8</t>
  </si>
  <si>
    <t xml:space="preserve">BUILD.PROMASTER.02</t>
  </si>
  <si>
    <t xml:space="preserve">Hard-coded product groups (IVMST attr 6 GRP) &lt; 7, 9, 11, 15, 19 count as PROMASTER purchases (line amount ARHIST attr 4, only when qty &gt; 0)</t>
  </si>
  <si>
    <t xml:space="preserve">L22-24</t>
  </si>
  <si>
    <t xml:space="preserve">BUILD.PROMASTER.03</t>
  </si>
  <si>
    <t xml:space="preserve">Hard-coded groups 7, 8, 10, 12, 13, 14, 17 count only when IVMST attr 4 DESC starts with "PRO" (no qty check, so returns reduce)</t>
  </si>
  <si>
    <t xml:space="preserve">L26-27</t>
  </si>
  <si>
    <t xml:space="preserve">BUILD.PROMASTER.04</t>
  </si>
  <si>
    <t xml:space="preserve">Hard-coded member 9990 acts as end-of-run sentinel</t>
  </si>
  <si>
    <t xml:space="preserve">BUILD.PROMASTER.05</t>
  </si>
  <si>
    <t xml:space="preserve">ARMST attr 35 PROMASTER = total (cents)</t>
  </si>
  <si>
    <t xml:space="preserve">BUILD.PROMASTER.2.01</t>
  </si>
  <si>
    <t xml:space="preserve">BUILD.PROMASTER.2</t>
  </si>
  <si>
    <t xml:space="preserve">No date filter (whole 2001 archive)</t>
  </si>
  <si>
    <t xml:space="preserve">CHANGE.01</t>
  </si>
  <si>
    <t xml:space="preserve">CHANGE</t>
  </si>
  <si>
    <t xml:space="preserve">ARMST attr 29 N2 (purpose unclear) = ARMST2 attr 29 for listed members</t>
  </si>
  <si>
    <t xml:space="preserve">CHK.ARMST.NAME.01</t>
  </si>
  <si>
    <t xml:space="preserve">CHK.ARMST.NAME</t>
  </si>
  <si>
    <t xml:space="preserve">Two members with identical NAME (attr 1) are flagged as duplicates; error logged in ARERR keyed date*time*seq</t>
  </si>
  <si>
    <t xml:space="preserve">L17-45</t>
  </si>
  <si>
    <t xml:space="preserve">CR.CKS.01</t>
  </si>
  <si>
    <t xml:space="preserve">CR.CKS</t>
  </si>
  <si>
    <t xml:space="preserve">No business logic; prints 66 lines × 90 "X" with PCL setup</t>
  </si>
  <si>
    <t xml:space="preserve">CRUPDATE.01</t>
  </si>
  <si>
    <t xml:space="preserve">CRUPDATE</t>
  </si>
  <si>
    <t xml:space="preserve">Credit limit (ARMST attr 7 LIMIT) entered in whole dollars; decimals rejected</t>
  </si>
  <si>
    <t xml:space="preserve">CRUPDATE.02</t>
  </si>
  <si>
    <t xml:space="preserve">LST.STMT attr 1 "statement date" stored as free text with no validation (purpose of LST.STMT unclear)</t>
  </si>
  <si>
    <t xml:space="preserve">L27-29</t>
  </si>
  <si>
    <t xml:space="preserve">CUST.RBT.01</t>
  </si>
  <si>
    <t xml:space="preserve">CUST.RBT</t>
  </si>
  <si>
    <t xml:space="preserve">Entering an existing check # offers VOID: dealer value 1 set to "VOID", original date kept in value 3, date = today, amount prefixed with "-"; already-void checks rejected</t>
  </si>
  <si>
    <t xml:space="preserve">L20-23, L106-113</t>
  </si>
  <si>
    <t xml:space="preserve">CUST.RBT.02</t>
  </si>
  <si>
    <t xml:space="preserve">Dealer must exist in STRNAME (name override) or ARMST</t>
  </si>
  <si>
    <t xml:space="preserve">CUST.RBT.03</t>
  </si>
  <si>
    <t xml:space="preserve">Rebate code must exist in RBTCODES: attr 1 DESC, attr 2 AMOUNT (cents), attr 3 check text</t>
  </si>
  <si>
    <t xml:space="preserve">L31-35, L78</t>
  </si>
  <si>
    <t xml:space="preserve">CUST.RBT.04</t>
  </si>
  <si>
    <t xml:space="preserve">One or two products (must exist in IVMST); purchase date MM.DD.YY; consumer name, street, city, 2-char state, zip required</t>
  </si>
  <si>
    <t xml:space="preserve">L36-65</t>
  </si>
  <si>
    <t xml:space="preserve">CUST.RBT.05</t>
  </si>
  <si>
    <t xml:space="preserve">RBTDATA record keyed by check #: 1 date, 2 dealer:name, 3 code, 4 purchase date/consumer name/address, 5 amount, 6 products; check printed and check # auto-incremented</t>
  </si>
  <si>
    <t xml:space="preserve">L70-104</t>
  </si>
  <si>
    <t xml:space="preserve">DELETE.MEMBER.01</t>
  </si>
  <si>
    <t xml:space="preserve">DELETE.MEMBER</t>
  </si>
  <si>
    <t xml:space="preserve">Requires Y confirmation then a hard-coded approval code 'EAGLE2' or 'FSH'</t>
  </si>
  <si>
    <t xml:space="preserve">L27-33</t>
  </si>
  <si>
    <t xml:space="preserve">DELETE.MEMBER.02</t>
  </si>
  <si>
    <t xml:space="preserve">Sets ARMST attrs 10-15 (NEW.MON, CURRENT, D30, D60, D90, BALANCE) and attr 24 FUTURE to 0; ARMST and STOCK records retained</t>
  </si>
  <si>
    <t xml:space="preserve">L34-38,L21</t>
  </si>
  <si>
    <t xml:space="preserve">DELETE.MEMBER.03</t>
  </si>
  <si>
    <t xml:space="preserve">Deletes member's ARINV, BVEND, IVEND, IVSOLD records (sales/vendor history wiped)</t>
  </si>
  <si>
    <t xml:space="preserve">L40-43</t>
  </si>
  <si>
    <t xml:space="preserve">DELETE.MEMBER.04</t>
  </si>
  <si>
    <t xml:space="preserve">ARLOG audit call commented out despite header</t>
  </si>
  <si>
    <t xml:space="preserve">L5,L39</t>
  </si>
  <si>
    <t xml:space="preserve">DIVD.CHK.LJ.01</t>
  </si>
  <si>
    <t xml:space="preserve">DIVD.CHK.LJ</t>
  </si>
  <si>
    <t xml:space="preserve">Dividend year must be 4 digits 1991-2050; used only in headings</t>
  </si>
  <si>
    <t xml:space="preserve">L15-22</t>
  </si>
  <si>
    <t xml:space="preserve">DIVD.CHK.LJ.02</t>
  </si>
  <si>
    <t xml:space="preserve">Members selected by dict item DIV40 &gt; 0 (DIV40 definition not in this program; purpose unclear) sorted by name</t>
  </si>
  <si>
    <t xml:space="preserve">L27</t>
  </si>
  <si>
    <t xml:space="preserve">DIVD.CHK.LJ.03</t>
  </si>
  <si>
    <t xml:space="preserve">Cash paid = STOCK attr 5 DIVIDEND - attr 6 PATR.CR (cents); new patronage balance shown = attr 3 PATR.BAL + attr 6 PATR.CR; stub also shows attr 1 VEND.COMM labelled "SURCHARGES" and attr 2 SHARES</t>
  </si>
  <si>
    <t xml:space="preserve">L36,L47-53</t>
  </si>
  <si>
    <t xml:space="preserve">DIVD.CHK.LJ.04</t>
  </si>
  <si>
    <t xml:space="preserve">Payee name/address from ARMST, falling back to ARMST2 (inactive members?)</t>
  </si>
  <si>
    <t xml:space="preserve">L35</t>
  </si>
  <si>
    <t xml:space="preserve">DIVD.CHK.LJ.05</t>
  </si>
  <si>
    <t xml:space="preserve">Each check written to APBR keyed by check #: 1=member id, 2=name, 3=today, 4 GROSS=paid, 6 NET=paid; check # increments by 1</t>
  </si>
  <si>
    <t xml:space="preserve">L67-69</t>
  </si>
  <si>
    <t xml:space="preserve">DIVD.CHK.LJ.06</t>
  </si>
  <si>
    <t xml:space="preserve">STOCK patronage balance is NOT updated by this program (display only)</t>
  </si>
  <si>
    <t xml:space="preserve">L52</t>
  </si>
  <si>
    <t xml:space="preserve">DIVD.CHK.LJ.07</t>
  </si>
  <si>
    <t xml:space="preserve">Hard-coded bank MICR line, routing 028000121 and account number in source</t>
  </si>
  <si>
    <t xml:space="preserve">DIVD.CHK.LJ.08</t>
  </si>
  <si>
    <t xml:space="preserve">Totals page (checks written, total paid) printed through the check form</t>
  </si>
  <si>
    <t xml:space="preserve">L73-79</t>
  </si>
  <si>
    <t xml:space="preserve">DIVD.CHK.LJ.09</t>
  </si>
  <si>
    <t xml:space="preserve">PCL/MICR check form layout</t>
  </si>
  <si>
    <t xml:space="preserve">L8-10,L37-65</t>
  </si>
  <si>
    <t xml:space="preserve">EM.1.01</t>
  </si>
  <si>
    <t xml:space="preserve">EM.1</t>
  </si>
  <si>
    <t xml:space="preserve">Rebate = INT(sales amount x rebate pct); MISC attr 1 = rebate, 2 = sales amount, 3 = pct (dict names attr 1 AMOUNT, 2 CHECK, 3 A — usage conflicts); units of amount and pct (fraction vs whole %) not validated</t>
  </si>
  <si>
    <t xml:space="preserve">EM.1.02</t>
  </si>
  <si>
    <t xml:space="preserve">ENTER.MISC.01</t>
  </si>
  <si>
    <t xml:space="preserve">ENTER.MISC</t>
  </si>
  <si>
    <t xml:space="preserve">Rebate hard-coded at 5% of entered sales amount (INT(AMT*.05)) to MISC attr 1; amount attr 2</t>
  </si>
  <si>
    <t xml:space="preserve">FIX.ORDERS.01</t>
  </si>
  <si>
    <t xml:space="preserve">FIX.ORDERS</t>
  </si>
  <si>
    <t xml:space="preserve">ARMST attr 17 ORDERS = sum over member's IVORD records of attr 3 QUAN x attr 4 COST (cents); all members zeroed first</t>
  </si>
  <si>
    <t xml:space="preserve">L6-22</t>
  </si>
  <si>
    <t xml:space="preserve">FIX.SURCHG.01</t>
  </si>
  <si>
    <t xml:space="preserve">FIX.SURCHG</t>
  </si>
  <si>
    <t xml:space="preserve">Warehouse line value = ORDHIST attr 13 QTY.SHIP x attr 4 COST (cents); surcharge embedded in price = TOT - TOT/(1000 + IVMST attr 12 PCT) x 1000 (PCT in tenths of a percent), rounded half away from zero</t>
  </si>
  <si>
    <t xml:space="preserve">L57,L68-74</t>
  </si>
  <si>
    <t xml:space="preserve">FIX.SURCHG.02</t>
  </si>
  <si>
    <t xml:space="preserve">Over-shipment value (shipped &gt; attr 3 ordered) accumulated separately (ETOT) and excluded from PRO sales</t>
  </si>
  <si>
    <t xml:space="preserve">L68-71,L83</t>
  </si>
  <si>
    <t xml:space="preserve">FIX.SURCHG.03</t>
  </si>
  <si>
    <t xml:space="preserve">ARMST attr 9 YTD.SALES = warehouse total + IVEND attr 2 sum; attr 21 SURCHG = warehouse surcharge + IVEND attr 3 sum; attr 26 PRO.SALES = warehouse total - overship - surcharge</t>
  </si>
  <si>
    <t xml:space="preserve">L49,L83-86</t>
  </si>
  <si>
    <t xml:space="preserve">FIX.SURCHG.04</t>
  </si>
  <si>
    <t xml:space="preserve">Comment says run for one account at a time with SELECT ORDHIST WITH ACCOUNT=### AND DATE GE 01/01/YEAR</t>
  </si>
  <si>
    <t xml:space="preserve">L6-8</t>
  </si>
  <si>
    <t xml:space="preserve">HOLD_QTRRBT.CHK.01</t>
  </si>
  <si>
    <t xml:space="preserve">HOLD_QTRRBT.CHK</t>
  </si>
  <si>
    <t xml:space="preserve">PRICING, VENDOR</t>
  </si>
  <si>
    <t xml:space="preserve">Prints "PRO 1st QUARTER REBATE" checks from MISC sorted by name with stub lines for PRO Warehouse Rebate, PROMASTER Battery Volume Rebate, Fuji PRO Film, Fuji Quarterly Volume, Fuji Paper, Fuji Chemistry, Fuji X Series, Noritsu Parts, Nikon and Sony quarterly programs; "NQ" = not qualified for warehouse rebate; shows 2014/2013 YTD purchases and ranking</t>
  </si>
  <si>
    <t xml:space="preserve">n/a (strings only)</t>
  </si>
  <si>
    <t xml:space="preserve">HOLD_QTRRBT.CHK.02</t>
  </si>
  <si>
    <t xml:space="preserve">Hard-coded bank MICR data embedded in object code</t>
  </si>
  <si>
    <t xml:space="preserve">n/a</t>
  </si>
  <si>
    <t xml:space="preserve">IPI.PRO.01</t>
  </si>
  <si>
    <t xml:space="preserve">IPI.PRO</t>
  </si>
  <si>
    <t xml:space="preserve">Hard-coded authorization code 'RALPH.C'</t>
  </si>
  <si>
    <t xml:space="preserve">IPI.PRO.02</t>
  </si>
  <si>
    <t xml:space="preserve">Conversion blocked if member has any open IVORD orders</t>
  </si>
  <si>
    <t xml:space="preserve">IPI.PRO.03</t>
  </si>
  <si>
    <t xml:space="preserve">New PRO account number = CONTROL 'AR' attr 1; next number advanced by 7 (NEW+7)</t>
  </si>
  <si>
    <t xml:space="preserve">L20,L52</t>
  </si>
  <si>
    <t xml:space="preserve">IPI.PRO.04</t>
  </si>
  <si>
    <t xml:space="preserve">ARMST copied to new account with attr 23 TP (member type) = 1; old record archived to ARMST.OLD and deleted</t>
  </si>
  <si>
    <t xml:space="preserve">L45-50</t>
  </si>
  <si>
    <t xml:space="preserve">IPI.PRO.05</t>
  </si>
  <si>
    <t xml:space="preserve">Member's open vendor POs in VENDORD are deleted, not moved</t>
  </si>
  <si>
    <t xml:space="preserve">L24,L51</t>
  </si>
  <si>
    <t xml:space="preserve">IPI.PRO.06</t>
  </si>
  <si>
    <t xml:space="preserve">ARINV, IVEND, IVSOLD moved to new account; ARHIST re-keyed new:old-key chars 5-10</t>
  </si>
  <si>
    <t xml:space="preserve">L53-82</t>
  </si>
  <si>
    <t xml:space="preserve">IPI.PRO.07</t>
  </si>
  <si>
    <t xml:space="preserve">Empty STOCK (shareholder) record created for new member; operator reminded to enter Federal Tax Number (STOCK attr 4 EIN)</t>
  </si>
  <si>
    <t xml:space="preserve">L75,L84</t>
  </si>
  <si>
    <t xml:space="preserve">LASER.PATR.01</t>
  </si>
  <si>
    <t xml:space="preserve">LASER.PATR</t>
  </si>
  <si>
    <t xml:space="preserve">Form issued for every STOCK2 record with DIVIDEND &gt; 0; amount = STOCK2 attr 5 (MR2 → stored in cents), member TIN = STOCK2 attr 4</t>
  </si>
  <si>
    <t xml:space="preserve">L17-23</t>
  </si>
  <si>
    <t xml:space="preserve">LASER.PATR.02</t>
  </si>
  <si>
    <t xml:space="preserve">Member name/address taken from ARMST2 (attr 1, 3, city from attr 4 before comma, state 5, zip 6), falling back to ARMST.OLD; skipped if in neither</t>
  </si>
  <si>
    <t xml:space="preserve">L24-31</t>
  </si>
  <si>
    <t xml:space="preserve">LASER.PATR.03</t>
  </si>
  <si>
    <t xml:space="preserve">Hard-coded payer: "PHOTOGRAPHIC RESEARCH ORGAN.", 360 Tunxis Hill Rd, Fairfield CT 06432, federal ID 13-1921109</t>
  </si>
  <si>
    <t xml:space="preserve">L13-16</t>
  </si>
  <si>
    <t xml:space="preserve">LASER.PATR.04</t>
  </si>
  <si>
    <t xml:space="preserve">PCL positioning: 3 forms per page, 2650 decipoint offset between forms</t>
  </si>
  <si>
    <t xml:space="preserve">L10-11, L45-56</t>
  </si>
  <si>
    <t xml:space="preserve">M1.01</t>
  </si>
  <si>
    <t xml:space="preserve">M1</t>
  </si>
  <si>
    <t xml:space="preserve">New MLIST IDs are sequential: start from CONTROL 'AR' attr 2, +1 per added entry, counter written back on exit</t>
  </si>
  <si>
    <t xml:space="preserve">L7,36,38</t>
  </si>
  <si>
    <t xml:space="preserve">M1.02</t>
  </si>
  <si>
    <t xml:space="preserve">MLIST record = name, name2, street, city-st-zip; each limited to 28 chars</t>
  </si>
  <si>
    <t xml:space="preserve">L25-33</t>
  </si>
  <si>
    <t xml:space="preserve">M1.03</t>
  </si>
  <si>
    <t xml:space="preserve">Delete requires Y confirmation</t>
  </si>
  <si>
    <t xml:space="preserve">M2.01</t>
  </si>
  <si>
    <t xml:space="preserve">M2</t>
  </si>
  <si>
    <t xml:space="preserve">"No. mailings" stored in ARMST attr 23 (dict names T/TP — purpose unclear beyond this program); no validation of input</t>
  </si>
  <si>
    <t xml:space="preserve">L11-12</t>
  </si>
  <si>
    <t xml:space="preserve">MC.1.01</t>
  </si>
  <si>
    <t xml:space="preserve">MC.1</t>
  </si>
  <si>
    <t xml:space="preserve">MISC keyed by member: attr 1 = amount paid (cents, printed MD2), attr 2 = sales, attr 3 = pct (sales/pct read but not printed)</t>
  </si>
  <si>
    <t xml:space="preserve">L25-27</t>
  </si>
  <si>
    <t xml:space="preserve">MC.1.02</t>
  </si>
  <si>
    <t xml:space="preserve">Check number = operator-entered start, +1 per check; written to MISC attr 5</t>
  </si>
  <si>
    <t xml:space="preserve">L10,31-32</t>
  </si>
  <si>
    <t xml:space="preserve">MC.1.03</t>
  </si>
  <si>
    <t xml:space="preserve">Hard-coded memo text "SECOND QUARTER 1997 REBATES" on every check</t>
  </si>
  <si>
    <t xml:space="preserve">MC.1.04</t>
  </si>
  <si>
    <t xml:space="preserve">Payee/address from ARMST attrs 1,3,4,5,6; members missing from ARMST skipped silently</t>
  </si>
  <si>
    <t xml:space="preserve">L23,35-40</t>
  </si>
  <si>
    <t xml:space="preserve">MC.1.05</t>
  </si>
  <si>
    <t xml:space="preserve">Final void check prints run totals (checks written, total paid)</t>
  </si>
  <si>
    <t xml:space="preserve">L52-60</t>
  </si>
  <si>
    <t xml:space="preserve">MOVE.01</t>
  </si>
  <si>
    <t xml:space="preserve">MOVE</t>
  </si>
  <si>
    <t xml:space="preserve">Year-end roll of high credit: current-year high credit (attr 36 CY.HI.CRED) moved to prior-year (attr 38 PY.HI.CRED), date attr 37 copied, current reset to 0</t>
  </si>
  <si>
    <t xml:space="preserve">PATR.CALC.01</t>
  </si>
  <si>
    <t xml:space="preserve">PATR.CALC</t>
  </si>
  <si>
    <t xml:space="preserve">Dividend (attr 5) = member surcharges (attr 1, cents) / total surcharges 169751497 * total dividend 838757 (whole dollars, per comment), rounded</t>
  </si>
  <si>
    <t xml:space="preserve">L8-10</t>
  </si>
  <si>
    <t xml:space="preserve">PATR.CALC.02</t>
  </si>
  <si>
    <t xml:space="preserve">Members holding &gt; 3100 shares (attr 2) get no cash portion; otherwise patronage credit attr 6 = INT(dividend * .55)</t>
  </si>
  <si>
    <t xml:space="preserve">PATR.UPD.01</t>
  </si>
  <si>
    <t xml:space="preserve">PATR.UPD</t>
  </si>
  <si>
    <t xml:space="preserve">PATR.BAL (attr 3) += PATR.CR (attr 6); attr 6 = 0; DIVIDEND attr 5 = 0</t>
  </si>
  <si>
    <t xml:space="preserve">PATR.WH.01</t>
  </si>
  <si>
    <t xml:space="preserve">PATR.WH</t>
  </si>
  <si>
    <t xml:space="preserve">Bonus (attr 8 WH.PROFIT) = INT((attr 7 DIRECT.COMM - attr 9 PROMASTER) * 3%)</t>
  </si>
  <si>
    <t xml:space="preserve">PATR.WH.02</t>
  </si>
  <si>
    <t xml:space="preserve">Header says "except for cameras" — only evidence is the comment; camera exclusion presumably done upstream by subtracting attr 9 (confirm)</t>
  </si>
  <si>
    <t xml:space="preserve">PATR1099.01</t>
  </si>
  <si>
    <t xml:space="preserve">PATR1099</t>
  </si>
  <si>
    <t xml:space="preserve">Members with DIVIDEND (attr 5) &gt; 0 get a 1099-PATR showing amount (cents, MR2), member EIN attr 4, name/address from ARMST2 else ARMST.OLD</t>
  </si>
  <si>
    <t xml:space="preserve">L15,20-31</t>
  </si>
  <si>
    <t xml:space="preserve">PATR1099.02</t>
  </si>
  <si>
    <t xml:space="preserve">Hard-coded payer: Photographic Research Organ., 360 Tunxis Hill Rd, Fairfield CT 06432, FED ID 13-1921109</t>
  </si>
  <si>
    <t xml:space="preserve">L10-13</t>
  </si>
  <si>
    <t xml:space="preserve">PATR1099.03</t>
  </si>
  <si>
    <t xml:space="preserve">Members not found in either ARMST copy are skipped with console message</t>
  </si>
  <si>
    <t xml:space="preserve">PENDINGRBT.01</t>
  </si>
  <si>
    <t xml:space="preserve">PENDINGRBT</t>
  </si>
  <si>
    <t xml:space="preserve">Pending rebate keyed by web ID: attr 3 rebate code, attr 4 purchase date/name/street/city/state/zip, attr 5 amount, attr 6 products (up to 2)</t>
  </si>
  <si>
    <t xml:space="preserve">PENDINGRBT.02</t>
  </si>
  <si>
    <t xml:space="preserve">Rebate code must exist in RBTCODES; rebate amount is taken from RBTCODES attr 2 (cents), overriding the amount submitted online</t>
  </si>
  <si>
    <t xml:space="preserve">PENDINGRBT.03</t>
  </si>
  <si>
    <t xml:space="preserve">Product 1 must exist in IVMST; product 2 optional, literal 'Flash' accepted as "PROMASTER Electronic Flash" without IVMST lookup</t>
  </si>
  <si>
    <t xml:space="preserve">L32,35-37</t>
  </si>
  <si>
    <t xml:space="preserve">PENDINGRBT.04</t>
  </si>
  <si>
    <t xml:space="preserve">Name, street, city, state (exactly 2 chars), zip required</t>
  </si>
  <si>
    <t xml:space="preserve">L44-54</t>
  </si>
  <si>
    <t xml:space="preserve">PENDINGRBT.05</t>
  </si>
  <si>
    <t xml:space="preserve">Dealer # entered by operator must exist in STRNAME (store name) else ARMST; dealer number + name stored on rebate</t>
  </si>
  <si>
    <t xml:space="preserve">L55-58,66</t>
  </si>
  <si>
    <t xml:space="preserve">PENDINGRBT.06</t>
  </si>
  <si>
    <t xml:space="preserve">Rebate check numbers sequential from CONTROL 'RBTCHK'; RBTDATA keyed by check number; counter saved only when operator exits with E</t>
  </si>
  <si>
    <t xml:space="preserve">L19,23,71-73</t>
  </si>
  <si>
    <t xml:space="preserve">PENDINGRBT.07</t>
  </si>
  <si>
    <t xml:space="preserve">Purchase date not validated (validation commented out)</t>
  </si>
  <si>
    <t xml:space="preserve">QTR.RBT.RPT.01</t>
  </si>
  <si>
    <t xml:space="preserve">QTR.RBT.RPT</t>
  </si>
  <si>
    <t xml:space="preserve">MISC layout here: attr 1 total paid, attr 2 check #, attr 3 PRO warehouse rebate, attr 4 Konica quarterly, attr 5 Konica annual, attr 6 Konica semi-annual, attr 7 misc rebates (all cents)</t>
  </si>
  <si>
    <t xml:space="preserve">L29-37</t>
  </si>
  <si>
    <t xml:space="preserve">QTR.RBT.RPT.02</t>
  </si>
  <si>
    <t xml:space="preserve">Hard-coded vendor-specific rebate programs for Konica (quarterly, annual, semi-annual)</t>
  </si>
  <si>
    <t xml:space="preserve">QTR.RBT.RPT.03</t>
  </si>
  <si>
    <t xml:space="preserve">Hard-coded period "1ST QUARTER 1998" and correction notice text</t>
  </si>
  <si>
    <t xml:space="preserve">L10,38-39</t>
  </si>
  <si>
    <t xml:space="preserve">QTRDATA.LTR.01</t>
  </si>
  <si>
    <t xml:space="preserve">QTRDATA.LTR</t>
  </si>
  <si>
    <t xml:space="preserve">Letter only for members with QUALIFY (QTRDATA attr 4 per QUARTERLY.RPT) not 'Y' and at least one of the 4 group qty slots (attr 2 values 1-4) empty</t>
  </si>
  <si>
    <t xml:space="preserve">QTRDATA.LTR.02</t>
  </si>
  <si>
    <t xml:space="preserve">Group slot -&gt; name: 1 Lenses, 2 Flash, 3 Tripods, 4 Filters (maps to IVMST groups 1, 4, 10, 19 per QUARTERLY.RPT)</t>
  </si>
  <si>
    <t xml:space="preserve">QTRDATA.LTR.03</t>
  </si>
  <si>
    <t xml:space="preserve">Shortfall = 1000000 cents ($10,000) - QTRDATA attr 3 (warehouse $ in cents)</t>
  </si>
  <si>
    <t xml:space="preserve">QTRDATA.LTR.04</t>
  </si>
  <si>
    <t xml:space="preserve">Letter text states rule: 2% quarterly rebate on all warehouse-shipped products if member buys all four groups OR $10,000 minimum in the quarter (text hard-codes "third quarter")</t>
  </si>
  <si>
    <t xml:space="preserve">QTRDATA.LTR.05</t>
  </si>
  <si>
    <t xml:space="preserve">Hard-coded PRO office phone (203) 336-0183</t>
  </si>
  <si>
    <t xml:space="preserve">QTRDATA.LTR1.01</t>
  </si>
  <si>
    <t xml:space="preserve">QTRDATA.LTR1</t>
  </si>
  <si>
    <t xml:space="preserve">Operator must choose quarterly dollar requirement of exactly 5000, 10000 or 15000 (whole dollars); shortfall = requirement*100 - QTRDATA attr 1 (cents)</t>
  </si>
  <si>
    <t xml:space="preserve">L16-21,34-35</t>
  </si>
  <si>
    <t xml:space="preserve">QTRDATA.LTR1.02</t>
  </si>
  <si>
    <t xml:space="preserve">Only members &lt; 6000 (hard-coded member range cutoff) with QUALIFY NE Y, by name</t>
  </si>
  <si>
    <t xml:space="preserve">QTRDATA.LTR1.03</t>
  </si>
  <si>
    <t xml:space="preserve">Minimum SKU counts: batteries 10 (attr 2), memory 6 (attr 3), 7500EDF flash 2 (attr 4), digital filter types 4 (attr 5), inkjet paper 3 (attr 6), tripod lines 3 of 8 (attr 7); remaining = minimum - SUM(attr), floored at 0</t>
  </si>
  <si>
    <t xml:space="preserve">L26-31,48-55</t>
  </si>
  <si>
    <t xml:space="preserve">QTRDATA.LTR1.04</t>
  </si>
  <si>
    <t xml:space="preserve">Program text: 5% quarterly incentive on warehouse shipments excluding film, memory and other net items; qualify by meeting all group minimums OR the dollar minimum, plus "additional qualifications in the PRO INCENTIVE PROGRAM"</t>
  </si>
  <si>
    <t xml:space="preserve">L44-58</t>
  </si>
  <si>
    <t xml:space="preserve">QTRDATA.LTR1.05</t>
  </si>
  <si>
    <t xml:space="preserve">Hard-coded product-line names in qualification rules (7500EDF flash; filter types UV, Protection, CPL, Cross Screen, Soft A, ND4, ND8, HGX UV/Protection/CPL, UV/IR Cutoff; tripod lines SystemPro, Travel, 7000, Featherweight, Carbon40, T Carbon, Classic, SHD)</t>
  </si>
  <si>
    <t xml:space="preserve">L50-55</t>
  </si>
  <si>
    <t xml:space="preserve">QUARTERLY.LY.01</t>
  </si>
  <si>
    <t xml:space="preserve">QUARTERLY.LY</t>
  </si>
  <si>
    <t xml:space="preserve">Differs from QUARTERLY.RPT: product codes &gt;= '9990' excluded (vs '9000')</t>
  </si>
  <si>
    <t xml:space="preserve">QUARTERLY.LY.02</t>
  </si>
  <si>
    <t xml:space="preserve">Hard-coded excluded product 6779 (vs 4840)</t>
  </si>
  <si>
    <t xml:space="preserve">L32</t>
  </si>
  <si>
    <t xml:space="preserve">QUARTERLY.LY.03</t>
  </si>
  <si>
    <t xml:space="preserve">Product groups 20 and 22 excluded (vs only 20)</t>
  </si>
  <si>
    <t xml:space="preserve">L35-36</t>
  </si>
  <si>
    <t xml:space="preserve">QUARTERLY.LY.04</t>
  </si>
  <si>
    <t xml:space="preserve">Negative group quantity (net returns) treated as not purchased</t>
  </si>
  <si>
    <t xml:space="preserve">QUARTERLY.LY.05</t>
  </si>
  <si>
    <t xml:space="preserve">Dollar override threshold 1500000 cents ($15,000) (vs $10,000); 800-line cap</t>
  </si>
  <si>
    <t xml:space="preserve">L27,60</t>
  </si>
  <si>
    <t xml:space="preserve">QUARTERLY.RPT.01</t>
  </si>
  <si>
    <t xml:space="preserve">QUARTERLY.RPT</t>
  </si>
  <si>
    <t xml:space="preserve">Only warehouse invoices (ARHIST VNAME="") in the date range count</t>
  </si>
  <si>
    <t xml:space="preserve">QUARTERLY.RPT.02</t>
  </si>
  <si>
    <t xml:space="preserve">Excluded lines: product codes &gt;= '9000' (string compare), hard-coded product 4840</t>
  </si>
  <si>
    <t xml:space="preserve">QUARTERLY.RPT.03</t>
  </si>
  <si>
    <t xml:space="preserve">Excluded product group 20 (IVMST attr 6, fallback IVMST.DISC attr 6)</t>
  </si>
  <si>
    <t xml:space="preserve">L33-35</t>
  </si>
  <si>
    <t xml:space="preserve">QUARTERLY.RPT.04</t>
  </si>
  <si>
    <t xml:space="preserve">Excluded when IVMST attr 14 = 'S' (dict BID/BRAND.ID on IVMST, "NOT IN USE" on IVMST.DISC — purpose unclear; acts as skip flag)</t>
  </si>
  <si>
    <t xml:space="preserve">L36-38</t>
  </si>
  <si>
    <t xml:space="preserve">QUARTERLY.RPT.05</t>
  </si>
  <si>
    <t xml:space="preserve">Qualifying dollars QTRDATA attr 3 = sum of AMOUNT (cents) of all non-excluded lines</t>
  </si>
  <si>
    <t xml:space="preserve">L41</t>
  </si>
  <si>
    <t xml:space="preserve">QUARTERLY.RPT.06</t>
  </si>
  <si>
    <t xml:space="preserve">Hard-coded qualifying product groups 1 (lenses), 4 (flash), 10 (tripods), 19 (filters); qty per group in attr 2</t>
  </si>
  <si>
    <t xml:space="preserve">L11-12,42-47</t>
  </si>
  <si>
    <t xml:space="preserve">QUARTERLY.RPT.07</t>
  </si>
  <si>
    <t xml:space="preserve">QUALIFY (attr 4) = 'Y' if qty recorded in all 4 groups, OR qualifying dollars &gt;= 1000000 cents ($10,000); else 'N'</t>
  </si>
  <si>
    <t xml:space="preserve">SEL.SHIPTO.01</t>
  </si>
  <si>
    <t xml:space="preserve">SEL.SHIPTO</t>
  </si>
  <si>
    <t xml:space="preserve">SHIPTO key = member*code. A code entered as 1-2 digits is zero-padded to 2 digits (`'R%2'`). If the code is not found, SHIP(1) = 'NOF'.</t>
  </si>
  <si>
    <t xml:space="preserve">SEL.SHIPTO.02</t>
  </si>
  <si>
    <t xml:space="preserve">List mode shows all SHIPTO records for the member, 12 per page, and the user confirms a choice (default Yes)</t>
  </si>
  <si>
    <t xml:space="preserve">L16-21, L54-67</t>
  </si>
  <si>
    <t xml:space="preserve">SEL.SHIPTO.03</t>
  </si>
  <si>
    <t xml:space="preserve">Returned ship-to: SHIP(1) = name (attr 2), SHIP(2) = address line 1 (attr 3), SHIP(3) = "city, state zip" (attrs 5-7), SHIP(4) = UPS zone (attr 8). Address line 2 (attr 4) is NOT returned or shown.</t>
  </si>
  <si>
    <t xml:space="preserve">L87-90, L120</t>
  </si>
  <si>
    <t xml:space="preserve">SHARES.01</t>
  </si>
  <si>
    <t xml:space="preserve">SHARES</t>
  </si>
  <si>
    <t xml:space="preserve">STOCK attr 2 SHARES += entered additional shares, with no validation (non-numeric or negative input is accepted) and no history/audit. A member with no STOCK record stops the program.</t>
  </si>
  <si>
    <t xml:space="preserve">L5-8</t>
  </si>
  <si>
    <t xml:space="preserve">TEMP.01</t>
  </si>
  <si>
    <t xml:space="preserve">TEMP</t>
  </si>
  <si>
    <t xml:space="preserve">STOCK attr 7 (dict DIRECT.COMM "Direct-Com") is set to ARMST2 attr 26 (warehouse/PRO merchandise sales). The field-name mismatch (warehouse sales written into the direct-commission field) needs confirmation.</t>
  </si>
  <si>
    <t xml:space="preserve">L3-7</t>
  </si>
  <si>
    <t xml:space="preserve">UPD.WH.01</t>
  </si>
  <si>
    <t xml:space="preserve">UPD.WH</t>
  </si>
  <si>
    <t xml:space="preserve">Hard-coded archive file ARHIST.11 (2011). The error text says ARHIST.10.</t>
  </si>
  <si>
    <t xml:space="preserve">UPD.WH.02</t>
  </si>
  <si>
    <t xml:space="preserve">Only members with a STOCK record are processed (member = ARHIST key ID[1,4])</t>
  </si>
  <si>
    <t xml:space="preserve">L19-27</t>
  </si>
  <si>
    <t xml:space="preserve">UPD.WH.03</t>
  </si>
  <si>
    <t xml:space="preserve">Vendor-billing lines are excluded by testing whether the "product" (ARHIST attr 2) exists as an APMST vendor id. This is ambiguous because product and vendor numbers share a namespace.</t>
  </si>
  <si>
    <t xml:space="preserve">UPD.WH.04</t>
  </si>
  <si>
    <t xml:space="preserve">Products &gt; 9989 are excluded (non-merchandise codes)</t>
  </si>
  <si>
    <t xml:space="preserve">L34-35</t>
  </si>
  <si>
    <t xml:space="preserve">UPD.WH.05</t>
  </si>
  <si>
    <t xml:space="preserve">Products missing from both IVMST and IVMST.DISC are excluded</t>
  </si>
  <si>
    <t xml:space="preserve">L36-39</t>
  </si>
  <si>
    <t xml:space="preserve">UPD.WH.06</t>
  </si>
  <si>
    <t xml:space="preserve">Hard-coded EGRP 59 (IVMST attr 39, "Cameras" per comment): the line amount (attr 4, cents) is added to STOCK attr 9 (dict PROMASTER, header calls it "WH field")</t>
  </si>
  <si>
    <t xml:space="preserve">L40-41, L46</t>
  </si>
  <si>
    <t xml:space="preserve">UPD.WH.07</t>
  </si>
  <si>
    <t xml:space="preserve">All other warehouse product amounts are summed into TOT/WH, but WH is never written, so only the camera total is stored</t>
  </si>
  <si>
    <t xml:space="preserve">L42, L45</t>
  </si>
  <si>
    <t xml:space="preserve">XX.01</t>
  </si>
  <si>
    <t xml:space="preserve">XX</t>
  </si>
  <si>
    <t xml:space="preserve">Hard-coded product 9832: only that product's line (first occurrence) on each listed invoice is used</t>
  </si>
  <si>
    <t xml:space="preserve">XX.02</t>
  </si>
  <si>
    <t xml:space="preserve">Hard-coded amount 50216 per unit (cents, i.e. $502.16, presumably a cost correction): WH.PROFIT -= 50216 x qty</t>
  </si>
  <si>
    <t xml:space="preserve">ZIP.9.01</t>
  </si>
  <si>
    <t xml:space="preserve">ZIP.9</t>
  </si>
  <si>
    <t xml:space="preserve">Member must exist. The +4 must be exactly 4 digits. ZIP9 `&lt;member&gt;` attr 1 = ARMST ZIP (attr 6) + '-' + the 4 digits. It is stored separately from ARMST, so the two can diverge.</t>
  </si>
  <si>
    <t xml:space="preserve">AR.ADJ.CY.01</t>
  </si>
  <si>
    <t xml:space="preserve">AR.ADJ.CY</t>
  </si>
  <si>
    <t xml:space="preserve">ARMST attr 36 CY.HI.CRED = INT(attr 15 BALANCE / 100) (balance in cents, high-credit in whole dollars)</t>
  </si>
  <si>
    <t xml:space="preserve">L13</t>
  </si>
  <si>
    <t xml:space="preserve">AR.ADJ.CY.02</t>
  </si>
  <si>
    <t xml:space="preserve">ARMST attr 16 HI.CRED = attr 38 PY.HI.CRED</t>
  </si>
  <si>
    <t xml:space="preserve">L14</t>
  </si>
  <si>
    <t xml:space="preserve">AR.CHANGE.01</t>
  </si>
  <si>
    <t xml:space="preserve">AR.CHANGE</t>
  </si>
  <si>
    <t xml:space="preserve">Hard-coded target member 2829: new key = "2829" : old key chars 5-10</t>
  </si>
  <si>
    <t xml:space="preserve">L4</t>
  </si>
  <si>
    <t xml:space="preserve">AR.CHANGE.02</t>
  </si>
  <si>
    <t xml:space="preserve">Overwrites any existing target record without merging, then deletes the source</t>
  </si>
  <si>
    <t xml:space="preserve">AR.INP.DEPTICK.01</t>
  </si>
  <si>
    <t xml:space="preserve">AR.INP.DEPTICK</t>
  </si>
  <si>
    <t xml:space="preserve">New ticket number = current month (2 digits) : CONTROL 'DEPTICK' attr 1 sequence zero-padded to 3; sequence then incremented. No monthly reset or overflow check in this program</t>
  </si>
  <si>
    <t xml:space="preserve">L53-71</t>
  </si>
  <si>
    <t xml:space="preserve">AR.INP.DEPTICK.02</t>
  </si>
  <si>
    <t xml:space="preserve">Existing tickets are entered as 4–5 digits, zero-padded to 5; only tickets whose first 2 chars equal the current month may be edited</t>
  </si>
  <si>
    <t xml:space="preserve">L72-96</t>
  </si>
  <si>
    <t xml:space="preserve">AR.INP.DEPTICK.03</t>
  </si>
  <si>
    <t xml:space="preserve">Ticket date validated by CALL IDATE(ip,30,0) (window meaning of 30 not visible here) and stored in DEPTICK attr 1 DATE (internal)</t>
  </si>
  <si>
    <t xml:space="preserve">L102-124</t>
  </si>
  <si>
    <t xml:space="preserve">AR.INP.DEPTICK.04</t>
  </si>
  <si>
    <t xml:space="preserve">Each line's account must be numeric, ≥4 digits, and exist in ARMST</t>
  </si>
  <si>
    <t xml:space="preserve">L149-171</t>
  </si>
  <si>
    <t xml:space="preserve">AR.INP.DEPTICK.05</t>
  </si>
  <si>
    <t xml:space="preserve">Same account twice on one ticket requires operator "OK"</t>
  </si>
  <si>
    <t xml:space="preserve">L155-166</t>
  </si>
  <si>
    <t xml:space="preserve">AR.INP.DEPTICK.06</t>
  </si>
  <si>
    <t xml:space="preserve">Check number is mandatory; a non-numeric check number requires "OK"</t>
  </si>
  <si>
    <t xml:space="preserve">L180-208</t>
  </si>
  <si>
    <t xml:space="preserve">AR.INP.DEPTICK.07</t>
  </si>
  <si>
    <t xml:space="preserve">Check amount cannot be changed once any of it has been applied (amount ≠ unapplied)</t>
  </si>
  <si>
    <t xml:space="preserve">L213-216</t>
  </si>
  <si>
    <t xml:space="preserve">AR.INP.DEPTICK.08</t>
  </si>
  <si>
    <t xml:space="preserve">Check amount entered as dollars or dollars.cents (MONEY), stored in cents; amounts &gt; $500,000.00 (50000000 cents) require "OK"</t>
  </si>
  <si>
    <t xml:space="preserve">L228-240</t>
  </si>
  <si>
    <t xml:space="preserve">AR.INP.DEPTICK.09</t>
  </si>
  <si>
    <t xml:space="preserve">On entry, unapplied amount = check amount (both in cents, multivalued per line)</t>
  </si>
  <si>
    <t xml:space="preserve">L242-246</t>
  </si>
  <si>
    <t xml:space="preserve">AR.INP.DEPTICK.10</t>
  </si>
  <si>
    <t xml:space="preserve">Lines can be deleted with "/D" + "OK"; deletes account, check, amount, unapplied for that line</t>
  </si>
  <si>
    <t xml:space="preserve">L139-148, L387-396</t>
  </si>
  <si>
    <t xml:space="preserve">AR.INP.PAYMNTS.01</t>
  </si>
  <si>
    <t xml:space="preserve">AR.INP.PAYMNTS</t>
  </si>
  <si>
    <t xml:space="preserve">No payments allowed while CONTROL 'UPD' attr 1 &gt; 2 (month-end in progress); CONTROL 'UPD' attr 2 = current month used for ticket listing</t>
  </si>
  <si>
    <t xml:space="preserve">L44-52, L111</t>
  </si>
  <si>
    <t xml:space="preserve">AR.INP.PAYMNTS.02</t>
  </si>
  <si>
    <t xml:space="preserve">Current-month-only ticket restriction is commented out (any month's ticket can be paid against)</t>
  </si>
  <si>
    <t xml:space="preserve">L102-107</t>
  </si>
  <si>
    <t xml:space="preserve">AR.INP.PAYMNTS.03</t>
  </si>
  <si>
    <t xml:space="preserve">A ticket line with unapplied = 0 and non-zero check cannot be applied further</t>
  </si>
  <si>
    <t xml:space="preserve">L126-129</t>
  </si>
  <si>
    <t xml:space="preserve">AR.INP.PAYMNTS.04</t>
  </si>
  <si>
    <t xml:space="preserve">Payment options: (1) pay amount due where Due = ARMST attr 15 BALANCE − attr 10 NEW.MON − attr 24 FUTURE; (2) pay total BALANCE; (3) enter invoices; (4) prompted invoices</t>
  </si>
  <si>
    <t xml:space="preserve">L174-190</t>
  </si>
  <si>
    <t xml:space="preserve">AR.INP.PAYMNTS.05</t>
  </si>
  <si>
    <t xml:space="preserve">Options 1/2 auto-apply: cap = min(check, due or balance); walk ARINV invoices in stored order paying each invoice's full open amount until cap reached</t>
  </si>
  <si>
    <t xml:space="preserve">L194-219</t>
  </si>
  <si>
    <t xml:space="preserve">AR.INP.PAYMNTS.06</t>
  </si>
  <si>
    <t xml:space="preserve">Invoice open amount = ARINV AMOUNT − AMTPAID − CRDMEM − ADJ (CRDMEM/ADJ are include-file fields beyond the ARINV dict)</t>
  </si>
  <si>
    <t xml:space="preserve">L345</t>
  </si>
  <si>
    <t xml:space="preserve">AR.INP.PAYMNTS.07</t>
  </si>
  <si>
    <t xml:space="preserve">Aging bucket = ARINV attr 5 AGING + 10, mapped to ARMST attr 10 NEW.MON / 11 CURRENT / 12 30DAYS / 13 60DAYS / 14 90DAYS; &gt;14 capped at 14; &lt;10 (future) mapped to attr 24 FUTURE</t>
  </si>
  <si>
    <t xml:space="preserve">L347-350</t>
  </si>
  <si>
    <t xml:space="preserve">AR.INP.PAYMNTS.08</t>
  </si>
  <si>
    <t xml:space="preserve">Options 1 and 4 skip invoices with AGE &lt; 11 (new-month and future invoices are not "due")</t>
  </si>
  <si>
    <t xml:space="preserve">L348</t>
  </si>
  <si>
    <t xml:space="preserve">AR.INP.PAYMNTS.09</t>
  </si>
  <si>
    <t xml:space="preserve">Prompt-pay discount: only for new-month, current or future invoices; DISC = ROUND(open × ARINV attr 4 TERMS / 100) (TERMS = discount %, money in cents); non-numeric TERMS forced to 0 with warning</t>
  </si>
  <si>
    <t xml:space="preserve">L351-357</t>
  </si>
  <si>
    <t xml:space="preserve">AR.INP.PAYMNTS.10</t>
  </si>
  <si>
    <t xml:space="preserve">On payment: ARMST BALANCE and the aging bucket reduce by gross AMT (open amount incl. discount); ARINV AMTPAID += AMT, DTPAID = pay date</t>
  </si>
  <si>
    <t xml:space="preserve">L383-397</t>
  </si>
  <si>
    <t xml:space="preserve">AR.INP.PAYMNTS.11</t>
  </si>
  <si>
    <t xml:space="preserve">Vendor-credit invoices (ARINV attr 8 VN.CRED = 1) also reduce ARMST attr 22 VN.CRED by AMT</t>
  </si>
  <si>
    <t xml:space="preserve">L386-389</t>
  </si>
  <si>
    <t xml:space="preserve">AR.INP.PAYMNTS.12</t>
  </si>
  <si>
    <t xml:space="preserve">If the amount applied ≠ invoice open amount and a discount applies, discount recalculated = ROUND(AMT × TERMS / 100)</t>
  </si>
  <si>
    <t xml:space="preserve">L390-394</t>
  </si>
  <si>
    <t xml:space="preserve">AR.INP.PAYMNTS.13</t>
  </si>
  <si>
    <t xml:space="preserve">Pay-in-full exceeding unapplied cash requires typing "OVER", then converts to a partial payment</t>
  </si>
  <si>
    <t xml:space="preserve">L588-598</t>
  </si>
  <si>
    <t xml:space="preserve">AR.INP.PAYMNTS.14</t>
  </si>
  <si>
    <t xml:space="preserve">Partial amounts may be negative ("-" prefix); amount &gt; unapplied cash or &gt; invoice due (unless open credit) requires "OVER"</t>
  </si>
  <si>
    <t xml:space="preserve">L645-667, L684-694</t>
  </si>
  <si>
    <t xml:space="preserve">AR.INP.PAYMNTS.15</t>
  </si>
  <si>
    <t xml:space="preserve">Split codes per partial: AJ adjustment, CM credit memo, PT partial payment, DS discount adjustment, SC service charge, UC unknown cash; each code at most once per invoice</t>
  </si>
  <si>
    <t xml:space="preserve">L63, L695-722</t>
  </si>
  <si>
    <t xml:space="preserve">AR.INP.PAYMNTS.16</t>
  </si>
  <si>
    <t xml:space="preserve">DS (discount adjustment) larger than 10% of invoice due requires "DISCOK"</t>
  </si>
  <si>
    <t xml:space="preserve">L725-733</t>
  </si>
  <si>
    <t xml:space="preserve">AR.INP.PAYMNTS.17</t>
  </si>
  <si>
    <t xml:space="preserve">Non-cash option 9 is meant to force code AJ (check tests PAYOPT=0, but PAYOPT is set to 9)</t>
  </si>
  <si>
    <t xml:space="preserve">L584-585, L705-706, L851-853</t>
  </si>
  <si>
    <t xml:space="preserve">AR.INP.PAYMNTS.18</t>
  </si>
  <si>
    <t xml:space="preserve">CM split requires a valid APMST vendor and an explanation longer than 3 characters</t>
  </si>
  <si>
    <t xml:space="preserve">L794-830</t>
  </si>
  <si>
    <t xml:space="preserve">AR.INP.PAYMNTS.19</t>
  </si>
  <si>
    <t xml:space="preserve">Unknown invoice # can be posted as an open credit: inserted at top of ARINV with date today, amount 0; must use payment code 3</t>
  </si>
  <si>
    <t xml:space="preserve">L249-257, L582-583, L831-838</t>
  </si>
  <si>
    <t xml:space="preserve">AR.INP.PAYMNTS.20</t>
  </si>
  <si>
    <t xml:space="preserve">Unapplied cash = ticket unapplied − applied gross + discounts + CM + AJ + SC totals; update refused while unapplied &lt; 0</t>
  </si>
  <si>
    <t xml:space="preserve">L446-450, L637-640</t>
  </si>
  <si>
    <t xml:space="preserve">AR.INP.PAYMNTS.21</t>
  </si>
  <si>
    <t xml:space="preserve">On update: ARMST attr 19 LAST.PAID = today; each paid invoice stamped with ticket id (ARINV TICKET)</t>
  </si>
  <si>
    <t xml:space="preserve">L490-499</t>
  </si>
  <si>
    <t xml:space="preserve">AR.INP.PAYMNTS.22</t>
  </si>
  <si>
    <t xml:space="preserve">CM posting: ARINV CRDMEM += amt and AMTPAID −= amt; vendor and reason stored per subvalue; triggers AP credit posting</t>
  </si>
  <si>
    <t xml:space="preserve">L507-514</t>
  </si>
  <si>
    <t xml:space="preserve">AR.INP.PAYMNTS.23</t>
  </si>
  <si>
    <t xml:space="preserve">AJ posting: ARINV ADJ += amt and AMTPAID −= amt</t>
  </si>
  <si>
    <t xml:space="preserve">L515-517</t>
  </si>
  <si>
    <t xml:space="preserve">AR.INP.PAYMNTS.24</t>
  </si>
  <si>
    <t xml:space="preserve">DS, SC, UC codes are not posted to ARINV (only counted in DEPTICK totals)</t>
  </si>
  <si>
    <t xml:space="preserve">L518-520</t>
  </si>
  <si>
    <t xml:space="preserve">AR.INP.PAYMNTS.25</t>
  </si>
  <si>
    <t xml:space="preserve">AP credit from a member CM: APDIST key VENDOR*INVOICE:"CM", STATUS "100", batch = period:batch(5-digit):counter, GROSS = −amt, DISC 0, DATE today; APHIST NET = +amt; APMST OPEN.GROSS += gross</t>
  </si>
  <si>
    <t xml:space="preserve">L905-937</t>
  </si>
  <si>
    <t xml:space="preserve">AR.INP.PAYMNTS.26</t>
  </si>
  <si>
    <t xml:space="preserve">AP credit due date: today+30 (+30 more if today's day &gt; 25), then day-of-month replaced by APMST attr 10 DUE.DAYS (default 30)</t>
  </si>
  <si>
    <t xml:space="preserve">L912-917</t>
  </si>
  <si>
    <t xml:space="preserve">AR.INP.PAYMNTS.27</t>
  </si>
  <si>
    <t xml:space="preserve">If APMST attr 12 LEDGER set, APDIST LEDGER = it and APDIST AMOUNT = gross</t>
  </si>
  <si>
    <t xml:space="preserve">L926-928</t>
  </si>
  <si>
    <t xml:space="preserve">AR.INP.PAYMNTS.28</t>
  </si>
  <si>
    <t xml:space="preserve">AP batch/period from CONTROL 'APBAT'/'APPER'; operator may change period (YYMM) within a window with year-wrap arithmetic (01: 1 prior or Dec prior year; 12: ±1; others: 1 prior, 1–2 future); batch counter incremented</t>
  </si>
  <si>
    <t xml:space="preserve">L856-903</t>
  </si>
  <si>
    <t xml:space="preserve">AR.INP.PAYMNTS.29</t>
  </si>
  <si>
    <t xml:space="preserve">Hard-coded vendor 1336: add SHIP to AP gross (commented out)</t>
  </si>
  <si>
    <t xml:space="preserve">L922-924</t>
  </si>
  <si>
    <t xml:space="preserve">AR.INP.PAYMNTS.30</t>
  </si>
  <si>
    <t xml:space="preserve">CONTROL 'MS' attr 4 += total applied (cents) on every posting, except for user 245 (purpose of MS unclear)</t>
  </si>
  <si>
    <t xml:space="preserve">L527-531</t>
  </si>
  <si>
    <t xml:space="preserve">AR.INP.PAYMNTS.31</t>
  </si>
  <si>
    <t xml:space="preserve">Hard-coded DEBUG.USER = 245 (terminal user number) gets DEBUG access and bypasses CONTROL MS accumulation</t>
  </si>
  <si>
    <t xml:space="preserve">L5, L244, L464, L527</t>
  </si>
  <si>
    <t xml:space="preserve">AR.INP.PAYMNTS.32</t>
  </si>
  <si>
    <t xml:space="preserve">DEPTICK line for the account updated: unapplied replaced; PART, ADJ, CM, DADJ, UNK, SC totals accumulated</t>
  </si>
  <si>
    <t xml:space="preserve">L533-546</t>
  </si>
  <si>
    <t xml:space="preserve">AR.INP.PAYMNTS.33</t>
  </si>
  <si>
    <t xml:space="preserve">Payment register printed on preview ("P") and after every posting</t>
  </si>
  <si>
    <t xml:space="preserve">L451-453, L532-533, L1042-1088</t>
  </si>
  <si>
    <t xml:space="preserve">AR.INQ.DEPTICK.01</t>
  </si>
  <si>
    <t xml:space="preserve">AR.INQ.DEPTICK</t>
  </si>
  <si>
    <t xml:space="preserve">Deposit ticket screen is inquiry only; "E" on ticket field exits</t>
  </si>
  <si>
    <t xml:space="preserve">L39-41, L82</t>
  </si>
  <si>
    <t xml:space="preserve">AR.INQ.DEPTICK.02</t>
  </si>
  <si>
    <t xml:space="preserve">"Print" option builds LIST ARDEPTIC for the ticket but the EXECUTE is commented out, so print does nothing</t>
  </si>
  <si>
    <t xml:space="preserve">L97-102</t>
  </si>
  <si>
    <t xml:space="preserve">AR.PRT.CRDMEM.01</t>
  </si>
  <si>
    <t xml:space="preserve">AR.PRT.CRDMEM</t>
  </si>
  <si>
    <t xml:space="preserve">Date range defaults: start = 1st of current month, end = today; end ≥ start</t>
  </si>
  <si>
    <t xml:space="preserve">L12-39</t>
  </si>
  <si>
    <t xml:space="preserve">AR.PRT.CRDMEM.02</t>
  </si>
  <si>
    <t xml:space="preserve">Selects ARINV invoice values with CODE = "CM" and DT.PAID in range; amount, vendor, reason taken from the CM subvalue of attrs 12/13/14, ticket from attr 15 (ARINV attrs 11-15 are beyond the dict; names from AR.INP.PAYMNTS usage: CODE, PTAMT, VENDOR, REASON, TICKET)</t>
  </si>
  <si>
    <t xml:space="preserve">L65-90</t>
  </si>
  <si>
    <t xml:space="preserve">AR.PRT.CRDMEM.03</t>
  </si>
  <si>
    <t xml:space="preserve">Subtotal by member (opt 1) or by APMST vendor (opt 2); grand "MONTHLY TOTALS"; amounts cents shown as dollars</t>
  </si>
  <si>
    <t xml:space="preserve">L91-118, L126-151</t>
  </si>
  <si>
    <t xml:space="preserve">AR.PRT.EDIINV.01</t>
  </si>
  <si>
    <t xml:space="preserve">AR.PRT.EDIINV</t>
  </si>
  <si>
    <t xml:space="preserve">ARSHIP key = member (chars 1-4) + PRO invoice number (chars 5-9)</t>
  </si>
  <si>
    <t xml:space="preserve">L27, L71, L75</t>
  </si>
  <si>
    <t xml:space="preserve">AR.PRT.EDIINV.02</t>
  </si>
  <si>
    <t xml:space="preserve">Line amount = vendor cost (ARSHIP attr 13 VCOST, cents) × vendor qty (attr 12 VQTY); vendor product = attr 10, desc = attr 11; printed with 12R (changed 10-15-01 from 12R2 to allow 3-decimal costs)</t>
  </si>
  <si>
    <t xml:space="preserve">L5, L17, L51-61</t>
  </si>
  <si>
    <t xml:space="preserve">AR.PRT.EDIINV.03</t>
  </si>
  <si>
    <t xml:space="preserve">Invoice header shows date (attr 1), terms (attr 6), PO (attr 5), vendor invoice # (attr 7), surcharge (attr 8 /100) and vendor name from APMST via ARSHIP attr 9 VEND</t>
  </si>
  <si>
    <t xml:space="preserve">L69-75</t>
  </si>
  <si>
    <t xml:space="preserve">AR.PRT.EDIINV.04</t>
  </si>
  <si>
    <t xml:space="preserve">Commented-out policy text: members must report terms discrepancies within 10 days of invoice date; after that terms cannot change and unpaid invoices incur a service charge</t>
  </si>
  <si>
    <t xml:space="preserve">L30-50</t>
  </si>
  <si>
    <t xml:space="preserve">AR.PRT.EDIINV.05</t>
  </si>
  <si>
    <t xml:space="preserve">Grand total of invoices printed only when copy number ≥ 3</t>
  </si>
  <si>
    <t xml:space="preserve">AR.RPT.DEPTICK.01</t>
  </si>
  <si>
    <t xml:space="preserve">AR.RPT.DEPTICK</t>
  </si>
  <si>
    <t xml:space="preserve">Ticket range numeric; totals AMT, UNAPP.CASH, DISC.ADJ, CM, ADJ per ticket; detail adds ACCT and CHECK</t>
  </si>
  <si>
    <t xml:space="preserve">L7-32</t>
  </si>
  <si>
    <t xml:space="preserve">AR.TEST.SUB.01</t>
  </si>
  <si>
    <t xml:space="preserve">AR.TEST.SUB</t>
  </si>
  <si>
    <t xml:space="preserve">A record "has multiple partial payments" if any invoice's ARINV attr 6 DT.PAID contains subvalues</t>
  </si>
  <si>
    <t xml:space="preserve">L28-34</t>
  </si>
  <si>
    <t xml:space="preserve">AR.UPD.PRO.SUB.01</t>
  </si>
  <si>
    <t xml:space="preserve">AR.UPD.PRO.SUB</t>
  </si>
  <si>
    <t xml:space="preserve">Invoice open = ARINV attr 3 AMOUNT − attr 7 AMTPAID; only non-zero shown</t>
  </si>
  <si>
    <t xml:space="preserve">AR.UPD.PRO.SUB.02</t>
  </si>
  <si>
    <t xml:space="preserve">Discount: none if open &lt; 0 or ARINV attr 5 AGING &gt; 1; else if attr 4 TERMS ≠ 0 and AGING &lt; 2, DISC = ROUND(open × TERMS / 100); NET = open − DISC (cents)</t>
  </si>
  <si>
    <t xml:space="preserve">L611-635</t>
  </si>
  <si>
    <t xml:space="preserve">AR.UPD.PRO.SUB.03</t>
  </si>
  <si>
    <t xml:space="preserve">Pay codes: 1 in full, 2 skip, 3 partial, 0 non-cash; anything else rejected</t>
  </si>
  <si>
    <t xml:space="preserve">L237-262</t>
  </si>
  <si>
    <t xml:space="preserve">AR.UPD.PRO.SUB.04</t>
  </si>
  <si>
    <t xml:space="preserve">Pay in full rejected if NET &gt; check unapplied (POSH.WORK attr 10)</t>
  </si>
  <si>
    <t xml:space="preserve">L316-325</t>
  </si>
  <si>
    <t xml:space="preserve">AR.UPD.PRO.SUB.05</t>
  </si>
  <si>
    <t xml:space="preserve">Partial must be ≤ unapplied cash and strictly &lt; NET (equal or greater rejected)</t>
  </si>
  <si>
    <t xml:space="preserve">L410-444</t>
  </si>
  <si>
    <t xml:space="preserve">AR.UPD.PRO.SUB.06</t>
  </si>
  <si>
    <t xml:space="preserve">Partial sub-codes PT (plain partial), DS (discount adjustment — only if the invoice has a discount), CM (credit memo amount + numeric APMST vendor + explanation)</t>
  </si>
  <si>
    <t xml:space="preserve">L467-545</t>
  </si>
  <si>
    <t xml:space="preserve">AR.UPD.PRO.SUB.07</t>
  </si>
  <si>
    <t xml:space="preserve">Non-cash (code 0) must use sub-code AJ; adjustment = full NET</t>
  </si>
  <si>
    <t xml:space="preserve">L565-607</t>
  </si>
  <si>
    <t xml:space="preserve">AR.UPD.PRO.SUB.08</t>
  </si>
  <si>
    <t xml:space="preserve">Ticket and check unapplied reduce by cash applied; session totals in WORKREC 4/5/6</t>
  </si>
  <si>
    <t xml:space="preserve">L637-656</t>
  </si>
  <si>
    <t xml:space="preserve">AR.UPD.PRO.SUB.09</t>
  </si>
  <si>
    <t xml:space="preserve">Posting: aging bucket = AGING+10 (cap 14, &lt;10 → 24 FUTURE) as in AR.INP.PAYMNTS</t>
  </si>
  <si>
    <t xml:space="preserve">L305-310, L701-702</t>
  </si>
  <si>
    <t xml:space="preserve">AR.UPD.PRO.SUB.10</t>
  </si>
  <si>
    <t xml:space="preserve">Full pay: ARINV attr 6 DT.PAID = posting date, attr 7 AMTPAID = AMOUNT; ARMST attr 19 LAST.PAID = posting date; ARMST BALANCE (15) and aging bucket reduce by full invoice amount</t>
  </si>
  <si>
    <t xml:space="preserve">L705-710</t>
  </si>
  <si>
    <t xml:space="preserve">AR.UPD.PRO.SUB.11</t>
  </si>
  <si>
    <t xml:space="preserve">Partial PT/DS/CM: AMTPAID += cash (+ DS amount or + CM amount); BALANCE and bucket reduce likewise; CM sets ARINV attr 8 VN.CRED = 1</t>
  </si>
  <si>
    <t xml:space="preserve">L715-737</t>
  </si>
  <si>
    <t xml:space="preserve">AR.UPD.PRO.SUB.12</t>
  </si>
  <si>
    <t xml:space="preserve">Non-cash AJ: AMTPAID += adjustment; BALANCE and bucket reduce</t>
  </si>
  <si>
    <t xml:space="preserve">L739-744</t>
  </si>
  <si>
    <t xml:space="preserve">AR.UPD.PRO.SUB.13</t>
  </si>
  <si>
    <t xml:space="preserve">CM vendor and explanation captured but never written to ARINV/AP (no AP credit is created, unlike AR.INP.PAYMNTS)</t>
  </si>
  <si>
    <t xml:space="preserve">L536-539, L731-736</t>
  </si>
  <si>
    <t xml:space="preserve">AR10.01</t>
  </si>
  <si>
    <t xml:space="preserve">AR10</t>
  </si>
  <si>
    <t xml:space="preserve">Requires operator "OK" (after checking invoice print) before running</t>
  </si>
  <si>
    <t xml:space="preserve">L10-11</t>
  </si>
  <si>
    <t xml:space="preserve">AR10.02</t>
  </si>
  <si>
    <t xml:space="preserve">All ARSHIP records copied to ARHIST, then ARSHIP cleared</t>
  </si>
  <si>
    <t xml:space="preserve">AR10.03</t>
  </si>
  <si>
    <t xml:space="preserve">SCANORD (scan/pick orders) records with a BILL.DATE are deleted (added 2-21-02)</t>
  </si>
  <si>
    <t xml:space="preserve">L3, L16-23</t>
  </si>
  <si>
    <t xml:space="preserve">AR11.01</t>
  </si>
  <si>
    <t xml:space="preserve">AR11</t>
  </si>
  <si>
    <t xml:space="preserve">Aging recompute: open = ARINV attr 3 − attr 7 per invoice; AGING attr 5 &lt; 0 → FUTURE (ARMST 24); 0-3 → ARMST 10-13; ≥4 → ARMST 14; total → ARMST 15 BALANCE; mismatches overwritten and reported</t>
  </si>
  <si>
    <t xml:space="preserve">L12-23</t>
  </si>
  <si>
    <t xml:space="preserve">AR12.01</t>
  </si>
  <si>
    <t xml:space="preserve">AR12</t>
  </si>
  <si>
    <t xml:space="preserve">Requires "OK" then "YES"; break key disabled during run</t>
  </si>
  <si>
    <t xml:space="preserve">AR12.02</t>
  </si>
  <si>
    <t xml:space="preserve">STOCK attr 1 VEND.COMM zeroed for all, then set per member = ARMST attr 21 SURCHG (year's surcharge, cents)</t>
  </si>
  <si>
    <t xml:space="preserve">L23-27, L51-52</t>
  </si>
  <si>
    <t xml:space="preserve">AR12.03</t>
  </si>
  <si>
    <t xml:space="preserve">IVMST: attr 13 YTD cleared; attr 18 MPYR = attr 17 MORD; attr 17 cleared (MORD/MPYR meaning not documented — appear to be current/prior-year counters)</t>
  </si>
  <si>
    <t xml:space="preserve">L33</t>
  </si>
  <si>
    <t xml:space="preserve">AR12.04</t>
  </si>
  <si>
    <t xml:space="preserve">VNMST: attr 10 PREV.YR = INT(attr 7 YTD.SALES / 100) (cents → whole dollars); attr 7 and attr 9 SURCHARGES zeroed</t>
  </si>
  <si>
    <t xml:space="preserve">AR12.05</t>
  </si>
  <si>
    <t xml:space="preserve">ARMST: attr 8 PREV.YR = INT(attr 9 YTD.SALES / 100) (dollars); attr 9, 21 SURCHG, 26 PRO.SALES zeroed; attr 16 HI.CRED = INT(attr 15 BALANCE / 100)</t>
  </si>
  <si>
    <t xml:space="preserve">L53-54</t>
  </si>
  <si>
    <t xml:space="preserve">AR12.06</t>
  </si>
  <si>
    <t xml:space="preserve">IVSOLD (member/product sold) and IVEND (member/vendor totals) cleared at year end</t>
  </si>
  <si>
    <t xml:space="preserve">AR2.01</t>
  </si>
  <si>
    <t xml:space="preserve">AR2</t>
  </si>
  <si>
    <t xml:space="preserve">Direct-bill vendor charge detected when ARSHIP attr 3 QTY is blank: vendor = APMST name for attr 2, amount = attr 4 (cents; "includes surcharge and shipping"); negative amount prints "THIS IS A CREDIT"</t>
  </si>
  <si>
    <t xml:space="preserve">L23-30</t>
  </si>
  <si>
    <t xml:space="preserve">AR2.02</t>
  </si>
  <si>
    <t xml:space="preserve">Terms-dispute policy printed on vendor billings: member must notify PRO by invoice date + 10 days; after that terms cannot change and invoices not paid to original terms incur a service charge</t>
  </si>
  <si>
    <t xml:space="preserve">L24, L32-40</t>
  </si>
  <si>
    <t xml:space="preserve">AR2.03</t>
  </si>
  <si>
    <t xml:space="preserve">Product lines: description = IVMST attr 4 DESC; unit price = line amount / qty (amount when qty 0); amounts in cents shown /100</t>
  </si>
  <si>
    <t xml:space="preserve">L44-51</t>
  </si>
  <si>
    <t xml:space="preserve">AR2.04</t>
  </si>
  <si>
    <t xml:space="preserve">Header: date attr 1, invoice # = key chars 5-9, terms attr 6, PO attr 5, vendor inv attr 7, surcharge attr 8/100</t>
  </si>
  <si>
    <t xml:space="preserve">L58-63</t>
  </si>
  <si>
    <t xml:space="preserve">AR2.05</t>
  </si>
  <si>
    <t xml:space="preserve">Grand total printed when copy number ≥ 3</t>
  </si>
  <si>
    <t xml:space="preserve">L66-70</t>
  </si>
  <si>
    <t xml:space="preserve">AR3.01</t>
  </si>
  <si>
    <t xml:space="preserve">AR3</t>
  </si>
  <si>
    <t xml:space="preserve">No posting when CONTROL 'UPD' attr 1 &gt; 2 (month-end in progress)</t>
  </si>
  <si>
    <t xml:space="preserve">AR3.02</t>
  </si>
  <si>
    <t xml:space="preserve">Payment date defaults to today or MM.DD.YY entry</t>
  </si>
  <si>
    <t xml:space="preserve">L33-40, L49</t>
  </si>
  <si>
    <t xml:space="preserve">AR3.03</t>
  </si>
  <si>
    <t xml:space="preserve">Month-end cutoff: if payment day &gt; 25 and payment month = CONTROL 'UPD' attr 2 (prior month still open), posting blocked — except in December (12-26-06; earlier year-specific toggles 2005/2006 in header)</t>
  </si>
  <si>
    <t xml:space="preserve">L8-11, L42-48</t>
  </si>
  <si>
    <t xml:space="preserve">AR3.04</t>
  </si>
  <si>
    <t xml:space="preserve">Options: (1) Due = ARMST BALANCE − NEW.MON (attr 10) − FUTURE (attr 24); (2) Total = BALANCE; (3) by invoice; (4) walk all invoices</t>
  </si>
  <si>
    <t xml:space="preserve">L68-72</t>
  </si>
  <si>
    <t xml:space="preserve">AR3.05</t>
  </si>
  <si>
    <t xml:space="preserve">Option 1 skips new-month and future invoices (AGING+10 &lt; 11); options 1/2 pay every open invoice in full (no check-amount cap)</t>
  </si>
  <si>
    <t xml:space="preserve">L74-88</t>
  </si>
  <si>
    <t xml:space="preserve">AR3.06</t>
  </si>
  <si>
    <t xml:space="preserve">Aging bucket mapping AGING+10 → ARMST 10-14, cap 14, future → 24</t>
  </si>
  <si>
    <t xml:space="preserve">L82-85, L102-104</t>
  </si>
  <si>
    <t xml:space="preserve">AR3.07</t>
  </si>
  <si>
    <t xml:space="preserve">Discount in options 1/2: if bucket &lt; 12 or future, DISC = ROUND(open × TERMS / 100) (no TERMS &gt; 0 check); options 3/4: only if TERMS &gt; 0 and bucket &lt; 12 (future excluded)</t>
  </si>
  <si>
    <t xml:space="preserve">L86, L105, L160</t>
  </si>
  <si>
    <t xml:space="preserve">AR3.08</t>
  </si>
  <si>
    <t xml:space="preserve">Partial payment = gross amount ≤ invoice open gross unless "OVER" typed; negative allowed in option 3</t>
  </si>
  <si>
    <t xml:space="preserve">L128-143, L169-182</t>
  </si>
  <si>
    <t xml:space="preserve">AR3.09</t>
  </si>
  <si>
    <t xml:space="preserve">Payment effect: ARMST BALANCE and bucket −= gross; vendor-credit invoice (ARINV attr 8 = 1) also reduces ARMST attr 22 VN.CRED; ARINV attr 7 AMTPAID += gross, attr 6 DT.PAID = payment date</t>
  </si>
  <si>
    <t xml:space="preserve">L188-195</t>
  </si>
  <si>
    <t xml:space="preserve">AR3.10</t>
  </si>
  <si>
    <t xml:space="preserve">Partial with discount: discount recomputed on amount paid</t>
  </si>
  <si>
    <t xml:space="preserve">L190</t>
  </si>
  <si>
    <t xml:space="preserve">AR3.11</t>
  </si>
  <si>
    <t xml:space="preserve">Re-entering an invoice + "DEL" reverses its payment</t>
  </si>
  <si>
    <t xml:space="preserve">L106-120</t>
  </si>
  <si>
    <t xml:space="preserve">AR3.12</t>
  </si>
  <si>
    <t xml:space="preserve">On update: ARMST attr 19 LAST.PAID = payment date</t>
  </si>
  <si>
    <t xml:space="preserve">L219-222</t>
  </si>
  <si>
    <t xml:space="preserve">AR3.13</t>
  </si>
  <si>
    <t xml:space="preserve">ARHIST attr 16 (date paid; ARHIST has no dict) set on record member:invoice for each paid invoice (04-27-09)</t>
  </si>
  <si>
    <t xml:space="preserve">L223-231, L257-265</t>
  </si>
  <si>
    <t xml:space="preserve">AR3.14</t>
  </si>
  <si>
    <t xml:space="preserve">Hard-coded member 7000 ("FotoSource"): instead of member:invoice, selects ARHIST WITH INVOICE = paid invoices and stamps all of them (07-06-11)</t>
  </si>
  <si>
    <t xml:space="preserve">L224, L266-275</t>
  </si>
  <si>
    <t xml:space="preserve">AR3.15</t>
  </si>
  <si>
    <t xml:space="preserve">Credit with no open invoices: new invoice # from CONTROL 'INV' attr 1 + 1 (wraps to 1 at 999999); amount entered without decimal (cents); posted in NEW.MON bucket (10)</t>
  </si>
  <si>
    <t xml:space="preserve">L237-255</t>
  </si>
  <si>
    <t xml:space="preserve">AR3.16</t>
  </si>
  <si>
    <t xml:space="preserve">Session totals added to CONTROL 'MS' attr 4 (gross payments credited; purpose of MS record unclear)</t>
  </si>
  <si>
    <t xml:space="preserve">L277-283</t>
  </si>
  <si>
    <t xml:space="preserve">AR4.01</t>
  </si>
  <si>
    <t xml:space="preserve">AR4</t>
  </si>
  <si>
    <t xml:space="preserve">Runs only if CONTROL 'UPD' attr 1 ≤ 1 (cycle state) and nobody holds 'UPD'; requires "OK"; break key off</t>
  </si>
  <si>
    <t xml:space="preserve">L18-26, L30</t>
  </si>
  <si>
    <t xml:space="preserve">AR4.02</t>
  </si>
  <si>
    <t xml:space="preserve">Invoices with AMOUNT (attr 3) = AMTPAID (attr 7) are deleted from ARINV</t>
  </si>
  <si>
    <t xml:space="preserve">L39-43</t>
  </si>
  <si>
    <t xml:space="preserve">AR4.03</t>
  </si>
  <si>
    <t xml:space="preserve">Every remaining invoice's AGING (attr 5) += 1; amounts of invoices still with AGING &lt; 1 are summed as FUTURE</t>
  </si>
  <si>
    <t xml:space="preserve">L44-45</t>
  </si>
  <si>
    <t xml:space="preserve">AR4.04</t>
  </si>
  <si>
    <t xml:space="preserve">Service charge = INT(1.5% × (ARMST CURRENT 11 + 30DAYS 12 + 60DAYS 13 + 90DAYS 14)) in cents, only if that sum &gt; 0 and BALANCE &gt; 0; not applied if under 500 cents ($5.00)</t>
  </si>
  <si>
    <t xml:space="preserve">L34-35, L51-54</t>
  </si>
  <si>
    <t xml:space="preserve">AR4.05</t>
  </si>
  <si>
    <t xml:space="preserve">Service-charge invoice: number "S":(internal date − 9000), dated the 25th of the AR month (CONTROL 'UPD' attr 2; prior year if AR month 12 and calendar month 1), TERMS 0, AGING 1; added to ARINV, BALANCE and NEW.MON</t>
  </si>
  <si>
    <t xml:space="preserve">L27-29, L55-61</t>
  </si>
  <si>
    <t xml:space="preserve">AR4.06</t>
  </si>
  <si>
    <t xml:space="preserve">Hard-coded product 9994 used as the service-charge line on the ARSHIP record (member:SID, qty 1) so it prints/bills as an invoice</t>
  </si>
  <si>
    <t xml:space="preserve">L29, L58-59</t>
  </si>
  <si>
    <t xml:space="preserve">AR4.07</t>
  </si>
  <si>
    <t xml:space="preserve">Bucket roll: 90 = 90 + 60; 60 = 30; 30 = CURRENT; CURRENT = NEW.MON + FUTURE − new FUTURE; NEW.MON = 0; FUTURE (attr 24) = sum of still-future invoices</t>
  </si>
  <si>
    <t xml:space="preserve">L63-64</t>
  </si>
  <si>
    <t xml:space="preserve">AR4.08</t>
  </si>
  <si>
    <t xml:space="preserve">CONTROL 'UPD' attr 1 = 3 (aging done, statements next); attr 2 AR month advanced (12 → 1)</t>
  </si>
  <si>
    <t xml:space="preserve">L69-71</t>
  </si>
  <si>
    <t xml:space="preserve">AR5.01</t>
  </si>
  <si>
    <t xml:space="preserve">AR5</t>
  </si>
  <si>
    <t xml:space="preserve">If CONTROL 'UPD' attr 1 &lt; 3 (month-end aging not run) operator must type "OK" to print anyway; out-of-order check commented out</t>
  </si>
  <si>
    <t xml:space="preserve">AR5.02</t>
  </si>
  <si>
    <t xml:space="preserve">Members with BALANCE (attr 15) = 0 are skipped</t>
  </si>
  <si>
    <t xml:space="preserve">AR5.03</t>
  </si>
  <si>
    <t xml:space="preserve">Optional 2-line statement message, max 55 chars each</t>
  </si>
  <si>
    <t xml:space="preserve">L30-38</t>
  </si>
  <si>
    <t xml:space="preserve">AR5.04</t>
  </si>
  <si>
    <t xml:space="preserve">Discount shown only for invoices with AGING &lt; 2: DISC = ROUND(open × TERMS / 100), with "take by" date MM/10 where MM = statement month + 2 − AGING (wrapped 1-12); otherwise "* PAST-DUE *"</t>
  </si>
  <si>
    <t xml:space="preserve">L27, L62-68</t>
  </si>
  <si>
    <t xml:space="preserve">AR5.05</t>
  </si>
  <si>
    <t xml:space="preserve">Invoices with AGING ≤ 0 are future: not in amount due, flagged with "*"</t>
  </si>
  <si>
    <t xml:space="preserve">L70</t>
  </si>
  <si>
    <t xml:space="preserve">AR5.06</t>
  </si>
  <si>
    <t xml:space="preserve">Footer: aging buckets CURRENT/30/60/90 from ARMST; total gross, due, discount, net, future; YTD surcharge ARMST attr 21 (cents)</t>
  </si>
  <si>
    <t xml:space="preserve">AR5.07</t>
  </si>
  <si>
    <t xml:space="preserve">After a run with UPD attr 1 = 3, sets it to 4 (statements printed)</t>
  </si>
  <si>
    <t xml:space="preserve">AR5.LASER.01</t>
  </si>
  <si>
    <t xml:space="preserve">AR5.LASER</t>
  </si>
  <si>
    <t xml:space="preserve">For each statement line, reads ARHIST key member:invoice (fallback archive file ARHIST.98); vendor invoice # = ARHIST attr 7 (VINVNO per ARSHIP naming); vendor = APMST attr 8 SH.NAME for ARHIST attr 2 (vendor id on direct-bill lines); blank vendor name prints "PRO"</t>
  </si>
  <si>
    <t xml:space="preserve">L91-98</t>
  </si>
  <si>
    <t xml:space="preserve">AR5.LASER.02</t>
  </si>
  <si>
    <t xml:space="preserve">Past-due lines show "PAST DUE" and print terms % as 0</t>
  </si>
  <si>
    <t xml:space="preserve">L88-89</t>
  </si>
  <si>
    <t xml:space="preserve">AR5.LASER.03</t>
  </si>
  <si>
    <t xml:space="preserve">Statement message lines limited to 30 chars (vs 55)</t>
  </si>
  <si>
    <t xml:space="preserve">L45-49</t>
  </si>
  <si>
    <t xml:space="preserve">AR5.LASER.INTERIM.01</t>
  </si>
  <si>
    <t xml:space="preserve">AR5.LASER.INTERIM</t>
  </si>
  <si>
    <t xml:space="preserve">Discount take-by month = statement month + 1 − AGING (vs +2) and discount only for AGING &lt; 1 (vs &lt; 2)</t>
  </si>
  <si>
    <t xml:space="preserve">L40, L87</t>
  </si>
  <si>
    <t xml:space="preserve">AR5.LASER.INTERIM.02</t>
  </si>
  <si>
    <t xml:space="preserve">Lines with NET = 0 are suppressed</t>
  </si>
  <si>
    <t xml:space="preserve">AR5.LASER.INTERIM.03</t>
  </si>
  <si>
    <t xml:space="preserve">Archive fallback file is ARHIST.00 instead of ARHIST.98</t>
  </si>
  <si>
    <t xml:space="preserve">L17, L93</t>
  </si>
  <si>
    <t xml:space="preserve">AR5.OFFICE.01</t>
  </si>
  <si>
    <t xml:space="preserve">AR5.OFFICE</t>
  </si>
  <si>
    <t xml:space="preserve">Prints discount amount and the "due on" MM/10 date columns instead of vendor invoice/vendor name (ARHIST/APMST still read but unused)</t>
  </si>
  <si>
    <t xml:space="preserve">L88-89, L102, L124</t>
  </si>
  <si>
    <t xml:space="preserve">AR7.01</t>
  </si>
  <si>
    <t xml:space="preserve">AR7</t>
  </si>
  <si>
    <t xml:space="preserve">Not allowed while CONTROL 'UPD' attr 1 &gt; 2 (month-end in progress)</t>
  </si>
  <si>
    <t xml:space="preserve">L33-34</t>
  </si>
  <si>
    <t xml:space="preserve">AR7.02</t>
  </si>
  <si>
    <t xml:space="preserve">A/P posting optional (Y/N); if Y, AP batch = CONTROL 'APBAT' (+1 written back, shown 3-digit) and period CONTROL 'APPER' changeable within the same YYMM window logic as AR.INP.PAYMNTS</t>
  </si>
  <si>
    <t xml:space="preserve">L38-84</t>
  </si>
  <si>
    <t xml:space="preserve">AR7.03</t>
  </si>
  <si>
    <t xml:space="preserve">Billing date defaults to today; if billing day &gt; 25 and billing month = AR month (CONTROL 'UPD' attr 2) billing is blocked; otherwise day &gt; 25 pushes the member due month out one more month</t>
  </si>
  <si>
    <t xml:space="preserve">L85-101</t>
  </si>
  <si>
    <t xml:space="preserve">AR7.04</t>
  </si>
  <si>
    <t xml:space="preserve">Member terms: default "2% 10" (2%); else 0-20% (0 = NET) with optional future billing of 0-9 extra months (invoice AGING = −months, posted to FUTURE)</t>
  </si>
  <si>
    <t xml:space="preserve">L103-120</t>
  </si>
  <si>
    <t xml:space="preserve">AR7.05</t>
  </si>
  <si>
    <t xml:space="preserve">Member terms text = "&lt;pct&gt;% MM/10/YY" (or "NET MM/10/YY"), MM = billing month + 1 (+1 if after 25th) + future months — i.e. discount if paid by the 10th of that month</t>
  </si>
  <si>
    <t xml:space="preserve">L97, L121-123</t>
  </si>
  <si>
    <t xml:space="preserve">AR7.06</t>
  </si>
  <si>
    <t xml:space="preserve">Vendor must exist in APMST and not be locked; APMST vendor mapped to VNMST via VNIDX attr 1</t>
  </si>
  <si>
    <t xml:space="preserve">L142-151</t>
  </si>
  <si>
    <t xml:space="preserve">AR7.07</t>
  </si>
  <si>
    <t xml:space="preserve">Member must exist in ARMST and not be locked</t>
  </si>
  <si>
    <t xml:space="preserve">L157-159</t>
  </si>
  <si>
    <t xml:space="preserve">AR7.08</t>
  </si>
  <si>
    <t xml:space="preserve">Duplicate vendor invoice check: AP key = VENDOR*VENDINV; if already in APHIST, warn and allow duplicate only on second &lt;CR&gt;, keyed VENDOR*VENDINV*n (n from APHIST attr 10 NUMBER, max 9); a split invoice (multivalued APHIST attr 6 DUE) cannot be duplicated</t>
  </si>
  <si>
    <t xml:space="preserve">L183-210</t>
  </si>
  <si>
    <t xml:space="preserve">AR7.09</t>
  </si>
  <si>
    <t xml:space="preserve">AP due date default: day = first 2 chars of APMST attr 10 DUE.DAYS, month = member due month, year = vendor invoice year; if DUE.DAYS = "nnCM" → current month day nn; future billing shifts vendor month; operator may override</t>
  </si>
  <si>
    <t xml:space="preserve">L219-249</t>
  </si>
  <si>
    <t xml:space="preserve">AR7.10</t>
  </si>
  <si>
    <t xml:space="preserve">Billing amount keyed in cents with no decimal point; non-numeric or decimal rejected</t>
  </si>
  <si>
    <t xml:space="preserve">L250-257</t>
  </si>
  <si>
    <t xml:space="preserve">AR7.11</t>
  </si>
  <si>
    <t xml:space="preserve">AP discount default = APMST attr 9 PCT; entry &gt; 20 is treated as a dollar amount, else a percent; NET = gross − discount</t>
  </si>
  <si>
    <t xml:space="preserve">L260-276</t>
  </si>
  <si>
    <t xml:space="preserve">AR7.12</t>
  </si>
  <si>
    <t xml:space="preserve">PO (≤ 8 chars) matched to member's VENDORD line for the same vendor: BILLED (attr 5) += amount; when billed &gt; 90% of PO AMOUNT the PO line is removed as complete</t>
  </si>
  <si>
    <t xml:space="preserve">L277-300</t>
  </si>
  <si>
    <t xml:space="preserve">AR7.13</t>
  </si>
  <si>
    <t xml:space="preserve">Shipping charges eliminated 8-5-99 (SHIP forced to 0; entry commented out)</t>
  </si>
  <si>
    <t xml:space="preserve">L8, L303-313</t>
  </si>
  <si>
    <t xml:space="preserve">AR7.14</t>
  </si>
  <si>
    <t xml:space="preserve">PRO surcharge = ROUND(amount × APMST attr 30 / 1000) (attr 30 = surcharge rate in tenths of a percent, shown as "SURCHG PCT"; dict names attr 30 SRCH/R.ADD.SHORT)</t>
  </si>
  <si>
    <t xml:space="preserve">L153, L314-315</t>
  </si>
  <si>
    <t xml:space="preserve">AR7.15</t>
  </si>
  <si>
    <t xml:space="preserve">If APMST attr 29 CODE = 2, surcharge is added to the member's billed amount; otherwise surcharge is recorded but not added to the bill</t>
  </si>
  <si>
    <t xml:space="preserve">L316</t>
  </si>
  <si>
    <t xml:space="preserve">AR7.16</t>
  </si>
  <si>
    <t xml:space="preserve">Hard-coded vendors 497, 569 ("Charge Back") and 1322 are excluded from IVEND member-by-vendor purchase totals</t>
  </si>
  <si>
    <t xml:space="preserve">L317-318</t>
  </si>
  <si>
    <t xml:space="preserve">AR7.17</t>
  </si>
  <si>
    <t xml:space="preserve">IVEND (per member): vendor list sorted, attr 2 amount += billed amount, attr 3 surcharge += SRCH; entry removed when amount nets to 0</t>
  </si>
  <si>
    <t xml:space="preserve">L319-333</t>
  </si>
  <si>
    <t xml:space="preserve">AR7.18</t>
  </si>
  <si>
    <t xml:space="preserve">ARMST: YTD.SALES (9) += amount, BALANCE (15) += amount, SURCHG (21) += surcharge, LAST.SALE (18) = billing date; NEW.MON (10) or FUTURE (24) += amount</t>
  </si>
  <si>
    <t xml:space="preserve">L335-337</t>
  </si>
  <si>
    <t xml:space="preserve">AR7.19</t>
  </si>
  <si>
    <t xml:space="preserve">If VNMST attr 13 (F13, purpose unnamed — used as "vendor credit" flag) is set: ARMST attr 22 VN.CRED += amount and ARINV attr 8 VN.CRED = 1 for the new invoice (10/10/94)</t>
  </si>
  <si>
    <t xml:space="preserve">L336, L368-370</t>
  </si>
  <si>
    <t xml:space="preserve">AR7.20</t>
  </si>
  <si>
    <t xml:space="preserve">High credit: if BALANCE/100 &gt; HI.CRED (attr 16, whole dollars) then HI.CRED = INT(BALANCE/100)</t>
  </si>
  <si>
    <t xml:space="preserve">L338</t>
  </si>
  <si>
    <t xml:space="preserve">AR7.21</t>
  </si>
  <si>
    <t xml:space="preserve">APDIST record VENDOR*INV: STATUS "100", batch = period:batch:counter, GROSS = vendor amount (pre-surcharge), DISC = ROUND(gross × disc% / 100), DATE = vendor inv date, DUE, LEDGER/AMOUNT from APMST attr 12; APHIST date/gross/net/due</t>
  </si>
  <si>
    <t xml:space="preserve">L340-355</t>
  </si>
  <si>
    <t xml:space="preserve">AR7.22</t>
  </si>
  <si>
    <t xml:space="preserve">Hard-coded vendor 1336: shipping added to AP gross and net (now always 0)</t>
  </si>
  <si>
    <t xml:space="preserve">AR7.23</t>
  </si>
  <si>
    <t xml:space="preserve">PRO invoice number = CONTROL 'INV' attr 1 + 1, wraps to 1 at 99999</t>
  </si>
  <si>
    <t xml:space="preserve">L357-360</t>
  </si>
  <si>
    <t xml:space="preserve">AR7.24</t>
  </si>
  <si>
    <t xml:space="preserve">ARINV appended: number, date, amount (cents), TERMS %, AGING</t>
  </si>
  <si>
    <t xml:space="preserve">L361-367</t>
  </si>
  <si>
    <t xml:space="preserve">AR7.25</t>
  </si>
  <si>
    <t xml:space="preserve">ARSHIP record member:INV with 1 date, 2 VENDOR (not product), 4 amount, 5 PO, 6 terms text, 7 vendor inv #, 8 surcharge; attr 3 qty left blank so invoice print treats it as a vendor billing</t>
  </si>
  <si>
    <t xml:space="preserve">L371-381</t>
  </si>
  <si>
    <t xml:space="preserve">AR7.26</t>
  </si>
  <si>
    <t xml:space="preserve">Prints a bill slip (PRO invoice #, date, amount, due, account) to the terminal's aux printer</t>
  </si>
  <si>
    <t xml:space="preserve">L374-380</t>
  </si>
  <si>
    <t xml:space="preserve">AR7.27</t>
  </si>
  <si>
    <t xml:space="preserve">CONTROL 'MS' attrs 1/2/3 += surcharge, shipping, billed amount (month sales summary)</t>
  </si>
  <si>
    <t xml:space="preserve">L334, L383-388</t>
  </si>
  <si>
    <t xml:space="preserve">AR7.28</t>
  </si>
  <si>
    <t xml:space="preserve">On vendor change/exit: APMST attr 15 YTD.GROSS += AP gross, attr 16 OPEN.GROSS += AP gross, attr 31 (dict R.CSZ; used as surcharge accumulator) += surcharge; VNMST attr 7 YTD.SALES += billed total, attr 9 SURCHARGES += surcharge</t>
  </si>
  <si>
    <t xml:space="preserve">L129-137</t>
  </si>
  <si>
    <t xml:space="preserve">ARHIST.CHANGE.01</t>
  </si>
  <si>
    <t xml:space="preserve">ARHIST.CHANGE</t>
  </si>
  <si>
    <t xml:space="preserve">Hard-coded source member 7063 and target member 3417: re-key ARHIST.09 records to "3417":old key chars 5-10 and delete originals</t>
  </si>
  <si>
    <t xml:space="preserve">L2, L5-7</t>
  </si>
  <si>
    <t xml:space="preserve">CHK.CAN.TOTS.01</t>
  </si>
  <si>
    <t xml:space="preserve">CHK.CAN.TOTS</t>
  </si>
  <si>
    <t xml:space="preserve">If SUM of BALANCE, NEW.MON, CURRENT, 30DAYS, 60DAYS over members with TYPE = "CAN" is non-blank, stop the monthly update ("contact Computyme")</t>
  </si>
  <si>
    <t xml:space="preserve">L7-21</t>
  </si>
  <si>
    <t xml:space="preserve">CLEAN.UP.MV.01</t>
  </si>
  <si>
    <t xml:space="preserve">CLEAN.UP.MV</t>
  </si>
  <si>
    <t xml:space="preserve">Deletes the last value of attrs 2, 3, 4 unconditionally</t>
  </si>
  <si>
    <t xml:space="preserve">CONV.ARHIST.01</t>
  </si>
  <si>
    <t xml:space="preserve">CONV.ARHIST</t>
  </si>
  <si>
    <t xml:space="preserve">Hard-coded: invoices ≥ 100201 renumbered to invoice + 50 (ARHIST key member:invoice and ARINV attr 1)</t>
  </si>
  <si>
    <t xml:space="preserve">L8-23</t>
  </si>
  <si>
    <t xml:space="preserve">CONVERT.FSINVS.01</t>
  </si>
  <si>
    <t xml:space="preserve">CONVERT.FSINVS</t>
  </si>
  <si>
    <t xml:space="preserve">Hard-coded FotoSource master account 7000</t>
  </si>
  <si>
    <t xml:space="preserve">CONVERT.FSINVS.02</t>
  </si>
  <si>
    <t xml:space="preserve">FotoSource members are identified by ARMST TYPE = "CAN" (same type AR1B calls Canadian affiliate / AR8 treats as FotoSource, attr 23 = 3)</t>
  </si>
  <si>
    <t xml:space="preserve">CONVERT.FSINVS.03</t>
  </si>
  <si>
    <t xml:space="preserve">Each member's ARINV invoices are prepended to account 7000's ARINV and the member ARINV deleted; member NEW.MON and BALANCE set to 0; master NEW.MON and BALANCE += Σ invoice AMOUNT</t>
  </si>
  <si>
    <t xml:space="preserve">L43-55</t>
  </si>
  <si>
    <t xml:space="preserve">DEL.ARINV.01</t>
  </si>
  <si>
    <t xml:space="preserve">DEL.ARINV</t>
  </si>
  <si>
    <t xml:space="preserve">Invoice located by invoice number in ARINV attr 1 (multivalued per member); amount due = attr 3 AMOUNT minus SUM(attr 7 AMT.PAID) (cents)</t>
  </si>
  <si>
    <t xml:space="preserve">L19-23</t>
  </si>
  <si>
    <t xml:space="preserve">DEL.ARINV.02</t>
  </si>
  <si>
    <t xml:space="preserve">Aging bucket = ARINV attr 5 AGING capped at 4; amount due subtracted from ARMST attr 10+AGE (10 NEW.MON, 11 CURRENT, 12 D30, 13 D60, 14 D90) and from attr 15 BALANCE</t>
  </si>
  <si>
    <t xml:space="preserve">L21,L31-32</t>
  </si>
  <si>
    <t xml:space="preserve">DEL.ARINV.03</t>
  </si>
  <si>
    <t xml:space="preserve">Removes values at that position from ARINV attrs 1-8 (invoice, date, amount, terms, aging, date paid, amount paid, VN.CRED)</t>
  </si>
  <si>
    <t xml:space="preserve">DEL.ARINV.04</t>
  </si>
  <si>
    <t xml:space="preserve">Header says deletion is logged to ARLOG (07-23-09) but the call is commented out; no audit trail</t>
  </si>
  <si>
    <t xml:space="preserve">L5,L35</t>
  </si>
  <si>
    <t xml:space="preserve">EMAIL.FSINV.01</t>
  </si>
  <si>
    <t xml:space="preserve">EMAIL.FSINV</t>
  </si>
  <si>
    <t xml:space="preserve">Email command = C:\ericmail from/to/subject/body/server IP/CC (EMAIL.PARAMS&lt;2..6&gt;) with attachment C:\ACCOUNTS\PRO\FSINV\&lt;FSID&gt;</t>
  </si>
  <si>
    <t xml:space="preserve">L15-23</t>
  </si>
  <si>
    <t xml:space="preserve">EMAIL.FSINV.02</t>
  </si>
  <si>
    <t xml:space="preserve">Waits on lock of FSINV 'email.bat' (single shared batch file)</t>
  </si>
  <si>
    <t xml:space="preserve">L8-13</t>
  </si>
  <si>
    <t xml:space="preserve">EMAIL.INVOICES.01</t>
  </si>
  <si>
    <t xml:space="preserve">EMAIL.INVOICES</t>
  </si>
  <si>
    <t xml:space="preserve">Include WEBSTMT invoices with NET &lt;&gt; 0 and DT.POSTED = entered date, by member</t>
  </si>
  <si>
    <t xml:space="preserve">EMAIL.INVOICES.02</t>
  </si>
  <si>
    <t xml:space="preserve">Link = http://members.promaster.com/invoices/&lt;chars 5-10 of key&gt;.pdf; member = key chars 1-4</t>
  </si>
  <si>
    <t xml:space="preserve">L10-11,L21-22</t>
  </si>
  <si>
    <t xml:space="preserve">EMAIL.INVOICES.03</t>
  </si>
  <si>
    <t xml:space="preserve">Max 25 links per INVOICES.DBF record; overflow continues in member:count records</t>
  </si>
  <si>
    <t xml:space="preserve">L24-37</t>
  </si>
  <si>
    <t xml:space="preserve">FIX.AGE.01</t>
  </si>
  <si>
    <t xml:space="preserve">FIX.AGE</t>
  </si>
  <si>
    <t xml:space="preserve">Aging (ARINV attr 5) = (current month + 1) - month of EDILOG attr 8 IDUE; EDILOG key = member(4) + invoice(5)</t>
  </si>
  <si>
    <t xml:space="preserve">L7,L12-17</t>
  </si>
  <si>
    <t xml:space="preserve">FIX.AGE.MEMB.01</t>
  </si>
  <si>
    <t xml:space="preserve">FIX.AGE.MEMB</t>
  </si>
  <si>
    <t xml:space="preserve">For member's ARINV entries with attr 2 DATE &lt;= cutoff, set attr 5 AGING = entered age (any numeric)</t>
  </si>
  <si>
    <t xml:space="preserve">FIX.AGING.01</t>
  </si>
  <si>
    <t xml:space="preserve">FIX.AGING</t>
  </si>
  <si>
    <t xml:space="preserve">If ARINV attr 2 DATE = entered date and attr 4 TERMS = 0 and attr 5 AGING = 0 then AGING = -1 (one month future)</t>
  </si>
  <si>
    <t xml:space="preserve">L13-17</t>
  </si>
  <si>
    <t xml:space="preserve">FIX.ARINV.01</t>
  </si>
  <si>
    <t xml:space="preserve">FIX.ARINV</t>
  </si>
  <si>
    <t xml:space="preserve">Any ARINV attr 2 value not 5 digits is ICONV'd D2/</t>
  </si>
  <si>
    <t xml:space="preserve">L7-15</t>
  </si>
  <si>
    <t xml:space="preserve">FIX.ARINV.FSTOT.01</t>
  </si>
  <si>
    <t xml:space="preserve">FIX.ARINV.FSTOT</t>
  </si>
  <si>
    <t xml:space="preserve">Hard-coded starting invoice 932587 (only ARHIST invoices &gt;= this)</t>
  </si>
  <si>
    <t xml:space="preserve">FIX.ARINV.FSTOT.02</t>
  </si>
  <si>
    <t xml:space="preserve">Hard-coded member 7000 holds all invoices whose number starts with 'S' (FS invoices) instead of the member's own ARINV</t>
  </si>
  <si>
    <t xml:space="preserve">L23,L30,L50,L76-81</t>
  </si>
  <si>
    <t xml:space="preserve">FIX.ARINV.FSTOT.03</t>
  </si>
  <si>
    <t xml:space="preserve">Invoice amount = SUM(ARHIST AMOUNT lines); difference applied to ARMST BALANCE and aging bucket NEWMON+AGE</t>
  </si>
  <si>
    <t xml:space="preserve">L49,L65-72</t>
  </si>
  <si>
    <t xml:space="preserve">FIX.FSINV.01</t>
  </si>
  <si>
    <t xml:space="preserve">FIX.FSINV</t>
  </si>
  <si>
    <t xml:space="preserve">ORDERNUMBER = ARHIST attr 5 (PO) for key member:vendor-invoice-number taken from the &lt;ACCOUNTNUMBER&gt; and &lt;VENDORINVOICENUMBER&gt; tags</t>
  </si>
  <si>
    <t xml:space="preserve">L13-21</t>
  </si>
  <si>
    <t xml:space="preserve">FSINV.FIELDS.01</t>
  </si>
  <si>
    <t xml:space="preserve">FSINV.FIELDS</t>
  </si>
  <si>
    <t xml:space="preserve">FSINV invoice field set: VENDORINVOICENUMBER, VENDORID, ACCOUNTNUMBER, INVOICEDATE, SHIPVIA, TRACKINGNUMBER, FREIGHT, CREDITINVOICE, INVOICEDETAILTYPE, DISCOUNTPERCENT, DISCOUNTDAYS, NETDAYS, COMMENT, INVOICENETTOTAL, FEDERALTAXAMOUNT, REGIONALTAXAMOUNT, ORDERNUMBER, LINENUMBER, SHIPPEDQUANTITY, PRODUCTCODE, INVOICEUNITPRICE, DESCRIPTION</t>
  </si>
  <si>
    <t xml:space="preserve">L2-23</t>
  </si>
  <si>
    <t xml:space="preserve">IV.BLD.FSINV.01</t>
  </si>
  <si>
    <t xml:space="preserve">IV.BLD.FSINV</t>
  </si>
  <si>
    <t xml:space="preserve">Select ARHIST with member TYPE = "3" (shown as "CAN" = Canadian members) and DATE = billing date (not in future)</t>
  </si>
  <si>
    <t xml:space="preserve">L42-51</t>
  </si>
  <si>
    <t xml:space="preserve">IV.BLD.FSINV.02</t>
  </si>
  <si>
    <t xml:space="preserve">Order link: ARHIST VINVNO → SCANORD attr 12 VORD → ORDHIST key = VORD chars 4-9 (strips 3-char vendor prefix)</t>
  </si>
  <si>
    <t xml:space="preserve">L57-58</t>
  </si>
  <si>
    <t xml:space="preserve">IV.BLD.FSINV.03</t>
  </si>
  <si>
    <t xml:space="preserve">Export columns come from CONTROL 'FSINV.FIELDS' (tab-separated header)</t>
  </si>
  <si>
    <t xml:space="preserve">L30,L35</t>
  </si>
  <si>
    <t xml:space="preserve">IV.BLD.FSINV.04</t>
  </si>
  <si>
    <t xml:space="preserve">Export emailed to PhotoSource using CONTROL 'FSINV.EMAIL.PARAMS' (hard-coded recipient description)</t>
  </si>
  <si>
    <t xml:space="preserve">IV.UPD.FSINV.01</t>
  </si>
  <si>
    <t xml:space="preserve">IV.UPD.FSINV</t>
  </si>
  <si>
    <t xml:space="preserve">Field list driven by FSINV.FIELDS (header fields until LINENUMBER, then detail fields); lines starting '*' skipped</t>
  </si>
  <si>
    <t xml:space="preserve">L15-57</t>
  </si>
  <si>
    <t xml:space="preserve">IV.UPD.FSINV.02</t>
  </si>
  <si>
    <t xml:space="preserve">Hard-coded VENDORID = 371 (PRO's vendor id at FotoSource)</t>
  </si>
  <si>
    <t xml:space="preserve">L21</t>
  </si>
  <si>
    <t xml:space="preserve">IV.UPD.FSINV.03</t>
  </si>
  <si>
    <t xml:space="preserve">Header: account = member ID, invoice # = INV, date = today (MM-DD-YY), ship via UPS, credit NO, detail type ORDER, discount/net days 0, net total = SUM(ARSHIP amount) cents→MD2, taxes 0, order number = ARSHIP PO</t>
  </si>
  <si>
    <t xml:space="preserve">L19-36</t>
  </si>
  <si>
    <t xml:space="preserve">IV.UPD.FSINV.04</t>
  </si>
  <si>
    <t xml:space="preserve">Detail per product: line #, shipped qty, product code, unit price = ARSHIP line AMOUNT (MD2)</t>
  </si>
  <si>
    <t xml:space="preserve">L41-57</t>
  </si>
  <si>
    <t xml:space="preserve">IV.UPD.FSINV.XLS.01</t>
  </si>
  <si>
    <t xml:space="preserve">IV.UPD.FSINV.XLS</t>
  </si>
  <si>
    <t xml:space="preserve">Invoice date from PASS&lt;2&gt; (internal), formatted dd/mm/yyyy; file id TYPE:MMDDYYYY.xls where TYPE = DUES when PASS='AR8' else ORDERS</t>
  </si>
  <si>
    <t xml:space="preserve">L21-25, L40</t>
  </si>
  <si>
    <t xml:space="preserve">IV.UPD.FSINV.XLS.02</t>
  </si>
  <si>
    <t xml:space="preserve">Hard-coded VENDORID = 371</t>
  </si>
  <si>
    <t xml:space="preserve">IV.UPD.FSINV.XLS.03</t>
  </si>
  <si>
    <t xml:space="preserve">Discount % from first word of ARSHIP TERMS; 'NET' → 0.00 and 0 discount days, else percent sent as whole number (e.g. 2.00) with 30 discount days; net days always 31</t>
  </si>
  <si>
    <t xml:space="preserve">L27-28, L48-51</t>
  </si>
  <si>
    <t xml:space="preserve">IV.UPD.FSINV.XLS.04</t>
  </si>
  <si>
    <t xml:space="preserve">Product 9990 on the invoice is the federal tax line: its amount is sent as FEDERALTAXAMOUNT, excluded from detail, and subtracted from INVOICENETTOTAL</t>
  </si>
  <si>
    <t xml:space="preserve">L29-31, L53-54, L67</t>
  </si>
  <si>
    <t xml:space="preserve">IV.UPD.FSINV.XLS.05</t>
  </si>
  <si>
    <t xml:space="preserve">Dues invoices (PASS=AR8): ship via blank, detail type MEMO; otherwise UPS / ORDER</t>
  </si>
  <si>
    <t xml:space="preserve">L41-47</t>
  </si>
  <si>
    <t xml:space="preserve">IV.UPD.FSINV.XLS.06</t>
  </si>
  <si>
    <t xml:space="preserve">Order number = ARSHIP PO when called from IV.UPD.SCANORD, else ARHIST PO position</t>
  </si>
  <si>
    <t xml:space="preserve">L56-57</t>
  </si>
  <si>
    <t xml:space="preserve">IV.UPD.FSINV.XLS.07</t>
  </si>
  <si>
    <t xml:space="preserve">Line number = position of product in ORDHIST product list (else sequence); unit price = INT(extended amount / qty + .5) cents → MD2</t>
  </si>
  <si>
    <t xml:space="preserve">IV.UPD.FSINV.XLS.08</t>
  </si>
  <si>
    <t xml:space="preserve">Freight 0, regional tax 0, credit invoice NO, tracking blank</t>
  </si>
  <si>
    <t xml:space="preserve">L43-45, L55</t>
  </si>
  <si>
    <t xml:space="preserve">IV.UPD.FSINV.XML.01</t>
  </si>
  <si>
    <t xml:space="preserve">IV.UPD.FSINV.XML</t>
  </si>
  <si>
    <t xml:space="preserve">Writes well-formed '&lt;TAG&gt;value&lt;/TAG&gt;' elements and '.xml' suffixed record id; otherwise identical, including hard-coded VENDORID 371</t>
  </si>
  <si>
    <t xml:space="preserve">L13, L21, L63-69</t>
  </si>
  <si>
    <t xml:space="preserve">IV.UPD.RETURNS.01</t>
  </si>
  <si>
    <t xml:space="preserve">IV.UPD.RETURNS</t>
  </si>
  <si>
    <t xml:space="preserve">PRICING, VENDOR, PRODUCT</t>
  </si>
  <si>
    <t xml:space="preserve">Run blocked if CONTROL 'UPD' attr 1 &gt; 2 (update-cycle state)</t>
  </si>
  <si>
    <t xml:space="preserve">IV.UPD.RETURNS.02</t>
  </si>
  <si>
    <t xml:space="preserve">Only RETURNS with no DT.BILLED (attr 8) processed; after posting attr 8 = posting date</t>
  </si>
  <si>
    <t xml:space="preserve">L26, L91</t>
  </si>
  <si>
    <t xml:space="preserve">IV.UPD.RETURNS.03</t>
  </si>
  <si>
    <t xml:space="preserve">Return line qty is negated; unit cost = special cost attr 9 if special qty attr 7 &gt; 0 and |qty| ≥ attr 7, else basic cost attr 8 (cents)</t>
  </si>
  <si>
    <t xml:space="preserve">L40, L44</t>
  </si>
  <si>
    <t xml:space="preserve">IV.UPD.RETURNS.04</t>
  </si>
  <si>
    <t xml:space="preserve">Credit price includes surcharge: COST + INT(COST × attr 12 / 1000 + .5) (attr 12 in tenths of %)</t>
  </si>
  <si>
    <t xml:space="preserve">IV.UPD.RETURNS.05</t>
  </si>
  <si>
    <t xml:space="preserve">Surcharge portion backed out of line total: INT(TOT − TOT/(1000+PCT)×1000 ± .5) accumulated to member SC, vendor VSC and CONTROL 'MS' attr 1</t>
  </si>
  <si>
    <t xml:space="preserve">L47-49</t>
  </si>
  <si>
    <t xml:space="preserve">IV.UPD.RETURNS.06</t>
  </si>
  <si>
    <t xml:space="preserve">IVRET&lt;prod&gt;: attr 1 += returned qty, attr 2 += returned value (cents)</t>
  </si>
  <si>
    <t xml:space="preserve">L50-52</t>
  </si>
  <si>
    <t xml:space="preserve">IV.UPD.RETURNS.07</t>
  </si>
  <si>
    <t xml:space="preserve">Member IVSOLD history decremented by returned qty; product removed when it nets to 0</t>
  </si>
  <si>
    <t xml:space="preserve">L53-61, L66</t>
  </si>
  <si>
    <t xml:space="preserve">IV.UPD.RETURNS.08</t>
  </si>
  <si>
    <t xml:space="preserve">ARMST updates: attr 9 YTD sales, 10 NEW.MON, 15 balance, 21 surcharge += credit; attr 18 last sale = date; attr 17 open orders reduced (floor 0); attr 26 PRO.SALES += total − surcharge; high credit attr 16 (whole dollars) raised if balance/100 exceeds it</t>
  </si>
  <si>
    <t xml:space="preserve">L67-71</t>
  </si>
  <si>
    <t xml:space="preserve">IV.UPD.RETURNS.09</t>
  </si>
  <si>
    <t xml:space="preserve">New invoice number from CONTROL 'INV' +1, wraps to 1 at 999999; ARINV&lt;member&gt; gets invoice, date, amount, terms 0, aging 0</t>
  </si>
  <si>
    <t xml:space="preserve">L74-82, L88</t>
  </si>
  <si>
    <t xml:space="preserve">IV.UPD.RETURNS.10</t>
  </si>
  <si>
    <t xml:space="preserve">ARSHIP&lt;member:inv&gt; written with date, products, qtys, amounts (cents), ref = RETURNS attr 4, terms text "NET mm/10/yy" (next month 10th), surcharge, posting date</t>
  </si>
  <si>
    <t xml:space="preserve">L21-24, L83-84</t>
  </si>
  <si>
    <t xml:space="preserve">IV.UPD.RETURNS.11</t>
  </si>
  <si>
    <t xml:space="preserve">CONTROL 'MS' attr 3 += credit total (month-to-date sales control)</t>
  </si>
  <si>
    <t xml:space="preserve">L85, L89</t>
  </si>
  <si>
    <t xml:space="preserve">IV.UPD.RETURNS.12</t>
  </si>
  <si>
    <t xml:space="preserve">Hard-coded vendor 497: all return credits added to VNMST 497 attr 7 (YTD sales) and attr 9 (surcharges)</t>
  </si>
  <si>
    <t xml:space="preserve">L94-96</t>
  </si>
  <si>
    <t xml:space="preserve">IV4A.01</t>
  </si>
  <si>
    <t xml:space="preserve">IV4A</t>
  </si>
  <si>
    <t xml:space="preserve">Invoice numbers wrap at 99999; no average-cost line, no DT.POSTED, no &gt;100 qty confirmation</t>
  </si>
  <si>
    <t xml:space="preserve">IV4B.01</t>
  </si>
  <si>
    <t xml:space="preserve">IV4B</t>
  </si>
  <si>
    <t xml:space="preserve">L23-24</t>
  </si>
  <si>
    <t xml:space="preserve">IV4B.02</t>
  </si>
  <si>
    <t xml:space="preserve">Operator keys terms (default 2%/10th of next month; 0-9%, 0 = NET)</t>
  </si>
  <si>
    <t xml:space="preserve">L33-40</t>
  </si>
  <si>
    <t xml:space="preserve">IV4B.03</t>
  </si>
  <si>
    <t xml:space="preserve">Member reference number captured on the credit (ARSHIP attr 5)</t>
  </si>
  <si>
    <t xml:space="preserve">L48, L114</t>
  </si>
  <si>
    <t xml:space="preserve">IV4B.04</t>
  </si>
  <si>
    <t xml:space="preserve">Only charge products 9998 and 9999 allowed among products &gt; 9900; amount forced negative, added to MS attr 2</t>
  </si>
  <si>
    <t xml:space="preserve">L54-62</t>
  </si>
  <si>
    <t xml:space="preserve">IV4B.05</t>
  </si>
  <si>
    <t xml:space="preserve">Returned qty forced negative; qty &gt; 100 needs confirmation</t>
  </si>
  <si>
    <t xml:space="preserve">L63-69</t>
  </si>
  <si>
    <t xml:space="preserve">IV4B.06</t>
  </si>
  <si>
    <t xml:space="preserve">Credit unit price = special cost attr 9 if attr 7 &gt; 0 and |qty| ≥ attr 7, else basic cost attr 8, plus surcharge (attr 12 tenths of %)</t>
  </si>
  <si>
    <t xml:space="preserve">L70, L77</t>
  </si>
  <si>
    <t xml:space="preserve">IV4B.07</t>
  </si>
  <si>
    <t xml:space="preserve">ARSHIP attr 15 cost = qty × average cost (SUM attr 25 / SUM attr 24), else raw cost attr 19 with yen converted at hard-coded 110 ¥/$</t>
  </si>
  <si>
    <t xml:space="preserve">L71-76, L94</t>
  </si>
  <si>
    <t xml:space="preserve">IV4B.08</t>
  </si>
  <si>
    <t xml:space="preserve">Surcharge split, IVRET, IVSOLD, ARMST, ARINV (wrap 999999), CONTROL MS updates as IV.UPD.RETURNS</t>
  </si>
  <si>
    <t xml:space="preserve">L79-120</t>
  </si>
  <si>
    <t xml:space="preserve">IV4B.09</t>
  </si>
  <si>
    <t xml:space="preserve">Hard-coded vendor 497 receives all return credits in VNMST attr 7/9</t>
  </si>
  <si>
    <t xml:space="preserve">L123-125</t>
  </si>
  <si>
    <t xml:space="preserve">LBL.TEST.01</t>
  </si>
  <si>
    <t xml:space="preserve">LBL.TEST</t>
  </si>
  <si>
    <t xml:space="preserve">Look up invoice in ARSHIP first, fall back to ARHIST; key ID[1,4] = member account, ID[5,5] = PRO invoice number</t>
  </si>
  <si>
    <t xml:space="preserve">L14-15,20,22</t>
  </si>
  <si>
    <t xml:space="preserve">LBL.TEST.02</t>
  </si>
  <si>
    <t xml:space="preserve">Label shows date (attr 1), amount attr 4 in cents formatted MD2, "Invoice Due" = attr 6 (TERMS)</t>
  </si>
  <si>
    <t xml:space="preserve">LJ.INV1.01</t>
  </si>
  <si>
    <t xml:space="preserve">LJ.INV1</t>
  </si>
  <si>
    <t xml:space="preserve">Invoice header uses ARMST (key ID[1,4]) name attr 1, street attr 3, city/state/zip attrs 4-6; invoice # = ID[5,5]; date attr 1; PO attr 5, terms attr 6, vendor invoice attr 7</t>
  </si>
  <si>
    <t xml:space="preserve">L19,41-45</t>
  </si>
  <si>
    <t xml:space="preserve">LJ.INV1.02</t>
  </si>
  <si>
    <t xml:space="preserve">Line description from IVMST attr 4, else IVMST.DISC attr 4, else blank</t>
  </si>
  <si>
    <t xml:space="preserve">L24-26</t>
  </si>
  <si>
    <t xml:space="preserve">LJ.INV1.03</t>
  </si>
  <si>
    <t xml:space="preserve">Lines with QTY=0 are not printed; unit price = AMOUNT/QTY (amount attr 4 in cents, shown /100); if QTY non-numeric zero, unit = AMOUNT</t>
  </si>
  <si>
    <t xml:space="preserve">L28-30</t>
  </si>
  <si>
    <t xml:space="preserve">LJ.INV1.04</t>
  </si>
  <si>
    <t xml:space="preserve">Invoice total = sum of line AMOUNTs (cents); no surcharge/freight lines added</t>
  </si>
  <si>
    <t xml:space="preserve">L31,34</t>
  </si>
  <si>
    <t xml:space="preserve">LJ.INV1.05</t>
  </si>
  <si>
    <t xml:space="preserve">39 lines per page, then page break and reprinted header</t>
  </si>
  <si>
    <t xml:space="preserve">LJ.INV2.01</t>
  </si>
  <si>
    <t xml:space="preserve">LJ.INV2</t>
  </si>
  <si>
    <t xml:space="preserve">Same rules as LJ.INV1.01-05; differs only in unlimited line loop (stops at first blank product), form feed page breaks, printer reset ESC E, wider product column</t>
  </si>
  <si>
    <t xml:space="preserve">L24-37,43</t>
  </si>
  <si>
    <t xml:space="preserve">LJ.INV3.01</t>
  </si>
  <si>
    <t xml:space="preserve">LJ.INV3</t>
  </si>
  <si>
    <t xml:space="preserve">No rule differences from LJ.INV2; layout-only differences (L33, L39, L43-44)</t>
  </si>
  <si>
    <t xml:space="preserve">MOD.AGING.01</t>
  </si>
  <si>
    <t xml:space="preserve">MOD.AGING</t>
  </si>
  <si>
    <t xml:space="preserve">Hard-coded cutoff date 02/15/04 for invoices to re-age</t>
  </si>
  <si>
    <t xml:space="preserve">MOD.AGING.02</t>
  </si>
  <si>
    <t xml:space="preserve">Due months DM = number before '/' in 2nd word of ARHIST TERMS; new aging = 4 - DM written to ARINV attr 5 (AGING) for that invoice</t>
  </si>
  <si>
    <t xml:space="preserve">L22-29</t>
  </si>
  <si>
    <t xml:space="preserve">MOD.AGING.03</t>
  </si>
  <si>
    <t xml:space="preserve">ARMST aging rebuild: clear FUTURE and NEW.MON..90DAYS buckets, then for each open invoice add (AMOUNT attr 3 - AMT.PAID attr 7, cents) to FUTURE if aging &lt; 0 else to bucket NEW.MON+min(aging,4)</t>
  </si>
  <si>
    <t xml:space="preserve">L39-53</t>
  </si>
  <si>
    <t xml:space="preserve">MOD.AR.INV.01</t>
  </si>
  <si>
    <t xml:space="preserve">MOD.AR.INV</t>
  </si>
  <si>
    <t xml:space="preserve">Aging code meaning: &gt;4 over 90 days past due, 4 = 90, 3 = 60, 2 = 30, 1 = current, 0 = due next month, negative = future, due in month (|aging|+1+current month)</t>
  </si>
  <si>
    <t xml:space="preserve">L45-56</t>
  </si>
  <si>
    <t xml:space="preserve">MOD.AR.INV.02</t>
  </si>
  <si>
    <t xml:space="preserve">Terms entry must be a single digit discount % 0-9 (optionally with %); blank keeps existing</t>
  </si>
  <si>
    <t xml:space="preserve">L88-95</t>
  </si>
  <si>
    <t xml:space="preserve">MOD.AR.INV.03</t>
  </si>
  <si>
    <t xml:space="preserve">Future aging entry is 0-9 months, stored as negative number (aging*-1)</t>
  </si>
  <si>
    <t xml:space="preserve">L109-113</t>
  </si>
  <si>
    <t xml:space="preserve">MOD.AR.INV.04</t>
  </si>
  <si>
    <t xml:space="preserve">On update, ARMST buckets moved: orig 0 -&gt; future only if invoice month = current month (attr 10 NEW.MON -&gt; attr 24 FUTURE); orig &gt;0 -&gt; future moves from attr (orig+10) to 24; orig &gt;0 -&gt; 0 moves to attr 10; orig capped at 4</t>
  </si>
  <si>
    <t xml:space="preserve">L126-136</t>
  </si>
  <si>
    <t xml:space="preserve">MOD.AR.INV.05</t>
  </si>
  <si>
    <t xml:space="preserve">Amounts in ARINV attr 3 are cents (displayed MD2)</t>
  </si>
  <si>
    <t xml:space="preserve">NEWAR5.01</t>
  </si>
  <si>
    <t xml:space="preserve">NEWAR5</t>
  </si>
  <si>
    <t xml:space="preserve">Month-end sequencing: CONTROL 'UPD' attr 1 &lt; 3 warns "statements being printed with no update" and requires typing OK; on finish, if UPD=3 set to 4</t>
  </si>
  <si>
    <t xml:space="preserve">L18-23,105</t>
  </si>
  <si>
    <t xml:space="preserve">NEWAR5.02</t>
  </si>
  <si>
    <t xml:space="preserve">Members with ARMST attr 15 (BALANCE) = 0 get no statement</t>
  </si>
  <si>
    <t xml:space="preserve">NEWAR5.03</t>
  </si>
  <si>
    <t xml:space="preserve">Line gross = ARINV AMOUNT (attr 3) - AMT.PAID (attr 7), cents</t>
  </si>
  <si>
    <t xml:space="preserve">L56</t>
  </si>
  <si>
    <t xml:space="preserve">NEWAR5.04</t>
  </si>
  <si>
    <t xml:space="preserve">Prompt-pay discount: if aging (ARINV attr 5) &lt; 2, discount = round(gross * TERMS% (attr 4) / 100); else no discount and print "* PAST-DUE *"</t>
  </si>
  <si>
    <t xml:space="preserve">L66-68</t>
  </si>
  <si>
    <t xml:space="preserve">NEWAR5.05</t>
  </si>
  <si>
    <t xml:space="preserve">Discount deadline printed as "MD/10" where MD = (statement month + 2) - aging, wrapped into 1-12 (0 -&gt; 12) — i.e. discount if paid by the 10th of month MD</t>
  </si>
  <si>
    <t xml:space="preserve">L27,62-65,67</t>
  </si>
  <si>
    <t xml:space="preserve">NEWAR5.06</t>
  </si>
  <si>
    <t xml:space="preserve">Invoices with aging &lt;= 0 are future: excluded from amount due (DUE=0), flagged with '*' on invoice number; still included in gross and in discount total</t>
  </si>
  <si>
    <t xml:space="preserve">NEWAR5.07</t>
  </si>
  <si>
    <t xml:space="preserve">Totals: future = gross - due; net due = due - discount; footer shows ARMST aging buckets attrs 11 CURRENT, 12 30, 13 60, 14 90 and YTD surcharge attr 21 (cents)</t>
  </si>
  <si>
    <t xml:space="preserve">NEWAR5.08</t>
  </si>
  <si>
    <t xml:space="preserve">Optional two-line operator message (max 55 chars each) printed on all statements</t>
  </si>
  <si>
    <t xml:space="preserve">NEWAR5.09</t>
  </si>
  <si>
    <t xml:space="preserve">Missing ARINV/ARMST record logged to ERROR file and run aborts with error message at end</t>
  </si>
  <si>
    <t xml:space="preserve">L42-43,106</t>
  </si>
  <si>
    <t xml:space="preserve">PDF.INV.HIST.01</t>
  </si>
  <si>
    <t xml:space="preserve">PDF.INV.HIST</t>
  </si>
  <si>
    <t xml:space="preserve">Same line logic as LJ.INV1.02-04 (description IVMST/IVMST.DISC attr 4; qty 0 skipped; unit = AMOUNT/QTY; cents)</t>
  </si>
  <si>
    <t xml:space="preserve">L39-46</t>
  </si>
  <si>
    <t xml:space="preserve">PDF.INV.HIST.02</t>
  </si>
  <si>
    <t xml:space="preserve">PDF via spooler .CFG/.TXT hold-file pair named by invoice ID[5,6]</t>
  </si>
  <si>
    <t xml:space="preserve">L23-33</t>
  </si>
  <si>
    <t xml:space="preserve">PDF.INV2.01</t>
  </si>
  <si>
    <t xml:space="preserve">PDF.INV2</t>
  </si>
  <si>
    <t xml:space="preserve">Same line/total logic as PDF.INV.HIST.01 but source is ARSHIP (unposted current invoices), all records by invoice number</t>
  </si>
  <si>
    <t xml:space="preserve">L18,40-47</t>
  </si>
  <si>
    <t xml:space="preserve">PDF.INV2.02</t>
  </si>
  <si>
    <t xml:space="preserve">PDF via .CFG (with background C:\PDFTEST\INVOICE.BMP) + .TXT hold files</t>
  </si>
  <si>
    <t xml:space="preserve">L24-34</t>
  </si>
  <si>
    <t xml:space="preserve">PRINT.LABEL.01</t>
  </si>
  <si>
    <t xml:space="preserve">PRINT.LABEL</t>
  </si>
  <si>
    <t xml:space="preserve">Label = PRO invoice # ID[5,5], date attr 1, amount attr 4 (cents, MD2), "invoice due" = TERMS attr 6, account ID[1,4]; ARSHIP first, ARHIST fallback</t>
  </si>
  <si>
    <t xml:space="preserve">L13-20</t>
  </si>
  <si>
    <t xml:space="preserve">PRINT.LABEL.96.01</t>
  </si>
  <si>
    <t xml:space="preserve">PRINT.LABEL.96</t>
  </si>
  <si>
    <t xml:space="preserve">Only difference: history fallback file ARHIST.96 (1996 archive)</t>
  </si>
  <si>
    <t xml:space="preserve">PRO_CREDIT.01</t>
  </si>
  <si>
    <t xml:space="preserve">PRO_CREDIT</t>
  </si>
  <si>
    <t xml:space="preserve">Members included: ID &lt; "9990", TP = "1", and BALANCE &gt; 0 or T.ORDERS &gt; 0, sorted by name</t>
  </si>
  <si>
    <t xml:space="preserve">L9-10</t>
  </si>
  <si>
    <t xml:space="preserve">PRO_CREDIT.02</t>
  </si>
  <si>
    <t xml:space="preserve">Hard-coded member-number cutoff 9990 (accounts 9990+ excluded — presumably internal/house accounts)</t>
  </si>
  <si>
    <t xml:space="preserve">PRO_CREDIT.03</t>
  </si>
  <si>
    <t xml:space="preserve">Columns: SNAME, EXC.PCT, EXCESS3, AVAILABLE, ADJ.BAL, BAL, HI.CRED, CY.HI.CRED, LLIMIT, INVESTMENT, PD, T.ORDERS, YTD (credit-exposure calculations live in dictionary I-types, not code)</t>
  </si>
  <si>
    <t xml:space="preserve">PRO_CREDIT.04</t>
  </si>
  <si>
    <t xml:space="preserve">Delivery via WIN.IMPORT to PC directory (default C:\DOWNLOADS)</t>
  </si>
  <si>
    <t xml:space="preserve">L7,15,22</t>
  </si>
  <si>
    <t xml:space="preserve">REMOVE.FROM.FSINV.01</t>
  </si>
  <si>
    <t xml:space="preserve">REMOVE.FROM.FSINV</t>
  </si>
  <si>
    <t xml:space="preserve">Hard-coded FotoSource account 7000</t>
  </si>
  <si>
    <t xml:space="preserve">L26,56,58-59</t>
  </si>
  <si>
    <t xml:space="preserve">REMOVE.FROM.FSINV.02</t>
  </si>
  <si>
    <t xml:space="preserve">Comment names members 3522 and 3571 as the 09-24-12 targets (comment-only evidence; member is operator-entered)</t>
  </si>
  <si>
    <t xml:space="preserve">REMOVE.FROM.FSINV.03</t>
  </si>
  <si>
    <t xml:space="preserve">An open 7000 invoice belongs to member M if ARHIST record M:invoice exists; all 15 ARINV attrs of that invoice are moved to M's ARINV</t>
  </si>
  <si>
    <t xml:space="preserve">REMOVE.FROM.FSINV.04</t>
  </si>
  <si>
    <t xml:space="preserve">ARMST aging/balances are recomputed afterwards by RESET.ARMST for 7000 and the member</t>
  </si>
  <si>
    <t xml:space="preserve">RESET.ARMST.01</t>
  </si>
  <si>
    <t xml:space="preserve">RESET.ARMST</t>
  </si>
  <si>
    <t xml:space="preserve">Open amount per invoice = ARINV AMOUNT (attr 3) - SUM(AMT.PAID attr 7), cents</t>
  </si>
  <si>
    <t xml:space="preserve">RESET.ARMST.02</t>
  </si>
  <si>
    <t xml:space="preserve">Bucket = ARMST attr (10 + aging attr 5) for aging &gt;= 0, capped at attr 14 (90+); aging &lt;= 0 also accumulated as FTR</t>
  </si>
  <si>
    <t xml:space="preserve">L34-39</t>
  </si>
  <si>
    <t xml:space="preserve">RESET.ARMST.03</t>
  </si>
  <si>
    <t xml:space="preserve">ARMST attr 10 (NEW.MON) overwritten = FTR - ARMST attr 24 (FUTURE); attr 24 is presumed correct and not recalculated (05-27-05)</t>
  </si>
  <si>
    <t xml:space="preserve">L8,41</t>
  </si>
  <si>
    <t xml:space="preserve">RESET.ARMST.04</t>
  </si>
  <si>
    <t xml:space="preserve">BALANCE (attr 15) = FUTURE (attr 24) + attrs 10..14</t>
  </si>
  <si>
    <t xml:space="preserve">L42-45</t>
  </si>
  <si>
    <t xml:space="preserve">RESET.ARMST.05</t>
  </si>
  <si>
    <t xml:space="preserve">Before-image of ARINV and ARMST written to ERRFL keyed acct:'I' / acct:'M'</t>
  </si>
  <si>
    <t xml:space="preserve">RESET.ARMST.SEL.01</t>
  </si>
  <si>
    <t xml:space="preserve">RESET.ARMST.SEL</t>
  </si>
  <si>
    <t xml:space="preserve">Identical calculation to RESET.ARMST.01-05; only input differs (operator-entered account, E ends)</t>
  </si>
  <si>
    <t xml:space="preserve">L17-21</t>
  </si>
  <si>
    <t xml:space="preserve">RESET.CREDIT.AGING.01</t>
  </si>
  <si>
    <t xml:space="preserve">RESET.CREDIT.AGING</t>
  </si>
  <si>
    <t xml:space="preserve">Selects every ARINV record that has any AMOUNT (attr 3, multivalued) less than 0</t>
  </si>
  <si>
    <t xml:space="preserve">L10</t>
  </si>
  <si>
    <t xml:space="preserve">RESET.CREDIT.AGING.02</t>
  </si>
  <si>
    <t xml:space="preserve">Before changing anything, copies the ARINV record to ERRFL as `&lt;member&gt;I` and the ARMST record as `&lt;member&gt;M` (overwrites any earlier backup with the same key)</t>
  </si>
  <si>
    <t xml:space="preserve">RESET.CREDIT.AGING.03</t>
  </si>
  <si>
    <t xml:space="preserve">For each invoice line with AMOUNT &lt; 0 and AGING (ARINV attr 5) &gt; 1, the credit is removed from ARMST bucket attr (AGING+10), capped at attr 14 (so 2 -&gt; 30-DAYS attr 12, 3 -&gt; 60-DAYS attr 13, 4+ -&gt; 90-DAYS attr 14), added to CURRENT (ARMST attr 11), and the line's AGING is reset to 1. In other words, credits always age as Current. Money units are not stated (no conversion in this program).</t>
  </si>
  <si>
    <t xml:space="preserve">L19-30</t>
  </si>
  <si>
    <t xml:space="preserve">RESET.ERRFL.01</t>
  </si>
  <si>
    <t xml:space="preserve">RESET.ERRFL</t>
  </si>
  <si>
    <t xml:space="preserve">Each ERRFL key containing 'I' is restored to ARINV under FIELD(ID,'I',1). Every other key is restored to ARMST under FIELD(ID,'M',1). The restore is unconditional overwrite.</t>
  </si>
  <si>
    <t xml:space="preserve">L10-21</t>
  </si>
  <si>
    <t xml:space="preserve">RESET.RBT.CHKS.01</t>
  </si>
  <si>
    <t xml:space="preserve">RESET.RBT.CHKS</t>
  </si>
  <si>
    <t xml:space="preserve">Operator enters a starting and ending check number. RBTDATA records with CHK.NO (key) in that range get PRINTED (attr 7) set to empty, which makes them eligible for reprint. There is no check of who runs it, no audit and no check that a check was actually voided.</t>
  </si>
  <si>
    <t xml:space="preserve">RESTORE.01</t>
  </si>
  <si>
    <t xml:space="preserve">RESTORE</t>
  </si>
  <si>
    <t xml:space="preserve">Hard-coded date: every record written gets ARHIST attr 1 = 10464 (internal date 1996-08-24)</t>
  </si>
  <si>
    <t xml:space="preserve">RESTORE.02</t>
  </si>
  <si>
    <t xml:space="preserve">ARHIST key = member account : invoice number. If the operator leaves the invoice number blank, the previous number + 1 is used.</t>
  </si>
  <si>
    <t xml:space="preserve">L12-16</t>
  </si>
  <si>
    <t xml:space="preserve">RESTORE.03</t>
  </si>
  <si>
    <t xml:space="preserve">The amount (attr 4) comes from APHIST record `&lt;vendor&gt;*&lt;vendor invoice&gt;` attr 2 (GROSS). If that record is missing, the vendor/invoice is rejected and re-entry starts over. Amount entry by hand is commented out.</t>
  </si>
  <si>
    <t xml:space="preserve">L17, L24-28</t>
  </si>
  <si>
    <t xml:space="preserve">RESTORE.04</t>
  </si>
  <si>
    <t xml:space="preserve">Other fields are entered by hand: attr 2 vendor, attr 5 PO, attr 6 terms (blank terms keeps the prior record's terms), attr 7 vendor invoice, attr 8 surcharge (no dictionary for ARHIST, so units are unknown)</t>
  </si>
  <si>
    <t xml:space="preserve">L9, L18-23</t>
  </si>
  <si>
    <t xml:space="preserve">REV.MEMEZPAY.01</t>
  </si>
  <si>
    <t xml:space="preserve">REV.MEMEZPAY</t>
  </si>
  <si>
    <t xml:space="preserve">Posting is blocked when CONTROL 'UPD' attr 1 &gt; 1 (AR update in progress)</t>
  </si>
  <si>
    <t xml:space="preserve">REV.MEMEZPAY.02</t>
  </si>
  <si>
    <t xml:space="preserve">Month-end cutoff: if the entered date's day is &gt; 25 and its month equals CONTROL 'UPD' attr 2 (the open month), the posting is refused until the previous month is closed. December (attr 2 = 12) is exempt.</t>
  </si>
  <si>
    <t xml:space="preserve">L46-52</t>
  </si>
  <si>
    <t xml:space="preserve">REV.MEMEZPAY.03</t>
  </si>
  <si>
    <t xml:space="preserve">The operator enters the "prior payment" date (MM.DD.YY), or Y/blank for today. That date becomes the reversal's DT.PAID and LAST.PAID.</t>
  </si>
  <si>
    <t xml:space="preserve">REV.MEMEZPAY.04</t>
  </si>
  <si>
    <t xml:space="preserve">Money units: EZPAY amounts (attr 3 gross, 4 disc, 6 EZ-disc, 7 EZ-net) are stored in dollars and multiplied by 100 to cents before they are posted to ARMST/ARINV</t>
  </si>
  <si>
    <t xml:space="preserve">L75-76</t>
  </si>
  <si>
    <t xml:space="preserve">REV.MEMEZPAY.05</t>
  </si>
  <si>
    <t xml:space="preserve">All EZPAY records are processed, grouped by member and invoice. Each invoice must exist on the member's ARINV and must already have AMTPAID set, or the whole run aborts mid-stream with no rollback.</t>
  </si>
  <si>
    <t xml:space="preserve">L55-83, L133-160</t>
  </si>
  <si>
    <t xml:space="preserve">REV.MEMEZPAY.06</t>
  </si>
  <si>
    <t xml:space="preserve">Gross is added back to ARMST BALANCE and to the aging bucket chosen by ARINV AGING (attr 5): &gt;4 = 90-day, 3 = 60, 2 = 30, 1 = Current, 0 = New-month, &lt;0 = Future</t>
  </si>
  <si>
    <t xml:space="preserve">REV.MEMEZPAY.07</t>
  </si>
  <si>
    <t xml:space="preserve">ARINV DT.PAID (attr 6) for the invoice is set to the entered date. AMTPAID is NOT cleared (the line is commented out).</t>
  </si>
  <si>
    <t xml:space="preserve">REV.MEMEZPAY.08</t>
  </si>
  <si>
    <t xml:space="preserve">If the invoice line is flagged vendor-credit (ARINV attr 8 = 1), gross is subtracted from the vendor-credit total</t>
  </si>
  <si>
    <t xml:space="preserve">REV.MEMEZPAY.09</t>
  </si>
  <si>
    <t xml:space="preserve">ARMST LAST.PAID = the entered date. ARMST EZPAY.DISC (attr 41) is reduced by the member's EZ-discount total.</t>
  </si>
  <si>
    <t xml:space="preserve">L162</t>
  </si>
  <si>
    <t xml:space="preserve">REV.MEMEZPAY.10</t>
  </si>
  <si>
    <t xml:space="preserve">ARHIST `&lt;member&gt;&lt;invoice&gt;` attr 16 (named DT.PAID in the ARSHIP dict; ARHIST has no dict) is set to the entered date</t>
  </si>
  <si>
    <t xml:space="preserve">L180-189</t>
  </si>
  <si>
    <t xml:space="preserve">REV.MEMEZPAY.11</t>
  </si>
  <si>
    <t xml:space="preserve">CONTROL 'MS' attr 4 (purpose unclear, apparently a running cash/EZPAY total) is reduced by the grand total gross</t>
  </si>
  <si>
    <t xml:space="preserve">REV.MEMEZPAY.12</t>
  </si>
  <si>
    <t xml:space="preserve">EZPAY records are not deleted after reversal (the DELETE is commented out), so a re-run would double-reverse</t>
  </si>
  <si>
    <t xml:space="preserve">L155</t>
  </si>
  <si>
    <t xml:space="preserve">REV.MEMEZPAY.13</t>
  </si>
  <si>
    <t xml:space="preserve">Prints the reversal report (gross, discount, EZ-disc, net per member, plus a grand total), then runs WEBSTMT to rebuild web statements</t>
  </si>
  <si>
    <t xml:space="preserve">RPDF.EDI.INV.01</t>
  </si>
  <si>
    <t xml:space="preserve">RPDF.EDI.INV</t>
  </si>
  <si>
    <t xml:space="preserve">ARHIST key = 4-character member number + invoice number. The member is ID[1,4] and the invoice is ID[5,6]. This assumes 4-digit member numbers.</t>
  </si>
  <si>
    <t xml:space="preserve">L33-36, L65, L70</t>
  </si>
  <si>
    <t xml:space="preserve">RPDF.EDI.INV.02</t>
  </si>
  <si>
    <t xml:space="preserve">Invoice lines come from ARHIST attr 10 vendor product, 11 vendor description (first 43 chars), 12 vendor qty, 13 vendor cost (cents). Line amount = cost x qty. Printing stops at the first blank product.</t>
  </si>
  <si>
    <t xml:space="preserve">L26, L46-57</t>
  </si>
  <si>
    <t xml:space="preserve">RPDF.EDI.INV.03</t>
  </si>
  <si>
    <t xml:space="preserve">Invoice total = sum of line amounts only. The surcharge (attr 8) is neither printed nor added.</t>
  </si>
  <si>
    <t xml:space="preserve">L55-58</t>
  </si>
  <si>
    <t xml:space="preserve">RPDF.EDI.INV.04</t>
  </si>
  <si>
    <t xml:space="preserve">Header: billing vendor name from APMST attr 1 for vendor ARHIST attr 9 ("VENDOR UNKNOWN" if missing). Also prints date attr 1, terms attr 6, PO attr 5, vendor invoice attr 7, and member name/address from ARMST attrs 1,3,4,5,6.</t>
  </si>
  <si>
    <t xml:space="preserve">L64-70</t>
  </si>
  <si>
    <t xml:space="preserve">RPDF.EDI.INV.05</t>
  </si>
  <si>
    <t xml:space="preserve">Each invoice is spooled as a hold file `&lt;invoice&gt;.CFG` (lines '66','97','CM,0,.1,0,.1' for the PDF converter) plus `&lt;invoice&gt;.TXT`</t>
  </si>
  <si>
    <t xml:space="preserve">L34-44</t>
  </si>
  <si>
    <t xml:space="preserve">RPRT.EDI.INV.01</t>
  </si>
  <si>
    <t xml:space="preserve">RPRT.EDI.INV</t>
  </si>
  <si>
    <t xml:space="preserve">Same line/total logic as RPDF.EDI.INV.02-.04 (attrs 10-13, cost in cents, cost x qty, vendor name from APMST attr 1)</t>
  </si>
  <si>
    <t xml:space="preserve">L33-56</t>
  </si>
  <si>
    <t xml:space="preserve">RPRT.EDI.INV.02</t>
  </si>
  <si>
    <t xml:space="preserve">Falls back to the archive file ARHIST.00 when the invoice is not in ARHIST</t>
  </si>
  <si>
    <t xml:space="preserve">RPRT.EDI.INV.03</t>
  </si>
  <si>
    <t xml:space="preserve">Prints the surcharge (ARHIST attr 8 / 100, so cents) in the header but does NOT include it in the invoice total</t>
  </si>
  <si>
    <t xml:space="preserve">L56, L45</t>
  </si>
  <si>
    <t xml:space="preserve">RPRT.EDI.INV.04</t>
  </si>
  <si>
    <t xml:space="preserve">Invoice number printed as ID[5,5] (5 chars) versus ID[5,6] in RPDF.EDI.INV, with the member as ID[1,4]</t>
  </si>
  <si>
    <t xml:space="preserve">L31, L56</t>
  </si>
  <si>
    <t xml:space="preserve">RPRT.EDI.INV.05</t>
  </si>
  <si>
    <t xml:space="preserve">HP PCL escape sequences for fonts and layout</t>
  </si>
  <si>
    <t xml:space="preserve">L17-18, L48-49</t>
  </si>
  <si>
    <t xml:space="preserve">RPT.INV.01</t>
  </si>
  <si>
    <t xml:space="preserve">RPT.INV</t>
  </si>
  <si>
    <t xml:space="preserve">ARHIST layout used (no dict; matches ARSHIP dict): attr 1 date, 2 product (multivalued) or vendor, 3 qty, 4 amount (cents), 5 PO, 6 terms, 7 vendor invoice, 8 surcharge (cents). Key = 4-char member + invoice (ID[5,5]).</t>
  </si>
  <si>
    <t xml:space="preserve">L21-22, L46-51, L62-66</t>
  </si>
  <si>
    <t xml:space="preserve">RPT.INV.02</t>
  </si>
  <si>
    <t xml:space="preserve">If qty (attr 3) is empty, the record is a vendor billing. It prints "BILLING FOR &lt;APMST attr 1 name of vendor in attr 2&gt;" with the single amount attr 4, noted as "includes surcharge and shipping if applicable". A negative amount prints "** THIS IS A CREDIT **".</t>
  </si>
  <si>
    <t xml:space="preserve">L24-31, L43</t>
  </si>
  <si>
    <t xml:space="preserve">RPT.INV.03</t>
  </si>
  <si>
    <t xml:space="preserve">Terms-dispute policy on vendor billings: the member must notify PRO of any terms discrepancy by invoice date + 10 days. After that, terms cannot be altered, and invoices not paid on the original terms incur a service charge, "NO EXCEPTIONS"</t>
  </si>
  <si>
    <t xml:space="preserve">L25, L33-41</t>
  </si>
  <si>
    <t xml:space="preserve">RPT.INV.04</t>
  </si>
  <si>
    <t xml:space="preserve">Product invoice lines: description from IVMST attr 4, else IVMST.DISC attr 4. Unit cost = amount/qty, or amount itself when qty = 0. Total = sum of line amounts (attr 4, cents). Up to 200 lines.</t>
  </si>
  <si>
    <t xml:space="preserve">RPT.INV.05</t>
  </si>
  <si>
    <t xml:space="preserve">Surcharge (attr 8 / 100) is printed in the header and is not added to the product-invoice total</t>
  </si>
  <si>
    <t xml:space="preserve">L66, L57</t>
  </si>
  <si>
    <t xml:space="preserve">RPT.INV.06</t>
  </si>
  <si>
    <t xml:space="preserve">Prints "REPRINT" on every page</t>
  </si>
  <si>
    <t xml:space="preserve">L55, L59</t>
  </si>
  <si>
    <t xml:space="preserve">RPT.INV.97.01</t>
  </si>
  <si>
    <t xml:space="preserve">RPT.INV.97</t>
  </si>
  <si>
    <t xml:space="preserve">Differs from RPT.INV only in reading ARHIST.97 and having no IVMST.DISC description fallback</t>
  </si>
  <si>
    <t xml:space="preserve">L4, L44</t>
  </si>
  <si>
    <t xml:space="preserve">RPT.LJ.INV.01</t>
  </si>
  <si>
    <t xml:space="preserve">RPT.LJ.INV</t>
  </si>
  <si>
    <t xml:space="preserve">Lines are taken until the first blank product (attr 2). Lines with qty = 0 are skipped (not printed or totalled). Unit cost = amount/qty. Total = sum of attr 4 (cents).</t>
  </si>
  <si>
    <t xml:space="preserve">L26-40</t>
  </si>
  <si>
    <t xml:space="preserve">RPT.LJ.INV.02</t>
  </si>
  <si>
    <t xml:space="preserve">Falls back to the archive file ARHIST.98 when the record is not in ARHIST</t>
  </si>
  <si>
    <t xml:space="preserve">L21-23</t>
  </si>
  <si>
    <t xml:space="preserve">RPT.LJ.INV.03</t>
  </si>
  <si>
    <t xml:space="preserve">Unlike RPT.INV, there is no vendor-billing / terms-notice branch and no surcharge printed</t>
  </si>
  <si>
    <t xml:space="preserve">L19-54</t>
  </si>
  <si>
    <t xml:space="preserve">RPT.LJ.INV.04</t>
  </si>
  <si>
    <t xml:space="preserve">HP PCL page setup codes, 39 lines per page</t>
  </si>
  <si>
    <t xml:space="preserve">L44-46, L38</t>
  </si>
  <si>
    <t xml:space="preserve">RPT.LJ.INVC.01</t>
  </si>
  <si>
    <t xml:space="preserve">RPT.LJ.INVC</t>
  </si>
  <si>
    <t xml:space="preserve">Differs from RPT.LJ.INV only in the fallback archive (ARHIST.00 instead of ARHIST.98), the PCL form code (&amp;f1y vs &amp;f9y) and printing invoice ID[5,6] (6 chars) instead of ID[5,5]</t>
  </si>
  <si>
    <t xml:space="preserve">L7, L45, L52</t>
  </si>
  <si>
    <t xml:space="preserve">UPD.ARHIST.01</t>
  </si>
  <si>
    <t xml:space="preserve">UPD.ARHIST</t>
  </si>
  <si>
    <t xml:space="preserve">For ARHIST records with blank DT.PAID (attr 16): member = ID[1,4], invoice = ID[5,9]. If the invoice is still on ARINV, DT.PAID = ARINV attr 6 for that invoice (which may be blank). If the invoice or member is not on ARINV (purged = paid), DT.PAID = the invoice date (attr 1).</t>
  </si>
  <si>
    <t xml:space="preserve">L18-30</t>
  </si>
  <si>
    <t xml:space="preserve">UPD.ARLOG.01</t>
  </si>
  <si>
    <t xml:space="preserve">UPD.ARLOG</t>
  </si>
  <si>
    <t xml:space="preserve">Audit record key = member_date_time (internal date and seconds). Attr 1 = program, attr 2 = @LOGNAME, attr 3 = attribute/value changed.</t>
  </si>
  <si>
    <t xml:space="preserve">L6-13</t>
  </si>
  <si>
    <t xml:space="preserve">UPD.CHARGES.01</t>
  </si>
  <si>
    <t xml:space="preserve">UPD.CHARGES</t>
  </si>
  <si>
    <t xml:space="preserve">Invoices on PRO.ARINV that are missing from local ARINV are appended (attrs 1-5: number, date, amount, terms, aging)</t>
  </si>
  <si>
    <t xml:space="preserve">L22-30</t>
  </si>
  <si>
    <t xml:space="preserve">UPD.CHARGES.02</t>
  </si>
  <si>
    <t xml:space="preserve">Aging bucket mapping when adding an invoice: aging &lt; 0 -&gt; FUTURE (ARMST attr 24). Otherwise aging is capped at 4 and goes to ARMST attr 10+aging (0 = NEW.MON, 1 = CURRENT, 2 = 30, 3 = 60, 4 = 90). Amount is also added to BALANCE (attr 15). This is the canonical bucket mapping, consistent with REV.MEMEZPAY except for that program's missing case 4.</t>
  </si>
  <si>
    <t xml:space="preserve">L31-36</t>
  </si>
  <si>
    <t xml:space="preserve">UPD.CHARGES.03</t>
  </si>
  <si>
    <t xml:space="preserve">Local CONTROL 'MS' is replaced by production's 'MS', keeping the local attr 4</t>
  </si>
  <si>
    <t xml:space="preserve">L44-48</t>
  </si>
  <si>
    <t xml:space="preserve">UPD.MEMEZPAY.01</t>
  </si>
  <si>
    <t xml:space="preserve">UPD.MEMEZPAY</t>
  </si>
  <si>
    <t xml:space="preserve">Blocked when CONTROL 'UPD' attr 1 &gt; 1 (AR update in progress)</t>
  </si>
  <si>
    <t xml:space="preserve">UPD.MEMEZPAY.02</t>
  </si>
  <si>
    <t xml:space="preserve">Month-end cutoff: a payment date after the 25th in the still-open month (CONTROL 'UPD' attr 2) is refused, except in December</t>
  </si>
  <si>
    <t xml:space="preserve">L45-51</t>
  </si>
  <si>
    <t xml:space="preserve">UPD.MEMEZPAY.03</t>
  </si>
  <si>
    <t xml:space="preserve">EZPAY amounts (gross, disc, EZ-disc, EZ-net) are stored in dollars and converted x100 to cents</t>
  </si>
  <si>
    <t xml:space="preserve">L122-123</t>
  </si>
  <si>
    <t xml:space="preserve">UPD.MEMEZPAY.04</t>
  </si>
  <si>
    <t xml:space="preserve">Each EZPAY invoice must be on the member's ARINV and not already paid (AMTPAID blank). Already-paid or missing invoices go to an error report and are skipped.</t>
  </si>
  <si>
    <t xml:space="preserve">L151-158, L177-180</t>
  </si>
  <si>
    <t xml:space="preserve">UPD.MEMEZPAY.05</t>
  </si>
  <si>
    <t xml:space="preserve">Payment applies the FULL GROSS: ARMST BALANCE and the aging bucket chosen by ARINV AGING (&gt;4 = 90, 3 = 60, 2 = 30, 1 = Current, 0 = New-month, &lt;0 = Future) are reduced by gross. ARINV DT.PAID = payment date and AMTPAID = gross. So the cash discount and EZ discount are not deducted from what is recorded as paid.</t>
  </si>
  <si>
    <t xml:space="preserve">L162-172</t>
  </si>
  <si>
    <t xml:space="preserve">UPD.MEMEZPAY.06</t>
  </si>
  <si>
    <t xml:space="preserve">Vendor-credit invoices (ARINV attr 8 = 1) add gross to the vendor-credit total</t>
  </si>
  <si>
    <t xml:space="preserve">L173</t>
  </si>
  <si>
    <t xml:space="preserve">UPD.MEMEZPAY.07</t>
  </si>
  <si>
    <t xml:space="preserve">ARMST LAST.PAID = payment date. ARMST EZPAY.DISC (attr 41) += member's EZ-discount total.</t>
  </si>
  <si>
    <t xml:space="preserve">UPD.MEMEZPAY.08</t>
  </si>
  <si>
    <t xml:space="preserve">ARHIST `&lt;member&gt;&lt;invoice&gt;` attr 16 (DT.PAID) = payment date</t>
  </si>
  <si>
    <t xml:space="preserve">L206-215</t>
  </si>
  <si>
    <t xml:space="preserve">UPD.MEMEZPAY.09</t>
  </si>
  <si>
    <t xml:space="preserve">CONTROL 'MS' attr 4 += total gross posted (purpose of attr 4 unclear)</t>
  </si>
  <si>
    <t xml:space="preserve">L84-93</t>
  </si>
  <si>
    <t xml:space="preserve">UPD.MEMEZPAY.10</t>
  </si>
  <si>
    <t xml:space="preserve">EZPAY records are not deleted after posting (commented out). Re-run protection relies on the AMTPAID check.</t>
  </si>
  <si>
    <t xml:space="preserve">L175</t>
  </si>
  <si>
    <t xml:space="preserve">UPD.MEMEZPAY.11</t>
  </si>
  <si>
    <t xml:space="preserve">Prints the posting and error reports, then runs WEBSTMT</t>
  </si>
  <si>
    <t xml:space="preserve">L94-112</t>
  </si>
  <si>
    <t xml:space="preserve">UPDATE.ARSHIP.01</t>
  </si>
  <si>
    <t xml:space="preserve">UPDATE.ARSHIP</t>
  </si>
  <si>
    <t xml:space="preserve">Duplicates UPD.EDICREDITS.10, .15, .20-.23, .25 (ARMST/ARINV/ARSHIP posting, member terms, invoice numbering). It has no AP posting, surcharge calculation, due-date bucketing or VENDORD logic. SRCH, FTR, MDUE, APM, SPCDED, VEND and PO are never set.</t>
  </si>
  <si>
    <t xml:space="preserve">L47-115</t>
  </si>
  <si>
    <t xml:space="preserve">VERIFY.ARMST.01</t>
  </si>
  <si>
    <t xml:space="preserve">VERIFY.ARMST</t>
  </si>
  <si>
    <t xml:space="preserve">ARMST BALANCE (attr 15) must equal sum of ARINV AMOUNT (attr 3) - sum of AMTPAID (attr 7)</t>
  </si>
  <si>
    <t xml:space="preserve">VERIFY.ARMST.02</t>
  </si>
  <si>
    <t xml:space="preserve">BALANCE must equal FUTURE (24) + NEW.MON (10) + CURRENT (11) + 30 (12) + 60 (13) + 90 (14)</t>
  </si>
  <si>
    <t xml:space="preserve">VERIFY.ARMST.03</t>
  </si>
  <si>
    <t xml:space="preserve">Expected buckets per open amount (amount - paid): aging &gt;= 4 = 90, 3 = 60, 2 = 30, 1 = Current. Aging 0 dated on/after the 1st of this month = New-month, aging 0 dated earlier = Future, aging &lt; 0 = Future.</t>
  </si>
  <si>
    <t xml:space="preserve">L21-55</t>
  </si>
  <si>
    <t xml:space="preserve">WEBRBTS.01</t>
  </si>
  <si>
    <t xml:space="preserve">WEBRBTS</t>
  </si>
  <si>
    <t xml:space="preserve">Staging: one CONTROL record 'RBTDATA' with rebates delimited by 'ENDOFDATA'. Per rebate: id, code, date + 5 customer-data fields, 2 product fields, then 1 skipped field.</t>
  </si>
  <si>
    <t xml:space="preserve">WEBRBTS.02</t>
  </si>
  <si>
    <t xml:space="preserve">PENDRBTS `&lt;id&gt;`: attr 3 CODE, attr 4 CUST (value 1 = internal date, 2-6 = customer data), attr 6 PROD (2 values). DEALER/MEMBER (attr 2) and AMOUNT (attr 5) are NOT set here, so they must be filled later (not in this program).</t>
  </si>
  <si>
    <t xml:space="preserve">L19-28, L33-34</t>
  </si>
  <si>
    <t xml:space="preserve">WEBRBTS.03</t>
  </si>
  <si>
    <t xml:space="preserve">An existing PENDRBTS id is overwritten with no duplicate check</t>
  </si>
  <si>
    <t xml:space="preserve">L34</t>
  </si>
  <si>
    <t xml:space="preserve">WEBSTMT.01</t>
  </si>
  <si>
    <t xml:space="preserve">WEBSTMT</t>
  </si>
  <si>
    <t xml:space="preserve">Open amount per invoice = ARINV AMOUNT (attr 3) - AMTPAID (attr 7), in cents</t>
  </si>
  <si>
    <t xml:space="preserve">L36</t>
  </si>
  <si>
    <t xml:space="preserve">WEBSTMT.02</t>
  </si>
  <si>
    <t xml:space="preserve">Due month = (last statement month entered + 2) - aging, wrapped to 1-12. The due date is shown as "&lt;month&gt;/10" (always the 10th).</t>
  </si>
  <si>
    <t xml:space="preserve">L15-20, L37-40, L49</t>
  </si>
  <si>
    <t xml:space="preserve">WEBSTMT.03</t>
  </si>
  <si>
    <t xml:space="preserve">Discount available only when aging &lt; 2 (not yet past due): disc = round(open x terms % (ARINV attr 4) / 100). Otherwise disc = 0 and the due date shows "PAST-DUE". Net = open - disc.</t>
  </si>
  <si>
    <t xml:space="preserve">L41-45, L51-52</t>
  </si>
  <si>
    <t xml:space="preserve">WEBSTMT.04</t>
  </si>
  <si>
    <t xml:space="preserve">Amount due now = open amount when aging &gt; 0, otherwise 0 (future/new-month). The statement discount total counts only due-now invoices.</t>
  </si>
  <si>
    <t xml:space="preserve">WEBSTMT.05</t>
  </si>
  <si>
    <t xml:space="preserve">Hard-coded vendor 1322 is shown as the vendor for warehouse (PRO stock) invoices. For vendor-billing invoices (ARHIST qty blank), the vendor (ARHIST attr 2) and vendor invoice (attr 7) are shown instead. This implies 1322 is PRO's own warehouse vendor number (compare UPD.EDICREDITS.18).</t>
  </si>
  <si>
    <t xml:space="preserve">L46-50</t>
  </si>
  <si>
    <t xml:space="preserve">WEBSTMT.06</t>
  </si>
  <si>
    <t xml:space="preserve">STMTSUM per member: gross, due, discount, net (due - disc), ARMST Current/30/60/90 (attrs 11-14), future = gross - due</t>
  </si>
  <si>
    <t xml:space="preserve">L58-61</t>
  </si>
  <si>
    <t xml:space="preserve">WEBSTMT.07</t>
  </si>
  <si>
    <t xml:space="preserve">Falls back to the 1998 archive ARHIST.98 when the invoice is not in ARHIST</t>
  </si>
  <si>
    <t xml:space="preserve">28200.RPT.01</t>
  </si>
  <si>
    <t xml:space="preserve">28200.RPT</t>
  </si>
  <si>
    <t xml:space="preserve">Hard-coded product list 6695, 6688, 6702, 6709 identified as "Olympus products" (header comment)</t>
  </si>
  <si>
    <t xml:space="preserve">L1, L9-10</t>
  </si>
  <si>
    <t xml:space="preserve">28200.RPT.02</t>
  </si>
  <si>
    <t xml:space="preserve">Begin/end dates must match 0N.0N.0N (MM.DD.YY); 'END'/'E' exits</t>
  </si>
  <si>
    <t xml:space="preserve">L13-18</t>
  </si>
  <si>
    <t xml:space="preserve">28200.RPT.03</t>
  </si>
  <si>
    <t xml:space="preserve">Selects TEMPHIST records with VNAME = "" (purpose of VNAME unclear — no dict; appears to exclude vendor-billed/direct lines) and DATE between the two dates, sorted by member</t>
  </si>
  <si>
    <t xml:space="preserve">28200.RPT.04</t>
  </si>
  <si>
    <t xml:space="preserve">Member number = first 4 characters of the history record key</t>
  </si>
  <si>
    <t xml:space="preserve">28200.RPT.05</t>
  </si>
  <si>
    <t xml:space="preserve">For each line (attr 2 PROD, attr 3 QTY, attr 4 AMOUNT per ARSHIP dict naming), accumulates qty and amount per member per product into TEMPDATA attr 2/3 by position; TEMPDATA attr 1 = product list</t>
  </si>
  <si>
    <t xml:space="preserve">L25-38</t>
  </si>
  <si>
    <t xml:space="preserve">AR6.01</t>
  </si>
  <si>
    <t xml:space="preserve">AR6</t>
  </si>
  <si>
    <t xml:space="preserve">Member total sales for graphing = ARMST attr 9 YTD.SALES + Σ BVEND attr 2 (direct-bill vendor purchases); graph increment = max total / 70 rounded up to leading digit</t>
  </si>
  <si>
    <t xml:space="preserve">AR9.01</t>
  </si>
  <si>
    <t xml:space="preserve">AR9</t>
  </si>
  <si>
    <t xml:space="preserve">CONTROL 'MS' attrs: 1 surcharges, 2 freight, 3 receivables billed, 4 payments, 5 dues, 6 capital; Net sales = 3 − 2 − 1 − 5 − 6 (cents)</t>
  </si>
  <si>
    <t xml:space="preserve">L16-22</t>
  </si>
  <si>
    <t xml:space="preserve">AR9.02</t>
  </si>
  <si>
    <t xml:space="preserve">Month cycle close: if CONTROL 'UPD' attr 1 = 4 (statements printed) then MS zeroed and UPD attr 1 set to 1 (cycle: 1 open → AR4 sets 3 → AR5 sets 4 → AR9 sets 1)</t>
  </si>
  <si>
    <t xml:space="preserve">AR9.BU.01</t>
  </si>
  <si>
    <t xml:space="preserve">AR9.BU</t>
  </si>
  <si>
    <t xml:space="preserve">Net sales excludes capital subtraction (3 − 2 − 1 − 5), older formula</t>
  </si>
  <si>
    <t xml:space="preserve">BLD.IVSOLD.01</t>
  </si>
  <si>
    <t xml:space="preserve">BLD.IVSOLD</t>
  </si>
  <si>
    <t xml:space="preserve">Uses ARHIST lines with quantity for the current calendar year (11-15-05) and selected members ("*" = all, 08-25-10)</t>
  </si>
  <si>
    <t xml:space="preserve">L5-6, L16-40</t>
  </si>
  <si>
    <t xml:space="preserve">BLD.IVSOLD.02</t>
  </si>
  <si>
    <t xml:space="preserve">Products &gt; 9989 (pseudo-products such as 9994 service charge, 9995 dues) are excluded</t>
  </si>
  <si>
    <t xml:space="preserve">BLD.IVSOLD.03</t>
  </si>
  <si>
    <t xml:space="preserve">IVSOLD per member: sorted product list attr 1, qty attr 2 summed; zero totals removed; existing IVSOLD for the member is replaced</t>
  </si>
  <si>
    <t xml:space="preserve">L54-67</t>
  </si>
  <si>
    <t xml:space="preserve">BLD.QS.01</t>
  </si>
  <si>
    <t xml:space="preserve">BLD.QS</t>
  </si>
  <si>
    <t xml:space="preserve">Hard-coded period: SCANORD billed orders dated ≥ 01/01/10 and ARHIST YEAR = 2010; QSTEMP attr 1 product, 2 SCANORD qty shipped (attr 3), 3 ARHIST qty (attr 3), 4 IVSOLD qty</t>
  </si>
  <si>
    <t xml:space="preserve">L13-30</t>
  </si>
  <si>
    <t xml:space="preserve">BUILD.YTD.SALES.01</t>
  </si>
  <si>
    <t xml:space="preserve">BUILD.YTD.SALES</t>
  </si>
  <si>
    <t xml:space="preserve">Per product: attr 1 Σ qty, attr 2 count of members buying, attr 3 IVMST DESC, attr 4 GRP (attr 6), attr 5 EGRP (attr 39)</t>
  </si>
  <si>
    <t xml:space="preserve">L22-34</t>
  </si>
  <si>
    <t xml:space="preserve">COMPARE.QS.01</t>
  </si>
  <si>
    <t xml:space="preserve">COMPARE.QS</t>
  </si>
  <si>
    <t xml:space="preserve">Lists products in QSTEMP (from BLD.QS) missing from IVSOLD with their quantities</t>
  </si>
  <si>
    <t xml:space="preserve">L12-31</t>
  </si>
  <si>
    <t xml:space="preserve">COUNT.GRPS.01</t>
  </si>
  <si>
    <t xml:space="preserve">COUNT.GRPS</t>
  </si>
  <si>
    <t xml:space="preserve">Hard-coded member cutoff: only members &lt; 6000; ARHIST lines with VNAME = "" (PRO-shipped, not vendor-billed)</t>
  </si>
  <si>
    <t xml:space="preserve">COUNT.GRPS.02</t>
  </si>
  <si>
    <t xml:space="preserve">E-group = IVMST attr 39 EGRP, falling back to IVMST.DISC attr 39 for discontinued products; qty accumulated per E-group; count of E-groups 1-70 with qty ≥ 1 stored in TEMPDATA attr 2</t>
  </si>
  <si>
    <t xml:space="preserve">L28-42</t>
  </si>
  <si>
    <t xml:space="preserve">EGRP.SALES.01</t>
  </si>
  <si>
    <t xml:space="preserve">EGRP.SALES</t>
  </si>
  <si>
    <t xml:space="preserve">Selects ARHIST lines with DATE between entered dates (MM.DD.YY) and VNAME empty (i.e. excludes vendor/drop-ship lines — confirm)</t>
  </si>
  <si>
    <t xml:space="preserve">L14-21</t>
  </si>
  <si>
    <t xml:space="preserve">EGRP.SALES.02</t>
  </si>
  <si>
    <t xml:space="preserve">Member = first 4 chars of ARHIST key</t>
  </si>
  <si>
    <t xml:space="preserve">EGRP.SALES.03</t>
  </si>
  <si>
    <t xml:space="preserve">E-group taken from IVMST attr 39 EGRP, falling back to IVMST.DISC attr 39 (discontinued products archive); lines with no e-group skipped</t>
  </si>
  <si>
    <t xml:space="preserve">EGRP.SALES.04</t>
  </si>
  <si>
    <t xml:space="preserve">EGRPSLS&lt;member&gt;: attr N = sum of ARHIST attr 4 (line amount; unit unclear) for e-group N; attr 75 GRPS flag per e-group; attr 76 PRODS flag per product (ARHIST attr 2 = product)</t>
  </si>
  <si>
    <t xml:space="preserve">FLYER.RPT.01</t>
  </si>
  <si>
    <t xml:space="preserve">FLYER.RPT</t>
  </si>
  <si>
    <t xml:space="preserve">TEMPDATA&lt;member&gt;: attr 1 = 9 model labels, attr 2 = units per model bucket summed from IVSOLD attr 1 product / attr 2 qty</t>
  </si>
  <si>
    <t xml:space="preserve">L10,L18-51</t>
  </si>
  <si>
    <t xml:space="preserve">FLYER.RPT.02</t>
  </si>
  <si>
    <t xml:space="preserve">Hard-coded product 3411 counted in bucket 1 (AF 19-35)</t>
  </si>
  <si>
    <t xml:space="preserve">L9,L23-47</t>
  </si>
  <si>
    <t xml:space="preserve">FLYER.RPT.03</t>
  </si>
  <si>
    <t xml:space="preserve">Hard-coded product 3425 counted in bucket 1 (AF 19-35)</t>
  </si>
  <si>
    <t xml:space="preserve">FLYER.RPT.04</t>
  </si>
  <si>
    <t xml:space="preserve">Hard-coded product 3418 counted in bucket 1 (AF 19-35)</t>
  </si>
  <si>
    <t xml:space="preserve">FLYER.RPT.05</t>
  </si>
  <si>
    <t xml:space="preserve">Hard-coded product 3915 counted in bucket 2 (AF 28-200)</t>
  </si>
  <si>
    <t xml:space="preserve">FLYER.RPT.06</t>
  </si>
  <si>
    <t xml:space="preserve">Hard-coded product 3929 counted in bucket 2 (AF 28-200)</t>
  </si>
  <si>
    <t xml:space="preserve">FLYER.RPT.07</t>
  </si>
  <si>
    <t xml:space="preserve">Hard-coded product 3922 counted in bucket 2 (AF 28-200)</t>
  </si>
  <si>
    <t xml:space="preserve">FLYER.RPT.08</t>
  </si>
  <si>
    <t xml:space="preserve">Hard-coded product 4279 counted in bucket 2 (AF 28-200)</t>
  </si>
  <si>
    <t xml:space="preserve">FLYER.RPT.09</t>
  </si>
  <si>
    <t xml:space="preserve">Hard-coded product 4195 counted in bucket 3 (AF 80-210)</t>
  </si>
  <si>
    <t xml:space="preserve">FLYER.RPT.10</t>
  </si>
  <si>
    <t xml:space="preserve">Hard-coded product 4202 counted in bucket 3 (AF 80-210)</t>
  </si>
  <si>
    <t xml:space="preserve">FLYER.RPT.11</t>
  </si>
  <si>
    <t xml:space="preserve">Hard-coded product 4188 counted in bucket 3 (AF 80-210)</t>
  </si>
  <si>
    <t xml:space="preserve">FLYER.RPT.12</t>
  </si>
  <si>
    <t xml:space="preserve">Hard-coded product 4777 counted in bucket 3 (AF 80-210)</t>
  </si>
  <si>
    <t xml:space="preserve">FLYER.RPT.13</t>
  </si>
  <si>
    <t xml:space="preserve">Hard-coded product 4013 counted in bucket 4 (AF 70-300)</t>
  </si>
  <si>
    <t xml:space="preserve">FLYER.RPT.14</t>
  </si>
  <si>
    <t xml:space="preserve">Hard-coded product 4020 counted in bucket 4 (AF 70-300)</t>
  </si>
  <si>
    <t xml:space="preserve">FLYER.RPT.15</t>
  </si>
  <si>
    <t xml:space="preserve">Hard-coded product 4006 counted in bucket 4 (AF 70-300)</t>
  </si>
  <si>
    <t xml:space="preserve">FLYER.RPT.16</t>
  </si>
  <si>
    <t xml:space="preserve">Hard-coded product 4055 counted in bucket 4 (AF 70-300)</t>
  </si>
  <si>
    <t xml:space="preserve">FLYER.RPT.17</t>
  </si>
  <si>
    <t xml:space="preserve">Hard-coded product 3894 counted in bucket 5 (AF 100-400)</t>
  </si>
  <si>
    <t xml:space="preserve">FLYER.RPT.18</t>
  </si>
  <si>
    <t xml:space="preserve">Hard-coded product 3901 counted in bucket 5 (AF 100-400)</t>
  </si>
  <si>
    <t xml:space="preserve">FLYER.RPT.19</t>
  </si>
  <si>
    <t xml:space="preserve">Hard-coded product 3908 counted in bucket 5 (AF 100-400)</t>
  </si>
  <si>
    <t xml:space="preserve">FLYER.RPT.20</t>
  </si>
  <si>
    <t xml:space="preserve">Hard-coded product 2603 counted in bucket 6 (FTD 5200)</t>
  </si>
  <si>
    <t xml:space="preserve">FLYER.RPT.21</t>
  </si>
  <si>
    <t xml:space="preserve">Hard-coded product 3222 counted in bucket 7 (FTD 5500)</t>
  </si>
  <si>
    <t xml:space="preserve">FLYER.RPT.22</t>
  </si>
  <si>
    <t xml:space="preserve">Hard-coded product 2767 counted in bucket 8 (FTD 5700)</t>
  </si>
  <si>
    <t xml:space="preserve">FLYER.RPT.23</t>
  </si>
  <si>
    <t xml:space="preserve">Hard-coded product 4237 counted in bucket 9 (FTD 7000)</t>
  </si>
  <si>
    <t xml:space="preserve">FLYER.RPT.24</t>
  </si>
  <si>
    <t xml:space="preserve">Hard-coded product 4244 counted in bucket 9 (FTD 7000)</t>
  </si>
  <si>
    <t xml:space="preserve">FLYER.RPT.25</t>
  </si>
  <si>
    <t xml:space="preserve">Hard-coded product 4251 counted in bucket 9 (FTD 7000)</t>
  </si>
  <si>
    <t xml:space="preserve">FLYER.RPT.26</t>
  </si>
  <si>
    <t xml:space="preserve">Hard-coded product 4258 counted in bucket 9 (FTD 7000)</t>
  </si>
  <si>
    <t xml:space="preserve">FREEZA.RPT.01</t>
  </si>
  <si>
    <t xml:space="preserve">FREEZA.RPT</t>
  </si>
  <si>
    <t xml:space="preserve">Warehouse sales only (VNAME empty) between entered dates; member = first 4 chars of ARHIST key; per product sum ARHIST attr 3 (qty) and attr 4 (amount; unit unclear)</t>
  </si>
  <si>
    <t xml:space="preserve">L20-41</t>
  </si>
  <si>
    <t xml:space="preserve">FREEZA.RPT.02</t>
  </si>
  <si>
    <t xml:space="preserve">Hard-coded Freez-A-Frame product 7976 (column 1)</t>
  </si>
  <si>
    <t xml:space="preserve">L9-10,L31-41</t>
  </si>
  <si>
    <t xml:space="preserve">FREEZA.RPT.03</t>
  </si>
  <si>
    <t xml:space="preserve">Hard-coded Freez-A-Frame product 7983 (column 2)</t>
  </si>
  <si>
    <t xml:space="preserve">FREEZA.RPT.04</t>
  </si>
  <si>
    <t xml:space="preserve">Hard-coded Freez-A-Frame product 7990 (column 3)</t>
  </si>
  <si>
    <t xml:space="preserve">FREEZA.RPT.05</t>
  </si>
  <si>
    <t xml:space="preserve">Hard-coded Freez-A-Frame product 7941 (column 4)</t>
  </si>
  <si>
    <t xml:space="preserve">FREEZA.RPT.06</t>
  </si>
  <si>
    <t xml:space="preserve">Hard-coded Freez-A-Frame product 7948 (column 5)</t>
  </si>
  <si>
    <t xml:space="preserve">FREEZA.RPT.07</t>
  </si>
  <si>
    <t xml:space="preserve">Hard-coded Freez-A-Frame product 7955 (column 6)</t>
  </si>
  <si>
    <t xml:space="preserve">FREEZA.RPT.08</t>
  </si>
  <si>
    <t xml:space="preserve">Hard-coded Freez-A-Frame product 7962 (column 7)</t>
  </si>
  <si>
    <t xml:space="preserve">FREEZA.RPT.09</t>
  </si>
  <si>
    <t xml:space="preserve">Hard-coded Freez-A-Frame product 7969 (column 8)</t>
  </si>
  <si>
    <t xml:space="preserve">FREEZA.RPT.10</t>
  </si>
  <si>
    <t xml:space="preserve">Hard-coded Freez-A-Frame product 2536 (column 9)</t>
  </si>
  <si>
    <t xml:space="preserve">FREEZA.RPT.11</t>
  </si>
  <si>
    <t xml:space="preserve">Hard-coded Freez-A-Frame product 2424 (column 10)</t>
  </si>
  <si>
    <t xml:space="preserve">FREEZA.RPT.12</t>
  </si>
  <si>
    <t xml:space="preserve">Hard-coded Freez-A-Frame product 2431 (column 11)</t>
  </si>
  <si>
    <t xml:space="preserve">LENS.RPT.01</t>
  </si>
  <si>
    <t xml:space="preserve">LENS.RPT</t>
  </si>
  <si>
    <t xml:space="preserve">Selects ARHIST WITH VNAME="" (only invoices with no vendor name — presumably warehouse, not drop-ship; confirm) sorted by member; no date filter despite "year-to-date" title (relies on ARHIST content)</t>
  </si>
  <si>
    <t xml:space="preserve">L12</t>
  </si>
  <si>
    <t xml:space="preserve">LENS.RPT.02</t>
  </si>
  <si>
    <t xml:space="preserve">Product codes &gt;= '9000' (string compare) are skipped as non-merchandise lines</t>
  </si>
  <si>
    <t xml:space="preserve">LENS.RPT.03</t>
  </si>
  <si>
    <t xml:space="preserve">Product group = IVMST attr 6 (GRP); if product not in IVMST, falls back to IVMST.DISC attr 6 (discontinued file)</t>
  </si>
  <si>
    <t xml:space="preserve">L22-23</t>
  </si>
  <si>
    <t xml:space="preserve">LENS.RPT.04</t>
  </si>
  <si>
    <t xml:space="preserve">Hard-coded product group '1' = lens group; accumulate QUAN (attr 3) into LENSDATA attr 1 and AMOUNT (attr 4, cents) into attr 2 per member</t>
  </si>
  <si>
    <t xml:space="preserve">LOWEPRO.RPT.01</t>
  </si>
  <si>
    <t xml:space="preserve">LOWEPRO.RPT</t>
  </si>
  <si>
    <t xml:space="preserve">Hard-coded product codes 9166, 9173, 9180, 9187 (Lowepro) plus placeholder 0000</t>
  </si>
  <si>
    <t xml:space="preserve">LOWEPRO.RPT.02</t>
  </si>
  <si>
    <t xml:space="preserve">Date range entered MM.DD.YY (validated by pattern 0N.0N.0N); ARHIST selected WITH VNAME="" and DATE in range, by member</t>
  </si>
  <si>
    <t xml:space="preserve">LOWEPRO.RPT.03</t>
  </si>
  <si>
    <t xml:space="preserve">Per member, TEMPDATA attr 1 = product list, attr 2 = qty per product (VM-positioned), attr 3 = AMOUNT in cents per product</t>
  </si>
  <si>
    <t xml:space="preserve">L31-38</t>
  </si>
  <si>
    <t xml:space="preserve">MEMORY.RPT.01</t>
  </si>
  <si>
    <t xml:space="preserve">MEMORY.RPT</t>
  </si>
  <si>
    <t xml:space="preserve">Hard-coded product codes 9089, 9096, 9103, 9110, 9117, 9124, 9131, 9138 (ProMaster memory)</t>
  </si>
  <si>
    <t xml:space="preserve">MEMORY.RPT.02</t>
  </si>
  <si>
    <t xml:space="preserve">Only accounts &lt; 6000 included (hard-coded member-number range cutoff), VNAME="" invoices, date range MM.DD.YY</t>
  </si>
  <si>
    <t xml:space="preserve">MEMORY.RPT.03</t>
  </si>
  <si>
    <t xml:space="preserve">Same TEMPDATA layout as LOWEPRO.RPT (attr 1 product list, 2 qty, 3 amount cents)</t>
  </si>
  <si>
    <t xml:space="preserve">L31-41</t>
  </si>
  <si>
    <t xml:space="preserve">MINOLTA.RPT.01</t>
  </si>
  <si>
    <t xml:space="preserve">MINOLTA.RPT</t>
  </si>
  <si>
    <t xml:space="preserve">Hard-coded product codes 4475, 5883, 5092, 5099 (Minolta)</t>
  </si>
  <si>
    <t xml:space="preserve">MINOLTA.RPT.02</t>
  </si>
  <si>
    <t xml:space="preserve">Date-range/VNAME="" selection and TEMPDATA layout identical to LOWEPRO.RPT.02-03; only first 200 invoice lines examined</t>
  </si>
  <si>
    <t xml:space="preserve">L20,25</t>
  </si>
  <si>
    <t xml:space="preserve">OLYMPUS.RPT.01</t>
  </si>
  <si>
    <t xml:space="preserve">OLYMPUS.RPT</t>
  </si>
  <si>
    <t xml:space="preserve">Hard-coded product codes 5876, 5897, 5904 (Olympus) plus placeholder 0000</t>
  </si>
  <si>
    <t xml:space="preserve">OLYMPUS.RPT.02</t>
  </si>
  <si>
    <t xml:space="preserve">Selection/layout identical to LOWEPRO.RPT.02-03; 200-line cap</t>
  </si>
  <si>
    <t xml:space="preserve">PANA.RPT.01</t>
  </si>
  <si>
    <t xml:space="preserve">PANA.RPT</t>
  </si>
  <si>
    <t xml:space="preserve">Hard-coded actual vendor number 3121 (Panasonic)</t>
  </si>
  <si>
    <t xml:space="preserve">PANA.RPT.02</t>
  </si>
  <si>
    <t xml:space="preserve">Product qualifies when IVMST attr 37 (A.VENDOR, actual vendor) = 3121 (not PRO vendor attr 5)</t>
  </si>
  <si>
    <t xml:space="preserve">PANA.RPT.03</t>
  </si>
  <si>
    <t xml:space="preserve">WKDATA attr 1 per product = sum of ORDHIST attr 3 (ordered QUAN, not shipped qty attr 13) for ORDHIST DATE in range</t>
  </si>
  <si>
    <t xml:space="preserve">L28-31</t>
  </si>
  <si>
    <t xml:space="preserve">PENTAX.RPT.01</t>
  </si>
  <si>
    <t xml:space="preserve">PENTAX.RPT</t>
  </si>
  <si>
    <t xml:space="preserve">Hard-coded product code 5119 (Pentax ZXL); 600-line cap; otherwise identical to MINOLTA.RPT</t>
  </si>
  <si>
    <t xml:space="preserve">L10,27</t>
  </si>
  <si>
    <t xml:space="preserve">RETURNS.BY.MEMBER.01</t>
  </si>
  <si>
    <t xml:space="preserve">RETURNS.BY.MEMBER</t>
  </si>
  <si>
    <t xml:space="preserve">Returns with REASON = "3" are excluded (the meaning of reason 3 is not in the code)</t>
  </si>
  <si>
    <t xml:space="preserve">RETURNS.BY.MEMBER.02</t>
  </si>
  <si>
    <t xml:space="preserve">Net return value per line comes from the RETURNS.10 dictionary I-type NET.1. The calculation lives in the dictionary, not in the program.</t>
  </si>
  <si>
    <t xml:space="preserve">L16, L46</t>
  </si>
  <si>
    <t xml:space="preserve">RETURNS.BY.MEMBER.03</t>
  </si>
  <si>
    <t xml:space="preserve">Return lines are excluded from the member total when the product description (IVMST attr 4, falling back to IVMST.DISC) starts with 'FUJI' or 'PANASONIC'. This is a hard-coded vendor exclusion keyed on description text.</t>
  </si>
  <si>
    <t xml:space="preserve">L48-53</t>
  </si>
  <si>
    <t xml:space="preserve">RETURNS.BY.MEMBER.04</t>
  </si>
  <si>
    <t xml:space="preserve">The denominator is the member's PROMASTER purchases (ARMST2 attr 35). Return % = INT(returns*10000/PROMASTER) shown with 2 decimals, or 0 when PROMASTER = 0. Both amounts are formatted MD2, so they are stored in cents.</t>
  </si>
  <si>
    <t xml:space="preserve">L80-85</t>
  </si>
  <si>
    <t xml:space="preserve">RETURNS.BY.MEMBER.05</t>
  </si>
  <si>
    <t xml:space="preserve">Member name comes from ARMST attr 1, then ARMST.OLD, then 'NO ARMST NAME'</t>
  </si>
  <si>
    <t xml:space="preserve">RETURNS.BY.MEMBER.06</t>
  </si>
  <si>
    <t xml:space="preserve">The Excel option writes `RETURNS_&lt;port&gt;.xls` to DOWNLOADS, transfers it with AccuTerm FT to a PC directory (default C:\DOWNLOADS), then deletes it</t>
  </si>
  <si>
    <t xml:space="preserve">L19, L60-73</t>
  </si>
  <si>
    <t xml:space="preserve">SALES.REPORT.01</t>
  </si>
  <si>
    <t xml:space="preserve">SALES.REPORT</t>
  </si>
  <si>
    <t xml:space="preserve">Participation threshold: a vendor program counts as "participating" when the member's current-year purchases are &gt;= 30000 cents ($300). Below that, the line is flagged "*** &gt; $300 in 1997 purchases!" and the participation count is reduced</t>
  </si>
  <si>
    <t xml:space="preserve">L14, L40-41, L44</t>
  </si>
  <si>
    <t xml:space="preserve">SALES.REPORT.02</t>
  </si>
  <si>
    <t xml:space="preserve">Hard-coded program count: the participation count starts at 63 and the letter says "of 63 possible programs". The loop scans at most 65 vendor slots.</t>
  </si>
  <si>
    <t xml:space="preserve">L19, L32, L44</t>
  </si>
  <si>
    <t xml:space="preserve">SALES.REPORT.03</t>
  </si>
  <si>
    <t xml:space="preserve">Hard-coded vendor 1728: skipped when the member has no current-year purchases with it</t>
  </si>
  <si>
    <t xml:space="preserve">L37</t>
  </si>
  <si>
    <t xml:space="preserve">SALES.REPORT.04</t>
  </si>
  <si>
    <t xml:space="preserve">Hard-coded vendor 1735: skipped when the member has no current-year purchases with it</t>
  </si>
  <si>
    <t xml:space="preserve">SALES.REPORT.05</t>
  </si>
  <si>
    <t xml:space="preserve">PRO warehouse purchases come from WHSEHIST (attr 1 prior, attr 2 current). The flag is raised when attr 2 &lt; 300 (compared in dollars, unlike the vendor lines in cents).</t>
  </si>
  <si>
    <t xml:space="preserve">SALES.REPORT.06</t>
  </si>
  <si>
    <t xml:space="preserve">Vendor name from APMST.TEMP attr 1 ("UNKNOWN" if missing)</t>
  </si>
  <si>
    <t xml:space="preserve">SLS.COMPARE.01</t>
  </si>
  <si>
    <t xml:space="preserve">SLS.COMPARE</t>
  </si>
  <si>
    <t xml:space="preserve">SALESDATA is cleared and rebuilt. Attr 1 = every vendor in APMST.TEMP sorted by name. One record per member that appears in IVEND97.</t>
  </si>
  <si>
    <t xml:space="preserve">L15-26</t>
  </si>
  <si>
    <t xml:space="preserve">SLS.COMPARE.02</t>
  </si>
  <si>
    <t xml:space="preserve">Per vendor, the current-year value (attr 2) is taken from IVEND97 (attr 1 vendor list / attr 2 amount) when the vendor is there, otherwise from BVEND2. The prior-year value (attr 3) comes from IVEND96, otherwise BVEND96. IVEND appears to be warehouse/invoiced purchases and BVEND billed (vendor-direct) purchases, which is not stated in code.</t>
  </si>
  <si>
    <t xml:space="preserve">L30-51</t>
  </si>
  <si>
    <t xml:space="preserve">SLS.COMPARE.03</t>
  </si>
  <si>
    <t xml:space="preserve">Members with 1996 activity but no 1997 IVEND97 record are omitted</t>
  </si>
  <si>
    <t xml:space="preserve">L22-26</t>
  </si>
  <si>
    <t xml:space="preserve">TAMRON.RPT.01</t>
  </si>
  <si>
    <t xml:space="preserve">TAMRON.RPT</t>
  </si>
  <si>
    <t xml:space="preserve">Only ARHIST records with VNAME = "" (warehouse product invoices, not vendor billings) and DATE in the entered MM.DD.YY range are included, by member (key ID[1,4])</t>
  </si>
  <si>
    <t xml:space="preserve">TAMRON.RPT.02</t>
  </si>
  <si>
    <t xml:space="preserve">For each matching product line, TAMDATA attr 2 slot n += qty (ARHIST attr 3) and attr 3 slot n += amount (ARHIST attr 4, cents). Attr 1 = the product list.</t>
  </si>
  <si>
    <t xml:space="preserve">L25-58</t>
  </si>
  <si>
    <t xml:space="preserve">TAMRON.RPT.03</t>
  </si>
  <si>
    <t xml:space="preserve">The Tamron product list is hard-coded (24 products). New Tamron products need a code change.</t>
  </si>
  <si>
    <t xml:space="preserve">TAMRON.RPT.04</t>
  </si>
  <si>
    <t xml:space="preserve">Hard-coded product 3635 is Tamron slot 1</t>
  </si>
  <si>
    <t xml:space="preserve">L9, L31</t>
  </si>
  <si>
    <t xml:space="preserve">TAMRON.RPT.05</t>
  </si>
  <si>
    <t xml:space="preserve">Hard-coded product 4230 is Tamron slot 2</t>
  </si>
  <si>
    <t xml:space="preserve">L9, L32</t>
  </si>
  <si>
    <t xml:space="preserve">TAMRON.RPT.06</t>
  </si>
  <si>
    <t xml:space="preserve">Hard-coded product 3642 is Tamron slot 3</t>
  </si>
  <si>
    <t xml:space="preserve">L9, L33</t>
  </si>
  <si>
    <t xml:space="preserve">TAMRON.RPT.07</t>
  </si>
  <si>
    <t xml:space="preserve">Hard-coded product 3628 is Tamron slot 4</t>
  </si>
  <si>
    <t xml:space="preserve">L9, L34</t>
  </si>
  <si>
    <t xml:space="preserve">TAMRON.RPT.08</t>
  </si>
  <si>
    <t xml:space="preserve">Hard-coded product 4728 is Tamron slot 5</t>
  </si>
  <si>
    <t xml:space="preserve">L9, L35</t>
  </si>
  <si>
    <t xml:space="preserve">TAMRON.RPT.09</t>
  </si>
  <si>
    <t xml:space="preserve">Hard-coded product 4742 is Tamron slot 6</t>
  </si>
  <si>
    <t xml:space="preserve">L9, L36</t>
  </si>
  <si>
    <t xml:space="preserve">TAMRON.RPT.10</t>
  </si>
  <si>
    <t xml:space="preserve">Hard-coded product 4735 is Tamron slot 7</t>
  </si>
  <si>
    <t xml:space="preserve">L9, L37</t>
  </si>
  <si>
    <t xml:space="preserve">TAMRON.RPT.11</t>
  </si>
  <si>
    <t xml:space="preserve">Hard-coded product 4721 is Tamron slot 8</t>
  </si>
  <si>
    <t xml:space="preserve">L9, L38</t>
  </si>
  <si>
    <t xml:space="preserve">TAMRON.RPT.12</t>
  </si>
  <si>
    <t xml:space="preserve">Hard-coded product 3915 is Tamron slot 9</t>
  </si>
  <si>
    <t xml:space="preserve">L9, L39</t>
  </si>
  <si>
    <t xml:space="preserve">TAMRON.RPT.13</t>
  </si>
  <si>
    <t xml:space="preserve">Hard-coded product 3929 is Tamron slot 10</t>
  </si>
  <si>
    <t xml:space="preserve">L9, L40</t>
  </si>
  <si>
    <t xml:space="preserve">TAMRON.RPT.14</t>
  </si>
  <si>
    <t xml:space="preserve">Hard-coded product 3922 is Tamron slot 11</t>
  </si>
  <si>
    <t xml:space="preserve">L9, L41</t>
  </si>
  <si>
    <t xml:space="preserve">TAMRON.RPT.15</t>
  </si>
  <si>
    <t xml:space="preserve">Hard-coded product 4279 is Tamron slot 12</t>
  </si>
  <si>
    <t xml:space="preserve">L9, L42</t>
  </si>
  <si>
    <t xml:space="preserve">TAMRON.RPT.16</t>
  </si>
  <si>
    <t xml:space="preserve">Hard-coded product 4195 is Tamron slot 13</t>
  </si>
  <si>
    <t xml:space="preserve">L9, L43</t>
  </si>
  <si>
    <t xml:space="preserve">TAMRON.RPT.17</t>
  </si>
  <si>
    <t xml:space="preserve">Hard-coded product 4202 is Tamron slot 14</t>
  </si>
  <si>
    <t xml:space="preserve">L9, L44</t>
  </si>
  <si>
    <t xml:space="preserve">TAMRON.RPT.18</t>
  </si>
  <si>
    <t xml:space="preserve">Hard-coded product 4188 is Tamron slot 15</t>
  </si>
  <si>
    <t xml:space="preserve">L9, L45</t>
  </si>
  <si>
    <t xml:space="preserve">TAMRON.RPT.19</t>
  </si>
  <si>
    <t xml:space="preserve">Hard-coded product 4777 is Tamron slot 16</t>
  </si>
  <si>
    <t xml:space="preserve">L9, L46</t>
  </si>
  <si>
    <t xml:space="preserve">TAMRON.RPT.20</t>
  </si>
  <si>
    <t xml:space="preserve">Hard-coded product 4756 is Tamron slot 17</t>
  </si>
  <si>
    <t xml:space="preserve">L9, L47</t>
  </si>
  <si>
    <t xml:space="preserve">TAMRON.RPT.21</t>
  </si>
  <si>
    <t xml:space="preserve">Hard-coded product 4763 is Tamron slot 18</t>
  </si>
  <si>
    <t xml:space="preserve">L9, L48</t>
  </si>
  <si>
    <t xml:space="preserve">TAMRON.RPT.22</t>
  </si>
  <si>
    <t xml:space="preserve">Hard-coded product 4749 is Tamron slot 19</t>
  </si>
  <si>
    <t xml:space="preserve">L9, L49</t>
  </si>
  <si>
    <t xml:space="preserve">TAMRON.RPT.23</t>
  </si>
  <si>
    <t xml:space="preserve">Hard-coded product 4770 is Tamron slot 20</t>
  </si>
  <si>
    <t xml:space="preserve">L9, L50</t>
  </si>
  <si>
    <t xml:space="preserve">TAMRON.RPT.24</t>
  </si>
  <si>
    <t xml:space="preserve">Hard-coded product 4013 is Tamron slot 21</t>
  </si>
  <si>
    <t xml:space="preserve">L9, L51</t>
  </si>
  <si>
    <t xml:space="preserve">TAMRON.RPT.25</t>
  </si>
  <si>
    <t xml:space="preserve">Hard-coded product 4020 is Tamron slot 22</t>
  </si>
  <si>
    <t xml:space="preserve">L9, L52</t>
  </si>
  <si>
    <t xml:space="preserve">TAMRON.RPT.26</t>
  </si>
  <si>
    <t xml:space="preserve">Hard-coded product 4006 is Tamron slot 23</t>
  </si>
  <si>
    <t xml:space="preserve">L9, L53</t>
  </si>
  <si>
    <t xml:space="preserve">TAMRON.RPT.27</t>
  </si>
  <si>
    <t xml:space="preserve">Hard-coded product 4055 is Tamron slot 24</t>
  </si>
  <si>
    <t xml:space="preserve">L9, L54</t>
  </si>
  <si>
    <t xml:space="preserve">UNIQUE.PROD.CNT.01</t>
  </si>
  <si>
    <t xml:space="preserve">UNIQUE.PROD.CNT</t>
  </si>
  <si>
    <t xml:space="preserve">Date range: start date validated by IDATE with up to 999 days back. The end date must not be earlier than the start date (IDATE limit = days since start).</t>
  </si>
  <si>
    <t xml:space="preserve">L20-35</t>
  </si>
  <si>
    <t xml:space="preserve">UNIQUE.PROD.CNT.02</t>
  </si>
  <si>
    <t xml:space="preserve">Only ARHIST lines with QUAN &gt; 0 and product number &lt; 9990 count. Products 9990+ are treated as non-merchandise (charges/misc codes, by inference).</t>
  </si>
  <si>
    <t xml:space="preserve">L54-55, L77</t>
  </si>
  <si>
    <t xml:space="preserve">UNIQUE.PROD.CNT.03</t>
  </si>
  <si>
    <t xml:space="preserve">Member = ARHIST key ID[1,4]. Name from ARMST attr 1, then ARMST.OLD, then 'MISSING &lt;member&gt;'. Members are sorted by name.</t>
  </si>
  <si>
    <t xml:space="preserve">L63-72</t>
  </si>
  <si>
    <t xml:space="preserve">UNIQUE.PROD.CNT.04</t>
  </si>
  <si>
    <t xml:space="preserve">Summary shows the count of distinct products per member. Detail shows each product with IVMST description and total qty. Detail is forced to Summary when displaying on screen.</t>
  </si>
  <si>
    <t xml:space="preserve">L52, L93-116</t>
  </si>
  <si>
    <t xml:space="preserve">CAPTURE.01</t>
  </si>
  <si>
    <t xml:space="preserve">CAPTURE</t>
  </si>
  <si>
    <t xml:space="preserve">Non-LIST/SORT sentences are prefixed with SORT; optional saved list applied first; report staged in BP and pushed with FT to the PC directory</t>
  </si>
  <si>
    <t xml:space="preserve">L15-58</t>
  </si>
  <si>
    <t xml:space="preserve">DH$.01</t>
  </si>
  <si>
    <t xml:space="preserve">DH$</t>
  </si>
  <si>
    <t xml:space="preserve">Amount entered in cents; last 2 digits = cents, INT(AMT/100) = dollars; max $9,999,999.99; words from CONTROL MONEY attrs 1-32 (30/31/32 appear to be hundred/thousand/million)</t>
  </si>
  <si>
    <t xml:space="preserve">L3,L18-47</t>
  </si>
  <si>
    <t xml:space="preserve">DRAW.BOX.01</t>
  </si>
  <si>
    <t xml:space="preserve">DRAW.BOX</t>
  </si>
  <si>
    <t xml:space="preserve">Terminal-specific box drawing chars (TERMINALS 'KEYS'+user no.) with ASCII fallback</t>
  </si>
  <si>
    <t xml:space="preserve">L5-26</t>
  </si>
  <si>
    <t xml:space="preserve">DSP.REPORT.01</t>
  </si>
  <si>
    <t xml:space="preserve">DSP.REPORT</t>
  </si>
  <si>
    <t xml:space="preserve">Terminal paging UI; returns operator choice matching PATTERN else 'E'</t>
  </si>
  <si>
    <t xml:space="preserve">L10-33</t>
  </si>
  <si>
    <t xml:space="preserve">EDIT.LINE.01</t>
  </si>
  <si>
    <t xml:space="preserve">EDIT.LINE</t>
  </si>
  <si>
    <t xml:space="preserve">Terminal field-edit behavior (uppercase input via MCU, '|' toggles insert, '\' clears, max length MAX)</t>
  </si>
  <si>
    <t xml:space="preserve">L16-73</t>
  </si>
  <si>
    <t xml:space="preserve">EPSON.DRAFT.01</t>
  </si>
  <si>
    <t xml:space="preserve">EPSON.DRAFT</t>
  </si>
  <si>
    <t xml:space="preserve">ESC x 0 + form feed to printer</t>
  </si>
  <si>
    <t xml:space="preserve">EPSON.NLQ.01</t>
  </si>
  <si>
    <t xml:space="preserve">EPSON.NLQ</t>
  </si>
  <si>
    <t xml:space="preserve">ESC x 1 + form feed to printer</t>
  </si>
  <si>
    <t xml:space="preserve">FF.01</t>
  </si>
  <si>
    <t xml:space="preserve">FF</t>
  </si>
  <si>
    <t xml:space="preserve">Print CHAR(12)</t>
  </si>
  <si>
    <t xml:space="preserve">FILE.STATS.SUB.01</t>
  </si>
  <si>
    <t xml:space="preserve">FILE.STATS.SUB</t>
  </si>
  <si>
    <t xml:space="preserve">Shows octal permissions from STATUS&lt;5&gt;; aborts if file can't be opened</t>
  </si>
  <si>
    <t xml:space="preserve">FILE.STATUS.01</t>
  </si>
  <si>
    <t xml:space="preserve">FILE.STATUS</t>
  </si>
  <si>
    <t xml:space="preserve">Display octal permissions of entered file</t>
  </si>
  <si>
    <t xml:space="preserve">L1-6</t>
  </si>
  <si>
    <t xml:space="preserve">GET.SLAVE.01</t>
  </si>
  <si>
    <t xml:space="preserve">GET.SLAVE</t>
  </si>
  <si>
    <t xml:space="preserve">Slave printer port stored once in CONTROL 'SLAVEPORT' attr 2</t>
  </si>
  <si>
    <t xml:space="preserve">L3-8</t>
  </si>
  <si>
    <t xml:space="preserve">HP.RESET.01</t>
  </si>
  <si>
    <t xml:space="preserve">HP.RESET</t>
  </si>
  <si>
    <t xml:space="preserve">ESC E to printer</t>
  </si>
  <si>
    <t xml:space="preserve">HP.WIDE.01</t>
  </si>
  <si>
    <t xml:space="preserve">HP.WIDE</t>
  </si>
  <si>
    <t xml:space="preserve">SETPTR 132 cols on HP8000, PCL landscape</t>
  </si>
  <si>
    <t xml:space="preserve">L2-6</t>
  </si>
  <si>
    <t xml:space="preserve">IDATE.01</t>
  </si>
  <si>
    <t xml:space="preserve">IDATE</t>
  </si>
  <si>
    <t xml:space="preserve">Shorthand entry: blank = today; 1-2 digits = day in current month/year; 4 digits = MMDD current year; 6 digits = MMDDYY</t>
  </si>
  <si>
    <t xml:space="preserve">L6-20</t>
  </si>
  <si>
    <t xml:space="preserve">IDATE.02</t>
  </si>
  <si>
    <t xml:space="preserve">Window: PAST and FUTURE both blank → must be today; both 0 → any date; only FUTURE → not beyond today+FUTURE; only PAST → not before today-PAST; else must be within both</t>
  </si>
  <si>
    <t xml:space="preserve">L24-47</t>
  </si>
  <si>
    <t xml:space="preserve">IV.LABELS.01</t>
  </si>
  <si>
    <t xml:space="preserve">IV.LABELS</t>
  </si>
  <si>
    <t xml:space="preserve">Blazer printer command stream (font 24X31, origin 30,30) with characters space-separated</t>
  </si>
  <si>
    <t xml:space="preserve">L2-25</t>
  </si>
  <si>
    <t xml:space="preserve">I_APTREE_EQUATE.01</t>
  </si>
  <si>
    <t xml:space="preserve">I_APTREE_EQUATE</t>
  </si>
  <si>
    <t xml:space="preserve">Tree/index state is passed through a shared TS(30) array (TS(1)=TREE, TS(9)=ROOTID, TS(28)=PRG); a home-grown B-tree index is used instead of database indexes</t>
  </si>
  <si>
    <t xml:space="preserve">L1-4</t>
  </si>
  <si>
    <t xml:space="preserve">I_CLOSE.PORT.01</t>
  </si>
  <si>
    <t xml:space="preserve">I_CLOSE.PORT</t>
  </si>
  <si>
    <t xml:space="preserve">If destination WORD starts with 'F' close the system printer, otherwise send AUX.OFF to the terminal slave printer</t>
  </si>
  <si>
    <t xml:space="preserve">I_IV14EQ_COMMON.01</t>
  </si>
  <si>
    <t xml:space="preserve">I_IV14EQ_COMMON</t>
  </si>
  <si>
    <t xml:space="preserve">Same equates as I_APTREE_EQUATE (TREE=TS(1), ROOTID=TS(9), PRG=TS(28))</t>
  </si>
  <si>
    <t xml:space="preserve">L1-7</t>
  </si>
  <si>
    <t xml:space="preserve">I_MV_COMMON.01</t>
  </si>
  <si>
    <t xml:space="preserve">I_MV_COMMON</t>
  </si>
  <si>
    <t xml:space="preserve">Same reserved FILES() slot map as I_IV46_COMMON (slots 17-20 unused)</t>
  </si>
  <si>
    <t xml:space="preserve">L6-28</t>
  </si>
  <si>
    <t xml:space="preserve">I_OPEN.PORT.01</t>
  </si>
  <si>
    <t xml:space="preserve">I_OPEN.PORT</t>
  </si>
  <si>
    <t xml:space="preserve">Destination codes: F=system printer; AS/AP = ADDS 4000 serial/parallel; LS/LP = Link MC3 serial/parallel; OT = other aux; default nothing</t>
  </si>
  <si>
    <t xml:space="preserve">L8-26</t>
  </si>
  <si>
    <t xml:space="preserve">I_RAWINP.01</t>
  </si>
  <si>
    <t xml:space="preserve">I_RAWINP</t>
  </si>
  <si>
    <t xml:space="preserve">Single raw keystroke input via KEYIN()</t>
  </si>
  <si>
    <t xml:space="preserve">I_TREE_EQUATE.01</t>
  </si>
  <si>
    <t xml:space="preserve">I_TREE_EQUATE</t>
  </si>
  <si>
    <t xml:space="preserve">Custom B-tree index state in TS() (TREE, HEIGHT, KEY, PTR, ROOTID, PREFIX/POSTFIX etc.)</t>
  </si>
  <si>
    <t xml:space="preserve">L1-30</t>
  </si>
  <si>
    <t xml:space="preserve">LASER.TEST.01</t>
  </si>
  <si>
    <t xml:space="preserve">LASER.TEST</t>
  </si>
  <si>
    <t xml:space="preserve">Prints sample data (JOHN Q. CUSTOMER, $1234.55, MICR line) — test only</t>
  </si>
  <si>
    <t xml:space="preserve">L16-28</t>
  </si>
  <si>
    <t xml:space="preserve">LIST.BOX.01</t>
  </si>
  <si>
    <t xml:space="preserve">LIST.BOX</t>
  </si>
  <si>
    <t xml:space="preserve">Terminal-emulator UI helper; dialog min width 250/height 100 dialog units; returns 1-based index or 0</t>
  </si>
  <si>
    <t xml:space="preserve">L20-21,53</t>
  </si>
  <si>
    <t xml:space="preserve">LJFONTS.01</t>
  </si>
  <si>
    <t xml:space="preserve">LJFONTS</t>
  </si>
  <si>
    <t xml:space="preserve">Printer/MICR font test; references rebate-check bitmap C:\PDFTEST\RBTCHK.BMP</t>
  </si>
  <si>
    <t xml:space="preserve">MONEY.01</t>
  </si>
  <si>
    <t xml:space="preserve">MONEY</t>
  </si>
  <si>
    <t xml:space="preserve">Accepts "N.", "N.n", "N.nn" or whole number; converts decimals to cents (N. -&gt; N00, N.n -&gt; Nn0, N.nn -&gt; Nnn)</t>
  </si>
  <si>
    <t xml:space="preserve">L6-17</t>
  </si>
  <si>
    <t xml:space="preserve">MONEY.02</t>
  </si>
  <si>
    <t xml:space="preserve">Whole-number input with no decimal point is accepted unchanged — i.e. treated as cents, not dollars (typing 5 = $0.05)</t>
  </si>
  <si>
    <t xml:space="preserve">MONEY.CONV.01</t>
  </si>
  <si>
    <t xml:space="preserve">MONEY.CONV</t>
  </si>
  <si>
    <t xml:space="preserve">Amount with alpha prefix 'Y' converted = numeric * 10000 / CONTROL YEN.CONV attr 2</t>
  </si>
  <si>
    <t xml:space="preserve">L9-13</t>
  </si>
  <si>
    <t xml:space="preserve">MONEY.CONV.02</t>
  </si>
  <si>
    <t xml:space="preserve">Prefix 'R' (renminbi) converted = numeric * 10000 / CONTROL RBI.CONV attr 2</t>
  </si>
  <si>
    <t xml:space="preserve">MONEY.CONV.03</t>
  </si>
  <si>
    <t xml:space="preserve">Any other value returned unchanged (assumed USD)</t>
  </si>
  <si>
    <t xml:space="preserve">P.OFF.01</t>
  </si>
  <si>
    <t xml:space="preserve">P.OFF</t>
  </si>
  <si>
    <t xml:space="preserve">Terminal pass-through printer off</t>
  </si>
  <si>
    <t xml:space="preserve">P.ON.01</t>
  </si>
  <si>
    <t xml:space="preserve">P.ON</t>
  </si>
  <si>
    <t xml:space="preserve">Terminal pass-through printer on</t>
  </si>
  <si>
    <t xml:space="preserve">PC.PRINTOFF.01</t>
  </si>
  <si>
    <t xml:space="preserve">PC.PRINTOFF</t>
  </si>
  <si>
    <t xml:space="preserve">Terminal printer helper</t>
  </si>
  <si>
    <t xml:space="preserve">PC.PRINTON.01</t>
  </si>
  <si>
    <t xml:space="preserve">PC.PRINTON</t>
  </si>
  <si>
    <t xml:space="preserve">PRINT.132.01</t>
  </si>
  <si>
    <t xml:space="preserve">PRINT.132</t>
  </si>
  <si>
    <t xml:space="preserve">Printer escape helper</t>
  </si>
  <si>
    <t xml:space="preserve">PRINT.132.JP.01</t>
  </si>
  <si>
    <t xml:space="preserve">PRINT.132.JP</t>
  </si>
  <si>
    <t xml:space="preserve">PRT.NR.01</t>
  </si>
  <si>
    <t xml:space="preserve">PRT.NR</t>
  </si>
  <si>
    <t xml:space="preserve">Aux printer wrapper</t>
  </si>
  <si>
    <t xml:space="preserve">L1-3</t>
  </si>
  <si>
    <t xml:space="preserve">PRT.OFF.01</t>
  </si>
  <si>
    <t xml:space="preserve">PRT.OFF</t>
  </si>
  <si>
    <t xml:space="preserve">Aux printer off</t>
  </si>
  <si>
    <t xml:space="preserve">L3</t>
  </si>
  <si>
    <t xml:space="preserve">PRT.ON.01</t>
  </si>
  <si>
    <t xml:space="preserve">PRT.ON</t>
  </si>
  <si>
    <t xml:space="preserve">Aux printer on</t>
  </si>
  <si>
    <t xml:space="preserve">PURGE.PGM.AUDIT.01</t>
  </si>
  <si>
    <t xml:space="preserve">PURGE.PGM.AUDIT</t>
  </si>
  <si>
    <t xml:space="preserve">Retention must be exactly 30, 60, 90 or 120 days; operator confirms cutoff</t>
  </si>
  <si>
    <t xml:space="preserve">PURGE.PGM.AUDIT.02</t>
  </si>
  <si>
    <t xml:space="preserve">Removes every multivalue position (attrs 1-5) whose date (attr 1) &lt; cutoff</t>
  </si>
  <si>
    <t xml:space="preserve">L27-34</t>
  </si>
  <si>
    <t xml:space="preserve">RAWINPUT.01</t>
  </si>
  <si>
    <t xml:space="preserve">RAWINPUT</t>
  </si>
  <si>
    <t xml:space="preserve">Terminal line-edit helper; returns ACTION TAB/ESC/UP/DOWN/DEL; input forced uppercase</t>
  </si>
  <si>
    <t xml:space="preserve">L19-34</t>
  </si>
  <si>
    <t xml:space="preserve">RESIZE.FILES.01</t>
  </si>
  <si>
    <t xml:space="preserve">RESIZE.FILES</t>
  </si>
  <si>
    <t xml:space="preserve">Resizes every local file and dict (VOC attr 2/attr 3 paths without '/') once per physical path, using default sizing</t>
  </si>
  <si>
    <t xml:space="preserve">L7-33</t>
  </si>
  <si>
    <t xml:space="preserve">SET.HP.132.01</t>
  </si>
  <si>
    <t xml:space="preserve">SET.HP.132</t>
  </si>
  <si>
    <t xml:space="preserve">PCL printer setup string (reset, top/left margin 0, line-draw charset, 16.66 cpi)</t>
  </si>
  <si>
    <t xml:space="preserve">SET.HP.80.01</t>
  </si>
  <si>
    <t xml:space="preserve">SET.HP.80</t>
  </si>
  <si>
    <t xml:space="preserve">PCL printer reset/margin setup</t>
  </si>
  <si>
    <t xml:space="preserve">L8-12</t>
  </si>
  <si>
    <t xml:space="preserve">SPOOL.ORDERS.01</t>
  </si>
  <si>
    <t xml:space="preserve">SPOOL.ORDERS</t>
  </si>
  <si>
    <t xml:space="preserve">Selected print jobs on queue PR1 (max 20) are respooled to the warehouse printer setup (SETPROWHSE) and cancelled from the original queue</t>
  </si>
  <si>
    <t xml:space="preserve">L4-41</t>
  </si>
  <si>
    <t xml:space="preserve">T.01</t>
  </si>
  <si>
    <t xml:space="preserve">T</t>
  </si>
  <si>
    <t xml:space="preserve">Printer font/barcode test only</t>
  </si>
  <si>
    <t xml:space="preserve">L1-12</t>
  </si>
  <si>
    <t xml:space="preserve">TEST.01</t>
  </si>
  <si>
    <t xml:space="preserve">TEST</t>
  </si>
  <si>
    <t xml:space="preserve">No business rule (developer scratch)</t>
  </si>
  <si>
    <t xml:space="preserve">L1-9</t>
  </si>
  <si>
    <t xml:space="preserve">TEST.BC.01</t>
  </si>
  <si>
    <t xml:space="preserve">TEST.BC</t>
  </si>
  <si>
    <t xml:space="preserve">Barcode print test only</t>
  </si>
  <si>
    <t xml:space="preserve">TESTDATE.01</t>
  </si>
  <si>
    <t xml:space="preserve">TESTDATE</t>
  </si>
  <si>
    <t xml:space="preserve">No business rule</t>
  </si>
  <si>
    <t xml:space="preserve">TT.01</t>
  </si>
  <si>
    <t xml:space="preserve">TT</t>
  </si>
  <si>
    <t xml:space="preserve">L2-3</t>
  </si>
  <si>
    <t xml:space="preserve">UPD.DICTS.01</t>
  </si>
  <si>
    <t xml:space="preserve">UPD.DICTS</t>
  </si>
  <si>
    <t xml:space="preserve">Yearly archive copies are made for APHIST, APBR, ARHIST, BVEND, IVEND, IVADJ, IVMST, IVPO, IVRET, IVSOLD, ORDHIST, RETURNS, SCANORD, RECLOG as `&lt;FILE&gt;.&lt;yy&gt;` (prior year). This shows the year-end archive policy and which files are archived.</t>
  </si>
  <si>
    <t xml:space="preserve">L3-18</t>
  </si>
  <si>
    <t xml:space="preserve">UPD.DICTS.02</t>
  </si>
  <si>
    <t xml:space="preserve">ARHIST archives use the ARSHIP dictionary (D_ARSHIP), which confirms that ARHIST and ARSHIP share a record layout</t>
  </si>
  <si>
    <t xml:space="preserve">UPDATE.01</t>
  </si>
  <si>
    <t xml:space="preserve">UPDATE</t>
  </si>
  <si>
    <t xml:space="preserve">Mass attribute overwrite with no audit. The attribute number must match the dict item's attr 2. A blank value is entered as 'NULL'.</t>
  </si>
  <si>
    <t xml:space="preserve">L5-25</t>
  </si>
  <si>
    <t xml:space="preserve">WH.PRINT.01</t>
  </si>
  <si>
    <t xml:space="preserve">WH.PRINT</t>
  </si>
  <si>
    <t xml:space="preserve">CONTROL 'WH-PRINTERS' attr 1 = new-order printer, attr 2 = packing-list printer. The choices are hard-coded: WH8100, PROWH, LABELS. UPS printing is not covered.</t>
  </si>
  <si>
    <t xml:space="preserve">L5-24</t>
  </si>
  <si>
    <t xml:space="preserve">WHOAMI.01</t>
  </si>
  <si>
    <t xml:space="preserve">WHOAMI</t>
  </si>
  <si>
    <t xml:space="preserve">WIN.FTP.DATA.01</t>
  </si>
  <si>
    <t xml:space="preserve">WIN.FTP.DATA</t>
  </si>
  <si>
    <t xml:space="preserve">Transfers all FTP.DATA items/fields as ASCII to `&lt;FTP.DIR&gt;\IVDATA` on the PC</t>
  </si>
  <si>
    <t xml:space="preserve">Lines</t>
  </si>
  <si>
    <t xml:space="preserve">Questions</t>
  </si>
  <si>
    <t xml:space="preserve">Purpose</t>
  </si>
  <si>
    <t xml:space="preserve">Files</t>
  </si>
  <si>
    <t xml:space="preserve">Calls</t>
  </si>
  <si>
    <t xml:space="preserve">Bugs / oddities</t>
  </si>
  <si>
    <t xml:space="preserve">Builds a per-member TEMPDATA summary of quantity and amount sold for four hard-coded Olympus products from a date range of TEMPHIST (ARHIST copy).</t>
  </si>
  <si>
    <t xml:space="preserve">reads TEMPHIST (opened as ARHIST) · writes TEMPDATA (cleared first)</t>
  </si>
  <si>
    <t xml:space="preserve">EXECUTE CLEAR-FILE DATA TEMPDATA; EXECUTE SSELECT TEMPHIST</t>
  </si>
  <si>
    <t xml:space="preserve">TEMPDATA is cleared on every date-range loop; line loop hard-capped at 800 and stops at first blank product; reads TEMPHIST not ARHIST despite the variable name; amount units not stated (whatever ARHIST attr 4 holds, likely cents).</t>
  </si>
  <si>
    <t xml:space="preserve">Manually decrements a member's STOCK warehouse-profit figure by an operator-entered amount.</t>
  </si>
  <si>
    <t xml:space="preserve">reads STOCK · writes STOCK</t>
  </si>
  <si>
    <t xml:space="preserve">none</t>
  </si>
  <si>
    <t xml:space="preserve">READV without lock then WRITEV (lost-update risk); invalid member silently re-prompts; no numeric check on amount.</t>
  </si>
  <si>
    <t xml:space="preserve">One-off fix-up that recalculates the cost field (attr 15) on ARHIST lines for returns using IVMST average received cost.</t>
  </si>
  <si>
    <t xml:space="preserve">reads ARHIST, IVMST · writes ARHIST</t>
  </si>
  <si>
    <t xml:space="preserve">none (relies on an active select list)</t>
  </si>
  <si>
    <t xml:space="preserve">Header says "for returns" but nothing filters returns (depends on whatever list is active); MATREADU ELSE GO 5 conflates not-found and locked; RAW "Y" suffix convention is undocumented; mixed money units between branches.</t>
  </si>
  <si>
    <t xml:space="preserve">Selects all unpaid AP invoices for one vendor for payment while taking an extra "special" discount off each invoice.</t>
  </si>
  <si>
    <t xml:space="preserve">reads APDIST, APHIST, APDUE, APMST, CONTROL · writes APDIST, APHIST, APDUE, CONTROL (APCHK)</t>
  </si>
  <si>
    <t xml:space="preserve">CALL IDATE</t>
  </si>
  <si>
    <t xml:space="preserve">Held credits left in the list at end of run are never written (lost); held items use APHIST key FIELD(id,'*',1,2) while main path uses full ID — inconsistent keys; error prefix says "AP9"; MATREADU ELSE treats locked as not-found.</t>
  </si>
  <si>
    <t xml:space="preserve">Cancels the entire pending AP payment selection and reverses special discounts.</t>
  </si>
  <si>
    <t xml:space="preserve">reads CONTROL, APDUE, APDIST, APHIST · writes APDIST, APHIST, CONTROL; deletes APDUE</t>
  </si>
  <si>
    <t xml:space="preserve">Any read failure CHAINs to ABORT mid-run leaving a partially reversed selection; reverses using APHIST key = APDUE ID whereas AP.SEL.INVSPC held-credit path wrote APHIST under FIELD(id,'*',1,2).</t>
  </si>
  <si>
    <t xml:space="preserve">Year-roll/reset style fix-up that sets every member's current-year high credit to the current balance.</t>
  </si>
  <si>
    <t xml:space="preserve">reads ARMST · writes ARMST</t>
  </si>
  <si>
    <t xml:space="preserve">UPD.ARLOG (commented out)</t>
  </si>
  <si>
    <t xml:space="preserve">ARLOG audit call commented out despite the 07-23-09 note adding it; units differ between fields (cents vs dollars); MATREADU ELSE silently skips locked records.</t>
  </si>
  <si>
    <t xml:space="preserve">One-off script that re-keys selected ARHIST records to member 2829 (moves history from one member to another).</t>
  </si>
  <si>
    <t xml:space="preserve">reads ARHIST · writes ARHIST (write new, delete old)</t>
  </si>
  <si>
    <t xml:space="preserve">none (needs active select list)</t>
  </si>
  <si>
    <t xml:space="preserve">Silent overwrite of existing history under target key; READU ELSE conflates locked/missing.</t>
  </si>
  <si>
    <t xml:space="preserve">Enters and edits cash deposit tickets (member account, check number, check amount per line) that payments are later applied against.</t>
  </si>
  <si>
    <t xml:space="preserve">reads ARMST, DEPTICK, CONTROL, SCREENS · writes DEPTICK, CONTROL ('DEPTICK' counter)</t>
  </si>
  <si>
    <t xml:space="preserve">RAWINPUT, IDATE, MONEY, SUMM; INCLUDE FILE.INCLUDES ARMST.FIELDS, DEPTICK.FIELDS (include files not in extract)</t>
  </si>
  <si>
    <t xml:space="preserve">Existing ticket lock is released immediately after read (L89) and edits are written later without a lock — concurrent payment posting (AR.INP.PAYMNTS) can be overwritten; line delete is allowed even after payments were applied to that check; ticket counter can exceed 3 digits and break the 5-digit ID format.</t>
  </si>
  <si>
    <t xml:space="preserve">Applies deposit-ticket checks to member open invoices (pay due, pay all, by invoice), with discounts, partial payments, adjustments and vendor credit memos that also post AP credits.</t>
  </si>
  <si>
    <t xml:space="preserve">reads APMST, APDIST, APHIST, ARMST, ARINV, DEPTICK, CONTROL ('UPD','APBAT','APPER','MS'), SCREENS · writes ARMST, ARINV, DEPTICK, APDIST, APHIST, APMST, CONTROL</t>
  </si>
  <si>
    <t xml:space="preserve">RAWINPUT, MONEY, SUMM, DSP.REPORT, SUBR('-NES'); EXECUTE TERM, SORT DEPTICK; INCLUDE *.FIELDS (not in extract)</t>
  </si>
  <si>
    <t xml:space="preserve">Auto-apply (L203-207) pays each invoice's full due even when it exceeds the remaining check (overpay guard commented out); period error message ("2 prior or 1 future") contradicts code (1 prior, up to 2 future); PAYOPT=0 test unreachable; UPD.APDIST sets ERR not EM so a missing-vendor message never shows, then MATWRITEs a blank APMST record; READ.DEPTICK retry loop exits after one wait so DEPTICK may silently not update after ARMST/ARINV were written; MATREADU ARINV ELSE proceeds with empty record (conflates not found/locked); APHIST NET sign opposite to GROSS; YTD.DISC adds 0.</t>
  </si>
  <si>
    <t xml:space="preserve">POSH screen-framework hook for the deposit ticket inquiry screen (inquiry only, optional print).</t>
  </si>
  <si>
    <t xml:space="preserve">none directly (screen framework via POSH includes; would LIST ARDEPTIC) · writes none</t>
  </si>
  <si>
    <t xml:space="preserve">none (EXECUTE of LIST ARDEPTIC is commented out)</t>
  </si>
  <si>
    <t xml:space="preserve">Print path is dead; uses a different file name (ARDEPTIC) from the BASIC programs (DEPTICK).</t>
  </si>
  <si>
    <t xml:space="preserve">Lists member credit memos (ARINV code "CM" splits) for a date range, by member or by vendor, with subtotals.</t>
  </si>
  <si>
    <t xml:space="preserve">reads ARMST, APMST, ARINV, CONTROL · writes none</t>
  </si>
  <si>
    <t xml:space="preserve">IDATE, P.ASSIGN.SUB, DSP.REPORT; EXECUTE SSELECT ARINV</t>
  </si>
  <si>
    <t xml:space="preserve">Only the first CM subvalue per invoice is reported (one CM per invoice is enforced in AR.INP.PAYMNTS); L136 ELSE sets NAME not MNAME so a missing member shows the previous member's name; OPT=1 sorts BY-EXP CODE, not by member.</t>
  </si>
  <si>
    <t xml:space="preserve">Prints "Billing for &lt;vendor&gt;" invoices to members for vendor-billed (EDI) shipments held in ARSHIP, using the vendor's own product/description/qty/cost lines.</t>
  </si>
  <si>
    <t xml:space="preserve">reads ARSHIP, ARMST, IVMST (opened, unused), CONTROL ('COPY'), APMST · writes none</t>
  </si>
  <si>
    <t xml:space="preserve">EXECUTE SSELECT ARSHIP</t>
  </si>
  <si>
    <t xml:space="preserve">Prints every ARSHIP record (no selection criteria); IVMST opened but unused; the "3-digit decimals" comment conflicts with dividing cents by 100 (units of VCOST unclear); fixed-form printer escape codes.</t>
  </si>
  <si>
    <t xml:space="preserve">Detail or summary report of deposit tickets in a ticket-number range (amounts, unapplied, discount adj, CM, adjustments).</t>
  </si>
  <si>
    <t xml:space="preserve">reads DEPTICK · writes none</t>
  </si>
  <si>
    <t xml:space="preserve">DSP.REPORT; EXECUTE SORT DEPTICK</t>
  </si>
  <si>
    <t xml:space="preserve">Ticket IDs are MM+seq so a numeric range spans months oddly; DISC.ADJ dictionary item not in the extracted DEPTICK dict.</t>
  </si>
  <si>
    <t xml:space="preserve">Maintains a member's alternate ship-to addresses (SHIPTO records keyed member*code) with UPS zone derived from ZIP.</t>
  </si>
  <si>
    <t xml:space="preserve">reads ARMST, SHIPTO, ZIPREF ('UPS', 'STATES', zip records) · writes SHIPTO (write/delete)</t>
  </si>
  <si>
    <t xml:space="preserve">EDIT.LINE; EXECUTE SSELECT SHIPTO; INCLUDE ARMST/SHIPTO/ZIPREF.FIELDS (not in extract)</t>
  </si>
  <si>
    <t xml:space="preserve">SHIP.ZONE is unreachable (not in the 1-6 correction menu nor the new-entry flow), so manual zone override never runs; L277 deletes ADDRS1 (typo for ADDR1S); L330 missing ";" between ADDR1S and ADDR2S assignments; header says ship-to "later to be added to ARMST" while ARMST already has SHIP.STREET/SHIP.CSZ (attrs 31-32).</t>
  </si>
  <si>
    <t xml:space="preserve">One-off diagnostic (GJS 12-27-1999) counting ARINV records that have multiple partial payments.</t>
  </si>
  <si>
    <t xml:space="preserve">reads ARINV · writes none</t>
  </si>
  <si>
    <t xml:space="preserve">EXECUTE SELECT ARINV</t>
  </si>
  <si>
    <t xml:space="preserve">Diagnostic only; no business effect.</t>
  </si>
  <si>
    <t xml:space="preserve">POSH-framework payment-posting screen (called from AR.UPD.DEPTICK) that applies one check to a member's open invoices with full/skip/partial/non-cash codes and writes ARINV/ARMST; an earlier (1999) alternative to AR.INP.PAYMNTS.</t>
  </si>
  <si>
    <t xml:space="preserve">reads POSH.WORK ('AR.UPD.PRO.SUB*'port), ARINV, ARMST, APMST · writes ARINV, ARMST, POSH.WORK</t>
  </si>
  <si>
    <t xml:space="preserve">POSH.ERROR, POSH.INPUT, MONEY; EXECUTE WHO</t>
  </si>
  <si>
    <t xml:space="preserve">Looks unfinished — debug prompt "AT BUILD REC TO WRITE" + INPUT before posting (L685-686); skip test at L339 is always true (NE "" OR NE 2); WORKREC is indexed by display position while posting LOCATEs by invoice number; full-pay reduces balance by the invoice gross although cash = net; MATREADU ELSE STOP conflation is handled with LOCKED clause (ok); DIM AR.MST(34) smaller than ARMST record (47 attrs).</t>
  </si>
  <si>
    <t xml:space="preserve">Adds new members (auto-numbered) or changes existing member master data (name, address, credit limit, phone, mailings, dues, EIN).</t>
  </si>
  <si>
    <t xml:space="preserve">reads CONTROL ('AR'), ARMST, ZIPREF ('UPS','STATES'), STOCK · writes ARMST, STOCK, CONTROL</t>
  </si>
  <si>
    <t xml:space="preserve">US-only ZIP (AR.SHIP.MNT later allowed Canadian); no lock on CONTROL 'AR' (READV/WRITEV) → duplicate numbers possible; ZIP lookup with Z=0 when prefix below first entry gives empty zone.</t>
  </si>
  <si>
    <t xml:space="preserve">After invoice printing, copies ARSHIP to ARHIST, clears ARSHIP, and deletes billed SCANORD records.</t>
  </si>
  <si>
    <t xml:space="preserve">reads ARSHIP, SCANORD · writes ARHIST; clears ARSHIP; deletes SCANORD</t>
  </si>
  <si>
    <t xml:space="preserve">EXECUTE COPY FROM ARSHIP TO ARHIST ALL; EXECUTE SELECT SCANORD WITH BILL.DATE</t>
  </si>
  <si>
    <t xml:space="preserve">COPY without OVERWRITING silently skips keys already in ARHIST, then ARSHIP is cleared anyway — potential history loss; no check that the copy succeeded.</t>
  </si>
  <si>
    <t xml:space="preserve">Recomputes ARMST aging buckets and balance from ARINV open invoices (marked "DON'T USE").</t>
  </si>
  <si>
    <t xml:space="preserve">reads ARINV, ARMST · writes ARMST</t>
  </si>
  <si>
    <t xml:space="preserve">Header "$$%% DON'T USE" (L2 is not valid BASIC); 300-invoice cap; no locks.</t>
  </si>
  <si>
    <t xml:space="preserve">Year-end roll: moves YTD figures to prior year and zeroes YTD counters on STOCK, IVMST, VNMST, ARMST; clears IVSOLD and IVEND.</t>
  </si>
  <si>
    <t xml:space="preserve">reads STOCK, IVMST, VNMST, ARMST · writes STOCK, IVMST, VNMST, ARMST; clears IVSOLD, IVEND</t>
  </si>
  <si>
    <t xml:space="preserve">Prior-year fields stored in dollars while YTD in cents (unit inconsistency); 11-26-01 note says ARMST attr 22 no longer holds shares but share calc removed; AR.ADJ.CY sets HI.CRED from PY.HI.CRED instead — two different year-end rules; MATREADU ELSE skips locked records silently.</t>
  </si>
  <si>
    <t xml:space="preserve">Prints annual member stock (patronage share) letters (1986).</t>
  </si>
  <si>
    <t xml:space="preserve">reads ARMST, STOCK · writes none</t>
  </si>
  <si>
    <t xml:space="preserve">"19":YEAR Y2K bug; STOCK attr 3 meaning conflicts with dict (PATR.BAL).</t>
  </si>
  <si>
    <t xml:space="preserve">Sequentially numbers ARMST/ARMST2 field 28, 29, 33, 34 or 35 from an active select list.</t>
  </si>
  <si>
    <t xml:space="preserve">reads (select list) · writes operator-named file (ARMST or ARMST2)</t>
  </si>
  <si>
    <t xml:space="preserve">Prompt lists 28/29/33/34 but also accepts 35 (PROMASTER) — would overwrite PROMASTER flag with a sequence number.</t>
  </si>
  <si>
    <t xml:space="preserve">Calculator for member share buyout to cap holdings at a percentage of total shares.</t>
  </si>
  <si>
    <t xml:space="preserve">Must edit code to change the percentage; header says 5% but live code uses 20%.</t>
  </si>
  <si>
    <t xml:space="preserve">Toggles a member's credit-hold status.</t>
  </si>
  <si>
    <t xml:space="preserve">Mixed money units on one screen; no audit of who placed the hold.</t>
  </si>
  <si>
    <t xml:space="preserve">Fills IVEND attrs 4/5 with each member's combined amount and surcharge for vendors 195 and 279.</t>
  </si>
  <si>
    <t xml:space="preserve">reads IVEND · writes IVEND</t>
  </si>
  <si>
    <t xml:space="preserve">LOCATE BY 'AR' assumes IVEND attr 1 vendor list sorted; unlocked MATREAD then MATWRITE; OPEN failure doesn't stop.</t>
  </si>
  <si>
    <t xml:space="preserve">Credits members with extra surcharge income and gross purchases from direct-billing vendors (manual entry per vendor/member).</t>
  </si>
  <si>
    <t xml:space="preserve">reads APMST, ARMST, BVEND · writes ARMST, BVEND</t>
  </si>
  <si>
    <t xml:space="preserve">Cents-without-decimal entry differs from programs using MONEY; no audit trail of who entered what.</t>
  </si>
  <si>
    <t xml:space="preserve">Enters/edits member open direct-vendor POs (VENDORD) that count against the member's credit exposure.</t>
  </si>
  <si>
    <t xml:space="preserve">reads ARMST, APMST, VENDORD · writes VENDORD</t>
  </si>
  <si>
    <t xml:space="preserve">A "change" reached via the L44-54 loop keeps ADD=1 and inserts a duplicate instead of updating; YN can be stale in that loop; BILLED (attr 5) is never set here.</t>
  </si>
  <si>
    <t xml:space="preserve">Copy of AR1 for adding/changing IPI (non-PRO) members; only differences listed.</t>
  </si>
  <si>
    <t xml:space="preserve">reads CONTROL ('AR2'), ARMST, ZIPREF · writes ARMST, CONTROL</t>
  </si>
  <si>
    <t xml:space="preserve">Duplicates AR1 logic; "IPI" not defined anywhere in code; attr 23 overloaded (mailings prompt vs member type).</t>
  </si>
  <si>
    <t xml:space="preserve">Copy of AR1A (05-26-11) for adding/changing Canadian affiliate members; only differences listed.</t>
  </si>
  <si>
    <t xml:space="preserve">reads CONTROL ('AR2'), ARMST, ZIPREF ('PROVINCE') · writes ARMST, CONTROL</t>
  </si>
  <si>
    <t xml:space="preserve">Message says "PRO or AFF" for type 2 while AR1A calls type 2 IPI — naming of member types inconsistent.</t>
  </si>
  <si>
    <t xml:space="preserve">Prints member invoices from ARSHIP (1994 version): PRO product lines, or a single "Billing for &lt;vendor&gt;" line for direct-bill vendor charges with a terms-dispute notice.</t>
  </si>
  <si>
    <t xml:space="preserve">reads ARSHIP, ARMST, IVMST, CONTROL ('COPY'), APMST · writes none</t>
  </si>
  <si>
    <t xml:space="preserve">none (relies on active select list)</t>
  </si>
  <si>
    <t xml:space="preserve">200-line cap; unit price derived by division (may round); superseded in part by AR.PRT.EDIINV and AR5 variants.</t>
  </si>
  <si>
    <t xml:space="preserve">Adds/changes a member's permanent ship-to address on ARMST and resets the UPS zone from the ship-to ZIP.</t>
  </si>
  <si>
    <t xml:space="preserve">reads ARMST, ZIPREF ('UPS','STATES') · writes ARMST</t>
  </si>
  <si>
    <t xml:space="preserve">Zone overwrite drops the air-zone suffix that AR1 maintains in attr 25; US ZIP only; LOCATE 'AL' assumes STATES sorted while AR1 uses unsorted LOCATE.</t>
  </si>
  <si>
    <t xml:space="preserve">One-off 1995 conversion setting ARMST prior-year sales from old ARMST2 YTD plus BVEND2 direct-bill amounts.</t>
  </si>
  <si>
    <t xml:space="preserve">reads ARMST2, BVEND2 · writes ARMST</t>
  </si>
  <si>
    <t xml:space="preserve">Second term is not truncated to whole dollars (fractional dollars added to a whole-dollar field); READVU lock then WRITEV.</t>
  </si>
  <si>
    <t xml:space="preserve">Original member payment entry (no deposit ticket): pays due/all/selected invoices with prompt-pay discount, records credits, updates ARMST/ARINV and stamps date paid on ARHIST.</t>
  </si>
  <si>
    <t xml:space="preserve">reads ARMST, ARINV, ARHIST, CONTROL ('UPD','INV','MS') · writes ARMST, ARINV, ARHIST (attr 16), CONTROL ('INV','MS')</t>
  </si>
  <si>
    <t xml:space="preserve">MONEY; UPD.ARLOG (commented out); EXECUTE SELECT ARHIST</t>
  </si>
  <si>
    <t xml:space="preserve">LOCKED clauses at L243 and L260 set NOT.LOCKED = 1, so lock waits never happen; credit path (L251-254) calls the payment routine with stale B() values from the last invoice viewed; credit invoice written with no amount (attr 3) — only AMTPAID; open-error label for ARHIST says ARMST; ARLOG audit commented out; discount rules differ between options.</t>
  </si>
  <si>
    <t xml:space="preserve">Month-end AR close: purges fully paid invoices, ages open invoices, assesses 1.5% service charges, rolls ARMST aging buckets and advances the AR month.</t>
  </si>
  <si>
    <t xml:space="preserve">reads CONTROL ('UPD'), ARMST, ARINV, DICT IVMST (opened, write commented out) · writes ARMST, ARINV, ARSHIP, CONTROL</t>
  </si>
  <si>
    <t xml:space="preserve">Header says service charge "at 30, not 60 days" but CURRENT is included in the base; SID "date − 9000 to retain 4 digits" now yields 5 digits (dates &gt; 19000) and can collide across years; if ARINV is missing the ARMST lock is released then the record is still written; DICT IVMST opened but unused; fractions dropped by INT not rounded.</t>
  </si>
  <si>
    <t xml:space="preserve">Prints monthly member statements (three-part pre-printed form) with prompt-pay discount and past-due flags, and advances the month-end state.</t>
  </si>
  <si>
    <t xml:space="preserve">reads CONTROL ('UPD'), ARINV, ARMST · writes ERROR (missing records), CONTROL ('UPD' attr 1 = 4)</t>
  </si>
  <si>
    <t xml:space="preserve">Missing ARINV/ARMST are logged to ERROR and the run ABORTs at end; READVU on 'UPD' held for whole run; discount column shows terms % even when past due.</t>
  </si>
  <si>
    <t xml:space="preserve">Laser-printer (PCL) version of AR5 statements that also shows the vendor invoice number and vendor name per line; only differences from AR5 listed.</t>
  </si>
  <si>
    <t xml:space="preserve">reads APMST, ARMST, ARINV, ARHIST, ARHIST.98, CONTROL · writes ERROR, CONTROL</t>
  </si>
  <si>
    <t xml:space="preserve">Hard-coded archive file name ARHIST.98 (1998 history) — later years' archived invoices not found; PCL escape strings hard-coded.</t>
  </si>
  <si>
    <t xml:space="preserve">Mid-month ("interim") variant of AR5.LASER; only differences listed.</t>
  </si>
  <si>
    <t xml:space="preserve">reads APMST, ARMST, ARINV, ARHIST, ARHIST.00, CONTROL · writes ERROR, CONTROL</t>
  </si>
  <si>
    <t xml:space="preserve">Still writes CONTROL 'UPD' = 4 when UPD = 3 even though it is an interim run (inherited L-149 logic); hard-coded archive year.</t>
  </si>
  <si>
    <t xml:space="preserve">Office-copy variant of AR5.LASER; only differences listed.</t>
  </si>
  <si>
    <t xml:space="preserve">Reads ARHIST/APMST per line for nothing; same UPD=4 side effect as AR5.</t>
  </si>
  <si>
    <t xml:space="preserve">Rescales the ARMST "GRAPH" dictionary item (member sales bar graph) to the current largest member's sales.</t>
  </si>
  <si>
    <t xml:space="preserve">reads ARMST, BVEND · writes DICT ARMST 'GRAPH'</t>
  </si>
  <si>
    <t xml:space="preserve">EXECUTE CD ARMST GRAPH</t>
  </si>
  <si>
    <t xml:space="preserve">Program rewrites a dictionary at runtime; aborts if any ARMST lacks attr 9.</t>
  </si>
  <si>
    <t xml:space="preserve">Direct-vendor ("non-PRO MDs") billing: for each vendor invoice shipped direct to a member, bills the member (plus PRO surcharge) on a new PRO invoice and optionally posts the vendor invoice to AP.</t>
  </si>
  <si>
    <t xml:space="preserve">reads CONTROL ('UPD','APBAT','APPER','INV','MS'), ARMST, APMST, VNIDX, VNMST, VENDORD, APHIST, IVEND, ARINV · writes ARMST, APMST, VNMST, VENDORD, IVEND, ARINV, ARSHIP, APDIST, APHIST, CONTROL</t>
  </si>
  <si>
    <t xml:space="preserve">!SLEEP$</t>
  </si>
  <si>
    <t xml:space="preserve">Dollar-amount discount (&gt;20) sets NET correctly but APDIST DISC is still computed as a percent (L344); VNMST LOCKED clause sleeps then updates a record it never read (L133-137); invoice counter wraps at 99999 here but 999999 in AR3; APMST/VNMST attrs 30/31/13 used for purposes that contradict dict names; APMST locked for the whole vendor session; NET undefined when AP=N but not used.</t>
  </si>
  <si>
    <t xml:space="preserve">Monthly dues billing for PRO and Affiliate members: creates a dues invoice per member (product 9995) and, for FotoSource-type members, an FSINV spreadsheet line and email.</t>
  </si>
  <si>
    <t xml:space="preserve">reads CONTROL ('UPD','MON','FSINV.FIELDS','FSINV.EMAIL.PARAMS','INV','MS'), ARMST, ARINV · writes IVMST (9995 desc), ARMST, ARINV, ARSHIP, FSINV, CONTROL</t>
  </si>
  <si>
    <t xml:space="preserve">IV.UPD.FSINV.XLS, EMAIL.FSINV; UPD.ARLOG (commented out)</t>
  </si>
  <si>
    <t xml:space="preserve">Member type 3 is "Canadian affiliate" in AR1B but treated as FotoSource here; L61 converts the wrong variable (DUES); dues entered without decimal ("50") billed as $0.50; MATREADU ELSE skips locked members silently; ARLOG commented out.</t>
  </si>
  <si>
    <t xml:space="preserve">Prints the monthly totals report from CONTROL 'MS' and, if statements are done, resets the month cycle.</t>
  </si>
  <si>
    <t xml:space="preserve">reads CONTROL ('MS','UPD') · writes CONTROL</t>
  </si>
  <si>
    <t xml:space="preserve">MS updated by many programs without consistent attribute meaning (AR.INP.PAYMNTS and AR3 add payments to attr 4; AR7 adds billing to 3); "CAPITOL" typo.</t>
  </si>
  <si>
    <t xml:space="preserve">Copy of AR9 run against CONTROL.BU; only differences listed.</t>
  </si>
  <si>
    <t xml:space="preserve">reads CONTROL.BU · writes CONTROL.BU</t>
  </si>
  <si>
    <t xml:space="preserve">Backup copy; would reset CONTROL.BU cycle state.</t>
  </si>
  <si>
    <t xml:space="preserve">One-off script moving member 7063's 2009 history (ARHIST.09) to member 3417.</t>
  </si>
  <si>
    <t xml:space="preserve">reads ARHIST.09 · writes ARHIST.09</t>
  </si>
  <si>
    <t xml:space="preserve">EXECUTE SELECT ARHIST.09</t>
  </si>
  <si>
    <t xml:space="preserve">Overwrites any existing target record; no locking.</t>
  </si>
  <si>
    <t xml:space="preserve">Creates member orders (IVORD/ORDHIST) and vendor order lines (VNORD) from TEAMPRO staging records (one record per member: PO, instructions, discount, future date, then product/qty pairs), then prints vendor orders.</t>
  </si>
  <si>
    <t xml:space="preserve">reads TEAMPRO, ARMST, IVMST, CONTROL ('UPD','ORD'), ZIPREF · writes IVORD, ORDHIST, VNORD, IVMST, ARMST, CONTROL; deletes TEAMPRO</t>
  </si>
  <si>
    <t xml:space="preserve">EXECUTE PR1, RUN IV10 (via SSELECT VNORD ... DATA)</t>
  </si>
  <si>
    <t xml:space="preserve">"No vendor" check compares IVMST vendor to VEND&lt;1,POS&gt; before it is appended, so it only fires when the product has no vendor and the message is misleading; ORDER(10)&lt;1,2&gt; TQTY never set; missing IVMST product CHAIN ABORTs mid-run leaving earlier orders created and TEAMPRO partially processed; ZIPREF zones read but unused; locks left on IVMST between WRITEVU and WRITEV.</t>
  </si>
  <si>
    <t xml:space="preserve">Builds a tab-delimited product price list (product, description, member price, multiple, status, UPC) for Photoware users into PWDB record 'IVMST.PW'.</t>
  </si>
  <si>
    <t xml:space="preserve">reads IVMST, CONTROL (opened) · writes PWDB ('IVMST.PW')</t>
  </si>
  <si>
    <t xml:space="preserve">none (EXECUTE SEND_PWDB commented out); INCLUDE IVMST.FIELDS</t>
  </si>
  <si>
    <t xml:space="preserve">Price unit (cents) differs from BLD.IVMST.XML (dollars) for the same feed; surcharge formula differs from AUTO.ORDER's string-concatenated multiplier for single-digit or 3-digit PCT values.</t>
  </si>
  <si>
    <t xml:space="preserve">Earlier XML version of the Photoware product/price feed into PWDB 'IVMST.XML'.</t>
  </si>
  <si>
    <t xml:space="preserve">reads IVMST, CONTROL ('XML.HEADER') · writes PWDB ('IVMST.XML'), CONTROL (default XML header if missing)</t>
  </si>
  <si>
    <t xml:space="preserve">none (SEND_PWDB commented out)</t>
  </si>
  <si>
    <t xml:space="preserve">Superseded 07-02-08 by BLD.IVMST.PW; literal "- " prefixes before tags make the XML invalid.</t>
  </si>
  <si>
    <t xml:space="preserve">One-off (2003) conversion that builds IVPO purchase-order records from the PO multivalues stored on IVMST products.</t>
  </si>
  <si>
    <t xml:space="preserve">reads IVMST · writes IVPO, IVMST</t>
  </si>
  <si>
    <t xml:space="preserve">EXECUTE SSELECT IVMST BY-EXP PO.NUM</t>
  </si>
  <si>
    <t xml:space="preserve">Not idempotent (re-run appends duplicate lines and re-adds totals); a PO's vendor is taken from whichever product sorts first; "Y" cost suffix meaning undocumented.</t>
  </si>
  <si>
    <t xml:space="preserve">Rebuilds IVSOLD (per member: products and quantities bought this year) from ARHIST for chosen members or all ("*").</t>
  </si>
  <si>
    <t xml:space="preserve">reads ARMST, ARHIST · writes IVSOLD</t>
  </si>
  <si>
    <t xml:space="preserve">EXECUTE SSELECT ARHIST</t>
  </si>
  <si>
    <t xml:space="preserve">Lock-wait loop never waits (no LOCKED clause); member taken from key chars 1-4 (assumes 4-digit members).</t>
  </si>
  <si>
    <t xml:space="preserve">One-off (08-23-10) reconciliation that builds a per-member QSTEMP record comparing quantities shipped by product from SCANORD, ARHIST and IVSOLD.</t>
  </si>
  <si>
    <t xml:space="preserve">reads SCANORD, ARHIST, IVSOLD · writes QSTEMP</t>
  </si>
  <si>
    <t xml:space="preserve">EXECUTE SELECT SCANORD/ARHIST/IVSOLD</t>
  </si>
  <si>
    <t xml:space="preserve">Hard-coded 2010 dates; IV.QS column (4) not initialised on insert.</t>
  </si>
  <si>
    <t xml:space="preserve">Loads UPS shipping export CSV content (UPS.PERM records keyed EXP...) onto SCANORD pick/ship records: tracking numbers, package counts, published and negotiated freight cost.</t>
  </si>
  <si>
    <t xml:space="preserve">reads UPS.PERM, SCANORD · writes SCANORD</t>
  </si>
  <si>
    <t xml:space="preserve">EXECUTE SSELECT UPS.PERM IDLIKE EXP..., SSELECT SCANORD WITH PACKAGES &gt; "1"; INCLUDE SCANORD.FIELDS</t>
  </si>
  <si>
    <t xml:space="preserve">Header note "only update if neg.cost different" is not implemented; REMOVE.EXTRA.INFO falls through into SET.VALS.TO.NULL when only one tracking #; error text says "PURGE.UPS"; uses both SCANORD.PKGS and SCANORD.PACKAGES names (include not in extract).</t>
  </si>
  <si>
    <t xml:space="preserve">Builds the IVCAT UPC→product cross-reference by generating a PRO UPC for every IVMST product (2002).</t>
  </si>
  <si>
    <t xml:space="preserve">reads IVMST · writes IVCAT</t>
  </si>
  <si>
    <t xml:space="preserve">Generates PRO UPCs for all products including vendor-branded ones (BUILD.UPC later restricted this); product numbers longer than 4 digits produce over-length UPCs; check digit only uses 11 positions.</t>
  </si>
  <si>
    <t xml:space="preserve">Computes each member's PROMASTER-brand purchases from ARHIST (2002 onward) into ARMST attr 35 PROMASTER.</t>
  </si>
  <si>
    <t xml:space="preserve">reads ARHIST, IVMST, ARMST · writes ARMST (attr 35)</t>
  </si>
  <si>
    <t xml:space="preserve">EXECUTE SSELECT ARHIST WITH DATE &gt; "12.31.01" AND WITH GRP &gt; 0</t>
  </si>
  <si>
    <t xml:space="preserve">Without a member ≥ 9990 in the list the end-of-list path loops forever (GO 40 → GO 10 re-reads the last ID); credits treated differently between group sets; groups 16, 18 and ≥ 20 silently excluded.</t>
  </si>
  <si>
    <t xml:space="preserve">Copy of BUILD.PROMASTER run against ARMST2 / ARHIST.01 / IVMST2 (2001 archive files); only differences listed.</t>
  </si>
  <si>
    <t xml:space="preserve">reads ARHIST.01, IVMST2 · writes ARMST2</t>
  </si>
  <si>
    <t xml:space="preserve">EXECUTE SSELECT ARHIST.01 WITH GRP &gt; 0</t>
  </si>
  <si>
    <t xml:space="preserve">Same infinite-loop risk as BUILD.PROMASTER.</t>
  </si>
  <si>
    <t xml:space="preserve">Assigns PRO-prefix UPCs to IVMST products that have none and records them in IVCAT (02-21-02).</t>
  </si>
  <si>
    <t xml:space="preserve">reads IVMST · writes IVMST (attr 29 UPC), IVCAT</t>
  </si>
  <si>
    <t xml:space="preserve">EXECUTE SELECT IVMST WITH NO UPC</t>
  </si>
  <si>
    <t xml:space="preserve">Products from vendors other than 992 with no UPC also get a PRO UPC (only 992 is filtered); over-length UPCs for 5+ digit products.</t>
  </si>
  <si>
    <t xml:space="preserve">Builds SALES.TEMP per product (total qty sold, number of members, description, group, E-group) from the 2005 IVSOLD archive.</t>
  </si>
  <si>
    <t xml:space="preserve">reads IVSOLD.05, IVMST · writes SALES.TEMP (cleared first)</t>
  </si>
  <si>
    <t xml:space="preserve">Hard-coded archive file IVSOLD.05 despite "ytd" name.</t>
  </si>
  <si>
    <t xml:space="preserve">Runs any LIST/SORT sentence and transfers the captured report to a PC file (default C:\DOWNLOADS\) via the FT file-transfer utility.</t>
  </si>
  <si>
    <t xml:space="preserve">writes BP (temporary TMP_&lt;user&gt;.RPT, then deleted)</t>
  </si>
  <si>
    <t xml:space="preserve">EXECUTE TERM, PTERM, GET-LIST, FT; INCLUDE UTLBP I_GETPORT</t>
  </si>
  <si>
    <t xml:space="preserve">Stray quote at L53 (`TXT.ID'`); writes temp data into the program file BP.</t>
  </si>
  <si>
    <t xml:space="preserve">Manually maintains a product's case and carton pack quantities.</t>
  </si>
  <si>
    <t xml:space="preserve">reads IVMST · writes IVMST</t>
  </si>
  <si>
    <t xml:space="preserve">Exit test ID[1,3]='E' only matches exactly "E"; blank entry wipes existing values; non-numeric accepted.</t>
  </si>
  <si>
    <t xml:space="preserve">One-off copy of ARMST2 attr 29 into ARMST attr 29 for a select list.</t>
  </si>
  <si>
    <t xml:space="preserve">reads ARMST2 · writes ARMST</t>
  </si>
  <si>
    <t xml:space="preserve">Unlocked WRITEV; blanks attr 29 when ARMST2 missing.</t>
  </si>
  <si>
    <t xml:space="preserve">Changes the special instructions on a PRO order (ORDHIST, IVORD and all its vendor orders) if the order has not been started.</t>
  </si>
  <si>
    <t xml:space="preserve">reads ORDHIST, ARMST, VNORD · writes VNORD (attr 7), ORDHIST (attr 9), IVORD (attr 9)</t>
  </si>
  <si>
    <t xml:space="preserve">EDIT.LINE; EXECUTE SELECT VNORD WITH ORDER</t>
  </si>
  <si>
    <t xml:space="preserve">Blank line 1 means no update (instructions cannot be cleared); open-error text says "BP IV3"; dated-order status encoded in free-text instructions.</t>
  </si>
  <si>
    <t xml:space="preserve">After a product's vendor changes, moves that product's open vendor-order lines from the old vendor's VNORD records to the new vendor's and updates NUMBER records.</t>
  </si>
  <si>
    <t xml:space="preserve">reads IVMST, VNMST, VNORD, NUMBER · writes VNORD, NUMBER</t>
  </si>
  <si>
    <t xml:space="preserve">EXECUTE SELECT VNORD, SELECT NUMBER</t>
  </si>
  <si>
    <t xml:space="preserve">Write to the new vendor runs even when the old record was locked/missing or the product wasn't found, re-using the previous line (duplicate lines possible); fixed 3-char vendor prefix breaks for 4-digit vendors; old vendor validated against VNMST while key uses IVMST vendor.</t>
  </si>
  <si>
    <t xml:space="preserve">Marks an order as 1st dated, 2nd dated, or not dated by overwriting its special-instructions field.</t>
  </si>
  <si>
    <t xml:space="preserve">reads IVORD, ARMST · writes IVORD (attr 9), ORDHIST (attr 9), VNORD (attr 7)</t>
  </si>
  <si>
    <t xml:space="preserve">EXECUTE SELECT VNORD WITH ORDER</t>
  </si>
  <si>
    <t xml:space="preserve">Destroys existing special instructions; no locks; dated-order business meaning (billing/terms timing) not defined in code.</t>
  </si>
  <si>
    <t xml:space="preserve">Reports ARMST records with duplicate member names (adjacent in name sort) to the printer and ARERR.</t>
  </si>
  <si>
    <t xml:space="preserve">reads ARMST · writes ARERR</t>
  </si>
  <si>
    <t xml:space="preserve">EXECUTE DHPRT, SSELECT ARMST BY NAME</t>
  </si>
  <si>
    <t xml:space="preserve">Exact-match only (case/spacing variants missed).</t>
  </si>
  <si>
    <t xml:space="preserve">Pre-month-end check (04-26-12) that aborts if Canadian members have any balances.</t>
  </si>
  <si>
    <t xml:space="preserve">reads ARMST · writes VOC ('SJL-RESULT')</t>
  </si>
  <si>
    <t xml:space="preserve">EXECUTE SUM ARMST WITH TYPE = "CAN"</t>
  </si>
  <si>
    <t xml:space="preserve">Inner loop reuses L; `OPEN 'VOC' THEN` / `WRITE ... ON 'SJL-RESULT'` lack a file variable; why Canadian members must carry zero balances before month-end is not explained.</t>
  </si>
  <si>
    <t xml:space="preserve">One-off (2000) fix deleting the last product/qty/amount value on ARHIST.95 records (trailing empty multivalue).</t>
  </si>
  <si>
    <t xml:space="preserve">reads ARHIST.95 · writes ARHIST.95</t>
  </si>
  <si>
    <t xml:space="preserve">none (needs select list)</t>
  </si>
  <si>
    <t xml:space="preserve">Deletes real data if the trailing value is not empty.</t>
  </si>
  <si>
    <t xml:space="preserve">One-off (08-23-10) display of products in QSTEMP not present in a member's IVSOLD.</t>
  </si>
  <si>
    <t xml:space="preserve">reads QSTEMP, IVSOLD · writes none</t>
  </si>
  <si>
    <t xml:space="preserve">Uses QSTEMP attr 2/3 as qty although BLD.QS stores SCANORD qty in 2 and ARHIST qty in 3.</t>
  </si>
  <si>
    <t xml:space="preserve">One-off (10-29-02) renumbering of a series of invoices (+50) in ARHIST keys and ARINV.</t>
  </si>
  <si>
    <t xml:space="preserve">reads ARHIST, ARINV · writes ARHIST, ARINV</t>
  </si>
  <si>
    <t xml:space="preserve">EXECUTE SELECT ARHIST WITH NUMBER GE "100201"</t>
  </si>
  <si>
    <t xml:space="preserve">Not idempotent; target ARHIST key overwritten if it exists; ARINV LOCATE on invoice number only attr 1.</t>
  </si>
  <si>
    <t xml:space="preserve">Converts a not-yet-started order to a 1st or 2nd dated order (2007).</t>
  </si>
  <si>
    <t xml:space="preserve">Duplicates CHG.DATING/CHANGE.INST logic; READVU locks taken in the check loop are not released before "GO 5"; existing special instructions lost.</t>
  </si>
  <si>
    <t xml:space="preserve">Moves all open invoices of FotoSource members (ARMST TYPE = "CAN") onto the FotoSource master account 7000 (06-23-11).</t>
  </si>
  <si>
    <t xml:space="preserve">reads ARMST, ARINV · writes ARMST, ARINV (deletes member ARINV)</t>
  </si>
  <si>
    <t xml:space="preserve">EXECUTE SELECT ARMST WITH TYPE = "CAN"</t>
  </si>
  <si>
    <t xml:space="preserve">Uses gross AMOUNT not open amount (AMOUNT − AMTPAID); only NEW.MON bucket moved, other aging buckets left on members; trimming at L48 chops the last character of the master's existing data when it isn't empty; master written only at the end, so an ABORT mid-run loses deleted member invoices.</t>
  </si>
  <si>
    <t xml:space="preserve">Changes the terms value (attr 11) on an unbilled, active PRO order (03-09-11).</t>
  </si>
  <si>
    <t xml:space="preserve">reads ORDHIST, IVORD, ARMST (VNORD opened, unused) · writes ORDHIST (attr 11), IVORD (attr 11)</t>
  </si>
  <si>
    <t xml:space="preserve">Lock owner taken from SYSTEM(0) instead of STATUS(); billed-date loop never ends if attr 14 holds only value marks; terms not propagated to VNORD.</t>
  </si>
  <si>
    <t xml:space="preserve">One-off copy of IVMST attr 29 UPC into attr 51 W.UPC/EAN for a select list.</t>
  </si>
  <si>
    <t xml:space="preserve">Uses default-file OPEN/READU syntax with the record ID as file; overwrites any existing EAN.</t>
  </si>
  <si>
    <t xml:space="preserve">Copies working files to web-data copies (IVMST.WD, IVDISC.WD, IVORD.WD, SCANORD.WD) for the member website.</t>
  </si>
  <si>
    <t xml:space="preserve">reads IVMST, IVMST.DISC, IVORD, SCANORD · writes IVMST.WD, IVDISC.WD, IVORD.WD, SCANORD.WD</t>
  </si>
  <si>
    <t xml:space="preserve">EXECUTE COPY, SSELECT SCANORD</t>
  </si>
  <si>
    <t xml:space="preserve">`EXECUTE 'Y'` answers a prompt blindly; SCANORD copy does not overwrite-delete stale web rows.</t>
  </si>
  <si>
    <t xml:space="preserve">For a trade show, counts how many distinct E-groups each member bought in a date range (TEMPDATA).</t>
  </si>
  <si>
    <t xml:space="preserve">reads ARHIST, IVMST, IVMST.DISC · writes TEMPDATA (cleared)</t>
  </si>
  <si>
    <t xml:space="preserve">EXECUTE CLEAR-FILE, SSELECT ARHIST, SELECT TEMPDATA</t>
  </si>
  <si>
    <t xml:space="preserve">Blank E-group indexes value position "" (adds to value 0/1 depending on runtime); E-groups &gt; 70 ignored; 800-line cap.</t>
  </si>
  <si>
    <t xml:space="preserve">Translates country-of-origin codes to country names using CONTROL 'COO'.</t>
  </si>
  <si>
    <t xml:space="preserve">reads CONTROL ('COO') · writes none</t>
  </si>
  <si>
    <t xml:space="preserve">Opens and reads CONTROL on every call; CHAIN ABORT on missing COO from inside a subroutine.</t>
  </si>
  <si>
    <t xml:space="preserve">Prints a full page of "X" characters on the laser printer (alignment test for customer rebate checks).</t>
  </si>
  <si>
    <t xml:space="preserve">Name suggests rebate check printing but it is only a test pattern.</t>
  </si>
  <si>
    <t xml:space="preserve">Updates a member's statement date (LST.STMT) or credit limit (ARMST attr 7).</t>
  </si>
  <si>
    <t xml:space="preserve">reads ARMST, LST.STMT · writes ARMST (attr 7), LST.STMT (attr 1)</t>
  </si>
  <si>
    <t xml:space="preserve">No locking; no audit of credit-limit changes; non-numeric limits accepted.</t>
  </si>
  <si>
    <t xml:space="preserve">For a shipped sale transaction (TRANSLOG), appends a UPS WorldShip import line to the DOWNLOADS 'UPS.CSV' staging record and indexes invoice → transaction in UPSIDX.</t>
  </si>
  <si>
    <t xml:space="preserve">reads CONTROL ('UPS.HDRS','UPS.SHIP.PRODS','UPS.VALUES','ENCRYPT.CODES'), TRANSLOG, IVCUST · writes DOWNLOADS ('UPS.CSV'), UPSIDX</t>
  </si>
  <si>
    <t xml:space="preserve">ENCRYPTOR; INCLUDE CSBP I_CS_COMMON, TRANSLOG.FIELDS, IVCUST.FIELDS (not in extract)</t>
  </si>
  <si>
    <t xml:space="preserve">Insurance based on cost not sale; values under INS.MIN declared as $100 rather than INS.MIN; when an alternate ship-to name exists, address/CSZ/phone are taken from shifted fields (ADDR from CSZ&lt;1,3&gt;, CSZ from PHONE&lt;1,3&gt;) — likely wrong; hard-coded default encryption seed.</t>
  </si>
  <si>
    <t xml:space="preserve">Enters consumer rebate claims for a dealer, prints the consumer rebate check, and voids checks.</t>
  </si>
  <si>
    <t xml:space="preserve">reads ARMST, STRNAME, RBTCODES, IVMST, RBTDATA · writes RBTDATA</t>
  </si>
  <si>
    <t xml:space="preserve">Auto-incremented check # is not checked against existing RBTDATA (overwrite risk); L54 missing OR (syntax); "E" at name prompt loops instead of exiting; no AP/GL posting of rebate payments; void amount stored as string "-nnn".</t>
  </si>
  <si>
    <t xml:space="preserve">Reprints/prints consumer rebate checks from RBTDATA for a check-number range not yet flagged printed.</t>
  </si>
  <si>
    <t xml:space="preserve">reads RBTDATA, IVMST · writes RBTDATA (attr 7 PRINTED flag)</t>
  </si>
  <si>
    <t xml:space="preserve">EXECUTE SSELECT RBTDATA</t>
  </si>
  <si>
    <t xml:space="preserve">Printed flag written before print; `CHKN0` (zero) typo var unused.</t>
  </si>
  <si>
    <t xml:space="preserve">Enter a consumer rebate (dealer, rebate code, products, consumer address), store in RBTDATA and print the rebate check on a LaserJet; also voids checks.</t>
  </si>
  <si>
    <t xml:space="preserve">L64 `IF ZIP = 'E' ZIP='END'` missing OR (syntax/logic bug); CUSTRBT.LJ is a near-duplicate.</t>
  </si>
  <si>
    <t xml:space="preserve">Duplicate of CUST.RBT.LJ (consumer rebate entry + check print) with a different check layout including a MICR line.</t>
  </si>
  <si>
    <t xml:space="preserve">Fixes the L64 ZIP OR bug of CUST.RBT.LJ (L66 has OR). Which of the two is live is unknown.</t>
  </si>
  <si>
    <t xml:space="preserve">Copy of CUST.RBT.LJ that records consumer rebates in RBTDATA without printing a check (checks printed later by CUST.RBT.CHKS).</t>
  </si>
  <si>
    <t xml:space="preserve">L62 `IF STATE = 'E' STATE='END'` missing OR. Unused PCL vars/FORM array left over.</t>
  </si>
  <si>
    <t xml:space="preserve">Variant of CUSTRBT.NEW that takes the next rebate check number from CONTROL instead of operator entry; no void function.</t>
  </si>
  <si>
    <t xml:space="preserve">reads ARMST, STRNAME, RBTCODES, IVMST, CONTROL · writes RBTDATA, CONTROL</t>
  </si>
  <si>
    <t xml:space="preserve">Counter only persisted on clean exit (crash/disconnect reuses numbers); two users would share/collide; L57 STATE OR bug.</t>
  </si>
  <si>
    <t xml:space="preserve">Deletes one open invoice from a member's ARINV record and backs its open balance out of ARMST aging buckets.</t>
  </si>
  <si>
    <t xml:space="preserve">reads ARMST, ARINV · writes ARMST, ARINV</t>
  </si>
  <si>
    <t xml:space="preserve">MATREADU without LOCKED clause conflates locked and not-found (L15,L17); no confirmation before delete; no audit.</t>
  </si>
  <si>
    <t xml:space="preserve">Deletes a shipping number record from NUMBER and resets the related vendor order (VNORD) attr 12 to 0.</t>
  </si>
  <si>
    <t xml:space="preserve">reads NUMBER, IVORD, ARMST, VNORD · writes NUMBER (delete), VNORD</t>
  </si>
  <si>
    <t xml:space="preserve">L14 on missing ARMST shows stale/undefined NAME; blank = confirm is dangerous.</t>
  </si>
  <si>
    <t xml:space="preserve">Zeroes a member's ARMST balances and deletes the member's ARINV, BVEND, IVEND, IVSOLD detail records (keeps ARMST record).</t>
  </si>
  <si>
    <t xml:space="preserve">reads ARMST · writes ARMST, ARINV/BVEND/IVEND/IVSOLD (delete)</t>
  </si>
  <si>
    <t xml:space="preserve">Hard-coded passwords in source; no record locking; history destruction with no audit.</t>
  </si>
  <si>
    <t xml:space="preserve">Test harness that converts an amount in cents to check-writing words using word table CONTROL 'MONEY'.</t>
  </si>
  <si>
    <t xml:space="preserve">reads CONTROL ('MONEY') · writes none</t>
  </si>
  <si>
    <t xml:space="preserve">L47 tests BUCKS=1 after BUCKS has been truncated, so e.g. $101 prints "Dollar"; interactive input meant to be replaced (L15 comment).</t>
  </si>
  <si>
    <t xml:space="preserve">1985 suggested-order calculator: for a product group, computes reorder quantity from monthly sales history and writes it to ORDER file.</t>
  </si>
  <si>
    <t xml:space="preserve">reads IVMST, CONTROL ('UPD') · writes ORDER (optionally CLEARFILE)</t>
  </si>
  <si>
    <t xml:space="preserve">EXECUTE SSELECT IVMST WITH GRP</t>
  </si>
  <si>
    <t xml:space="preserve">L14 says wait 10-@DAY days but the test is @DAY&lt;20; attr 2 usage conflicts with dict name ORD.QTY; HALF logic L51 likely wrong (I=B+1 after loop). Likely OBSOLETE overall (1985).</t>
  </si>
  <si>
    <t xml:space="preserve">Prints annual patronage dividend checks (with stub) for members in STOCK with a dividend, and records each check in APBR.</t>
  </si>
  <si>
    <t xml:space="preserve">reads STOCK, ARMST, ARMST2 · writes APBR</t>
  </si>
  <si>
    <t xml:space="preserve">EXECUTE SSELECT STOCK WITH DIV40 GT 0 BY NAME; TERM</t>
  </si>
  <si>
    <t xml:space="preserve">Zero/negative paid amounts still print (selection is on DIV40 not PAID); totals page printed on a check stock form and also written to APBR under next check #.</t>
  </si>
  <si>
    <t xml:space="preserve">Draws a box on the terminal using per-terminal graphics chars from TERMINALS.</t>
  </si>
  <si>
    <t xml:space="preserve">reads TERMINALS · writes none</t>
  </si>
  <si>
    <t xml:space="preserve">Pages a field-mark-delimited report on screen 21 lines at a time with Back/End/custom prompt.</t>
  </si>
  <si>
    <t xml:space="preserve">Parses vendor credit memos from staging record EDI 'CREDITS' (for non-PRO "MDS" billing) and writes one EDICREDITS record per credit with computed terms and surcharge.</t>
  </si>
  <si>
    <t xml:space="preserve">reads EDI ('CREDITS','ERROR'), CONTROL ('UPD','DAYS','EDIC'), APMST, VNIDX, VNMST, ARMST, VENDORD · writes EDICREDITS, EDI ('ERROR', 'CREDITS' rewritten then deleted), CONTROL ('EDIC')</t>
  </si>
  <si>
    <t xml:space="preserve">AGING (L162), NET, APAMT computed but unused; empty IF at L40-41; AMT taken from &lt;8&gt; as-is with ICONV MD2 (input dollars, stored cents); ERRS/GCTOT not initialized; RELEASE of ARMST/VENDORD never locked; on APMST error EDI 'CREDITS' rewritten with the remaining (not current) data.</t>
  </si>
  <si>
    <t xml:space="preserve">Older (11/2001) copy of EDI.UPDATE, the EDI drop-ship ("non-PRO MDS") billing run; rules listed in full because it was read before EDI.UPDATE, see EDI.UPDATE for the current logic: parses vendor invoices from staging record EDI 'DATA', bills members in AR (ARINV/ARSHIP/ARMST), books AP (APDIST/APHIST/APMST), updates vendor and PO-tracking totals; negative invoices are parked in EDICREDITS.</t>
  </si>
  <si>
    <t xml:space="preserve">reads EDI ('DATA','ERROR'), CONTROL ('UPD','APBAT','APPER','DAYS','NEXT.EDICR','INV','MS'), APMST, VNIDX, VNMST, ARMST, VENDORD, APHIST, ARINV, IVEND · writes EDI ('DATA','ERROR', delete 'DATA'), EDICREDITS, CONTROL ('APBAT','NEXT.EDICR','INV','MS'), APMST, VNMST, VENDORD, IVEND, ARMST, APDIST, APHIST, ARINV, ARSHIP</t>
  </si>
  <si>
    <t xml:space="preserve">VDISC reused as both vendor discount rate (L225) and discount accumulator (L279), so A/P DISC total is wrong; first GOSUB 55 uses unassigned VEND; ARINV MATREADU (L287) has no LOCKED clause (silent fallthrough); shipping is not added to AMT (L224 commented) but is listed on ARSHIP; on vendor/member error the remaining queue (not the bad invoice) is rewritten to EDI 'DATA'; EDICREDITS gets raw EDI text here but a structured record from EDI.CREDIT (two layouts in one file).</t>
  </si>
  <si>
    <t xml:space="preserve">Current EDI drop-ship ("non-PRO MDS") billing run: validates and posts vendor invoices from staging record EDI 'DATA' to member AR (ARINV/ARSHIP/ARMST) and vendor AP (APDIST/APHIST/APMST), tracks PO billing, then chains EDI.CREDIT for credit invoices.</t>
  </si>
  <si>
    <t xml:space="preserve">reads EDI ('DATA'), CONTROL ('UPD','APBAT','APPER','INV','MS'), APMST, VNIDX, VNMST, ARMST, VENDORD, APHIST, ARINV, IVEND · writes EDI ('DATA','ERROR','EDIAMTS','CREDITS','EDIVEND','EDITERMS','EDIDUPS'), CONTROL, APMST, VNMST, VENDORD, IVEND, ARMST, APDIST, APHIST, ARINV, ARSHIP, EDILOG</t>
  </si>
  <si>
    <t xml:space="preserve">EXECUTE RUN BP EDI.CREDIT (when credits found)</t>
  </si>
  <si>
    <t xml:space="preserve">L129 increments ERR not ERRS so amount-mismatch errors are not counted/listed; VDISC reused as rate and accumulator so A/P DISC total wrong; ARINV MATREADU (L349) no LOCKED clause; CLOSED.MN uninitialized; first GOSUB 55 with unassigned VEND; operator-contact comment with phone number at L80; IVEND READU has no lock handling.</t>
  </si>
  <si>
    <t xml:space="preserve">Raw-keystroke full-line editor for green-screen input fields (insert/overtype, arrows, ESC/up exit).</t>
  </si>
  <si>
    <t xml:space="preserve">INCLUDE BP I_RAWINP</t>
  </si>
  <si>
    <t xml:space="preserve">none material.</t>
  </si>
  <si>
    <t xml:space="preserve">Rebuilds EGRPSLS: per-member sales totals by product e-group (IVMST attr 39 EGRP) for a date range from ARHIST.</t>
  </si>
  <si>
    <t xml:space="preserve">reads ARHIST, IVMST, IVMST.DISC · writes EGRPSLS (cleared first)</t>
  </si>
  <si>
    <t xml:space="preserve">EXECUTE CLEAR-FILE DATA EGRPSLS; SSELECT ARHIST</t>
  </si>
  <si>
    <t xml:space="preserve">TD(76)&lt;1,PROD&gt;=1 uses product number as a value position (huge sparse records); DIM TD(100) breaks if EGRP &gt; 100 or collides with 75/76; an empty record is written for key '' on the first member; OPEN failures only print and continue.</t>
  </si>
  <si>
    <t xml:space="preserve">Enter a member's sales amount and rebate percentage to compute a vendor-rebate check amount stored in MISC.</t>
  </si>
  <si>
    <t xml:space="preserve">reads ARMST · writes MISC</t>
  </si>
  <si>
    <t xml:space="preserve">No input validation; overwrites prior MISC values. Later version of ENTER.MISC.</t>
  </si>
  <si>
    <t xml:space="preserve">Builds an 'email.bat' command line in the FSINV directory file to email an FSINV invoice attachment via the ericmail utility.</t>
  </si>
  <si>
    <t xml:space="preserve">reads/writes FSINV ('email.bat')</t>
  </si>
  <si>
    <t xml:space="preserve">none (DOS execute commented out)</t>
  </si>
  <si>
    <t xml:space="preserve">Execute is commented out, so no email is sent from here; IDATE param unused.</t>
  </si>
  <si>
    <t xml:space="preserve">Builds INVOICES.DBF (email notification feed) listing invoice PDF URLs per member for invoices posted on a given date.</t>
  </si>
  <si>
    <t xml:space="preserve">reads WEBSTMT (ARHIST opened, unused) · writes INVOICES.DBF (cleared first)</t>
  </si>
  <si>
    <t xml:space="preserve">EXECUTE CLEAR-FILE, SSELECT WEBSTMT</t>
  </si>
  <si>
    <t xml:space="preserve">L35 `IF ... COUNT = COUNT + 1` lacks THEN; no header comment/date.</t>
  </si>
  <si>
    <t xml:space="preserve">Quick entry of harmonized tariff (HS) codes onto products.</t>
  </si>
  <si>
    <t xml:space="preserve">reads/writes IVMST</t>
  </si>
  <si>
    <t xml:space="preserve">L8 `PROD[1.1]` typo (should be [1,1]) so E may not exit.</t>
  </si>
  <si>
    <t xml:space="preserve">Earlier (01/1994) version of EM.1 with a fixed rebate rate.</t>
  </si>
  <si>
    <t xml:space="preserve">1984 log of mailing envelopes/packages (date shipped, AM/PM, method, origin office) in PRO.ENV, purging old entries on exit.</t>
  </si>
  <si>
    <t xml:space="preserve">reads/writes PRO.ENV, DICT PRO.ENV ('ENV' counter)</t>
  </si>
  <si>
    <t xml:space="preserve">EXECUTE SORT/SELECT PRO.ENV; CALL !SLEEP$</t>
  </si>
  <si>
    <t xml:space="preserve">Bill date (field 5) prompt disabled in add loop but still offered on edit; L67 `R(1)ELSE` spacing.</t>
  </si>
  <si>
    <t xml:space="preserve">Sends escape code to set an Epson 5000 printer to draft mode.</t>
  </si>
  <si>
    <t xml:space="preserve">none · Calls: none</t>
  </si>
  <si>
    <t xml:space="preserve">Sets Epson 5000 printer to near-letter-quality mode.</t>
  </si>
  <si>
    <t xml:space="preserve">Sends a form feed to the Epson 5000 printer.</t>
  </si>
  <si>
    <t xml:space="preserve">Diagnostic: displays UNIX permissions of a file after a write error.</t>
  </si>
  <si>
    <t xml:space="preserve">reads file STATUS of passed FILE · Calls: none</t>
  </si>
  <si>
    <t xml:space="preserve">Interactive version of FILE.STATS.SUB showing a file's permissions.</t>
  </si>
  <si>
    <t xml:space="preserve">One-off (2003) fix-up resetting ARINV aging for EDI invoices from the due date logged in EDILOG.</t>
  </si>
  <si>
    <t xml:space="preserve">reads EDILOG, ARINV · writes ARINV</t>
  </si>
  <si>
    <t xml:space="preserve">none (uses an active select list)</t>
  </si>
  <si>
    <t xml:space="preserve">Month-only arithmetic ignores year (Dec/Jan wrap gives wrong age); MATREADU no LOCKED clause; error messages say ARING.</t>
  </si>
  <si>
    <t xml:space="preserve">Fix-up: set aging to an operator-entered value for all of one member's invoices dated on/before a cutoff.</t>
  </si>
  <si>
    <t xml:space="preserve">reads ARMST, ARINV · writes ARINV</t>
  </si>
  <si>
    <t xml:space="preserve">Does not re-bucket ARMST aging totals; MATREADU no LOCKED clause.</t>
  </si>
  <si>
    <t xml:space="preserve">Month-end fix-up: for invoices of a given date with terms 0 and aging 0, set aging to -1.</t>
  </si>
  <si>
    <t xml:space="preserve">reads/writes ARINV</t>
  </si>
  <si>
    <t xml:space="preserve">EXECUTE SELECT ARINV WITH DATE</t>
  </si>
  <si>
    <t xml:space="preserve">Why terms-0 invoices must be aged -1 is undocumented; MATREADU no LOCKED clause.</t>
  </si>
  <si>
    <t xml:space="preserve">One-off conversion of ARINV invoice dates (attr 2) from MM/DD/YY text to internal date.</t>
  </si>
  <si>
    <t xml:space="preserve">none (active select list)</t>
  </si>
  <si>
    <t xml:space="preserve">READVU without LOCKED clause.</t>
  </si>
  <si>
    <t xml:space="preserve">One-off (10/2011) fix-up making ARINV open-invoice amounts equal the ARHIST line total (adding missing FSTOT), and adjusting ARMST balances.</t>
  </si>
  <si>
    <t xml:space="preserve">reads ARHIST, ARINV, ARMST · writes ARINV, ARMST</t>
  </si>
  <si>
    <t xml:space="preserve">INCLUDE ARHIST.FIELDS/ARINV.FIELDS/ARMST.FIELDS; EXECUTE SUM ARMST, SELECT ARHIST</t>
  </si>
  <si>
    <t xml:space="preserve">Writes 7000 records only at end (long lock); one-off.</t>
  </si>
  <si>
    <t xml:space="preserve">Fix-up for Canadian UPS shipments not combined: merges dependent shipping numbers into the master's line in the UPS_DOM CSV staging records and re-keys UPS_INT lines to the master.</t>
  </si>
  <si>
    <t xml:space="preserve">reads SCANORD, UPS ('UPS_DOM.CSV', '_2.CSV', '_4.CSV', 'UPS_INT...') · writes UPS (same records)</t>
  </si>
  <si>
    <t xml:space="preserve">Writes the files inside the per-line loop (L41-44) and runs UPD.INT once per line; _2/_4 variants are overwritten with the base file content; READU locks never released before STOP.</t>
  </si>
  <si>
    <t xml:space="preserve">Fix-up that re-prices lines of selected IVORD orders from current IVMST cost and recalculates order total.</t>
  </si>
  <si>
    <t xml:space="preserve">reads IVMST, IVORD · writes IVORD</t>
  </si>
  <si>
    <t xml:space="preserve">One-off fix; MATREADU no LOCKED clause; PCT concatenation unit ambiguity (confirm against order-entry pricing).</t>
  </si>
  <si>
    <t xml:space="preserve">Fix-up (2011) removing a second occurrence of a product from SCANORD, IVORD, ORDHIST and VNORD order lines and adjusting order totals.</t>
  </si>
  <si>
    <t xml:space="preserve">reads/writes SCANORD, IVORD, ORDHIST, VNORD, DICT SCANORD, DICT ORDHIST; reads IVMST</t>
  </si>
  <si>
    <t xml:space="preserve">INCLUDE *.FIELDS; EXECUTE SELECT</t>
  </si>
  <si>
    <t xml:space="preserve">REMOVE.DUP never sets UPD=1 so SCANORD is never written, and FCNT is never reset; product validated via IVMST attr 3 (dict says REQ; DESC is 4); 'D' at prompts drops into debugger.</t>
  </si>
  <si>
    <t xml:space="preserve">Fix-up that rewrites the &lt;ORDERNUMBER&gt; tag in FSINV XML invoice staging records with the member PO from ARHIST.</t>
  </si>
  <si>
    <t xml:space="preserve">reads ARHIST · reads/writes FSINV</t>
  </si>
  <si>
    <t xml:space="preserve">Depends on tag order (ORDERNUMBER must follow the other two); READU without LOCKED.</t>
  </si>
  <si>
    <t xml:space="preserve">Fix-up (2003) re-applying receiving log (RECLOG) quantities/amounts onto PO lines in IVPO.</t>
  </si>
  <si>
    <t xml:space="preserve">reads RECLOG, IVPO · writes IVPO</t>
  </si>
  <si>
    <t xml:space="preserve">Receive date overwritten with run date, not actual receipt date; overwrites (not adds) when multiple receipts; MATREADU no LOCKED clause.</t>
  </si>
  <si>
    <t xml:space="preserve">One-off (2007) correction moving monthly order history value 12 into value 9 of IVMST attr 17 MORD, backing up the old value to TEMP.</t>
  </si>
  <si>
    <t xml:space="preserve">reads/writes IVMST, TEMP</t>
  </si>
  <si>
    <t xml:space="preserve">Rebuilds ARMST attr 17 ORDERS (open-order dollars) for all members from IVORD.</t>
  </si>
  <si>
    <t xml:space="preserve">reads IVORD · writes ARMST</t>
  </si>
  <si>
    <t xml:space="preserve">EXECUTE SSELECT IVORD BY MEMBER</t>
  </si>
  <si>
    <t xml:space="preserve">Max 500 lines per order; 1989 program.</t>
  </si>
  <si>
    <t xml:space="preserve">Fix-up filling missing PO cost on IVMST open-PO multivalues from IVPO.</t>
  </si>
  <si>
    <t xml:space="preserve">reads IVPO · reads/writes IVMST</t>
  </si>
  <si>
    <t xml:space="preserve">EXECUTE SELECT IVMST WITH PO.NUM</t>
  </si>
  <si>
    <t xml:space="preserve">MATREADU no LOCKED clause; rewrites every product even if unchanged.</t>
  </si>
  <si>
    <t xml:space="preserve">One-off renumbering of consumer rebate checks.</t>
  </si>
  <si>
    <t xml:space="preserve">reads/writes RBTDATA</t>
  </si>
  <si>
    <t xml:space="preserve">EXECUTE SELECT RBTDATA</t>
  </si>
  <si>
    <t xml:space="preserve">Creates duplicates (old records kept).</t>
  </si>
  <si>
    <t xml:space="preserve">One-off (2009) re-key of SERIAL.NOS to PROD:SERIAL.</t>
  </si>
  <si>
    <t xml:space="preserve">reads/writes SERIAL.NOS</t>
  </si>
  <si>
    <t xml:space="preserve">4-char product assumption.</t>
  </si>
  <si>
    <t xml:space="preserve">Recomputes a member's YTD sales, surcharge and PRO sales in ARMST from ORDHIST (selected externally) plus IVEND.</t>
  </si>
  <si>
    <t xml:space="preserve">reads ORDHIST, IVMST, IVEND · writes ARMST</t>
  </si>
  <si>
    <t xml:space="preserve">ARMST zeroed per order (L49) but totals accumulate across orders and written once at end for last ARID — breaks if more than one member selected; IVMST locked but never written; ARLOG update commented out. Contrast surcharge formula with FIX.COST markup.</t>
  </si>
  <si>
    <t xml:space="preserve">Recalculates total received cost per PO line in IVPO.</t>
  </si>
  <si>
    <t xml:space="preserve">reads/writes IVPO</t>
  </si>
  <si>
    <t xml:space="preserve">MATREAD (no lock) then MATWRITE every PO.</t>
  </si>
  <si>
    <t xml:space="preserve">One-off (2007) copy of 12-digit UPCs from IVCAT cross-reference into IVMST attr 29 UPC.</t>
  </si>
  <si>
    <t xml:space="preserve">reads IVCAT · writes IVMST</t>
  </si>
  <si>
    <t xml:space="preserve">EXECUTE SELECT IVCAT</t>
  </si>
  <si>
    <t xml:space="preserve">IVCAT dict has no DESC field (selection criteria unclear).</t>
  </si>
  <si>
    <t xml:space="preserve">1998 extract of member unit purchases of specific PRO-brand AF lenses and FTD flashes from IVSOLD into TEMPDATA (for a flyer/promo).</t>
  </si>
  <si>
    <t xml:space="preserve">reads IVSOLD · writes TEMPDATA (cleared first)</t>
  </si>
  <si>
    <t xml:space="preserve">EXECUTE CLEAR-FILE, SSELECT IVSOLD</t>
  </si>
  <si>
    <t xml:space="preserve">Max 800 lines per IVSOLD record; IVSOLD is cumulative (no date filter).</t>
  </si>
  <si>
    <t xml:space="preserve">Extracts member units and dollars for 11 Freez-A-Frame products from ARHIST for a date range into TEMPDATA.</t>
  </si>
  <si>
    <t xml:space="preserve">reads ARHIST · writes TEMPDATA (cleared first)</t>
  </si>
  <si>
    <t xml:space="preserve">EXECUTE CLEAR-FILE, SSELECT ARHIST WITH VNAME = "" AND DATE range</t>
  </si>
  <si>
    <t xml:space="preserve">Max 600 lines per ARHIST record.</t>
  </si>
  <si>
    <t xml:space="preserve">Not a program: list of XML tag names making up an FSINV electronic invoice (header and line fields).</t>
  </si>
  <si>
    <t xml:space="preserve">Returns the terminal slave-printer port from CONTROL 'SLAVEPORT', prompting and saving it if missing.</t>
  </si>
  <si>
    <t xml:space="preserve">reads/writes CONTROL ('SLAVEPORT' attr 2) · Calls: none</t>
  </si>
  <si>
    <t xml:space="preserve">Single global port for all users.</t>
  </si>
  <si>
    <t xml:space="preserve">n/a (compiled object code, no source)</t>
  </si>
  <si>
    <t xml:space="preserve">Compiled (object) version of a quarterly member rebate check print program; source is not in BP. Content below is inferred only from embedded strings.</t>
  </si>
  <si>
    <t xml:space="preserve">(strings) ARMST, VNMST, MISC, TEMPDATA · writes unknown</t>
  </si>
  <si>
    <t xml:space="preserve">(strings) SSELECT MISC BY NAME</t>
  </si>
  <si>
    <t xml:space="preserve">No source available — need the source (D:\accounts\Pro_SW\BP/HOLD_QTRRBT.CHK per embedded path) to inventory rules; vendor program names and years hard-coded.</t>
  </si>
  <si>
    <t xml:space="preserve">Sends PCL reset to HP8000 printer.</t>
  </si>
  <si>
    <t xml:space="preserve">Sets HP8000 printer to landscape and prints a test line.</t>
  </si>
  <si>
    <t xml:space="preserve">none · Calls: EXECUTE SETPTR</t>
  </si>
  <si>
    <t xml:space="preserve">Inventory date-entry parser/validator with allowed past/future day windows.</t>
  </si>
  <si>
    <t xml:space="preserve">Non-numeric/negative checks come after cases that already used PAST/FUTURE, so they only fire when both are set.</t>
  </si>
  <si>
    <t xml:space="preserve">Capture serial numbers of cameras received, validated against per-product serial formats.</t>
  </si>
  <si>
    <t xml:space="preserve">reads CONTROL ('SERIAL.CTRL'), IVMST · writes SERIAL.NOS</t>
  </si>
  <si>
    <t xml:space="preserve">EDIT.LINE (only via unused INP.DATA); INCLUDE IVMST.FIELDS, SERIAL.NOS.FIELDS</t>
  </si>
  <si>
    <t xml:space="preserve">Header/error text says RECV.SERIAL.NUMS; READU on existing serial leaves lock; E during serial entry STOPs the whole program.</t>
  </si>
  <si>
    <t xml:space="preserve">Scan a UPC onto a product.</t>
  </si>
  <si>
    <t xml:space="preserve">reads/writes IVMST, IVCAT</t>
  </si>
  <si>
    <t xml:space="preserve">Old UPC's IVCAT entry not removed when replaced; a UPC already pointing to another product is silently re-pointed.</t>
  </si>
  <si>
    <t xml:space="preserve">Maintain the single yen conversion rate in CONTROL 'YEN'.</t>
  </si>
  <si>
    <t xml:space="preserve">reads/writes CONTROL ('YEN')</t>
  </si>
  <si>
    <t xml:space="preserve">No history/effective date/audit of rate changes.</t>
  </si>
  <si>
    <t xml:space="preserve">Builds an EDI-format billing batch (IPBILL 'DATA', same ENDOFINVOICE layout consumed by EDI.UPDATE) for imaging-service charges in a date range, one invoice per member per vendor.</t>
  </si>
  <si>
    <t xml:space="preserve">reads IPBILL, VENDXREF · writes IPBILL ('TEMPREC','DATA')</t>
  </si>
  <si>
    <t xml:space="preserve">EXECUTE DELETE IPBILL TEMPREC, SSELECT IPBILL BY ACCOUNT BY VENDOR</t>
  </si>
  <si>
    <t xml:space="preserve">IPBILL 'DATA' not cleared first (stale tail lines possible); date prompt says MM.DD.YY but pattern requires '/'; vendor-not-on-file aborts the whole run; DIM DATA(999) limit; OPEN failures ignored.</t>
  </si>
  <si>
    <t xml:space="preserve">Converts an IPI/affiliate member account to a full PRO member under a new account number, moving AR and history records.</t>
  </si>
  <si>
    <t xml:space="preserve">reads CONTROL ('AR'), ARMST, ARINV, IVEND, IVSOLD, ARHIST, IVORD · writes ARMST, ARMST.OLD, ARINV, IVEND, IVSOLD, ARHIST, STOCK, VENDORD (delete), CONTROL</t>
  </si>
  <si>
    <t xml:space="preserve">EXECUTE SELECT IVORD/ARHIST; UPD.ARLOG (commented out)</t>
  </si>
  <si>
    <t xml:space="preserve">IVSOLD READU sets FND=0 in both THEN and ELSE (L62), so IVSOLD is never moved and is left under the old account; ARHIST key assumes 4-char account; ARLOG commented out.</t>
  </si>
  <si>
    <t xml:space="preserve">Multi-store retail inventory adjustments (serial change, value adjustment, warehouse reduction, delete serialized item, store bulk stock, remove batch sale date, purge log) with an IVADJ audit trail.</t>
  </si>
  <si>
    <t xml:space="preserve">reads CONTROL ('WHO','WHSE','STRS','STORES','IV','ADJPUR','ADJ'), IVMST, IVINV, IVCAT (via I_READ_IVCAT) · writes IVMST, IVINV, IVADJ, CONTROL ('ADJPUR','ADJ'); BAGS, IVSOLD opened but unused</t>
  </si>
  <si>
    <t xml:space="preserve">MONEY; INCLUDE IVBP I_READ_IVCAT</t>
  </si>
  <si>
    <t xml:space="preserve">L476 tests OPTION = 1 for value increase/decrease prompts but value adjustment is option 2; option 5 logs A(5)=COST computed only in sub 600; MONEY routine units unknown; IVADJ counter read with READVU then written separately (race).</t>
  </si>
  <si>
    <t xml:space="preserve">Turns the suggested-order work file ORDER (product → qty) into a vendor purchase order in IVPO and posts the open PO onto each product's IVMST PO fields.</t>
  </si>
  <si>
    <t xml:space="preserve">reads ORDER, IVMST, IVPO · writes IVPO, IVMST, ORDER (CLEARFILE), PGM.AUDIT (RECLOG, POADJ, IVCAT, CONTROL opened, unused)</t>
  </si>
  <si>
    <t xml:space="preserve">INCLUDE UTLBP I_GETWHO; EXECUTE SELECT ORDER</t>
  </si>
  <si>
    <t xml:space="preserve">New PO vendor taken from M(5) before any IVMST read (M is blank) so new POs get no vendor (L50); products missing from IVMST silently skipped; duplicate products not merged.</t>
  </si>
  <si>
    <t xml:space="preserve">Rebuilds the FSINV invoice export (XLS/XML) for Canadian members' invoices of a prior billing date and optionally emails it to PhotoSource.</t>
  </si>
  <si>
    <t xml:space="preserve">reads CONTROL ('FSINV.FIELDS','FSINV.EMAIL.PARAMS'), ARHIST, SCANORD, ORDHIST, IVMST, ARMST · writes FSINV (via subroutine)</t>
  </si>
  <si>
    <t xml:space="preserve">IV.UPD.FSINV.XLS, EMAIL.FSINV; EXECUTE SELECT ARHIST</t>
  </si>
  <si>
    <t xml:space="preserve">Error text names IV.UPD.SCANORD; PASS program name typo 'IV..BLD.FSINV'; ARSHIP passed but never opened.</t>
  </si>
  <si>
    <t xml:space="preserve">Read-only product inquiry screen (copied from product maintenance in 2004) showing master data, costs/prices, groups, vendors, stock/PO figures and monthly order/shipment history vs prior year.</t>
  </si>
  <si>
    <t xml:space="preserve">reads IVMST, IVMST.&lt;prior yy&gt;, IVCAT, IGROUPS, EGROUPS, VNMST, APMST, CONTROL ('UPD','COO'), SCREENS ('IV.DSP.PROD', '.PRMTS') · writes none</t>
  </si>
  <si>
    <t xml:space="preserve">EDIT.LINE, DRAW.BOX; INCLUDE FILE.INCLUDES *.FIELDS (field numbers come from includes not present in the extract)</t>
  </si>
  <si>
    <t xml:space="preserve">DSP.GRP sets ROW instead of MROW (L215); field numbers depend on FILE.INCLUDES not in the extract; REQ/REBATE.PCT/WHSREB/WHSIPI fields mapping not verifiable here.</t>
  </si>
  <si>
    <t xml:space="preserve">Records member product returns (for auto-credits) in RETURNS and accumulates returned quantities by reason in VNRET for vendor return tracking.</t>
  </si>
  <si>
    <t xml:space="preserve">reads ARMST, IVMST, IVCAT, CONTROL ('RETURN') · writes RETURNS, VNRET, CONTROL</t>
  </si>
  <si>
    <t xml:space="preserve">No credit is actually computed here despite "Auto-Credits" title; VNRET totals never reset/dated.</t>
  </si>
  <si>
    <t xml:space="preserve">Warehouse pick/pack scanning of a shipment (NUMBER → VNORD order): validates scanned products/quantities, captures serials, pends or closes the shipment in SCANORD, triggers UPS staging and packing list.</t>
  </si>
  <si>
    <t xml:space="preserve">reads NUMBER, IVEMP, VNORD, IVMST, IVCAT, CONTROL ('SERIAL.CTRL','UPS.PARAMS'), ARMST, IVORD · writes SCANORD, VNORD, SERIAL.NOS, SERIAL.CARD</t>
  </si>
  <si>
    <t xml:space="preserve">UPD.UPS; EXECUTE RUN IV.PRT.PACKLIST; INCLUDE I_READ_IVCAT, IVMST.FIELDS, VNORD.FIELDS</t>
  </si>
  <si>
    <t xml:space="preserve">L261 passes UPSIDX (undefined) instead of UPS.IDX file var; future-hold test blocks orders whose ship date is today; MATWRITEU after each scan keeps locks; error text says IV.INP.SCANNORD.</t>
  </si>
  <si>
    <t xml:space="preserve">Enter shipping charges for shipments (SCANORD) awaiting shipping, adding a 9999 shipping line and marking them complete.</t>
  </si>
  <si>
    <t xml:space="preserve">reads SCANORD, NUMBER, ARMST · writes SCANORD</t>
  </si>
  <si>
    <t xml:space="preserve">MONEY; EXECUTE SSELECT SCANORD WITH COMP = "NS"</t>
  </si>
  <si>
    <t xml:space="preserve">L8 opens CONTROL into the NUMBER file variable, so NUMBER reads hit CONTROL (likely aborts every record); confirmed zero charge leaves status NS forever; ORD computed but unused.</t>
  </si>
  <si>
    <t xml:space="preserve">Prints keys from the active select list as text labels on a Blazer label printer via aux port.</t>
  </si>
  <si>
    <t xml:space="preserve">none · Calls: !SLEEP$</t>
  </si>
  <si>
    <t xml:space="preserve">Product master maintenance (add/change): descriptions, groups, PRO and actual vendor, costs, price tiers, retail/MAP, surcharge %, UPC/catalog cross-refs, pack quantities, rebate %; propagates price and vendor changes to open orders.</t>
  </si>
  <si>
    <t xml:space="preserve">reads/writes IVMST, IVCAT, CONTROL ('PID'); reads APMST, VNMST, IGROUPS, EGROUPS, GROUPS, SCREENS</t>
  </si>
  <si>
    <t xml:space="preserve">EDIT.LINE, DSP.REPORT, MONEY; EXECUTE RUN IV8 (reprice orders), RUN CHANGE.VNORD (vendor change on orders), SORT-LABEL; INCLUDE FILE.INCLUDES *.FIELDS (field numbers not in extract)</t>
  </si>
  <si>
    <t xml:space="preserve">Surcharge % is multiplied by 10 on every edit including accepting the existing (already x10) value (L547); whole-number RAW cost not converted while help says dollars; non-numeric surcharge accepted; DIM IVM(50) vs IVMST attrs up to 69 (UniVerse packs overflow into element 50); DSP.GRP sets ROW not MROW; MATREADU lock held during whole edit; older than IV.DSP.PROD (no HOLD/weight/COO fields).</t>
  </si>
  <si>
    <t xml:space="preserve">Full-screen product master maintenance (newest variant, 2011+, adds DUTY and ENTRY.NO): add/repeat/change products, vendors, groups, costs/prices, UPC/catalog cross-refs, logistics and customs fields, with change logging and authority codes.</t>
  </si>
  <si>
    <t xml:space="preserve">reads IVMST, IVMST.DISC, APMST, VNMST, IGROUPS, EGROUPS, IVCAT, CONTROL ('COO','IV.MNT.PROD','PID'), SCREENS · writes IVMST, IVCAT, IVMST.LOG, CONTROL 'PID'</t>
  </si>
  <si>
    <t xml:space="preserve">EDIT.LINE, MONEY, DSP.REPORT; EXECUTE RUN IV8, RUN CHANGE.VNORD, SORT-LABEL. Field attribute numbers come from INCLUDE FILE.INCLUDES IVMST.FIELDS (not in extract); attr numbers below are from D_IVMST/other code where unambiguous.</t>
  </si>
  <si>
    <t xml:space="preserve">surcharge field multiplies the input by 10 before checking EXIT/UP, and the default shown is the stored (already ×10) value — accepting/re-visiting the field multiplies the surcharge by 10 again (L727). DUTY and ENTRY.NO changes are not written to IVMST.LOG (missing from COMPARE.FLDS). IVMST.LOG key has no sequence (same-second collisions). Help text for ENTRY.NO says "HST". INP.SUB.GRP saves negative values despite the warning. ACT.VEND is free text, so "actual vendor" is unvalidated data. Product numbers capped at 4 digits (1005-9989 space).</t>
  </si>
  <si>
    <t xml:space="preserve">Copy of IV.MNT.PROD.N without DUTY/ENTRY.NO fields, using screens 'IV.MNT.PROD' / 'IV.MNT.PROD.PRMTS'.</t>
  </si>
  <si>
    <t xml:space="preserve">as IV.MNT.PROD.N · writes as IV.MNT.PROD.N</t>
  </si>
  <si>
    <t xml:space="preserve">as IV.MNT.PROD.N</t>
  </si>
  <si>
    <t xml:space="preserve">confirm which of IV.MNT.PROD / .N / .O is wired into the menu.</t>
  </si>
  <si>
    <t xml:space="preserve">Vendor purchase-order menu (renamed IV6): enter POs (via IV46), auto-create POs from the ORDER suggestion file, and receive merchandise against IVPO/IVMST with landed cost, yen conversion and FIFO stock layers.</t>
  </si>
  <si>
    <t xml:space="preserve">reads IVMST, IVPO, ORDER, IVCAT, CONTROL ('YEN.CONV','ABO','BORUN','BATCH') · writes IVMST, IVPO, ORDER (CLEARFILE), RECLOG, POADJ, CONTROL ('BATCH','YEN.CONV'), PGM.AUDIT</t>
  </si>
  <si>
    <t xml:space="preserve">IVPO.ON.ORD, IV.UPD.COGS; EXECUTE RUN IVBP IV46; CHAIN RUN BP IV11.AUTO; INCLUDE UTLBP I_GETWHO</t>
  </si>
  <si>
    <t xml:space="preserve">automatic PO creation uses RAW cost which may be yen and puts all ORDER products on one PO with the vendor of whichever product created the header (no per-vendor split). If the program aborts while receiving, CONTROL 'BATCH' stays 'O' and blocks all receiving. LOCATE(ORDER,M(20)) takes the first occurrence only. X computed and unused (L288). LAST.COST divides by Q (Q&gt;0 guaranteed). DIM M(30) vs larger IVMST. Yen rate date only stored when a new rate is typed. Hard-coded 'IVBP-IV6' message.</t>
  </si>
  <si>
    <t xml:space="preserve">May 2012 rework of IV.ORD.REC with a full-screen line editor, customs entry number capture and decimal yen entry.</t>
  </si>
  <si>
    <t xml:space="preserve">same as IV.ORD.REC · writes same plus IVMST ENTRY.NO</t>
  </si>
  <si>
    <t xml:space="preserve">EDIT.LINE, IVPO.ON.ORD, IV.UPD.COGS; EXECUTE RUN IVBP IV46; CHAIN IV11.AUTO</t>
  </si>
  <si>
    <t xml:space="preserve">L206 updates the rate but not the rate date (attr 1). L208 turns YEN.CONV into a scalar, so the next PO's prompt re-reads. ENTRY.NO is product-level, overwritten by each receipt (no history per PO). Unclear whether this or IV.ORD.REC is the production program.</t>
  </si>
  <si>
    <t xml:space="preserve">Physical inventory count entry for warehouse scanners, logging counts per product and employee.</t>
  </si>
  <si>
    <t xml:space="preserve">reads IVMST, IVEMP, IVCAT, PHYSLOG · writes PHYSLOG</t>
  </si>
  <si>
    <t xml:space="preserve">SUMM; INCLUDE I_READ_IVCAT</t>
  </si>
  <si>
    <t xml:space="preserve">QTY &gt; '1000' compares as string/number ambiguously; READU ELSE PREC='' conflates locked and not-found (silent fallthrough). Lock held while waiting for operator input.</t>
  </si>
  <si>
    <t xml:space="preserve">Prints the packing slip for an auto-billed shipment (SCANORD record) at the warehouse, showing ordered/shipped/backordered quantities and payment terms.</t>
  </si>
  <si>
    <t xml:space="preserve">reads SCANORD, VNORD, ARMST, IVMST, IVORD, VNMST · writes none</t>
  </si>
  <si>
    <t xml:space="preserve">EXECUTE SETPTR (printer PROWH)</t>
  </si>
  <si>
    <t xml:space="preserve">L29 sets SN=FIELD(SN,'*',1) before computing MASTER.SN=FIELD(SN,'*',2), so MASTER.SN is always empty; MASTER.SN is then unused. L109 compares DM (full date string) to 12 so year rollover for December→January never triggers there. IVORD is read by ORDER (5-digit) though VNORD/IVORD keying differs — confirm. VNMST attr 16 is SPC.PCT in dict, used here as terms %.</t>
  </si>
  <si>
    <t xml:space="preserve">Office reprint of IV.PRT.PACKLIST that reads order header from ORDHIST (VNORD is deleted after billing).</t>
  </si>
  <si>
    <t xml:space="preserve">reads SCANORD, ORDHIST, ARMST, IVMST · writes none</t>
  </si>
  <si>
    <t xml:space="preserve">"MEMBER ORDER" prints PRO ORDER number, not the member PO (L48). Comment date 09-12-12 vs header 2002. ORDHIST attr 19 is SHIP.INFO and attr 20 is WEBORDER per dict — used here as ship-to line 2 (possible bug).</t>
  </si>
  <si>
    <t xml:space="preserve">VOC-style alias "$ USE IV.INP.SCANORD" — points to the real program IV.INP.SCANORD.</t>
  </si>
  <si>
    <t xml:space="preserve">reads none · writes none</t>
  </si>
  <si>
    <t xml:space="preserve">IV.INP.SCANORD (via $USE)</t>
  </si>
  <si>
    <t xml:space="preserve">One-off copy of fields from IVMST.AUX into IVMST for every product.</t>
  </si>
  <si>
    <t xml:space="preserve">reads IVMST.AUX, IVMST · writes IVMST</t>
  </si>
  <si>
    <t xml:space="preserve">one-off fix-up script. DIM N(37) is smaller than the IVMST record; depending on flavor, attributes 38+ either land in N(37) (and are destroyed when N(37) is overwritten) or in N(0) — possible data loss. MATREADU ... ELSE RELEASE conflates locked and not-found.</t>
  </si>
  <si>
    <t xml:space="preserve">Alias "$ USE IV.UPD.SCANORD" — billing-pending update is the IV.UPD.SCANORD program.</t>
  </si>
  <si>
    <t xml:space="preserve">IV.UPD.SCANORD (via $USE)</t>
  </si>
  <si>
    <t xml:space="preserve">When a product's on-hand goes negative, backs out profit already booked on the most recent billed shipments of that product (product YTD profit and member warehouse profit) using an average cost.</t>
  </si>
  <si>
    <t xml:space="preserve">reads SCANORD, IVMST, ARMST, CONTROL 'UPD' · writes IVMST, ARMST</t>
  </si>
  <si>
    <t xml:space="preserve">EXECUTE SSELECT SCANORD WITH BILLED AND WITH PROD = ... BY-DSND DATE.BILLED BY-DSND TIME.BILLED</t>
  </si>
  <si>
    <t xml:space="preserve">"IF MON = 0 THEN MON = 1" collapses current month and previous month; "+13" wrap implies 13 buckets — confirm. SLEEP 1 per update and debug CRT left in. Error message on open failure always says SCANORD. AVG units (cents?) not stated by caller.</t>
  </si>
  <si>
    <t xml:space="preserve">Original (June 2011) builder of a pseudo-XML invoice file for FotoSource (Canada) from an ARSHIP invoice, appended into FSINV record ORDERSmmddyy.</t>
  </si>
  <si>
    <t xml:space="preserve">reads FSINV · writes FSINV (record ORDERS&lt;MMDDYY&gt;)</t>
  </si>
  <si>
    <t xml:space="preserve">tags written as '&lt;&lt;TAG&gt;&gt;' (malformed XML). UPD.FSINV is called per line and writes HDR:DET accumulated so far each time, so the header and earlier lines are duplicated per line; when a new file is created the record gets only the XML header and '&lt;ORDERS&gt;' and the first line's data is dropped. "Unit price" is the extended line amount. Superseded by IV.UPD.FSINV.XLS (IV.UPD.SCANORD now calls the .XLS version).</t>
  </si>
  <si>
    <t xml:space="preserve">Builds a tab-delimited (.xls) invoice/dues file for FotoSource (Canada) member billing, one row per invoice line, appended to FSINV record ORDERS|DUES&lt;MMDDYYYY&gt;.xls. Current version, called by IV.UPD.SCANORD (its SUBROUTINE statement still says IV.UPD.FSINV).</t>
  </si>
  <si>
    <t xml:space="preserve">reads FSINV · writes FSINV</t>
  </si>
  <si>
    <t xml:space="preserve">header "XML" comments are stale (tab-delimited). INVOICENETTOTAL = OCONV(...,'MD2') − FEDERAL.TAX mixes formatted string arithmetic. Division by QTY=0 not guarded. ARHIST.PO used on array A dimensioned for ARSHIP fields — relies on positional equivalence.</t>
  </si>
  <si>
    <t xml:space="preserve">Duplicate of IV.UPD.FSINV (June 2011) producing proper '&lt;TAG&gt;' XML into FSINV ORDERSmmddyy.xml.</t>
  </si>
  <si>
    <t xml:space="preserve">same per-line duplication / first-line-drop bug as IV.UPD.FSINV.</t>
  </si>
  <si>
    <t xml:space="preserve">Posts physical inventory counts (PHYSLOG) to IVMST stock cost layers and logs adjustments to IVADJ.</t>
  </si>
  <si>
    <t xml:space="preserve">reads PHYSLOG, IVMST · writes IVMST, IVADJ, PHYSLOG (attr 5 UPD flag)</t>
  </si>
  <si>
    <t xml:space="preserve">EXECUTE SSELECT PHYSLOG WITH NO UPD BY PROD</t>
  </si>
  <si>
    <t xml:space="preserve">raw cost attr 19 may carry a 'Y' yen suffix — used as AVG unconverted. Divide-by-zero impossible but negative book stock gives negative AVG. Remaining layer revalued at overall average rather than its own cost (fixed in .TST). PHYSLOG UPD written even when DIFF=0 (ok) but IVADJ only on change. MATREADU THEN with no ELSE/LOCKED — locked records block.</t>
  </si>
  <si>
    <t xml:space="preserve">Later (2012) version of IV.UPD.PLOG run against IVMST.TEMP / IVADJ.TEMP using saved list PLOG.</t>
  </si>
  <si>
    <t xml:space="preserve">reads PHYSLOG, IVMST.TEMP · writes IVMST.TEMP, IVADJ.TEMP (CLEARFILE), PHYSLOG</t>
  </si>
  <si>
    <t xml:space="preserve">EXECUTE GET-LIST PLOG</t>
  </si>
  <si>
    <t xml:space="preserve">works on .TEMP files — test copy; confirm whether production IV.UPD.PLOG ever received these fixes. Layer with QTY=0 gives divide-by-zero at L66/L76.</t>
  </si>
  <si>
    <t xml:space="preserve">Auto-credits unbilled member returns: prices returned lines with surcharge, posts credit invoices to AR, updates member sales history and return statistics.</t>
  </si>
  <si>
    <t xml:space="preserve">reads RETURNS, ARMST, IVMST, IVSOLD, CONTROL ('UPD','MS','INV'), VNMST · writes ARMST, ARINV, ARSHIP, IVRET, IVSOLD, CONTROL, RETURNS, VNMST</t>
  </si>
  <si>
    <t xml:space="preserve">EXECUTE SELECT RETURNS WITH NO DT.BILLED</t>
  </si>
  <si>
    <t xml:space="preserve">L36 reads IVSOLD with PROD (not yet set / previous member's product) but writes to IVSOLD MEMBER — history read from wrong key, likely overwriting the member's IVSOLD record. L43 adds the previous line's TOT to MS(2) before current TOT is computed (and never the last line). ETOT never assigned (always 0). UNITS accumulated but unused. Returns whose member is locked/missing still get DT.BILLED stamped (L91 outside the ARMST THEN) — credit silently lost. Vendor 497 credited regardless of product's actual vendor. Year in terms text not 2-digit-padded after +1.</t>
  </si>
  <si>
    <t xml:space="preserve">Auto-billing of scanned/completed warehouse shipments (SCANORD): invoices members, relieves stock FIFO layers, posts AR, sales/profit history, vendor totals, and FotoSource (Canada) invoice files. Main production billing run.</t>
  </si>
  <si>
    <t xml:space="preserve">reads SCANORD, NUMBER, IVORD, ORDHIST, VNORD, ARMST, IVSOLD, IVMST, MSALES, VNMST, ARINV, CONTROL ('UPD','YEN.CONV','FS.SURCHG','FSINV.FIELDS','FSINV.EMAIL.PARAMS','ORDB','INV','MS') · writes SCANORD, IVORD, ORDHIST, VNORD, ARMST, IVSOLD, IVMST, IVMST.DISC, MSALES, VNMST, ARINV, ARSHIP, BILLLOG, NUMBER (delete), CONTROL, FSINV</t>
  </si>
  <si>
    <t xml:space="preserve">IV.UPD.FSINV.XLS, EMAIL.FSINV; EXECUTE SELECT SCANORD</t>
  </si>
  <si>
    <t xml:space="preserve">MATREADU on IVMST with ELSE sets M(4)='MISSING' and later MATWRITE creates a bogus IVMST record for unknown products (L227-229, L317). IVSOLD READU ELSE H='' conflates locked/missing (L213; lock message prints H not ID). CR is reset to 0 and never set to 1, so 'GO 380' path is dead (L182, L337). PCT is overwritten by the Canada surcharge pct (L465) before being logged to BILLLOG (L400). Canada surcharge is added to GTOT but not to VTOT/SC or vendor totals. Product &gt; 9989 lines all take the same SCANORD attr 9 amount. YEN.CONV read but unused. LC set but unused (L251). DIM M(52) is smaller than IVMST's ~69 attributes — trailing attributes ride in the last element; confirm no data loss. A shipment where the ARMST record is missing is skipped without billing but IVORD/VNORD locks released inconsistently. Status 2/3 products are copied to IVMST.DISC on every billing.</t>
  </si>
  <si>
    <t xml:space="preserve">March 2004 copy of IV.UPD.SCANORD (pre-profit, pre-Canada).</t>
  </si>
  <si>
    <t xml:space="preserve">same as IV.UPD.SCANORD minus ARLOG, IVEMP, IVMST.DISC, FSINV · writes same minus IVMST.DISC/FSINV</t>
  </si>
  <si>
    <t xml:space="preserve">superseded; DIM M(30) truncates IVMST.</t>
  </si>
  <si>
    <t xml:space="preserve">Feb 2005 developer copy of IV.UPD.SCANORD (between .PRO and current).</t>
  </si>
  <si>
    <t xml:space="preserve">same as IV.UPD.SCANORD.PRO · writes same</t>
  </si>
  <si>
    <t xml:space="preserve">a bare DEBUG statement at L121 would drop into the debugger in production.</t>
  </si>
  <si>
    <t xml:space="preserve">Original product (inventory) master add/change/delete screen for core cost and vendor fields.</t>
  </si>
  <si>
    <t xml:space="preserve">reads IVMST, VNMST, CONTROL (GRP, PROD), IVORD, VNORD · writes IVMST, CONTROL 'PROD'</t>
  </si>
  <si>
    <t xml:space="preserve">EXECUTE RUN IV8 (re-price orders), EXECUTE RUN CHANGE.VNORD (vendor change on orders)</t>
  </si>
  <si>
    <t xml:space="preserve">delete bypasses IV15's zero-stock/zero-order checks. DIM IV(30) truncates record to 30 attributes on MATWRITE (fields 30+ lumped/at risk). MATREADU ELSE conflates locked/not found. Multiple-qty check allows 100 though message says less than 100.</t>
  </si>
  <si>
    <t xml:space="preserve">Prints new member orders (VNORD) since the last printed order on pre-printed shipping-memo stock for the warehouse, assigning a shipping number to each.</t>
  </si>
  <si>
    <t xml:space="preserve">reads VNORD, ARMST, IVMST, CONTROL ('SN','LASTORD'), VNMST · writes CONTROL ('SN','LASTORD'), NUMBER</t>
  </si>
  <si>
    <t xml:space="preserve">EXECUTE SETPTR, SSELECT VNORD</t>
  </si>
  <si>
    <t xml:space="preserve">CONTROL 'SN' locked via READVU for the whole run (single-user). LASTORD read with READVU ELSE STOP. Selection is a string comparison "ORDER &gt; LASTORD" — breaks when order numbers roll over (IV10.LJ handles this).</t>
  </si>
  <si>
    <t xml:space="preserve">Laser-jet version of IV10 with barcoded shipping number and lines sorted by product group; current production variant.</t>
  </si>
  <si>
    <t xml:space="preserve">reads VNORD, ARMST, IVMST, CONTROL, VNMST · writes CONTROL ('SN','LASTORD'), NUMBER</t>
  </si>
  <si>
    <t xml:space="preserve">EXECUTE SETPTR (printer WH8100), SSELECT VNORD</t>
  </si>
  <si>
    <t xml:space="preserve">zero-stock flag uses SUM(STOCK)=0 here vs &lt;1 in IV10 (negative stock not flagged). Barcode at first page prints SN+1 before SN is incremented — relies on increment order.</t>
  </si>
  <si>
    <t xml:space="preserve">Reprint variant of IV10 for an externally built select list of VNORD orders; does not use or update LASTORD.</t>
  </si>
  <si>
    <t xml:space="preserve">reads VNORD, ARMST, IVMST, CONTROL · writes CONTROL 'SN', NUMBER</t>
  </si>
  <si>
    <t xml:space="preserve">reprinting creates duplicate shipping numbers for the same order.</t>
  </si>
  <si>
    <t xml:space="preserve">Prints backorder pick tickets ("backorders ready to ship") for open VNORD orders containing products of a chosen group or a typed list of up to 300 products, assigning shipping numbers.</t>
  </si>
  <si>
    <t xml:space="preserve">reads VNORD, ARMST, IVMST, CONTROL ('SN','SHIP','GRP') · writes CONTROL 'SN', NUMBER</t>
  </si>
  <si>
    <t xml:space="preserve">EXECUTE SETPTR</t>
  </si>
  <si>
    <t xml:space="preserve">stock check only skips TOTCASE (unused) — lines print even if product has no stock. Return address "1957-B Pioneer Rd" differs from the 2950 Turnpike Dr used elsewhere (unused WHO variable). Does not set VNORD status. Relies on an external active select of VNORD.</t>
  </si>
  <si>
    <t xml:space="preserve">Automatic backorder allocation and printing: finds products with stock, allocates available stock to oldest open orders, builds BKORD, then prints barcoded backorder tickets and marks orders printed. Runs from receiving when CONTROL ABO = 1 (per comment).</t>
  </si>
  <si>
    <t xml:space="preserve">reads VNORD, BKORD, ARMST, IVMST, NUMBER, IVORD (via SELECT), CONTROL ('SN','SKIP','SKIP.MEMB','ORDB') · writes BKORD (CLEARFILE + write/delete), BKEXP, VNORD attr 12, NUMBER, CONTROL ('SN','BORUN'), PGM.AUDIT</t>
  </si>
  <si>
    <t xml:space="preserve">EXECUTE SSELECT NUMBER / SELECT IVORD / SELECT VNORD / SSELECT BKORD, WH8100, DHPRT</t>
  </si>
  <si>
    <t xml:space="preserve">debug INPUT XX / INPUT XXX and CRT statements at L92, L111, L117 would pause an "automatic" run waiting for keyboard input. "IF V(8)&lt;1,1&gt; &gt; 0 THEN ... ELSE P(19)='CHARGE' ; GO 90" — GO 90 binds to ELSE only (harmless). I counter not reset before L154 (relies on unassigned = 0). VNORD MATREADU ELSE RELEASE conflates locked/missing (L222) and lock is never released after WRITEV. BKORD only cleared if at least one allocation found, so a stale BKORD from a previous run prints again when nothing new is allocated.</t>
  </si>
  <si>
    <t xml:space="preserve">2010 manual backorder print (IV11.LJ lineage) routed to printer DHPRT; adds dated-order skip and pick location.</t>
  </si>
  <si>
    <t xml:space="preserve">reads VNORD, ARMST, IVMST, CONTROL ('SN','SHIP','SKIP','GRP') · writes CONTROL 'SN', NUMBER</t>
  </si>
  <si>
    <t xml:space="preserve">EXECUTE SETPTR (printer DHPRT)</t>
  </si>
  <si>
    <t xml:space="preserve">name suggests a personal printer copy (user dharrar).</t>
  </si>
  <si>
    <t xml:space="preserve">Laser-jet version of IV11 (2001) with barcoded shipping number.</t>
  </si>
  <si>
    <t xml:space="preserve">same as IV11 · writes same</t>
  </si>
  <si>
    <t xml:space="preserve">EXECUTE SETPTR (printer HP4SI)</t>
  </si>
  <si>
    <t xml:space="preserve">superseded by IV11.DHPRT / IV11.AUTO.</t>
  </si>
  <si>
    <t xml:space="preserve">Add or delete "shipping numbers" in the NUMBER file, each stored with a date.</t>
  </si>
  <si>
    <t xml:space="preserve">reads NUMBER · writes NUMBER</t>
  </si>
  <si>
    <t xml:space="preserve">purpose of the NUMBER file ("shipping numbers") is not documented; READV DT at L17 overwrites the entered date variable when the record exists (harmless since it then refuses). No date validation (ICONV of bad input gives '').</t>
  </si>
  <si>
    <t xml:space="preserve">Rebuild IVMST member-order requirement (attr 3 REQ) from open member orders in IVORD.</t>
  </si>
  <si>
    <t xml:space="preserve">reads IVMST, IVORD · writes IVMST</t>
  </si>
  <si>
    <t xml:space="preserve">FILELOCK ... LOCKED only prints a message, does not wait or stop. Message at L23 says 200 but loop is 300. Products missing from IVMST are skipped silently aside from a print. Rebuild is not atomic with order entry.</t>
  </si>
  <si>
    <t xml:space="preserve">Delete a product (archive to IVMST.DISC) or suspend it (IVMST status attr 15).</t>
  </si>
  <si>
    <t xml:space="preserve">reads IVMST · writes IVMST, IVMST.DISC</t>
  </si>
  <si>
    <t xml:space="preserve">L24 condition "A AND B AND M(3)=0 OR M(3)=''" — operator precedence means a product with blank REQ is deleted even if stock/vendor orders are non-zero. Re-instate at L39 writes 0 then falls through and re-suspends (L44-48), so re-instate never sticks. "NO" at the ELSE branch L31 jumps to L7 with OK=0, which just prints NO DELETION. DIM M(30) truncates the record (attrs 30+ lumped) before archiving.</t>
  </si>
  <si>
    <t xml:space="preserve">Merge one product's sales history into another product, archive and delete the old product, and re-point IVSOLD sales to the kept product.</t>
  </si>
  <si>
    <t xml:space="preserve">reads IVMST, IVSOLD · writes IVMST, IVMST.DISC, IVSOLD</t>
  </si>
  <si>
    <t xml:space="preserve">no locking on IVMST/IVSOLD writes; full scan of IVSOLD per merge. DIM 30 truncation risk on MATWRITE. Uses attr 13 as monthly multivalue, while brief names attr 13 YTD-SHIP — confirm structure.</t>
  </si>
  <si>
    <t xml:space="preserve">Rewrites IVMST dictionary I-descriptor formulas QR (quantity to reorder) and SUPPLY (months of supply) for an entered months-of-supply target, then compiles the dictionary.</t>
  </si>
  <si>
    <t xml:space="preserve">reads DICT IVMST · writes DICT IVMST</t>
  </si>
  <si>
    <t xml:space="preserve">EXECUTE 'CD IVMST QR SUPPLY'</t>
  </si>
  <si>
    <t xml:space="preserve">D is a string concatenation (e.g. month 3 day 15 → "25") rather than an arithmetic months value; in January D starts with "0". Rewriting shared dictionary items makes the result global for all users.</t>
  </si>
  <si>
    <t xml:space="preserve">Report of open member orders (IVORD) grouped by product with quantity, cost, extended value, member name, PO and ship date.</t>
  </si>
  <si>
    <t xml:space="preserve">reads IVORD, ARMST, IVMST · writes none</t>
  </si>
  <si>
    <t xml:space="preserve">EXECUTE SSELECT IVORD BY.EXP PROD</t>
  </si>
  <si>
    <t xml:space="preserve">header date "09/08/1983". Printer/terminal selection by port number.</t>
  </si>
  <si>
    <t xml:space="preserve">Displays outstanding vendor purchase orders stored on a product record.</t>
  </si>
  <si>
    <t xml:space="preserve">reads IVMST · writes none</t>
  </si>
  <si>
    <t xml:space="preserve">attr 23 is treated as a date here but the dictionary labels it backorder qty — confirm. Mixed-currency costs stored in the same field with a 'Y' suffix.</t>
  </si>
  <si>
    <t xml:space="preserve">Add or change a PRO vendor (VNMST) linked to an AP vendor (APMST) with surcharge and billing-guarantee settings.</t>
  </si>
  <si>
    <t xml:space="preserve">reads VNMST, APMST, VNIDX, CONTROL 'VEND' · writes VNMST, VNIDX, CONTROL 'VEND'</t>
  </si>
  <si>
    <t xml:space="preserve">L134 rejects input that matches '0N.0N' — since plain integers like "60" also match 0N.0N? (0N.0N requires a dot) fine, but any non-numeric passes NUM check failing; zip validation forces 5 digits (no Canadian/ZIP+4). On a new vendor, zip-code '-' at L109 goes back but L114 then fails the '5N' check silently looping. L38 STOPs the program entirely when the control number is already in use. Change mode allows editing name only via line 1 but APMST link cannot be changed.</t>
  </si>
  <si>
    <t xml:space="preserve">Prints a purchase order document for a PO number from the products in an active select list.</t>
  </si>
  <si>
    <t xml:space="preserve">YEN flag is set per line (L40) — only the last line's yen status drives the grand-total format, and yen and dollar amounts are summed together into GTOT. Relies on a pre-built select list (no vendor filter in program).</t>
  </si>
  <si>
    <t xml:space="preserve">Calculates a tentative reorder quantity per product for a product group/sub-group and writes it to ORDER.</t>
  </si>
  <si>
    <t xml:space="preserve">reads IVMST · writes ORDER</t>
  </si>
  <si>
    <t xml:space="preserve">EXECUTE SSELECT IVMST WITH GRP/SUB, EXECUTE DHPRT</t>
  </si>
  <si>
    <t xml:space="preserve">attr 2 is ORD.QTY/QO in dict but used as case quantity — confirm. L36-37 CMOS logic: the L37 IF/ELSE always overwrites L36's result. PCT = CAVG/PAVG divides by zero when PAVG=0 but PREV ≥ 1 is impossible only if PMOS&gt;0; ok. Debug PRINTs left in.</t>
  </si>
  <si>
    <t xml:space="preserve">Edit the deletion date (attr 11) of a discontinued product in IVMST.DISC.</t>
  </si>
  <si>
    <t xml:space="preserve">reads IVMST.DISC · writes IVMST.DISC</t>
  </si>
  <si>
    <t xml:space="preserve">L10 uses DATE[1.1] (decimal, not comma) so 'E' to exit never works as intended.</t>
  </si>
  <si>
    <t xml:space="preserve">Member order entry ("new order received"): terms, member credit check, ship-to, product lines with pricing tiers, freight-prepaid threshold; writes IVORD/ORDHIST and one VNORD per vendor, updates product requirements and member open orders.</t>
  </si>
  <si>
    <t xml:space="preserve">reads ARMST, IVORD, VENDORD, IVMST, VNORD, IVCAT, SHIPTO, ZIPREF ('UPS','STATES'), CONTROL ('UPD','ORD') · writes IVORD, ORDHIST, VNORD, IVMST (attrs 3, 17), ARMST (attr 17), CONTROL 'ORD'</t>
  </si>
  <si>
    <t xml:space="preserve">EDIT.LINE, SEL.SHIPTO, MONEY, DSP.REPORT; EXECUTE RUN AR.SHIP.MNT, SORT ARMST</t>
  </si>
  <si>
    <t xml:space="preserve">surcharge factor built by string concatenation '1.0':attr 12 (wrong for 1-digit or 3-digit values). Future-due-date error text says "MUST BE Before Today" while the check rejects dates before today. L480 precedence: "starts with 1 OR (starts with 2 AND vendor 992)" — dated-order text dropped for any vendor when it starts with '1' (though entry already forbids leading 1/2 after D1/D2 expansion). IVMST lock wait ELSE writes a blank M (MAT M='') then MATWRITE creates/overwrites an IVMST record with only REQ/attr 17 for a missing product (L504-510). Expedite window is a hard-coded 2008 date range.</t>
  </si>
  <si>
    <t xml:space="preserve">May 2006 copy of IV3 (before 2008-09 changes: no SHIPTO codes, no expedite, no '*' manual price, no 9985 freight exception).</t>
  </si>
  <si>
    <t xml:space="preserve">as IV3 minus SHIPTO · writes as IV3</t>
  </si>
  <si>
    <t xml:space="preserve">as IV3</t>
  </si>
  <si>
    <t xml:space="preserve">superseded.</t>
  </si>
  <si>
    <t xml:space="preserve">Dec 2005 copy of IV3; products inserted in group/product sorted order rather than entry order.</t>
  </si>
  <si>
    <t xml:space="preserve">as IV3.NEW · writes as IV3.NEW</t>
  </si>
  <si>
    <t xml:space="preserve">as IV3.NEW</t>
  </si>
  <si>
    <t xml:space="preserve">Oct 2001 copy of IV3.</t>
  </si>
  <si>
    <t xml:space="preserve">Mass-creates a "SAMPLE" order of qty 1 of chosen products for every member with zero credit status (minus an exclusion list).</t>
  </si>
  <si>
    <t xml:space="preserve">reads ARMST, IVMST, CONTROL ('UPD','ORD') · writes IVORD, VNORD, IVMST (attrs 3, 17), ARMST attr 17, CONTROL 'ORD'</t>
  </si>
  <si>
    <t xml:space="preserve">EXECUTE SSELECT ARMST WITH CREDIT = 0</t>
  </si>
  <si>
    <t xml:space="preserve">surcharge multiplier built by string concatenation — correct only for 2-digit attr 12 values (10-99 = 1.0%-9.9%); 5 (0.5%) becomes 1.05 and 100 (10%) becomes 1.0100. N(8)/N(9) (ship-after, instructions) never set. MATREADU ARMST ELSE RELEASE conflates locked/missing (member silently skipped).</t>
  </si>
  <si>
    <t xml:space="preserve">Manual (operator-keyed) billing of PRO merchandise shipments per vendor and order: relieves stock, invoices the member, posts AR and vendor totals. Interactive predecessor of IV.UPD.SCANORD.</t>
  </si>
  <si>
    <t xml:space="preserve">reads ARMST, IVORD, ORDHIST, IVMST, VNORD, VNMST, IVSOLD, NUMBER, MSALES, ARINV, CONTROL ('UPD','ORDB','INV','MS') · writes same plus ARSHIP; deletes IVORD/VNORD/NUMBER when complete</t>
  </si>
  <si>
    <t xml:space="preserve">invoice number wrap differs from IV.UPD.SCANORD/IV.UPD.RETURNS (99999 vs 999999) — risk of duplicate ARSHIP keys if both run. IVSOLD READU ELSE conflates locked/missing. ETOT not reset between members if a vendor change occurs mid-order.</t>
  </si>
  <si>
    <t xml:space="preserve">Older (1997-99) copy of IV4 despite the name; no ORDHIST update.</t>
  </si>
  <si>
    <t xml:space="preserve">as IV4 minus ORDHIST · writes as IV4 minus ORDHIST</t>
  </si>
  <si>
    <t xml:space="preserve">year rollover DY=DY+1 (no 2-digit wrap) at L59; READU/MATREADU ELSE conflate locked/missing (L80). Superseded.</t>
  </si>
  <si>
    <t xml:space="preserve">Displays or prints vendor purchase orders from IVPO with vendor address, bill-to/ship-to, terms, instructions and priced lines.</t>
  </si>
  <si>
    <t xml:space="preserve">reads IVMST, IVPO, APMST, VNMST, CONTROL ('WHO','P.ON','P.OFF','EOP.CLAUSE'), CUSTOM, IVEMP · writes none</t>
  </si>
  <si>
    <t xml:space="preserve">P.ASSIGN.SUB; INCLUDE UTLBP I_PRINTER; EXECUTE RESETPTR</t>
  </si>
  <si>
    <t xml:space="preserve">printed cost can differ from the PO's stored cost because IVMST attr 38 overrides it (comment 10-09-03). Yen and dollar extended costs summed into one total marked 'Y'. EOP.CLAUSE is read (CUSTOM flag 25) but never printed. Secondary vendor name read from APMST only.</t>
  </si>
  <si>
    <t xml:space="preserve">Manual purchase-order header entry/maintenance (PO number, date, vendor, terms, special instructions), handing line entry to IV46.PROD.</t>
  </si>
  <si>
    <t xml:space="preserve">reads PROMPTS, SCREENS, APMST, VNMST, APCOD, CONTROL ('WHO','IVPO'), IVCAT, IVMST, TREES, IVPO, IVSPORD, THROWAYS, CUSTOM, IVEMP · writes IVPO (via IV46.PROD), CONTROL 'IVPO'</t>
  </si>
  <si>
    <t xml:space="preserve">IV46.9999, IV46.PROD, IDATE, EDIT.LINE, DSP.REPORT; EXECUTE SORT IVPO</t>
  </si>
  <si>
    <t xml:space="preserve">L129 typo READV PAPAME then re-reads into PVNAME (works by accident). VNMST attr 8 is the surcharge %, so VNMST-vendor POs get the surcharge rate as payment terms. IVEMP is never opened (L45 commented) but used at L296 when CUSTOM flag 19 is on. Vendor number space shared between APMST and VNMST — same number could mean two different vendors.</t>
  </si>
  <si>
    <t xml:space="preserve">Screen-driven entry of one-time/miscellaneous vendor details (vendor 9999) into a multivalued INFO field (IVPO attr 17) using PROMPTS 'IV46.9999' definitions.</t>
  </si>
  <si>
    <t xml:space="preserve">reads SCREENS, PROMPTS · writes none (returns INFO)</t>
  </si>
  <si>
    <t xml:space="preserve">DRAW.BOX, IDATE, MONEY</t>
  </si>
  <si>
    <t xml:space="preserve">generic prompt-driven form; actual fields only knowable from the PROMPTS file. 500/600 hooks empty.</t>
  </si>
  <si>
    <t xml:space="preserve">Paints the IV46 PO entry screen header (PO number, PO date, primary and second vendor).</t>
  </si>
  <si>
    <t xml:space="preserve">reads SCREENS · writes none</t>
  </si>
  <si>
    <t xml:space="preserve">Multi-line PO line entry (product, qty, unit cost) for IV46; on update rewrites IVPO and the PO arrays on each IVMST product; supports special-order products.</t>
  </si>
  <si>
    <t xml:space="preserve">reads PROMPTS, SCREENS, IVMST, IVCAT, IVSPORD, ARMST, IVCUST, CONTROL 'SPORD' · writes IVPO, IVMST (attrs 19-23), IVSPORD, CONTROL 'SPORD'</t>
  </si>
  <si>
    <t xml:space="preserve">DRAW.BOX, SUMM, MONEY, IDATE, IV46.SPORD (unreachable)</t>
  </si>
  <si>
    <t xml:space="preserve">vendor-mismatch message prints R(12) (surcharge %) instead of R(5) vendor (L771). Products not found in IVMST are redirected to IVMST record '555' (L285-287, L310) so PO arrays get written onto product 555. ARMST and IVCUST are not opened by IV46 (commented) but used in the 555 path. POST ENTRY (L957-965) is an empty CASE, so IV46.SPORD (L710-989) is unreachable. Yen and dollar values are summed together in the PO value.</t>
  </si>
  <si>
    <t xml:space="preserve">Special-order customer distribution: splits a special-order PO line across end customers (members or mailing-list customers) with quantities and extended sale, writing IVSPORD and IVCUST.</t>
  </si>
  <si>
    <t xml:space="preserve">reads TREES, ZIPREF, SCREENS, PROMPTS, IVSPORD, ARMST, IVCUST, CONTROL 'CUST' · writes IVSPORD (incl. 'O'-prefixed original copy), IVCUST, CONTROL 'CUST', name/phone index trees</t>
  </si>
  <si>
    <t xml:space="preserve">DRAW.BOX, PREP.ID, IDX.SEARCH, INS.ROOT, SUMM, IDATE, MONEY</t>
  </si>
  <si>
    <t xml:space="preserve">unreachable — the only caller (IV46.PROD label 710) is never invoked. Treat as dead code unless called elsewhere.</t>
  </si>
  <si>
    <t xml:space="preserve">2001 interactive member-returns credit entry (older copy of IV4B).</t>
  </si>
  <si>
    <t xml:space="preserve">reads ARMST, IVMST, IVRET, ARINV, VNMST, CONTROL, IVSOLD, ARHIST (opened, unused) · writes ARMST, IVRET, ARINV, ARSHIP, IVSOLD, CONTROL, VNMST</t>
  </si>
  <si>
    <t xml:space="preserve">ARHIST opened (comment "in progress") but never used.</t>
  </si>
  <si>
    <t xml:space="preserve">Operator-keyed member returns: credits a member for returned products at current cost + surcharge, posts a credit invoice and return statistics.</t>
  </si>
  <si>
    <t xml:space="preserve">reads ARMST, IVMST, IVRET, ARINV, VNMST, IVSOLD, CONTROL ('UPD','MS','INV') · writes ARMST, IVRET, ARINV, ARSHIP, IVSOLD, CONTROL, VNMST</t>
  </si>
  <si>
    <t xml:space="preserve">returned goods are not added back to IVMST stock layers (attr 24-26) — stock unaffected by returns. Yen conversion constant 110 hard-coded. ETOT/UNITS not reset per member for UNITS.</t>
  </si>
  <si>
    <t xml:space="preserve">Change quantities/costs on, or cancel, an open member order (IVORD/VNORD/ORDHIST) and keep IVMST requirements and member open-order totals in step.</t>
  </si>
  <si>
    <t xml:space="preserve">reads ARMST, IVORD, ORDHIST, IVMST, VNORD, SCANORD, CONTROL 'UPD' · writes IVORD, ORDHIST, IVMST, VNORD, ARMST attr 17</t>
  </si>
  <si>
    <t xml:space="preserve">FOLD, EDIT.LINE; EXECUTE SELECT SCANORD</t>
  </si>
  <si>
    <t xml:space="preserve">bare DEBUG statement at L183 in the cancel path drops the user into the debugger. Cancel deletes the whole VNORD vendor record even if other lines remain for that vendor (deleted once per line). VNORD READU ELSE conflates locked/missing (L94). Display (L213-233) shows a running cumulative total as each line's total.</t>
  </si>
  <si>
    <t xml:space="preserve">Generic Computyme retail-package receiving from IVPO with multi-store stock, serialized item numbers (IVINV/IVNEW), labels, and special-order customer distribution (2000).</t>
  </si>
  <si>
    <t xml:space="preserve">reads IVMST, IVPO, IVSPORD, IVCAT, APMST, SCREENS, CONTROL ('WHSE','STORES','STRS','PHYS','SYSTEM','WHO','IV','IV.REC.&lt;user&gt;','RECLOG'), CUSTOM, ARMST, IVPHYS/IVINV/IVSOLD/IVNEW/IVCUST (not opened) · writes IVPO, IVMST, IVSPORD, IVINV, IVNEW, RECLOG, CONTROL</t>
  </si>
  <si>
    <t xml:space="preserve">MONEY; INCLUDE UTLBP I_GETWHO</t>
  </si>
  <si>
    <t xml:space="preserve">written for a different IVMST layout (attr 15/19 per-store stock, 17/18 qty/value, PO in attrs 28-30, description attr 3) — incompatible with PRO's layout (PO in 20-23, stock layers 24-26); running it would corrupt PRO product records (e.g. overwrite attr 1 with 1, add to RAW cost attr 19). IVNEW, IVINV, IVSOLD, IVPHYS, IVCUST are used but never opened. Treat as dead legacy code superseded by IV.ORD.REC.</t>
  </si>
  <si>
    <t xml:space="preserve">Cancel (delete) an open, unreceived purchase order, removing it from products and deleting attached special orders.</t>
  </si>
  <si>
    <t xml:space="preserve">reads IVPO, IVMST, IVINV, APMST, IVSPORD, CONTROL · writes IVMST, IVSPORD (delete), IVPO (delete)</t>
  </si>
  <si>
    <t xml:space="preserve">uses an obsolete IVMST layout — PO number/qty/backorder equated to IVMST attrs 28/29/30 (dict: LAST.COST, UPC, CAT.NO) and description to attr 3, whereas current code keeps POs in attrs 20-23. The LOCATE will normally fail, leaving the cancelled PO on the products (IVMST attrs 20-23) as phantom on-order quantity; if it ever matches it would delete last cost/UPC/catalog values. Likely dead/broken; IV.ORD.REC's cancel-backorder is the working path. Allows a "PO not on file" path that still proceeds.</t>
  </si>
  <si>
    <t xml:space="preserve">Cancel remaining backorder quantities on a vendor PO, either all lines or selected products (modified for PRO IVMST fields in 2003).</t>
  </si>
  <si>
    <t xml:space="preserve">reads IVMST, IVPO, IVCAT, APMST, SCREENS, CONTROL · writes IVMST, IVPO</t>
  </si>
  <si>
    <t xml:space="preserve">L128 checks PO(11) (receipt dates) for the whole PO, not per line. Unlike IV.ORD.REC's cancel, no POADJ audit trail. QR left from a previous PO can trigger "CANCELLATION ABANDONED" text.</t>
  </si>
  <si>
    <t xml:space="preserve">Jan 2007 predecessor of IV.ORD.REC (PO ordering/receiving menu).</t>
  </si>
  <si>
    <t xml:space="preserve">reads IVMST, IVPO, ORDER, IVCAT, CONTROL · writes IVMST, IVPO, ORDER, RECLOG, POADJ, CONTROL, PGM.AUDIT</t>
  </si>
  <si>
    <t xml:space="preserve">IVPO.ON.ORD; EXECUTE RUN IVBP IV46; CHAIN IV11.AUTO</t>
  </si>
  <si>
    <t xml:space="preserve">MATREADU ... LOCKED LCK=1 ELSE (L180) handles locks but L228/L249 MATREADU THEN with no LOCKED/ELSE block silently. Superseded.</t>
  </si>
  <si>
    <t xml:space="preserve">2002 earlier version of IV6 with manual PO creation product-by-product.</t>
  </si>
  <si>
    <t xml:space="preserve">reads IVMST, IVPO, ORDER, RECLOG · writes IVMST, IVPO, ORDER (CLEARFILE), RECLOG</t>
  </si>
  <si>
    <t xml:space="preserve">file variable MST used at L119/L131/L145/L166/L178 but the file is opened as IVMST — program would fail at runtime. PO complete test sums attr 11 (dates) against attr 7 qty (L155). Auto-receipt logs ID (unset) instead of PROD (L146). Shows attr 23 was historically the PO date (as IV19 still assumes) while current receiving treats it as backorder qty.</t>
  </si>
  <si>
    <t xml:space="preserve">Manual inventory adjustments to a product's stock layers (quantity) or total stock value, logged to IVADJ with a reason.</t>
  </si>
  <si>
    <t xml:space="preserve">reads IVMST, IVPO · writes IVMST, IVADJ</t>
  </si>
  <si>
    <t xml:space="preserve">IVADJ key has no sequence — two adjustments in the same second overwrite (IV.UPD.PLOG adds *SEQ). READU lock taken on IVADJ key ID (product) but write is to AID. Division by zero if a layer has qty 0 (L173). Reason prompt for option 2 only reached via &lt;RETURN&gt; at the line prompt.</t>
  </si>
  <si>
    <t xml:space="preserve">Re-prices every open member order line for one product to a new cost and adjusts each member's open-order balance.</t>
  </si>
  <si>
    <t xml:space="preserve">reads IVMST, IVORD, ARMST · writes IVORD, ARMST</t>
  </si>
  <si>
    <t xml:space="preserve">amount entry is in cents (no decimal) while display divides by 100 — operator error risk. If READVU on ARMST fails (no master) it GOTOs 20 still holding IVORD lock until RELEASE. Orders where the price difference nets to zero are not rewritten (cost not updated) — L66 skips WRITE when TOT=0 even if costs changed with qty 0.</t>
  </si>
  <si>
    <t xml:space="preserve">Prints vendor mailing labels (3-up) for up to 40 vendors in quantities that are multiples of 3.</t>
  </si>
  <si>
    <t xml:space="preserve">reads VNMST · writes none</t>
  </si>
  <si>
    <t xml:space="preserve">max check at I=40 stops after 39 entries.</t>
  </si>
  <si>
    <t xml:space="preserve">Computes open (still on order) quantity per PO line.</t>
  </si>
  <si>
    <t xml:space="preserve">Include file that names TS() slots used by the AP B-tree index routines (TREE, ROOTID, PRG) and defines AM/DELIM/NILL constants.</t>
  </si>
  <si>
    <t xml:space="preserve">identical in content to I_IV14EQ_COMMON.</t>
  </si>
  <si>
    <t xml:space="preserve">Include routine for IV.PI.MEQ and IV.TRAN.MEQ that archives the current MEQDATA (hand-held scanner/MEQ transfer) records into MEQHIST and purges old history.</t>
  </si>
  <si>
    <t xml:space="preserve">reads MEQHIST, MEQDATA · writes MEQHIST (write/delete)</t>
  </si>
  <si>
    <t xml:space="preserve">READVU locks taken at L20/L28 are never explicitly released before WRITE (WRITE releases). Records read with ELSE REC='' are still written to history as empty records.</t>
  </si>
  <si>
    <t xml:space="preserve">Include that turns off the system printer or the terminal slave (aux) port depending on WORD.</t>
  </si>
  <si>
    <t xml:space="preserve">Include defining TS() tree-index equates (duplicate of I_APTREE_EQUATE).</t>
  </si>
  <si>
    <t xml:space="preserve">name says COMMON but contains only EQUs.</t>
  </si>
  <si>
    <t xml:space="preserve">COMMON/EQU include for the IV46 PO programs: a 50-slot FILES() array plus PO header globals (ORDER, PO.DATE, PVND/PVNAME = PRO vendor, SVND/SVNAME = ship/secondary vendor).</t>
  </si>
  <si>
    <t xml:space="preserve">Large COMMON block shared by the product-maintenance (IV.MNT.PROD*) programs: the product record R(150), screen state, file handles and many working variables.</t>
  </si>
  <si>
    <t xml:space="preserve">Include used by IV.MEQ.ERRORS, IV.PI.MEQ, IV.TRAN.MEQ to print/display MEQ (scanner transfer) errors and purge old error lists.</t>
  </si>
  <si>
    <t xml:space="preserve">reads IVINV, IVMST, IVCAT, ERROR · writes ERROR (delete)</t>
  </si>
  <si>
    <t xml:space="preserve">FOLD</t>
  </si>
  <si>
    <t xml:space="preserve">header comment says purge over 120 days, code and message use 185 days. READU ... ELSE NULL then DELETE (lock failure ignored). Description read from IVMST attr 3, which the dictionary names REQ, not DESC (attr 4) — possible wrong attribute.</t>
  </si>
  <si>
    <t xml:space="preserve">COMMON include declaring TS(30), FILES(50), IV(150), AP(30), TL(12), SOLD(12) and the reserved file-slot equates.</t>
  </si>
  <si>
    <t xml:space="preserve">Include that turns on the system printer or a terminal slave printer using terminal-specific escape codes.</t>
  </si>
  <si>
    <t xml:space="preserve">Include that reads one raw keystroke (KEYIN) for UniVerse.</t>
  </si>
  <si>
    <t xml:space="preserve">Include that resolves a scanned/entered value (catalog no./UPC) to a PRO product number via the IVCAT cross-reference.</t>
  </si>
  <si>
    <t xml:space="preserve">reads IVCAT · writes none</t>
  </si>
  <si>
    <t xml:space="preserve">substring fallbacks can match the wrong product if a truncated code collides with another key.</t>
  </si>
  <si>
    <t xml:space="preserve">Include naming TS(1..29) slots for the home-grown B-tree index routines.</t>
  </si>
  <si>
    <t xml:space="preserve">Prints IRS 1099-PATR patronage dividend forms for members (shareholders) on a laser printer, 3 per page.</t>
  </si>
  <si>
    <t xml:space="preserve">reads STOCK2, ARMST2, ARMST.OLD · writes none</t>
  </si>
  <si>
    <t xml:space="preserve">EXECUTE SSELECT STOCK2 WITH DIVIDEND &gt; "0"</t>
  </si>
  <si>
    <t xml:space="preserve">L34 unreachable. Reads ARMST2 not ARMST — confirm which member file is authoritative.</t>
  </si>
  <si>
    <t xml:space="preserve">Test print of a sample cheque-like form with MICR font to the laser printer.</t>
  </si>
  <si>
    <t xml:space="preserve">EXECUTE TERM</t>
  </si>
  <si>
    <t xml:space="preserve">Test print of "PRO invoice" remittance labels (invoice #, date, amount, terms, account) for selected ARSHIP/ARHIST invoices, each label printed 275 times.</t>
  </si>
  <si>
    <t xml:space="preserve">reads ARSHIP, ARHIST · writes none (printer)</t>
  </si>
  <si>
    <t xml:space="preserve">FOR I=1 TO 275 prints the same label 275 times per invoice (L13) — test/one-off. Header says "label for Vendor Invoice" but prints PRO invoice.</t>
  </si>
  <si>
    <t xml:space="preserve">Rebuilds LENSDATA with per-member year-to-date quantity and dollars of group-1 (lens) products from all ARHIST invoices.</t>
  </si>
  <si>
    <t xml:space="preserve">reads ARHIST, IVMST, IVMST.DISC · writes LENSDATA (cleared first)</t>
  </si>
  <si>
    <t xml:space="preserve">EXECUTE CLEAR-FILE DATA LENSDATA, SSELECT ARHIST</t>
  </si>
  <si>
    <t xml:space="preserve">string compare GE '9000' means codes like '95' or alpha codes sort oddly; only first 200 lines per invoice examined (L17).</t>
  </si>
  <si>
    <t xml:space="preserve">AccuTerm 2K2 helper that builds and runs a Windows script dialog listbox and returns the selected index (0 on cancel).</t>
  </si>
  <si>
    <t xml:space="preserve">none (sends AccuTerm script escape sequence)</t>
  </si>
  <si>
    <t xml:space="preserve">quote-fixup at L94 (ARG[1,J]:ARG[J,99999]) duplicates the quote character — intended, but loop increments K by 2 regardless of position.</t>
  </si>
  <si>
    <t xml:space="preserve">Test print of a sample check with MICR line on the laser printer (dummy data).</t>
  </si>
  <si>
    <t xml:space="preserve">hard-coded MICR line may contain a real bank routing/account number.</t>
  </si>
  <si>
    <t xml:space="preserve">Prints laser (PCL) member invoices from a select list of ARSHIP records.</t>
  </si>
  <si>
    <t xml:space="preserve">reads ARSHIP, ARMST, IVMST, IVMST.DISC (CONTROL, APMST opened but unused) · writes none</t>
  </si>
  <si>
    <t xml:space="preserve">MSG '** THIS IS A CREDIT **' defined but never printed (credits not distinguished); GTOT never used; QTY=0 lines skipped but their amounts (if any) excluded from total.</t>
  </si>
  <si>
    <t xml:space="preserve">Variant of LJ.INV1 (laser invoice print from ARSHIP) using LOOP/REPEAT, form feeds and PRINTER ON spooling.</t>
  </si>
  <si>
    <t xml:space="preserve">reads ARSHIP, ARMST, IVMST, IVMST.DISC · writes none</t>
  </si>
  <si>
    <t xml:space="preserve">same as LJ.INV1.</t>
  </si>
  <si>
    <t xml:space="preserve">Near-identical copy of LJ.INV2 (laser invoice print), differing only in print column layout and no ESC E reset.</t>
  </si>
  <si>
    <t xml:space="preserve">duplicate of LJ.INV2.</t>
  </si>
  <si>
    <t xml:space="preserve">Test of check-print overlay config (CHKTEST, RBTCHK.BMP, HP8150) and MICR font.</t>
  </si>
  <si>
    <t xml:space="preserve">Operator looks up a lens part number in PARTS and sees its description (attr 2) and bin location (attr 1).</t>
  </si>
  <si>
    <t xml:space="preserve">reads PARTS · writes none</t>
  </si>
  <si>
    <t xml:space="preserve">Builds TEMPDATA per member with quantity and dollars sold of four specific Lowepro product codes for an operator-entered date range.</t>
  </si>
  <si>
    <t xml:space="preserve">EXECUTE CLEAR-FILE, SSELECT ARHIST</t>
  </si>
  <si>
    <t xml:space="preserve">pattern 0N accepts empty segments (e.g. '..'); writes a TEMPDATA record for every member even with no Lowepro sales.</t>
  </si>
  <si>
    <t xml:space="preserve">Add/change/delete entries in the secondary member mailing list MLIST, auto-numbering new entries from CONTROL 'AR' attr 2.</t>
  </si>
  <si>
    <t xml:space="preserve">reads MLIST, CONTROL · writes MLIST, CONTROL ('AR' attr 2)</t>
  </si>
  <si>
    <t xml:space="preserve">counter only written back when operator types END at the name prompt (L26,38); exiting otherwise loses the next number; no locking on CONTROL counter.</t>
  </si>
  <si>
    <t xml:space="preserve">Operator enters the number of mailings for a member, stored on ARMST.</t>
  </si>
  <si>
    <t xml:space="preserve">reads ARMST · writes ARMST attr 23</t>
  </si>
  <si>
    <t xml:space="preserve">READVU lock released only at next prompt; no numeric validation.</t>
  </si>
  <si>
    <t xml:space="preserve">One-off load copying MAXLEVEL attr 1 into IVMST attr 34 for every MAXLEVEL key.</t>
  </si>
  <si>
    <t xml:space="preserve">reads MAXLEVEL · writes IVMST attr 34</t>
  </si>
  <si>
    <t xml:space="preserve">EXECUTE SSELECT MAXLEVEL</t>
  </si>
  <si>
    <t xml:space="preserve">no check that product exists in IVMST — WRITEV creates stub IVMST records for unknown keys.</t>
  </si>
  <si>
    <t xml:space="preserve">Prints member rebate checks from the MISC work file, numbering checks sequentially and recording check number back on MISC.</t>
  </si>
  <si>
    <t xml:space="preserve">reads MISC, ARMST (VNMST opened, unused) · writes MISC attr 5</t>
  </si>
  <si>
    <t xml:space="preserve">EXECUTE SSELECT MISC</t>
  </si>
  <si>
    <t xml:space="preserve">hard-coded quarter text means program was a one-off per quarter; members not on ARMST skipped with no message.</t>
  </si>
  <si>
    <t xml:space="preserve">Builds TEMPDATA per member with qty and dollars of eight ProMaster memory product codes for an operator date range.</t>
  </si>
  <si>
    <t xml:space="preserve">reads ARHIST · writes TEMPDATA (cleared)</t>
  </si>
  <si>
    <t xml:space="preserve">same template as LOWEPRO.RPT/MINOLTA.RPT.</t>
  </si>
  <si>
    <t xml:space="preserve">Same template as LOWEPRO.RPT for four Minolta product codes.</t>
  </si>
  <si>
    <t xml:space="preserve">200-line cap vs 800 in sibling programs.</t>
  </si>
  <si>
    <t xml:space="preserve">One-off fix-up (2004) re-deriving ARINV aging buckets from ARHIST terms for invoices dated on/after 02/15/04, then rebuilding ARMST aging totals.</t>
  </si>
  <si>
    <t xml:space="preserve">INCLUDE FILE.INCLUDES ARMST.FIELDS/ARHIST.FIELDS/ARINV.FIELDS (not in extract)</t>
  </si>
  <si>
    <t xml:space="preserve">include files not available so ARMST field equates unconfirmed (dict: 10 NEW.MON, 11 CURRENT, 12-14 30/60/90, 24 FUTURE); MATREADU ELSE aborts on not-found (L59-60); "4 - DM" formula meaning unclear.</t>
  </si>
  <si>
    <t xml:space="preserve">Operator changes terms (discount %) and future-dating/aging of a single open member invoice in ARINV and moves the amount between ARMST aging buckets.</t>
  </si>
  <si>
    <t xml:space="preserve">reads ARMST, ARINV, CONTROL ('MON') · writes ARINV attrs 4-5, ARMST attrs 10-14, 24; CONTROL 'MON' (initialised if missing)</t>
  </si>
  <si>
    <t xml:space="preserve">no bucket move for future -&gt; current or orig 0 in a different month; entering aging 0 stores 0 (not -0) fine but cases where AGING unchanged still pass through CASE; "1N" restricts future dating to 9 months.</t>
  </si>
  <si>
    <t xml:space="preserve">Validates an operator-typed money string and converts it to integer cents.</t>
  </si>
  <si>
    <t xml:space="preserve">L19 inconsistency: "12." becomes 1200 cents but "12" stays 12 cents. Negative values rejected.</t>
  </si>
  <si>
    <t xml:space="preserve">Converts a foreign-currency amount tagged Y (yen) or R (renminbi) to USD using rates stored in CONTROL.</t>
  </si>
  <si>
    <t xml:space="preserve">reads CONTROL ('YEN.CONV' attr 2, 'RBI.CONV' attr 2) · writes none</t>
  </si>
  <si>
    <t xml:space="preserve">scale factor 10000 implies rate stored scaled (units of result unclear: cents vs dollars) — confirm; no rounding.</t>
  </si>
  <si>
    <t xml:space="preserve">One-off copy of high-credit fields from ARMST2 into ARMST (attr 36 -&gt; 38, attr 37 -&gt; 37) and zeroing ARMST attr 36.</t>
  </si>
  <si>
    <t xml:space="preserve">reads ARMST2 · writes ARMST attrs 36-38</t>
  </si>
  <si>
    <t xml:space="preserve">sources from ARMST2 (backup copy), so it's a one-off repair.</t>
  </si>
  <si>
    <t xml:space="preserve">Prints monthly member statements (three-part form) from ARINV open invoices with prompt-pay discount, past-due flags, aging totals and grand totals; advances CONTROL 'UPD' step from 3 to 4.</t>
  </si>
  <si>
    <t xml:space="preserve">reads ARMST, ARINV, CONTROL ('UPD') · writes ERROR (missing records), CONTROL 'UPD' attr 1</t>
  </si>
  <si>
    <t xml:space="preserve">TDISC includes discounts on future (DUE=0) invoices so NET DUE = DUE - TDISC can understate (L70-71,90); DDATE=SDATE[1,2]+2 can exceed 12 before wrapping (handled by MD&gt;12 check only once). UPD READVU lock held through the whole run.</t>
  </si>
  <si>
    <t xml:space="preserve">Same template as LOWEPRO.RPT for three Olympus product codes.</t>
  </si>
  <si>
    <t xml:space="preserve">duplicate template.</t>
  </si>
  <si>
    <t xml:space="preserve">Spools a "PRO warehouse order confirmation" text per IVORD order to a hold-file named &lt;account&gt;-&lt;order&gt;.EML (later emailed by an external process).</t>
  </si>
  <si>
    <t xml:space="preserve">reads IVORD, ARMST, IVMST, IVMST.DISC, CONTROL ('LASTORD', locked) · writes printer hold file &lt;ACCOUNT&gt;-&lt;ID&gt;.EML</t>
  </si>
  <si>
    <t xml:space="preserve">IVORD attr 4 treated as extended amount here but as unit cost in ORD.EML1/ORD.EML.TEST — contradictory; LASTORD lock never released explicitly.</t>
  </si>
  <si>
    <t xml:space="preserve">Variant of ORD.EML that writes the confirmation text into the EMAIL file (key &lt;account&gt;-&lt;order&gt;.EML) instead of a spool hold file.</t>
  </si>
  <si>
    <t xml:space="preserve">reads IVORD, ARMST, IVMST, IVMST.DISC, CONTROL · writes EMAIL</t>
  </si>
  <si>
    <t xml:space="preserve">superseded by ORD.EML1; no "sent" flag so reruns resend.</t>
  </si>
  <si>
    <t xml:space="preserve">Production order-confirmation generator: for every IVORD order not yet confirmed (PS &lt; 1), writes confirmation text to EMAIL file and marks the order confirmed.</t>
  </si>
  <si>
    <t xml:space="preserve">reads IVORD, ARMST, IVMST, IVMST.DISC · writes EMAIL, IVORD attr PS (14)</t>
  </si>
  <si>
    <t xml:space="preserve">INCLUDE FILE.INCLUDES IVORD.FIELDS; EXECUTE SSELECT IVORD</t>
  </si>
  <si>
    <t xml:space="preserve">if ARMST missing, IVORD lock released via RELEASE at L27 but PS never set — order retried forever silently; TODAY unused.</t>
  </si>
  <si>
    <t xml:space="preserve">Prints warehouse pick tickets for all new VNORD member orders above CONTROL 'LASTORD', assigning sequential shipping numbers recorded in NUMBER.</t>
  </si>
  <si>
    <t xml:space="preserve">reads VNORD, ARMST, IVMST, CONTROL ('SN','LASTORD') · writes CONTROL 'SN' attr 1 and 'LASTORD' attr 1, NUMBER</t>
  </si>
  <si>
    <t xml:space="preserve">ESC and MSG1/LF undefined (ESC used in BCODE L13 not equated; MSG1 L56 undefined); "VNORD attr 10" used as ship-to line 2 but dict says ALLOC; inconsistent stock test &lt;1 vs =0; display filter on DESC field not in VNORD dict.</t>
  </si>
  <si>
    <t xml:space="preserve">Cleans ORDDUE (product due-date file) and prints a list of out-of-stock products lacking a due date so buyers can enter new dates.</t>
  </si>
  <si>
    <t xml:space="preserve">reads IVMST, ORDDUE · writes ORDDUE (deletes)</t>
  </si>
  <si>
    <t xml:space="preserve">EXECUTE SELECT/SORT IVMST, SELECT ORDDUE, TERM</t>
  </si>
  <si>
    <t xml:space="preserve">ORDUP1.01 selects IVMST IDs and deletes the same IDs from ORDDUE (assumes same key). INSTK/DDATE/F14/NET.AVAIL are dictionary I-types not visible in D-type extract.</t>
  </si>
  <si>
    <t xml:space="preserve">Sends terminal escape ESC 4 (slave/aux printer off).</t>
  </si>
  <si>
    <t xml:space="preserve">none · writes none</t>
  </si>
  <si>
    <t xml:space="preserve">Sends terminal escape ESC 3 (slave/aux printer on).</t>
  </si>
  <si>
    <t xml:space="preserve">Prints a packing slip for one shipping number using BILL.PEND shipped quantities, showing ordered/shipped/backordered per line.</t>
  </si>
  <si>
    <t xml:space="preserve">reads BILL.PEND, NUMBER, VNORD, ARMST, IVMST (CONTROL, VNMST opened unused) · writes none</t>
  </si>
  <si>
    <t xml:space="preserve">lines whose product is missing from IVMST end the page loop (L61 LN='' -&gt; L72 GOTO 60) so later lines are dropped.</t>
  </si>
  <si>
    <t xml:space="preserve">Builds WKDATA unit-sales totals per product for actual vendor 3121 (Panasonic) from ORDHIST over an operator date range.</t>
  </si>
  <si>
    <t xml:space="preserve">reads ORDHIST, IVMST · writes WKDATA (cleared)</t>
  </si>
  <si>
    <t xml:space="preserve">EXECUTE CLEAR-FILE, SSELECT ORDHIST</t>
  </si>
  <si>
    <t xml:space="preserve">uses order quantity rather than shipped quantity for "sales"; deleted orders (ORDHIST attr 15) not excluded.</t>
  </si>
  <si>
    <t xml:space="preserve">One-year patronage dividend calculation per member in STOCK, with hard-coded totals.</t>
  </si>
  <si>
    <t xml:space="preserve">reads STOCK · writes STOCK attrs 5, 6</t>
  </si>
  <si>
    <t xml:space="preserve">comment "(.55 is 45%)" contradicts code (L13); hard-coded totals make this a per-year one-off; money units mixed (surcharges cents, dividend dollars — per comment L9).</t>
  </si>
  <si>
    <t xml:space="preserve">Year-end roll: adds patronage credit to patronage balance and zeroes credit and dividend.</t>
  </si>
  <si>
    <t xml:space="preserve">reads STOCK · writes STOCK attrs 3, 5, 6</t>
  </si>
  <si>
    <t xml:space="preserve">no guard against running twice (second run harmless since credit zeroed, but dividend history lost).</t>
  </si>
  <si>
    <t xml:space="preserve">Computes a 3% warehouse surcharge bonus per member into STOCK.</t>
  </si>
  <si>
    <t xml:space="preserve">reads STOCK · writes STOCK attr 8</t>
  </si>
  <si>
    <t xml:space="preserve">dict names for attrs 7/9 (DIRECT.COMM, PROMASTER) don't obviously match "warehouse sales minus cameras"; confirm.</t>
  </si>
  <si>
    <t xml:space="preserve">Prints IRS Form 1099-PATR for each member with a patronage dividend in STOCK2.</t>
  </si>
  <si>
    <t xml:space="preserve">EXECUTE SSELECT STOCK2</t>
  </si>
  <si>
    <t xml:space="preserve">label 30 (grand total form) unreachable; reads backup copies ARMST2/STOCK2 rather than live files; units of DIVIDEND here cents vs dollars in PATR.CALC comment — inconsistency.</t>
  </si>
  <si>
    <t xml:space="preserve">Turns off Windows PC printing and resets terminal to 80x24.</t>
  </si>
  <si>
    <t xml:space="preserve">WIN.PRINTOFF</t>
  </si>
  <si>
    <t xml:space="preserve">Sets terminal to 132x57 and turns on Windows PC printing.</t>
  </si>
  <si>
    <t xml:space="preserve">WIN.PRINTON</t>
  </si>
  <si>
    <t xml:space="preserve">Renders vendor (EDI / direct-ship) billing invoices in ARSHIP to PDF via spooler hold files (.CFG + .TXT per invoice), using vendor-supplied product, description, qty and cost.</t>
  </si>
  <si>
    <t xml:space="preserve">reads ARSHIP, ARMST, APMST (IVMST, CONTROL opened unused) · writes spool hold files &lt;INV&gt;.CFG / &lt;INV&gt;.TXT</t>
  </si>
  <si>
    <t xml:space="preserve">EXECUTE SSELECT ARSHIP BY INVNO, SETPTR</t>
  </si>
  <si>
    <t xml:space="preserve">comment L4 mentions "comments regarding terms on vendor invoices" but none are in code; selects all of ARSHIP, not only EDI invoices (no filter on attr 10 populated) — invoices without VPROD produce empty bodies.</t>
  </si>
  <si>
    <t xml:space="preserve">Reprints historical member invoices from ARHIST to PDF (spooler .CFG/.TXT) for a pre-selected list.</t>
  </si>
  <si>
    <t xml:space="preserve">reads ARHIST (opened as ARSHIP variable), ARMST, IVMST, IVMST.DISC · writes spool hold files</t>
  </si>
  <si>
    <t xml:space="preserve">page break handled twice (L48-49: after GOSUB 50 resets L=1, second test harmless); invoice # uses ID[5,6] here vs ID[5,5] in LJ.INV*; header terms/PO positions same as PDF.INV2.</t>
  </si>
  <si>
    <t xml:space="preserve">Renders all current ARSHIP member invoices to PDF via spooler hold files with an invoice background bitmap.</t>
  </si>
  <si>
    <t xml:space="preserve">reads ARSHIP, ARMST, IVMST, IVMST.DISC · writes spool hold files</t>
  </si>
  <si>
    <t xml:space="preserve">same as PDF.INV.HIST; credits not labelled (MSG unused).</t>
  </si>
  <si>
    <t xml:space="preserve">Operator confirms consumer (end-customer) rebate claims submitted online (PENDRBTS), assigns a rebate check number, writes to RBTDATA and removes the pending record.</t>
  </si>
  <si>
    <t xml:space="preserve">reads PENDRBTS, RBTCODES, IVMST, STRNAME, ARMST, CONTROL ('RBTCHK') · writes RBTDATA, PENDRBTS (delete), CONTROL 'RBTCHK' attr 1</t>
  </si>
  <si>
    <t xml:space="preserve">check counter not persisted until exit — crash causes duplicate check numbers; no lock on CONTROL; L36-38 IF/ELSE structure missing proper END (relies on single-line ELSE + END). Not related to vendor instant rebates.</t>
  </si>
  <si>
    <t xml:space="preserve">Copy of MINOLTA.RPT repurposed for a single Pentax ZXL product code.</t>
  </si>
  <si>
    <t xml:space="preserve">header comment still says MINOLTA (L1).</t>
  </si>
  <si>
    <t xml:space="preserve">Reconciles open purchase orders between IVPO (PO file) and the PO multivalues on IVMST (attrs 20-23), adding missing open POs to IVMST and removing fully received or orphaned POs, printing each discrepancy.</t>
  </si>
  <si>
    <t xml:space="preserve">reads IVPO, IVMST, IVSPORD (ERROR opened unused) · writes IVMST attrs 20 PO.NUM, 21 PO.QTY, 22 PO.CST, 23 PO.BO</t>
  </si>
  <si>
    <t xml:space="preserve">SUMM (subroutine); EXECUTE SSELECT IVPO, SSELECT IVMST</t>
  </si>
  <si>
    <t xml:space="preserve">PO open-qty stored in attr 21 or attr 23 depending on receipt state (inconsistent semantics for downstream readers). Pass 2 for special-order/product-555 path uses PRODS(14)&lt;1,I&gt; where I is the IVMST PO index, not the IVPO line, and WHERE is stale when LOCATE fails (L82-89). Product 555 read with MATREAD (no lock) then MATWRITE (L45, L112). Label 170 is dead code. MATWRITEU at L120 holds locks until RELEASE.</t>
  </si>
  <si>
    <t xml:space="preserve">Sends compressed-print / PCL 132-column codes to printer.</t>
  </si>
  <si>
    <t xml:space="preserve">Turns on slave printer port at 132 chars (16.67 cpi).</t>
  </si>
  <si>
    <t xml:space="preserve">Production version of LBL.TEST: prints one remittance label per selected invoice (ARSHIP, else ARHIST).</t>
  </si>
  <si>
    <t xml:space="preserve">reads ARSHIP, ARHIST · writes none</t>
  </si>
  <si>
    <t xml:space="preserve">header says "label for Vendor Invoice" — it is a PRO invoice label.</t>
  </si>
  <si>
    <t xml:space="preserve">Copy of PRINT.LABEL that falls back to archive file ARHIST.96 instead of ARHIST.</t>
  </si>
  <si>
    <t xml:space="preserve">reads ARSHIP, ARHIST.96 · writes none</t>
  </si>
  <si>
    <t xml:space="preserve">Prints small 4-across product labels (product # + description) in quantities from the ORDER work file, descriptions from FILTERS.</t>
  </si>
  <si>
    <t xml:space="preserve">reads ORDER, FILTERS · writes none</t>
  </si>
  <si>
    <t xml:space="preserve">EXECUTE SETPTR, SSELECT ORDER, RESETPTR</t>
  </si>
  <si>
    <t xml:space="preserve">FILTERS appears to be a filter-product description file (1990); purpose of FILTERS vs IVMST unclear.</t>
  </si>
  <si>
    <t xml:space="preserve">Parses the UPS WorldShip export CSV staged in UPS.PERM record "Export_sjl.csv" and posts tracking numbers, package counts and published/negotiated freight cost to SCANORD shipments; then consolidates multi-package shipments.</t>
  </si>
  <si>
    <t xml:space="preserve">reads UPS.PERM ("Export_sjl.csv"), SCANORD · writes SCANORD attrs 15 TRACKNO, 16 PACKAGES, 17 PUB.COST, 18 NEG.COST</t>
  </si>
  <si>
    <t xml:space="preserve">INCLUDE FILE.INCLUDES SCANORD.FIELDS</t>
  </si>
  <si>
    <t xml:space="preserve">CUTOFF unused (L22); abort message names BP PURGE.UPS (copy-paste, L16); REMOVE.EXTRA.INFO with DC=1 falls through into SET.VALS.TO.NULL (missing RETURN, L95-117); uses both SCANORD.PKGS and SCANORD.PACKAGES equates; hard-coded staging key includes a user's initials.</t>
  </si>
  <si>
    <t xml:space="preserve">Exports a member credit spreadsheet (PRO_CREDIT.XLS) to the Windows download directory via WIN.IMPORT.</t>
  </si>
  <si>
    <t xml:space="preserve">reads CONTROL ('FTP.DIR' attr 2), ARMST · writes PC file &lt;FTP.DIR&gt;\PRO_CREDIT.XLS, saved list PRO_CREDIT</t>
  </si>
  <si>
    <t xml:space="preserve">WIN.IMPORT; EXECUTE SELECT/SSELECT/SAVE-LIST</t>
  </si>
  <si>
    <t xml:space="preserve">TP attr 23 used as a member-type filter (=1) here; meaning unconfirmed.</t>
  </si>
  <si>
    <t xml:space="preserve">Prints vendor (EDI) credit memos from EDICREDITS on the laser printer, using vendor-supplied line data, with "Billing for &lt;vendor&gt;" header.</t>
  </si>
  <si>
    <t xml:space="preserve">reads EDICREDITS, ARMST, APMST (IVMST, CONTROL opened unused) · writes none</t>
  </si>
  <si>
    <t xml:space="preserve">EXECUTE SSELECT EDICREDITS</t>
  </si>
  <si>
    <t xml:space="preserve">credits printed as positive amounts — "THIS IS A CREDIT" MSG defined but never printed (L22); surcharge printed but not included in total. Credit identity relies on file, not sign.</t>
  </si>
  <si>
    <t xml:space="preserve">Laser-print version of PDF.EDI.INV: prints all ARSHIP invoices using vendor (EDI) line data with vendor "Billing for" header.</t>
  </si>
  <si>
    <t xml:space="preserve">reads ARSHIP, ARMST, APMST · writes none</t>
  </si>
  <si>
    <t xml:space="preserve">duplicate of PRT.EDI.CREDIT; selects all ARSHIP, not only EDI-sourced invoices; header surcharge (attr 8) not in total.</t>
  </si>
  <si>
    <t xml:space="preserve">Runs NEW.REPORT.PRT with aux printer on/off around it.</t>
  </si>
  <si>
    <t xml:space="preserve">EXECUTE NEW.REPORT.PRT</t>
  </si>
  <si>
    <t xml:space="preserve">Aux printer off (ESC 4); duplicate of P.OFF.</t>
  </si>
  <si>
    <t xml:space="preserve">duplicate of P.OFF.</t>
  </si>
  <si>
    <t xml:space="preserve">Aux printer on (ESC 3); duplicate of P.ON.</t>
  </si>
  <si>
    <t xml:space="preserve">duplicate of P.ON.</t>
  </si>
  <si>
    <t xml:space="preserve">Purges program-usage audit entries older than 30/60/90/120 days from PGM.AUDIT.</t>
  </si>
  <si>
    <t xml:space="preserve">reads/writes PGM.AUDIT</t>
  </si>
  <si>
    <t xml:space="preserve">cutoff round-trips through D2/ (2-digit year) conversion (L14,20); empty records left in place.</t>
  </si>
  <si>
    <t xml:space="preserve">Earlier version of PROCESS.EXPORT: reads UPS export CSVs (Export_1/2/4.csv) staged in UPS file, posts tracking/costs to SCANORD, and purges matching shipments from the UPS_DOM/UPS_INT outbound staging records.</t>
  </si>
  <si>
    <t xml:space="preserve">reads UPS (Export_1.csv, Export_2.csv, Export_4.csv, UPS_DOM.csv, UPS_DOM_2.csv, UPS_DOM_4.csv, UPS_INT*.csv), SCANORD · writes UPS (truncate exports to header, rewrite UPS_DOM*, delete *_2/*_4), SCANORD attrs 15-18</t>
  </si>
  <si>
    <t xml:space="preserve">void flag read but ignored (fixed in PROCESS.EXPORT); UPS_INT only purged when the same SN is also in UPS_DOM (nested loop L41) and INTREC is never written back, so UPS_INT is never actually updated; DEL inside FOR without index adjustment skips lines; UPS_INT_2/_4 deleted though UPS_INT not rewritten.</t>
  </si>
  <si>
    <t xml:space="preserve">One-off reprint of corrected 1st-quarter 1998 member rebate check stubs, breaking rebate into PRO warehouse and Konica components.</t>
  </si>
  <si>
    <t xml:space="preserve">reads MISC, ARMST (VNMST opened unused) · writes none</t>
  </si>
  <si>
    <t xml:space="preserve">MISC attr layout differs from MC.1 (attr 2 = check # here vs sales in MC.1; check # written to attr 5 in MC.1) — MISC is reused as a scratch file per run; operator-entered CHKNO ignored (overwritten from M(2)).</t>
  </si>
  <si>
    <t xml:space="preserve">Prints reminder letters to members not yet qualified for the 2% quarterly warehouse rebate, listing missing product groups and the dollar shortfall to $10,000.</t>
  </si>
  <si>
    <t xml:space="preserve">reads QTRDATA, ARMST · writes none</t>
  </si>
  <si>
    <t xml:space="preserve">EXECUTE SELECT QTRDATA WITH QUALIFY NE Y</t>
  </si>
  <si>
    <t xml:space="preserve">shortfall can be negative/unused when member already over $10k but missing groups (not possible since such members qualify); quarter text hard-coded.</t>
  </si>
  <si>
    <t xml:space="preserve">Later version of the reminder letter for the 5% quarterly warehouse incentive program with SKU-count minimums per product group and a selectable dollar threshold.</t>
  </si>
  <si>
    <t xml:space="preserve">EXECUTE SELECT QTRDATA</t>
  </si>
  <si>
    <t xml:space="preserve">QTRDATA layout used here (attr 1 dollars, attrs 2-7 SKU counts) is incompatible with what QUARTERLY.RPT/QUARTERLY.LY write (attr 1 group list, 2 qtys, 3 dollars, 4 qualify) — a different, unseen builder must populate QTRDATA for this letter; "memory" listed as both excluded net item and a required group (L45 vs L49).</t>
  </si>
  <si>
    <t xml:space="preserve">Variant of QUARTERLY.RPT run against archive ARHIST.01 with later-era exclusions and a $15,000 threshold.</t>
  </si>
  <si>
    <t xml:space="preserve">reads ARHIST.01, IVMST, IVMST.DISC · writes QTRDATA (cleared)</t>
  </si>
  <si>
    <t xml:space="preserve">EXECUTE CLEAR-FILE, SSELECT ARHIST.01</t>
  </si>
  <si>
    <t xml:space="preserve">reads archive file ARHIST.01 (2001) — likely a re-run for prior year.</t>
  </si>
  <si>
    <t xml:space="preserve">Builds QTRDATA quarterly warehouse-rebate qualification per member from ARHIST for an operator date range.</t>
  </si>
  <si>
    <t xml:space="preserve">reads ARHIST, IVMST, IVMST.DISC · writes QTRDATA (cleared)</t>
  </si>
  <si>
    <t xml:space="preserve">group qty of 0 or negative (returns) still counts as "purchased" since only blank is tested (fixed in QUARTERLY.LY); 600-line cap per invoice.</t>
  </si>
  <si>
    <t xml:space="preserve">Terminal full-line editor (raw keystroke input with insert mode, arrows, tab/esc/up/down actions).</t>
  </si>
  <si>
    <t xml:space="preserve">INCLUDE I_RAWINP</t>
  </si>
  <si>
    <t xml:space="preserve">SCRCTL parameter vs SCRCT DIM name mismatch (L1,L5).</t>
  </si>
  <si>
    <t xml:space="preserve">One-off rebuild of the AP check register (APBR) from AP distribution records in saved list APDIST.JOHN, one APBR record per check.</t>
  </si>
  <si>
    <t xml:space="preserve">reads APDIST, APMST · writes APBR</t>
  </si>
  <si>
    <t xml:space="preserve">EXECUTE GET-LIST APDIST.JOHN</t>
  </si>
  <si>
    <t xml:space="preserve">relies on list being sorted by check (control break, L9); vendor/name/date taken from last APDIST row of the check; APDIST attr 13 deductions ignored in net; OPEN failures only print and continue.</t>
  </si>
  <si>
    <t xml:space="preserve">Rebuilds MSALES (per-product quantity and sales dollars) by accumulating ARHIST invoice lines from an active select list.</t>
  </si>
  <si>
    <t xml:space="preserve">reads ARHIST · writes MSALES</t>
  </si>
  <si>
    <t xml:space="preserve">does not clear MSALES first — rerun double counts; relies on caller's select list; READU lock held until next WRITE (fine). MSALES dict labels attr 2 TCOST but program stores sales amount.</t>
  </si>
  <si>
    <t xml:space="preserve">Intended to reprint EDI invoices from ARHIST for an invoice-number range by calling PDF.EDI.INV.</t>
  </si>
  <si>
    <t xml:space="preserve">reads ARHIST (select only) · writes none</t>
  </si>
  <si>
    <t xml:space="preserve">intended PDF.EDI.INV (malformed)</t>
  </si>
  <si>
    <t xml:space="preserve">L16 "RPDF.EDI.INV" is not a valid statement (likely meant EXECUTE 'RUN BP PDF.EDI.INV') and L16-17 loop forever; "WITH WITH" in select (L15); start number validated as a date pattern. Program cannot work as written.</t>
  </si>
  <si>
    <t xml:space="preserve">Removes one of two duplicate occurrences of a product line from an ORDHIST order.</t>
  </si>
  <si>
    <t xml:space="preserve">reads/writes ORDHIST</t>
  </si>
  <si>
    <t xml:space="preserve">INCLUDE FILE.INCLUDES ORDHIST.FIELDS</t>
  </si>
  <si>
    <t xml:space="preserve">ORDHIST.COST (attr 4) values not removed, so costs shift out of alignment with products after deletion (L54-56); READU lock not released on "product not found" re-prompt path until next order.</t>
  </si>
  <si>
    <t xml:space="preserve">Moves open invoices that were billed under FotoSource consolidated account 7000 back to the real member's ARINV when the invoice exists in ARHIST under that member, then rebuilds aging for both via RESET.ARMST.</t>
  </si>
  <si>
    <t xml:space="preserve">reads ARMST, ARINV, ARHIST (CONTROL opened unused) · writes ARMST (7000 and member — unchanged copies), ARINV (7000 and member)</t>
  </si>
  <si>
    <t xml:space="preserve">EXECUTE RUN BP RESET.ARMST (with DATA 7000, member, END); INCLUDE ARINV.FIELDS, ARMST.FIELDS; SUMM</t>
  </si>
  <si>
    <t xml:space="preserve">moved-total uses INV (destination) at index I instead of FSINV (L45-47), so the reported total is wrong; header comment says "convert FotoSource member invoices to FotoSource" (reverse of what it does); error text says CONVERT.ARINV (copied); RESET.ARMST reads a select list, not the stacked DATA, so the aging rebuild in .04 likely never runs (see RESET.ARMST).</t>
  </si>
  <si>
    <t xml:space="preserve">Reprints pick tickets/order forms for a select list of VNORD orders on 3-part stock using operator-supplied starting shipping number (no NUMBER/CONTROL update).</t>
  </si>
  <si>
    <t xml:space="preserve">reads VNORD, ARMST, IVMST · writes none</t>
  </si>
  <si>
    <t xml:space="preserve">no out-of-stock '*' flags (unlike ORD.PRINT); stops entirely on first missing VNORD/ARMST record (L33,35).</t>
  </si>
  <si>
    <t xml:space="preserve">Copy of REPRINT.BO pointed at printer WH8100 (2001 update).</t>
  </si>
  <si>
    <t xml:space="preserve">duplicate of REPRINT.BO.</t>
  </si>
  <si>
    <t xml:space="preserve">Recomputes ARMST aging buckets and balance from ARINV open invoices for every account in the active select list, backing up before/after images to ERRFL.</t>
  </si>
  <si>
    <t xml:space="preserve">reads ARINV, ARMST · writes ARMST attrs 10-15, ERRFL (&lt;acct&gt;I, &lt;acct&gt;M backups)</t>
  </si>
  <si>
    <t xml:space="preserve">none (ARLOG opened; UPD.ARLOG call commented out)</t>
  </si>
  <si>
    <t xml:space="preserve">header says "add input of account" but this version uses READNEXT (names appear swapped with RESET.ARMST.SEL); invoked by REMOVE.FROM.FSINV with DATA 7000/member, which this program never reads, so that caller's reset silently does nothing unless a select list is active; aging-0 amounts land in both FTR and attr 10 before attr 10 is overwritten; ARLOG update claimed in comment (07-23-09) is commented out; "CHAIN 'ABFLT'" typo L13.</t>
  </si>
  <si>
    <t xml:space="preserve">Same as RESET.ARMST but prompts the operator for each account instead of reading a select list.</t>
  </si>
  <si>
    <t xml:space="preserve">reads ARINV, ARMST · writes ARMST attrs 10-15, ERRFL</t>
  </si>
  <si>
    <t xml:space="preserve">program name ".SEL" suggests select-list driven but it is the interactive one (names swapped with RESET.ARMST).</t>
  </si>
  <si>
    <t xml:space="preserve">One-off fix-up that moves member credits (negative open invoice amounts) out of the 30/60/90 aging buckets back into Current, after backing up the records to ERRFL.</t>
  </si>
  <si>
    <t xml:space="preserve">reads ARINV, ARMST · writes ERRFL, ARMST, ARINV</t>
  </si>
  <si>
    <t xml:space="preserve">EXECUTE SELECT</t>
  </si>
  <si>
    <t xml:space="preserve">One-off fix-up script (1999). MATREADU has THEN and no ELSE, so a missing ARMST record is skipped silently and the ARINV lock is held until RELEASE. ERRFL backups are overwritten on every run. The policy "credits always sit in Current" should be confirmed for PIV2 aging.</t>
  </si>
  <si>
    <t xml:space="preserve">Undo for RESET.CREDIT.AGING. It writes every ERRFL backup record back over ARINV (keys containing 'I') or ARMST (other keys).</t>
  </si>
  <si>
    <t xml:space="preserve">reads ERRFL · writes ARINV, ARMST</t>
  </si>
  <si>
    <t xml:space="preserve">It restores everything in ERRFL. Records that other programs wrote to ERRFL would also be pushed into ARMST. READU locks are never released explicitly. ERRFL is not cleared afterwards.</t>
  </si>
  <si>
    <t xml:space="preserve">Clears the PRINTED flag on a range of customer rebate checks so they can be reprinted.</t>
  </si>
  <si>
    <t xml:space="preserve">reads RBTDATA · writes RBTDATA</t>
  </si>
  <si>
    <t xml:space="preserve">`GOTO10` on L21 has no space (it depends on the compiler accepting it). The range select compares check numbers as strings/numbers through a query and is not validated. The "E" exit only tests the first character.</t>
  </si>
  <si>
    <t xml:space="preserve">DBA tool that runs RESIZE ... * * * on every file and dictionary in VOC (skipping paths that contain '/') and resizes each physical path once.</t>
  </si>
  <si>
    <t xml:space="preserve">reads VOC · writes none (UniVerse RESIZE)</t>
  </si>
  <si>
    <t xml:space="preserve">EXECUTE SELECTFL, RESIZE</t>
  </si>
  <si>
    <t xml:space="preserve">HASH.AID.FILE is opened and never used. The program ends with RETURN, not STOP.</t>
  </si>
  <si>
    <t xml:space="preserve">Recovery tool for manually re-keying lost ARHIST (member billing of vendor invoices) records, pulling the amount from APHIST.</t>
  </si>
  <si>
    <t xml:space="preserve">reads APHIST · writes ARHIST (ARHIST, ARSHIP are opened; ARSHIP is unused)</t>
  </si>
  <si>
    <t xml:space="preserve">One-off 1996/1999 recovery script. INVOICE is uninitialised on the first blank entry (it becomes 1). Blank TERMS carries the previous value forward. ARSHIP is opened and never used.</t>
  </si>
  <si>
    <t xml:space="preserve">Report of member returns (RETURNS.10) totalled per member, shown against the member's PROMASTER purchases as a return percentage, to the screen, a printer, or an Excel download.</t>
  </si>
  <si>
    <t xml:space="preserve">reads RETURNS.10 (+dict NET.1), IVMST, IVMST.DISC, ARMST, ARMST.OLD, ARMST2 · writes DOWNLOADS (temp, deleted)</t>
  </si>
  <si>
    <t xml:space="preserve">EDIT.LINE; EXECUTE SSELECT, PTERM, TERM, FT</t>
  </si>
  <si>
    <t xml:space="preserve">DELIM (tab) is defined but never used, so the ".xls" output is fixed-width text. The file name RETURNS.10 suggests a 2010-only file. Grand-total PCT reuses the per-member logic.</t>
  </si>
  <si>
    <t xml:space="preserve">Reverses a posted EZPAY run (member automatic payment). Each EZPAY gross amount goes back into the member's balance and aging bucket, the paid dates are reset, the cash control total is backed out, and WEBSTMT is rebuilt.</t>
  </si>
  <si>
    <t xml:space="preserve">reads EZPAY, CONTROL ('UPD','MS'), ARMST, ARINV · writes ARMST, ARINV, ARHIST (attr 16), CONTROL 'MS' (ARLOG, ZIPREF, WEBERRORS are opened but unused)</t>
  </si>
  <si>
    <t xml:space="preserve">EXECUTE SSELECT, RUN WEBSTMT (UPD.ARLOG call commented out)</t>
  </si>
  <si>
    <t xml:space="preserve">AGING = 4 is not covered in the CASE, so ATTR keeps the previous invoice's bucket (RESET.CREDIT.AGING maps 4+ to 90). L153 subscripts ARI with the ARMST.VNCRED equate (wrong array and attr). The header comment ("Update Member Orders via EDI") is copy-pasted. The error message says UPD.MEMEZPAY. The L184 READU sets NOT.LOCKED = 1 in its LOCKED clause, so a locked record never waits. An abort part-way leaves some members reversed and others not.</t>
  </si>
  <si>
    <t xml:space="preserve">Reprints member billing invoices for vendor (EDI) invoices from ARHIST, as print-to-PDF hold entries with a companion .CFG file.</t>
  </si>
  <si>
    <t xml:space="preserve">reads ARHIST (as ARSHIP), ARMST, APMST · writes printer hold entries (IVMST, CONTROL opened but unused)</t>
  </si>
  <si>
    <t xml:space="preserve">It does no SELECT (commented out) and relies on an active select list. MSG ("THIS IS A CREDIT") is never used. Header mentions comments about terms that do not exist. 39-line paging.</t>
  </si>
  <si>
    <t xml:space="preserve">Older printed (HP PCL) version of RPDF.EDI.INV that prints member billing invoices for vendor invoices from ARHIST, falling back to ARHIST.00.</t>
  </si>
  <si>
    <t xml:space="preserve">reads ARHIST, ARHIST.00, ARMST, APMST · writes printer</t>
  </si>
  <si>
    <t xml:space="preserve">`GOTO5` typo on L29. No SELECT. An unused MSG constant.</t>
  </si>
  <si>
    <t xml:space="preserve">Reprints member invoices from ARHIST. It handles both warehouse product invoices and "billing for vendor" (drop-ship/vendor-direct) invoices, the latter with a terms-dispute notice.</t>
  </si>
  <si>
    <t xml:space="preserve">reads ARHIST, ARMST, IVMST, IVMST.DISC, APMST · writes printer (CONTROL opened, unused)</t>
  </si>
  <si>
    <t xml:space="preserve">Relies on an active select list. The member is assumed to be the first 4 chars of the key. Pre-printed form layout with a 24-line page.</t>
  </si>
  <si>
    <t xml:space="preserve">Copy of RPT.INV pointed at the 1997 archive file ARHIST.97.</t>
  </si>
  <si>
    <t xml:space="preserve">reads ARHIST.97, ARMST, IVMST, APMST · writes printer</t>
  </si>
  <si>
    <t xml:space="preserve">Year-specific copy of RPT.INV.</t>
  </si>
  <si>
    <t xml:space="preserve">LaserJet (PCL) reprint of member product invoices from ARHIST, with a fallback to ARHIST.98.</t>
  </si>
  <si>
    <t xml:space="preserve">reads ARHIST, ARHIST.98, ARMST, IVMST, IVMST.DISC · writes printer (CONTROL, APMST opened, unused)</t>
  </si>
  <si>
    <t xml:space="preserve">The open-error message for ARHIST.98 says 'ARHIST'. A vendor-billing record (qty blank) would print one line with qty blank, skipped as 0.</t>
  </si>
  <si>
    <t xml:space="preserve">Copy of RPT.LJ.INV.</t>
  </si>
  <si>
    <t xml:space="preserve">reads ARHIST, ARHIST.00, ARMST, IVMST, IVMST.DISC · writes printer</t>
  </si>
  <si>
    <t xml:space="preserve">Duplicate of RPT.LJ.INV.</t>
  </si>
  <si>
    <t xml:space="preserve">Displays or prints a vendor Return Authorization request (VENDRA record) as a "Defective merchandise return request".</t>
  </si>
  <si>
    <t xml:space="preserve">reads CONTROL ('P.ON','P.OFF'), VENDRA (via LIST) · writes printer</t>
  </si>
  <si>
    <t xml:space="preserve">P.ASSIGN.SUB; EXECUTE LIST, P.ON, P.OFF, RESETPTR</t>
  </si>
  <si>
    <t xml:space="preserve">1996-vs-1997 "Vendor participation" letter per member. It lists every PRO vendor program with the member's purchases in each year and flags programs under $300.</t>
  </si>
  <si>
    <t xml:space="preserve">reads SALESDATA, ARMST, APMST.TEMP, WHSEHIST · writes printer</t>
  </si>
  <si>
    <t xml:space="preserve">Year-specific (1996/1997 hard-coded in headings). Money-unit inconsistency: the warehouse threshold is 300 and the vendor threshold is 30000. The flag text "&gt; $300" actually marks purchases &lt; $300. Skipped vendors 1728/1735 are still counted among the 63. Epson ESC/P printer codes. SALESDATA (no dict) is read as key = member, attr 1 = vendor list, attr 2 = 1997 purchases, attr 3 = 1996 purchases, in cents.</t>
  </si>
  <si>
    <t xml:space="preserve">Warehouse scan-pick screen. The picker scans a ship ticket number, then products and quantities against the vendor order (VNORD), and marks the ticket pending or complete, which prints a packing list.</t>
  </si>
  <si>
    <t xml:space="preserve">reads NUMBER, VNORD, IVMST, IVCAT (via include) · writes SCANORD</t>
  </si>
  <si>
    <t xml:space="preserve">INCLUDE I_READ_IVCAT; EXECUTE RUN IV.PRT.PACKLIST</t>
  </si>
  <si>
    <t xml:space="preserve">Superseded program. MATREADU ELSE conflates "not found" with "locked" (a locked ticket would be re-seeded as new), which is a silent-fallthrough bug suspect. 'E' at the QTY prompt STOPs while holding the lock.</t>
  </si>
  <si>
    <t xml:space="preserve">Screen subroutine to pick a member's drop-ship address from SHIPTO by code or from a paged list, returning name, address line 1, city/state/zip and UPS zone.</t>
  </si>
  <si>
    <t xml:space="preserve">reads SHIPTO · writes none</t>
  </si>
  <si>
    <t xml:space="preserve">EDIT.LINE; EXECUTE SSELECT</t>
  </si>
  <si>
    <t xml:space="preserve">ADDR2S is never filled in SEL.CODES, so address line 2 is dropped. A bare RETURN after GO START is unreachable.</t>
  </si>
  <si>
    <t xml:space="preserve">Operator marks products as discontinued by setting IVMST attr 41 (DISCD) = 1.</t>
  </si>
  <si>
    <t xml:space="preserve">The header says "DISCARD status", but the dict calls attr 41 DISCD (DC). Confirm whether it means discard or discontinued. A blank Enter confirms, which is easy to trigger by accident.</t>
  </si>
  <si>
    <t xml:space="preserve">Sends PCL reset/margin/16.66-cpi codes to set an HP printer to 132 columns.</t>
  </si>
  <si>
    <t xml:space="preserve">none · writes printer</t>
  </si>
  <si>
    <t xml:space="preserve">Same as SET.HP.132 without the compressed-pitch code (80 columns).</t>
  </si>
  <si>
    <t xml:space="preserve">Adds newly purchased co-op shares to a member's share count in STOCK.</t>
  </si>
  <si>
    <t xml:space="preserve">There is no lock (WRITEV without READU). A blank member or shares entry is accepted.</t>
  </si>
  <si>
    <t xml:space="preserve">Stub of a "print shipping tickets" program. It only opens files and has no logic.</t>
  </si>
  <si>
    <t xml:space="preserve">opens VNORD, ARMST, IVMST, NUMBER, CONTROL, VNMST, BILL.PEND · writes none</t>
  </si>
  <si>
    <t xml:space="preserve">Truncated/incomplete source with no END statement.</t>
  </si>
  <si>
    <t xml:space="preserve">Builds SALESDATA (input to SALES.REPORT). For each member it holds the vendor list (all APMST.TEMP vendors by name) with 1997 and 1996 purchases per vendor, taken from the IVEND97/BVEND2 and IVEND96/BVEND96 summaries.</t>
  </si>
  <si>
    <t xml:space="preserve">reads APMST.TEMP, IVEND97, IVEND96, BVEND2, BVEND96 · writes SALESDATA (cleared first)</t>
  </si>
  <si>
    <t xml:space="preserve">EXECUTE CLEAR-FILE, SSELECT</t>
  </si>
  <si>
    <t xml:space="preserve">Year-specific files (1996/1997). Vendor and member loops are capped at 100. Labels 40/42 clash with GO 42 inside loops (L47 jumps to label 42, which is fine, but label 42 is also an old line-number style). Units are assumed cents (SALES.REPORT formats MD2).</t>
  </si>
  <si>
    <t xml:space="preserve">Lists jobs on Unix spool queue PR1, lets the operator choose jobs, copies them to the &amp;HOLD&amp; file (through SETPROWHSE + SPOOL) and cancels them from the queue.</t>
  </si>
  <si>
    <t xml:space="preserve">reads UV.SPOOLQ · writes &amp;HOLD&amp; (via SPOOL)</t>
  </si>
  <si>
    <t xml:space="preserve">EXECUTE SH usa -p PR1, SETPROWHSE, SSELECT UV.SPOOLQ, SPOOL, SPOOL -CANCEL</t>
  </si>
  <si>
    <t xml:space="preserve">Comma-list entries are not validated as numeric.</t>
  </si>
  <si>
    <t xml:space="preserve">Test print of a PCL barcode font and two text fonts with sample strings.</t>
  </si>
  <si>
    <t xml:space="preserve">Builds TAMDATA, which holds per-member quantity and amount sold for 24 hard-coded Tamron products, from warehouse invoices in ARHIST for a date range (vendor sales report for Tamron).</t>
  </si>
  <si>
    <t xml:space="preserve">reads ARHIST · writes TAMDATA (cleared first)</t>
  </si>
  <si>
    <t xml:space="preserve">Products are hard-coded, so the list is presumably stale (1999). The date range is passed unchecked into the query. 200-line cap per invoice.</t>
  </si>
  <si>
    <t xml:space="preserve">One-off script copying each member's ARMST2 attr 26 (P.SALES "PRO-MERCH"/"WH-SALES") into STOCK attr 7.</t>
  </si>
  <si>
    <t xml:space="preserve">reads STOCK, ARMST2 · writes STOCK</t>
  </si>
  <si>
    <t xml:space="preserve">One-off fix-up, no lock.</t>
  </si>
  <si>
    <t xml:space="preserve">Developer test of LOCATE to find a second occurrence in a multivalue list.</t>
  </si>
  <si>
    <t xml:space="preserve">Prints a test barcode "*12345*" in a PCL barcode font.</t>
  </si>
  <si>
    <t xml:space="preserve">Developer test that looks for 14 product numbers in the products of ORDHIST order 21154.</t>
  </si>
  <si>
    <t xml:space="preserve">reads ORDHIST · writes none</t>
  </si>
  <si>
    <t xml:space="preserve">Prints TIMEDATE() and its ICONV date conversion.</t>
  </si>
  <si>
    <t xml:space="preserve">Prints a test barcode "*72262*".</t>
  </si>
  <si>
    <t xml:space="preserve">Report of how many distinct products each member bought (and, in detail mode, the quantity per product) in a date range, from ARHIST invoices.</t>
  </si>
  <si>
    <t xml:space="preserve">reads ARHIST, ARMST, ARMST.OLD, IVMST · writes printer</t>
  </si>
  <si>
    <t xml:space="preserve">The member is assumed to be the first 4 chars of the ARHIST key. Two members with the same name are merged into one row (LOCATE by NAME).</t>
  </si>
  <si>
    <t xml:space="preserve">Calculates the full UPC-A for a PRO 4-digit product code using PRO's UPC manufacturer prefix.</t>
  </si>
  <si>
    <t xml:space="preserve">The input is not validated as exactly 4 digits. A longer or shorter code shifts positions and gives a wrong UPC.</t>
  </si>
  <si>
    <t xml:space="preserve">One-off 2009 backfill of ARHIST attr 16 (DT.PAID per the ARSHIP dict, which ARHIST shares per UPD.DICTS) from ARINV paid dates.</t>
  </si>
  <si>
    <t xml:space="preserve">reads ARHIST, ARINV · writes ARHIST</t>
  </si>
  <si>
    <t xml:space="preserve">One-off fix-up. Using the invoice date as the paid date for purged invoices is an approximation.</t>
  </si>
  <si>
    <t xml:space="preserve">Writes an audit entry to ARLOG whenever a program changes ARMST.</t>
  </si>
  <si>
    <t xml:space="preserve">writes ARLOG</t>
  </si>
  <si>
    <t xml:space="preserve">The key has one-second resolution, so two changes in the same second for the same member overwrite each other (the READU only waits on a lock and does not detect an existing record).</t>
  </si>
  <si>
    <t xml:space="preserve">Dev-environment sync that copies open invoices from the production PRO account (PRO.ARINV) into the PRO.DEVLP account's ARINV, rolls them into ARMST balances, and copies CONTROL 'MS'.</t>
  </si>
  <si>
    <t xml:space="preserve">reads PRO.ARINV, PRO.CONTROL, ARINV, ARMST, CONTROL · writes ARINV, ARMST, CONTROL</t>
  </si>
  <si>
    <t xml:space="preserve">MATREADU ... ELSE MAT x = '' conflates "locked" and "not found", which is a silent-fallthrough bug suspect. If CONTROL 'MS' does not exist locally, nothing is written.</t>
  </si>
  <si>
    <t xml:space="preserve">Year-end utility that points the VOC entries of last year's archive files (APHIST.yy, ARHIST.yy, IVMST.yy, ORDHIST.yy etc.) at the shared live dictionaries.</t>
  </si>
  <si>
    <t xml:space="preserve">writes VOC</t>
  </si>
  <si>
    <t xml:space="preserve">It assumes the archive VOC entries already exist (WRITEV on a missing VOC item creates a broken entry).</t>
  </si>
  <si>
    <t xml:space="preserve">"Billing for NON-PRO MDS via EDI". It processes vendor invoices for member direct-ship orders staged in EDI 'DATA'. Each invoice posts AP (APDIST/APHIST/APMST/VNMST), bills the member (ARINV/ARSHIP/ARMST/IVEND) with PRO surcharge and member terms, closes the member's vendor PO (VENDORD), and diverts credit invoices to EDICREDITS.</t>
  </si>
  <si>
    <t xml:space="preserve">reads EDI 'DATA', CONTROL (UPD, APBAT, APPER, DAYS, INV, NEXT.EDICR, MS), APMST, VNIDX, VNMST, ARMST, VENDORD, APHIST · writes APMST, VNMST, APDIST, APHIST, ARMST, ARINV, ARSHIP, IVEND, VENDORD, EDICREDITS, EDI ('ERROR', 'DATA' deleted), CONTROL (APBAT, INV, NEXT.EDICR, MS) (ERROR file opened, unused)</t>
  </si>
  <si>
    <t xml:space="preserve">Program name says CREDITS, but it bills all EDI invoices. VDISC is reused as the APMST percent and as the discount accumulator (L226 vs L280), so GDISC/"A/P DISC" totals are wrong. GOSUB 55 runs on the first pass with VEND unassigned. MATREADU ELSE conflates locked/not-found for APMST, VENDORD, ARINV and CONTROL MS (silent-fallthrough). Error paths re-write EDI 'DATA' but it is deleted at the end anyway, so remaining data is not preserved. FTR increment comments conflict with code. Hi-credit unit mismatch (dollars vs cents). The month bucket arithmetic omits zero-padding (e.g. '2/15/27').</t>
  </si>
  <si>
    <t xml:space="preserve">Sets every product's IVMST LAST.COST (attr 28) to the unit cost of its most recent receipt.</t>
  </si>
  <si>
    <t xml:space="preserve">The open-error message says UPD.IVMST.RAW (copy-paste). ERR is set to 1 before the lock loop, so the screen line is always cleared.</t>
  </si>
  <si>
    <t xml:space="preserve">One-off 2008 fix-up that folds the physical-inventory (PLOG) adjustment receipt layers dated on PI days into the preceding (older) receiving layer in IVMST.</t>
  </si>
  <si>
    <t xml:space="preserve">SELECT is commented out, so it needs an active select list. MATREADU has no ELSE/LOCKED, so it blocks on a lock.</t>
  </si>
  <si>
    <t xml:space="preserve">Imports member purchase orders received electronically (MEMEDI 'ORDER.TXT'). It validates each order and creates PRO orders (IVORD/ORDHIST), splits them into vendor orders (VNORD) and updates product demand and member open-order totals.</t>
  </si>
  <si>
    <t xml:space="preserve">reads MEMEDI, MEMEDIIDX, ARMST, VENDORD, SHIPTO, IVCAT, IVMST, CONTROL ('UPD','ORD'), ZIPREF ('UPS','STATES') · writes MEMEDI.PERM, MEMEDI ('EDIDUPS','EDIAMTS', deletes 'ORDER.TXT'), WEBERRORS, ARMST, IVMST, VNORD, IVORD, ORDHIST, MEMEDIIDX, CONTROL 'ORD'</t>
  </si>
  <si>
    <t xml:space="preserve">EXECUTE RESETPTR, SORT WEBERRORS LPTR</t>
  </si>
  <si>
    <t xml:space="preserve">An unconditional `DEBUG` at L97 drops into the debugger on every order. ARMST lock wait: the loop exits at WAIT &gt; 60 but the skip test is WAIT &gt; 180, so after ~65 s the order proceeds with no ARMST record read (R is stale or empty) and is then written back. Typing DEBUG at the 22nd-of-month prompt bypasses the check. MATREADU IVMST ELSE conflates not-found and locked: a not-found product is written as a new near-empty IVMST record. ERR is used as both a string and a counter. The over-limit check does not block posting. Contact phone numbers are hard-coded. VNORD/IVMST writes are not transactional with IVORD.</t>
  </si>
  <si>
    <t xml:space="preserve">2011 test copy of UPD.MEMEDI that reads an operator-entered MEMEDI id, with all file writes commented out (dry run). It contains newer rules not present in the production UPD.MEMEDI.</t>
  </si>
  <si>
    <t xml:space="preserve">reads same as UPD.MEMEDI (+ARLOG opened) · writes MEMEDI dup/amount error records, WEBERRORS only (main writes disabled)</t>
  </si>
  <si>
    <t xml:space="preserve">same as UPD.MEMEDI</t>
  </si>
  <si>
    <t xml:space="preserve">The SC string concatenation breaks for a 2-digit surcharge percent (10 -&gt; 1.010 = 1%) and for blank values. Confirm whether this pricing logic made it into production (UPD.WEBORDERS should be checked as the likely home). The price-change message mixes 'MC2' and 'MD2' conversions.</t>
  </si>
  <si>
    <t xml:space="preserve">Posts the EZPAY (member automatic payment) batch. Each EZPAY invoice is marked paid on ARINV and its gross is removed from ARMST balance/aging. EZ-discount is accumulated, the cash control total is updated, and WEBSTMT is rebuilt.</t>
  </si>
  <si>
    <t xml:space="preserve">reads EZPAY, CONTROL ('UPD','MS'), ARMST, ARINV · writes ARMST, ARINV, ARHIST attr 16, CONTROL 'MS' (ARLOG, ZIPREF, WEBERRORS opened, unused)</t>
  </si>
  <si>
    <t xml:space="preserve">EXECUTE SSELECT, RUN WEBSTMT (UPD.ARLOG commented)</t>
  </si>
  <si>
    <t xml:space="preserve">SKIP.MEMBER bug: when a member's ARMST/ARINV cannot be read, the flag is set while the NEXT member's first record is being extracted, so that next member's remaining invoices are silently skipped. AGING = 4 is not handled (the previous bucket is reused). L173 uses the ARMST.VNCRED equate on the ARI array. The L210 READU sets NOT.LOCKED = 1 in its LOCKED clause, so it never waits. The header comment ("Update Member Orders via EDI") is copy-pasted.</t>
  </si>
  <si>
    <t xml:space="preserve">Bulk-loads IVMST RAW cost (attr 19) from a staged TEMPDATA file keyed by product.</t>
  </si>
  <si>
    <t xml:space="preserve">reads TEMPDATA · writes IVMST</t>
  </si>
  <si>
    <t xml:space="preserve">EXECUTE SSELECT</t>
  </si>
  <si>
    <t xml:space="preserve">READU on TEMPDATA is never released (locks accumulate until the program ends). A non-existent product creates a stub IVMST record.</t>
  </si>
  <si>
    <t xml:space="preserve">Imports UPS WorldShip export results (UPS.PERM 'EXP...' records from the last 5 days) and writes tracking numbers, package counts and published/negotiated freight cost onto the SCANORD ship tickets. It then consolidates multi-package tickets.</t>
  </si>
  <si>
    <t xml:space="preserve">The comment says "only update if neg.cost different" but the code does not do this. The consolidation pass scans ALL SCANORD (not just the last 5 days) on every run. SET.VALS.TO.NULL edits arrays that are then discarded. The DC = 1 branch falls through into SET.VALS.TO.NULL. Both SCANORD.PACKAGES and SCANORD.PKGS equates are used (both must exist in the include). The error text says PURGE.UPS.</t>
  </si>
  <si>
    <t xml:space="preserve">Copies UPCs from the IVCAT cross-reference into IVMST attr 29 (UPC).</t>
  </si>
  <si>
    <t xml:space="preserve">13-digit EAN and 14-digit GTIN aliases are ignored. A non-existent product creates a stub IVMST record.</t>
  </si>
  <si>
    <t xml:space="preserve">Subroutine that appends a ship ticket to the UPS WorldShip import CSVs (UPS_DOM, plus UPS_INT customs lines for Canada) held as records in the UPS file. It writes 3 copies (.CSV, _2.CSV, _4.CSV).</t>
  </si>
  <si>
    <t xml:space="preserve">reads ARMST, IVMST, UPS · writes UPS ('UPS_DOM.CSV', 'UPS_DOM_2.CSV', 'UPS_DOM_4.CSV', 'UPS_INT*.CSV')</t>
  </si>
  <si>
    <t xml:space="preserve">City/state/zip parsing uses MCA/MCN on "ST ZIP". For Canadian postal codes (letters + digits) this mangles both the province and the postal code, which matters because Canada is the only zone-10/international path. Zip+4 hyphens are lost. PHONE is not set on the SHIP.INFO path (stale value from a prior call). The date is written in internal Pick format. MATREAD ARMST failure waits on INPUT inside a batch subroutine.</t>
  </si>
  <si>
    <t xml:space="preserve">Maintains the product lines of a pending vendor return authorization (VENDRA): add products, delete them, or change quantities.</t>
  </si>
  <si>
    <t xml:space="preserve">reads VENDRA, APMST, IVMST · writes VENDRA</t>
  </si>
  <si>
    <t xml:space="preserve">Adding a new product and entering qty 0 deletes the existing line at the insert position (a different product). There is no audit of who changed it (attr 8 WHO not updated).</t>
  </si>
  <si>
    <t xml:space="preserve">Imports member web orders (CSV staged in WEBORDERS 'TEST_ORDER.TXT'), groups them into PRO orders, and creates IVORD/ORDHIST and per-vendor VNORD orders. It updates product demand and member open orders, and archives the lines to WEBORD.PERM.</t>
  </si>
  <si>
    <t xml:space="preserve">reads WEBORDERS, WEBORD.PERM, ARMST, VENDORD, IVCAT, IVMST, CONTROL ('UPD','ORD'), ZIPREF · writes WEBORD.PERM, WEBORDERS (staging per line, then deleted), WEBERRORS, ARMST, IVMST, VNORD, IVORD, ORDHIST, CONTROL 'ORD'</t>
  </si>
  <si>
    <t xml:space="preserve">Repeated product in one order: the prior line's cost is subtracted from the totals but the prior line is not removed, so both lines go to the vendor order. The VEND2 "no vendor" check compares against VEND&lt;1,POS&gt; with POS from an unrelated LOCATE, so it is effectively meaningless. The over-limit message prints R(7)-MAX (negative). When ARMST is not found, the error text is just "NOT ON FILE" and the member is not skipped. WEBORD.PERM is only written for the last web order# per member group (OLD.WEBORD is never updated after the first). Validation is softer than UPD.MEMEDI's (large qty accepted). MATREADU IVMST ELSE creates a stub record on not-found.</t>
  </si>
  <si>
    <t xml:space="preserve">Year-end accumulation for the co-op STOCK record. It adds each member's purchases of camera products (IVMST EGRP 59) from the ARHIST.11 archive into STOCK attr 9.</t>
  </si>
  <si>
    <t xml:space="preserve">reads ARHIST.11, IVMST, IVMST.DISC, APMST, STOCK · writes STOCK attr 9</t>
  </si>
  <si>
    <t xml:space="preserve">It adds to the existing attr 9 value, so a re-run double-counts. The header comment ("WH field", "GRP 12 &amp; 26 to WC") does not match the code. The STOCK lock taken by READVU is released only by RELEASE/WRITEV, and members not in STOCK are only released by RELEASE.</t>
  </si>
  <si>
    <t xml:space="preserve">Generic tool that overwrites one attribute (validated against the dictionary) with a fixed value on every record of an active select list, in any file.</t>
  </si>
  <si>
    <t xml:space="preserve">reads/writes any file (operator-chosen)</t>
  </si>
  <si>
    <t xml:space="preserve">Uncontrolled data-change backdoor. With no active select list, READNEXT ends immediately.</t>
  </si>
  <si>
    <t xml:space="preserve">Truncated/broken copy of UPD.EDICREDITS (member-billing half only) that was meant to rebuild ARMST/ARINV/ARSHIP from EDI invoice data.</t>
  </si>
  <si>
    <t xml:space="preserve">(would write) ARMST, ARINV, ARSHIP, CONTROL 'INV','MS'</t>
  </si>
  <si>
    <t xml:space="preserve">EDIREC is never read, so the loop does nothing. GOSUB 55 targets a label that does not exist (compile or run failure). Non-functional fragment.</t>
  </si>
  <si>
    <t xml:space="preserve">One-off that copies IVMST UPC (attr 29) into W.UPC (attr 51, warehouse UPC/EAN) for an active select list.</t>
  </si>
  <si>
    <t xml:space="preserve">Records the completion date of a vendor return (VENDRA attr 7).</t>
  </si>
  <si>
    <t xml:space="preserve">reads VENDRA, APMST · writes VENDRA</t>
  </si>
  <si>
    <t xml:space="preserve">Handles one record per run.</t>
  </si>
  <si>
    <t xml:space="preserve">Records the vendor's RA number on a pending vendor return.</t>
  </si>
  <si>
    <t xml:space="preserve">Marks a vendor return as shipped today.</t>
  </si>
  <si>
    <t xml:space="preserve">Starts a vendor return. All pending return products for a vendor are moved from VENDRET (returns holding, keyed by product) into a new VENDRA return request numbered from CONTROL 'RA'.</t>
  </si>
  <si>
    <t xml:space="preserve">reads CONTROL ('IV.INP.RETURNS','RA'), APMST, VENDRET · writes VENDRA, CONTROL 'RA', deletes VENDRET records</t>
  </si>
  <si>
    <t xml:space="preserve">When no VENDRET records match, an empty VENDRA is still written and an RA number is consumed. The VENDRA lock wait is unbounded. MATREADU VENDRET ELSE conflates locked and not-found (the record is skipped silently). VENDRET serial numbers (attr 3) are not carried to VENDRA.</t>
  </si>
  <si>
    <t xml:space="preserve">Integrity check that recomputes each member's balance and aging buckets from ARINV and reports mismatches against ARMST.</t>
  </si>
  <si>
    <t xml:space="preserve">reads ARINV, ARMST · writes none (screen)</t>
  </si>
  <si>
    <t xml:space="preserve">Posting programs put all aging-0 amounts in NEW.MON (UPD.CHARGES.02, UPD.EDICREDITS.10), but this check expects old-dated aging-0 amounts in FUTURE, so the rules disagree. SELECT is commented out (needs an active list).</t>
  </si>
  <si>
    <t xml:space="preserve">Converts online consumer-rebate submissions staged in CONTROL 'RBTDATA' into PENDRBTS (pending rebate checks) records.</t>
  </si>
  <si>
    <t xml:space="preserve">reads CONTROL 'RBTDATA' · writes PENDRBTS, deletes CONTROL 'RBTDATA'</t>
  </si>
  <si>
    <t xml:space="preserve">The staging record is held in CONTROL rather than a dedicated file. The skipped trailing field's purpose is unknown.</t>
  </si>
  <si>
    <t xml:space="preserve">Rebuilds the member web-statement files. It writes one WEBSTMT record per open invoice (with discount, net and due date) and one STMTSUM per member (totals and aging).</t>
  </si>
  <si>
    <t xml:space="preserve">reads ARINV, ARMST, ARHIST, ARHIST.98 · writes WEBSTMT, STMTSUM (both cleared first)</t>
  </si>
  <si>
    <t xml:space="preserve">It is interactive (prompts for month), yet UPD.MEMEZPAY/REV.MEMEZPAY run it unattended. When ARHIST is not found, AR keeps the previous invoice's values, so a stale vendor/vendor invoice is shown (W(8) "not on file" is also overwritten). Statement month is not validated against the open month. WEBSTMT keys are a sequential counter from 1001.</t>
  </si>
  <si>
    <t xml:space="preserve">Warehouse product maintenance screen for case qty, carton qty, weight, dimensions and primary/secondary bin locations on IVMST, with a field-level change log to IVMST.LOG.</t>
  </si>
  <si>
    <t xml:space="preserve">reads IVCAT, IVMST, IVMST.DISC, SCREENS ('WH.DATA','WH.DATA.PRMTS') · writes IVMST, IVMST.LOG</t>
  </si>
  <si>
    <t xml:space="preserve">The '\' clear-field help text is not implemented in this code (it may be in EDIT.LINE). The LOG key has one-second resolution, so two updates in the same second overwrite each other. `CASE IP[1,1]='E' OR EXIT IP='E'` (L105) is malformed. The screen layout comes from the SCREENS file.</t>
  </si>
  <si>
    <t xml:space="preserve">Lets the warehouse choose which printer prints new orders and packing lists (CONTROL 'WH-PRINTERS').</t>
  </si>
  <si>
    <t xml:space="preserve">reads/writes CONTROL 'WH-PRINTERS'</t>
  </si>
  <si>
    <t xml:space="preserve">Displays SYSTEM(42) (current session/terminal info).</t>
  </si>
  <si>
    <t xml:space="preserve">Records the expected inbound shipment (due-in) date for a product in ORDDUE.</t>
  </si>
  <si>
    <t xml:space="preserve">reads IVMST · writes ORDDUE</t>
  </si>
  <si>
    <t xml:space="preserve">Not linked to any PO, so it is a manual expected date.</t>
  </si>
  <si>
    <t xml:space="preserve">Downloads the whole FTP.DATA file to the PC (directory from CONTROL 'FTP.DIR' attr 2, file IVDATA) via the wIntegrate terminal import.</t>
  </si>
  <si>
    <t xml:space="preserve">reads FTP.DATA, CONTROL · writes PC file</t>
  </si>
  <si>
    <t xml:space="preserve">WIN.IMPORT</t>
  </si>
  <si>
    <t xml:space="preserve">The source account is hard-coded as "(PHOTOWARE".</t>
  </si>
  <si>
    <t xml:space="preserve">Developer call of IV.UPD.COGS for one product.</t>
  </si>
  <si>
    <t xml:space="preserve">none directly · writes whatever IV.UPD.COGS writes</t>
  </si>
  <si>
    <t xml:space="preserve">A test script with live side effects.</t>
  </si>
  <si>
    <t xml:space="preserve">One-off correction that reduces members' warehouse profit (ARMST attr 40 WH.PROFIT) for units of product 9832 on a saved list of ARHIST invoices.</t>
  </si>
  <si>
    <t xml:space="preserve">reads ARHIST, saved list X · writes ARMST attr 40</t>
  </si>
  <si>
    <t xml:space="preserve">EXECUTE GET-LIST X</t>
  </si>
  <si>
    <t xml:space="preserve">One-off fix-up. Running it again double-deducts. READVU locks are released only by WRITEV (and not on ELSE).</t>
  </si>
  <si>
    <t xml:space="preserve">Captures the +4 part of a member's ZIP code into ZIP9.</t>
  </si>
  <si>
    <t xml:space="preserve">reads ARMST · writes ZIP9</t>
  </si>
  <si>
    <t xml:space="preserve">If ARMST ZIP already contains +4, the result doubles it.</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</si>
</sst>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color rgb="FFFFFFFF"/>
      <name val="Arial"/>
      <family val="0"/>
      <charset val="1"/>
    </font>
    <font>
      <b val="true"/>
      <sz val="10"/>
      <name val="Arial"/>
      <family val="0"/>
      <charset val="1"/>
    </font>
    <font>
      <i val="true"/>
      <sz val="9"/>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FFF7D6"/>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FFF7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7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11" min="2" style="0" width="12"/>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35.05" hidden="false" customHeight="false" outlineLevel="0" collapsed="false">
      <c r="A5" s="3" t="s">
        <v>3</v>
      </c>
      <c r="B5" s="3" t="s">
        <v>4</v>
      </c>
      <c r="C5" s="3" t="s">
        <v>5</v>
      </c>
      <c r="D5" s="3" t="s">
        <v>6</v>
      </c>
      <c r="E5" s="3" t="s">
        <v>7</v>
      </c>
      <c r="F5" s="3" t="s">
        <v>8</v>
      </c>
      <c r="G5" s="3" t="s">
        <v>9</v>
      </c>
      <c r="H5" s="3" t="s">
        <v>10</v>
      </c>
      <c r="I5" s="3" t="s">
        <v>11</v>
      </c>
      <c r="J5" s="3" t="s">
        <v>12</v>
      </c>
      <c r="K5" s="3" t="s">
        <v>13</v>
      </c>
    </row>
    <row r="6" customFormat="false" ht="15" hidden="false" customHeight="false" outlineLevel="0" collapsed="false">
      <c r="A6" s="2" t="s">
        <v>14</v>
      </c>
      <c r="B6" s="2" t="n">
        <f aca="false">COUNTIF(Programs!$B$2:$B$368,A6)</f>
        <v>10</v>
      </c>
      <c r="C6" s="2" t="n">
        <f aca="false">COUNTIF(Rules!$C$2:$C$1568,A6)</f>
        <v>26</v>
      </c>
      <c r="D6" s="2" t="n">
        <f aca="false">COUNTIFS(Rules!$C$2:$C$1568,$A6,Rules!$H$2:$H$1568,"KEEP")</f>
        <v>10</v>
      </c>
      <c r="E6" s="2" t="n">
        <f aca="false">COUNTIFS(Rules!$C$2:$C$1568,$A6,Rules!$H$2:$H$1568,"SIMPLIFY")</f>
        <v>4</v>
      </c>
      <c r="F6" s="2" t="n">
        <f aca="false">COUNTIFS(Rules!$C$2:$C$1568,$A6,Rules!$H$2:$H$1568,"QUESTION")</f>
        <v>10</v>
      </c>
      <c r="G6" s="2" t="n">
        <f aca="false">COUNTIFS(Rules!$C$2:$C$1568,$A6,Rules!$H$2:$H$1568,"OBSOLETE")</f>
        <v>2</v>
      </c>
      <c r="H6" s="2" t="n">
        <f aca="false">COUNTIFS(Rules!$C$2:$C$1568,$A6,Rules!$H$2:$H$1568,"OBSOLETE-INTEGRATION")</f>
        <v>0</v>
      </c>
      <c r="I6" s="2" t="n">
        <f aca="false">COUNTIFS(Rules!$C$2:$C$1568,$A6,Rules!$H$2:$H$1568,"WAREHOUSE-ONLY")</f>
        <v>0</v>
      </c>
      <c r="J6" s="2" t="n">
        <f aca="false">COUNTIFS(Rules!$C$2:$C$1568,A6,Rules!$I$2:$I$1568,"&lt;&gt;")</f>
        <v>0</v>
      </c>
      <c r="K6" s="2" t="n">
        <f aca="false">C6-J6</f>
        <v>26</v>
      </c>
    </row>
    <row r="7" customFormat="false" ht="15" hidden="false" customHeight="false" outlineLevel="0" collapsed="false">
      <c r="A7" s="2" t="s">
        <v>15</v>
      </c>
      <c r="B7" s="2" t="n">
        <f aca="false">COUNTIF(Programs!$B$2:$B$368,A7)</f>
        <v>10</v>
      </c>
      <c r="C7" s="2" t="n">
        <f aca="false">COUNTIF(Rules!$C$2:$C$1568,A7)</f>
        <v>38</v>
      </c>
      <c r="D7" s="2" t="n">
        <f aca="false">COUNTIFS(Rules!$C$2:$C$1568,$A7,Rules!$H$2:$H$1568,"KEEP")</f>
        <v>20</v>
      </c>
      <c r="E7" s="2" t="n">
        <f aca="false">COUNTIFS(Rules!$C$2:$C$1568,$A7,Rules!$H$2:$H$1568,"SIMPLIFY")</f>
        <v>4</v>
      </c>
      <c r="F7" s="2" t="n">
        <f aca="false">COUNTIFS(Rules!$C$2:$C$1568,$A7,Rules!$H$2:$H$1568,"QUESTION")</f>
        <v>8</v>
      </c>
      <c r="G7" s="2" t="n">
        <f aca="false">COUNTIFS(Rules!$C$2:$C$1568,$A7,Rules!$H$2:$H$1568,"OBSOLETE")</f>
        <v>3</v>
      </c>
      <c r="H7" s="2" t="n">
        <f aca="false">COUNTIFS(Rules!$C$2:$C$1568,$A7,Rules!$H$2:$H$1568,"OBSOLETE-INTEGRATION")</f>
        <v>3</v>
      </c>
      <c r="I7" s="2" t="n">
        <f aca="false">COUNTIFS(Rules!$C$2:$C$1568,$A7,Rules!$H$2:$H$1568,"WAREHOUSE-ONLY")</f>
        <v>0</v>
      </c>
      <c r="J7" s="2" t="n">
        <f aca="false">COUNTIFS(Rules!$C$2:$C$1568,A7,Rules!$I$2:$I$1568,"&lt;&gt;")</f>
        <v>0</v>
      </c>
      <c r="K7" s="2" t="n">
        <f aca="false">C7-J7</f>
        <v>38</v>
      </c>
    </row>
    <row r="8" customFormat="false" ht="15" hidden="false" customHeight="false" outlineLevel="0" collapsed="false">
      <c r="A8" s="2" t="s">
        <v>16</v>
      </c>
      <c r="B8" s="2" t="n">
        <f aca="false">COUNTIF(Programs!$B$2:$B$368,A8)</f>
        <v>39</v>
      </c>
      <c r="C8" s="2" t="n">
        <f aca="false">COUNTIF(Rules!$C$2:$C$1568,A8)</f>
        <v>129</v>
      </c>
      <c r="D8" s="2" t="n">
        <f aca="false">COUNTIFS(Rules!$C$2:$C$1568,$A8,Rules!$H$2:$H$1568,"KEEP")</f>
        <v>63</v>
      </c>
      <c r="E8" s="2" t="n">
        <f aca="false">COUNTIFS(Rules!$C$2:$C$1568,$A8,Rules!$H$2:$H$1568,"SIMPLIFY")</f>
        <v>9</v>
      </c>
      <c r="F8" s="2" t="n">
        <f aca="false">COUNTIFS(Rules!$C$2:$C$1568,$A8,Rules!$H$2:$H$1568,"QUESTION")</f>
        <v>42</v>
      </c>
      <c r="G8" s="2" t="n">
        <f aca="false">COUNTIFS(Rules!$C$2:$C$1568,$A8,Rules!$H$2:$H$1568,"OBSOLETE")</f>
        <v>10</v>
      </c>
      <c r="H8" s="2" t="n">
        <f aca="false">COUNTIFS(Rules!$C$2:$C$1568,$A8,Rules!$H$2:$H$1568,"OBSOLETE-INTEGRATION")</f>
        <v>4</v>
      </c>
      <c r="I8" s="2" t="n">
        <f aca="false">COUNTIFS(Rules!$C$2:$C$1568,$A8,Rules!$H$2:$H$1568,"WAREHOUSE-ONLY")</f>
        <v>1</v>
      </c>
      <c r="J8" s="2" t="n">
        <f aca="false">COUNTIFS(Rules!$C$2:$C$1568,A8,Rules!$I$2:$I$1568,"&lt;&gt;")</f>
        <v>0</v>
      </c>
      <c r="K8" s="2" t="n">
        <f aca="false">C8-J8</f>
        <v>129</v>
      </c>
    </row>
    <row r="9" customFormat="false" ht="15" hidden="false" customHeight="false" outlineLevel="0" collapsed="false">
      <c r="A9" s="2" t="s">
        <v>17</v>
      </c>
      <c r="B9" s="2" t="n">
        <f aca="false">COUNTIF(Programs!$B$2:$B$368,A9)</f>
        <v>37</v>
      </c>
      <c r="C9" s="2" t="n">
        <f aca="false">COUNTIF(Rules!$C$2:$C$1568,A9)</f>
        <v>192</v>
      </c>
      <c r="D9" s="2" t="n">
        <f aca="false">COUNTIFS(Rules!$C$2:$C$1568,$A9,Rules!$H$2:$H$1568,"KEEP")</f>
        <v>80</v>
      </c>
      <c r="E9" s="2" t="n">
        <f aca="false">COUNTIFS(Rules!$C$2:$C$1568,$A9,Rules!$H$2:$H$1568,"SIMPLIFY")</f>
        <v>12</v>
      </c>
      <c r="F9" s="2" t="n">
        <f aca="false">COUNTIFS(Rules!$C$2:$C$1568,$A9,Rules!$H$2:$H$1568,"QUESTION")</f>
        <v>62</v>
      </c>
      <c r="G9" s="2" t="n">
        <f aca="false">COUNTIFS(Rules!$C$2:$C$1568,$A9,Rules!$H$2:$H$1568,"OBSOLETE")</f>
        <v>22</v>
      </c>
      <c r="H9" s="2" t="n">
        <f aca="false">COUNTIFS(Rules!$C$2:$C$1568,$A9,Rules!$H$2:$H$1568,"OBSOLETE-INTEGRATION")</f>
        <v>0</v>
      </c>
      <c r="I9" s="2" t="n">
        <f aca="false">COUNTIFS(Rules!$C$2:$C$1568,$A9,Rules!$H$2:$H$1568,"WAREHOUSE-ONLY")</f>
        <v>16</v>
      </c>
      <c r="J9" s="2" t="n">
        <f aca="false">COUNTIFS(Rules!$C$2:$C$1568,A9,Rules!$I$2:$I$1568,"&lt;&gt;")</f>
        <v>0</v>
      </c>
      <c r="K9" s="2" t="n">
        <f aca="false">C9-J9</f>
        <v>192</v>
      </c>
    </row>
    <row r="10" customFormat="false" ht="15" hidden="false" customHeight="false" outlineLevel="0" collapsed="false">
      <c r="A10" s="2" t="s">
        <v>18</v>
      </c>
      <c r="B10" s="2" t="n">
        <f aca="false">COUNTIF(Programs!$B$2:$B$368,A10)</f>
        <v>59</v>
      </c>
      <c r="C10" s="2" t="n">
        <f aca="false">COUNTIF(Rules!$C$2:$C$1568,A10)</f>
        <v>375</v>
      </c>
      <c r="D10" s="2" t="n">
        <f aca="false">COUNTIFS(Rules!$C$2:$C$1568,$A10,Rules!$H$2:$H$1568,"KEEP")</f>
        <v>136</v>
      </c>
      <c r="E10" s="2" t="n">
        <f aca="false">COUNTIFS(Rules!$C$2:$C$1568,$A10,Rules!$H$2:$H$1568,"SIMPLIFY")</f>
        <v>18</v>
      </c>
      <c r="F10" s="2" t="n">
        <f aca="false">COUNTIFS(Rules!$C$2:$C$1568,$A10,Rules!$H$2:$H$1568,"QUESTION")</f>
        <v>147</v>
      </c>
      <c r="G10" s="2" t="n">
        <f aca="false">COUNTIFS(Rules!$C$2:$C$1568,$A10,Rules!$H$2:$H$1568,"OBSOLETE")</f>
        <v>34</v>
      </c>
      <c r="H10" s="2" t="n">
        <f aca="false">COUNTIFS(Rules!$C$2:$C$1568,$A10,Rules!$H$2:$H$1568,"OBSOLETE-INTEGRATION")</f>
        <v>18</v>
      </c>
      <c r="I10" s="2" t="n">
        <f aca="false">COUNTIFS(Rules!$C$2:$C$1568,$A10,Rules!$H$2:$H$1568,"WAREHOUSE-ONLY")</f>
        <v>22</v>
      </c>
      <c r="J10" s="2" t="n">
        <f aca="false">COUNTIFS(Rules!$C$2:$C$1568,A10,Rules!$I$2:$I$1568,"&lt;&gt;")</f>
        <v>0</v>
      </c>
      <c r="K10" s="2" t="n">
        <f aca="false">C10-J10</f>
        <v>375</v>
      </c>
    </row>
    <row r="11" customFormat="false" ht="15" hidden="false" customHeight="false" outlineLevel="0" collapsed="false">
      <c r="A11" s="2" t="s">
        <v>19</v>
      </c>
      <c r="B11" s="2" t="n">
        <f aca="false">COUNTIF(Programs!$B$2:$B$368,A11)</f>
        <v>9</v>
      </c>
      <c r="C11" s="2" t="n">
        <f aca="false">COUNTIF(Rules!$C$2:$C$1568,A11)</f>
        <v>109</v>
      </c>
      <c r="D11" s="2" t="n">
        <f aca="false">COUNTIFS(Rules!$C$2:$C$1568,$A11,Rules!$H$2:$H$1568,"KEEP")</f>
        <v>37</v>
      </c>
      <c r="E11" s="2" t="n">
        <f aca="false">COUNTIFS(Rules!$C$2:$C$1568,$A11,Rules!$H$2:$H$1568,"SIMPLIFY")</f>
        <v>8</v>
      </c>
      <c r="F11" s="2" t="n">
        <f aca="false">COUNTIFS(Rules!$C$2:$C$1568,$A11,Rules!$H$2:$H$1568,"QUESTION")</f>
        <v>54</v>
      </c>
      <c r="G11" s="2" t="n">
        <f aca="false">COUNTIFS(Rules!$C$2:$C$1568,$A11,Rules!$H$2:$H$1568,"OBSOLETE")</f>
        <v>2</v>
      </c>
      <c r="H11" s="2" t="n">
        <f aca="false">COUNTIFS(Rules!$C$2:$C$1568,$A11,Rules!$H$2:$H$1568,"OBSOLETE-INTEGRATION")</f>
        <v>8</v>
      </c>
      <c r="I11" s="2" t="n">
        <f aca="false">COUNTIFS(Rules!$C$2:$C$1568,$A11,Rules!$H$2:$H$1568,"WAREHOUSE-ONLY")</f>
        <v>0</v>
      </c>
      <c r="J11" s="2" t="n">
        <f aca="false">COUNTIFS(Rules!$C$2:$C$1568,A11,Rules!$I$2:$I$1568,"&lt;&gt;")</f>
        <v>0</v>
      </c>
      <c r="K11" s="2" t="n">
        <f aca="false">C11-J11</f>
        <v>109</v>
      </c>
    </row>
    <row r="12" customFormat="false" ht="15" hidden="false" customHeight="false" outlineLevel="0" collapsed="false">
      <c r="A12" s="2" t="s">
        <v>20</v>
      </c>
      <c r="B12" s="2" t="n">
        <f aca="false">COUNTIF(Programs!$B$2:$B$368,A12)</f>
        <v>50</v>
      </c>
      <c r="C12" s="2" t="n">
        <f aca="false">COUNTIF(Rules!$C$2:$C$1568,A12)</f>
        <v>180</v>
      </c>
      <c r="D12" s="2" t="n">
        <f aca="false">COUNTIFS(Rules!$C$2:$C$1568,$A12,Rules!$H$2:$H$1568,"KEEP")</f>
        <v>72</v>
      </c>
      <c r="E12" s="2" t="n">
        <f aca="false">COUNTIFS(Rules!$C$2:$C$1568,$A12,Rules!$H$2:$H$1568,"SIMPLIFY")</f>
        <v>9</v>
      </c>
      <c r="F12" s="2" t="n">
        <f aca="false">COUNTIFS(Rules!$C$2:$C$1568,$A12,Rules!$H$2:$H$1568,"QUESTION")</f>
        <v>85</v>
      </c>
      <c r="G12" s="2" t="n">
        <f aca="false">COUNTIFS(Rules!$C$2:$C$1568,$A12,Rules!$H$2:$H$1568,"OBSOLETE")</f>
        <v>12</v>
      </c>
      <c r="H12" s="2" t="n">
        <f aca="false">COUNTIFS(Rules!$C$2:$C$1568,$A12,Rules!$H$2:$H$1568,"OBSOLETE-INTEGRATION")</f>
        <v>2</v>
      </c>
      <c r="I12" s="2" t="n">
        <f aca="false">COUNTIFS(Rules!$C$2:$C$1568,$A12,Rules!$H$2:$H$1568,"WAREHOUSE-ONLY")</f>
        <v>0</v>
      </c>
      <c r="J12" s="2" t="n">
        <f aca="false">COUNTIFS(Rules!$C$2:$C$1568,A12,Rules!$I$2:$I$1568,"&lt;&gt;")</f>
        <v>0</v>
      </c>
      <c r="K12" s="2" t="n">
        <f aca="false">C12-J12</f>
        <v>180</v>
      </c>
    </row>
    <row r="13" customFormat="false" ht="15" hidden="false" customHeight="false" outlineLevel="0" collapsed="false">
      <c r="A13" s="2" t="s">
        <v>21</v>
      </c>
      <c r="B13" s="2" t="n">
        <f aca="false">COUNTIF(Programs!$B$2:$B$368,A13)</f>
        <v>77</v>
      </c>
      <c r="C13" s="2" t="n">
        <f aca="false">COUNTIF(Rules!$C$2:$C$1568,A13)</f>
        <v>337</v>
      </c>
      <c r="D13" s="2" t="n">
        <f aca="false">COUNTIFS(Rules!$C$2:$C$1568,$A13,Rules!$H$2:$H$1568,"KEEP")</f>
        <v>145</v>
      </c>
      <c r="E13" s="2" t="n">
        <f aca="false">COUNTIFS(Rules!$C$2:$C$1568,$A13,Rules!$H$2:$H$1568,"SIMPLIFY")</f>
        <v>20</v>
      </c>
      <c r="F13" s="2" t="n">
        <f aca="false">COUNTIFS(Rules!$C$2:$C$1568,$A13,Rules!$H$2:$H$1568,"QUESTION")</f>
        <v>114</v>
      </c>
      <c r="G13" s="2" t="n">
        <f aca="false">COUNTIFS(Rules!$C$2:$C$1568,$A13,Rules!$H$2:$H$1568,"OBSOLETE")</f>
        <v>39</v>
      </c>
      <c r="H13" s="2" t="n">
        <f aca="false">COUNTIFS(Rules!$C$2:$C$1568,$A13,Rules!$H$2:$H$1568,"OBSOLETE-INTEGRATION")</f>
        <v>18</v>
      </c>
      <c r="I13" s="2" t="n">
        <f aca="false">COUNTIFS(Rules!$C$2:$C$1568,$A13,Rules!$H$2:$H$1568,"WAREHOUSE-ONLY")</f>
        <v>1</v>
      </c>
      <c r="J13" s="2" t="n">
        <f aca="false">COUNTIFS(Rules!$C$2:$C$1568,A13,Rules!$I$2:$I$1568,"&lt;&gt;")</f>
        <v>0</v>
      </c>
      <c r="K13" s="2" t="n">
        <f aca="false">C13-J13</f>
        <v>337</v>
      </c>
    </row>
    <row r="14" customFormat="false" ht="15" hidden="false" customHeight="false" outlineLevel="0" collapsed="false">
      <c r="A14" s="2" t="s">
        <v>22</v>
      </c>
      <c r="B14" s="2" t="n">
        <f aca="false">COUNTIF(Programs!$B$2:$B$368,A14)</f>
        <v>24</v>
      </c>
      <c r="C14" s="2" t="n">
        <f aca="false">COUNTIF(Rules!$C$2:$C$1568,A14)</f>
        <v>123</v>
      </c>
      <c r="D14" s="2" t="n">
        <f aca="false">COUNTIFS(Rules!$C$2:$C$1568,$A14,Rules!$H$2:$H$1568,"KEEP")</f>
        <v>11</v>
      </c>
      <c r="E14" s="2" t="n">
        <f aca="false">COUNTIFS(Rules!$C$2:$C$1568,$A14,Rules!$H$2:$H$1568,"SIMPLIFY")</f>
        <v>10</v>
      </c>
      <c r="F14" s="2" t="n">
        <f aca="false">COUNTIFS(Rules!$C$2:$C$1568,$A14,Rules!$H$2:$H$1568,"QUESTION")</f>
        <v>90</v>
      </c>
      <c r="G14" s="2" t="n">
        <f aca="false">COUNTIFS(Rules!$C$2:$C$1568,$A14,Rules!$H$2:$H$1568,"OBSOLETE")</f>
        <v>11</v>
      </c>
      <c r="H14" s="2" t="n">
        <f aca="false">COUNTIFS(Rules!$C$2:$C$1568,$A14,Rules!$H$2:$H$1568,"OBSOLETE-INTEGRATION")</f>
        <v>1</v>
      </c>
      <c r="I14" s="2" t="n">
        <f aca="false">COUNTIFS(Rules!$C$2:$C$1568,$A14,Rules!$H$2:$H$1568,"WAREHOUSE-ONLY")</f>
        <v>0</v>
      </c>
      <c r="J14" s="2" t="n">
        <f aca="false">COUNTIFS(Rules!$C$2:$C$1568,A14,Rules!$I$2:$I$1568,"&lt;&gt;")</f>
        <v>0</v>
      </c>
      <c r="K14" s="2" t="n">
        <f aca="false">C14-J14</f>
        <v>123</v>
      </c>
    </row>
    <row r="15" customFormat="false" ht="15" hidden="false" customHeight="false" outlineLevel="0" collapsed="false">
      <c r="A15" s="2" t="s">
        <v>23</v>
      </c>
      <c r="B15" s="2" t="n">
        <f aca="false">COUNTIF(Programs!$B$2:$B$368,A15)</f>
        <v>52</v>
      </c>
      <c r="C15" s="2" t="n">
        <f aca="false">COUNTIF(Rules!$C$2:$C$1568,A15)</f>
        <v>58</v>
      </c>
      <c r="D15" s="2" t="n">
        <f aca="false">COUNTIFS(Rules!$C$2:$C$1568,$A15,Rules!$H$2:$H$1568,"KEEP")</f>
        <v>5</v>
      </c>
      <c r="E15" s="2" t="n">
        <f aca="false">COUNTIFS(Rules!$C$2:$C$1568,$A15,Rules!$H$2:$H$1568,"SIMPLIFY")</f>
        <v>5</v>
      </c>
      <c r="F15" s="2" t="n">
        <f aca="false">COUNTIFS(Rules!$C$2:$C$1568,$A15,Rules!$H$2:$H$1568,"QUESTION")</f>
        <v>2</v>
      </c>
      <c r="G15" s="2" t="n">
        <f aca="false">COUNTIFS(Rules!$C$2:$C$1568,$A15,Rules!$H$2:$H$1568,"OBSOLETE")</f>
        <v>43</v>
      </c>
      <c r="H15" s="2" t="n">
        <f aca="false">COUNTIFS(Rules!$C$2:$C$1568,$A15,Rules!$H$2:$H$1568,"OBSOLETE-INTEGRATION")</f>
        <v>2</v>
      </c>
      <c r="I15" s="2" t="n">
        <f aca="false">COUNTIFS(Rules!$C$2:$C$1568,$A15,Rules!$H$2:$H$1568,"WAREHOUSE-ONLY")</f>
        <v>1</v>
      </c>
      <c r="J15" s="2" t="n">
        <f aca="false">COUNTIFS(Rules!$C$2:$C$1568,A15,Rules!$I$2:$I$1568,"&lt;&gt;")</f>
        <v>0</v>
      </c>
      <c r="K15" s="2" t="n">
        <f aca="false">C15-J15</f>
        <v>58</v>
      </c>
    </row>
    <row r="16" customFormat="false" ht="15" hidden="false" customHeight="false" outlineLevel="0" collapsed="false">
      <c r="A16" s="4" t="s">
        <v>24</v>
      </c>
      <c r="B16" s="4" t="n">
        <f aca="false">SUM(B6:B15)</f>
        <v>367</v>
      </c>
      <c r="C16" s="4" t="n">
        <f aca="false">SUM(C6:C15)</f>
        <v>1567</v>
      </c>
      <c r="D16" s="4" t="n">
        <f aca="false">SUM(D6:D15)</f>
        <v>579</v>
      </c>
      <c r="E16" s="4" t="n">
        <f aca="false">SUM(E6:E15)</f>
        <v>99</v>
      </c>
      <c r="F16" s="4" t="n">
        <f aca="false">SUM(F6:F15)</f>
        <v>614</v>
      </c>
      <c r="G16" s="4" t="n">
        <f aca="false">SUM(G6:G15)</f>
        <v>178</v>
      </c>
      <c r="H16" s="4" t="n">
        <f aca="false">SUM(H6:H15)</f>
        <v>56</v>
      </c>
      <c r="I16" s="4" t="n">
        <f aca="false">SUM(I6:I15)</f>
        <v>41</v>
      </c>
      <c r="J16" s="4" t="n">
        <f aca="false">SUM(J6:J15)</f>
        <v>0</v>
      </c>
      <c r="K16" s="4" t="n">
        <f aca="false">SUM(K6:K15)</f>
        <v>1567</v>
      </c>
    </row>
    <row r="18" customFormat="false" ht="15" hidden="false" customHeight="false" outlineLevel="0" collapsed="false">
      <c r="A18" s="4" t="s">
        <v>25</v>
      </c>
    </row>
    <row r="19" customFormat="false" ht="15" hidden="false" customHeight="false" outlineLevel="0" collapsed="false">
      <c r="A19" s="2" t="s">
        <v>26</v>
      </c>
      <c r="B19" s="2" t="n">
        <f aca="false">COUNTIF(Programs!$E$2:$E$368,"*VENDOR*")</f>
        <v>82</v>
      </c>
    </row>
    <row r="20" customFormat="false" ht="15" hidden="false" customHeight="false" outlineLevel="0" collapsed="false">
      <c r="A20" s="2" t="s">
        <v>27</v>
      </c>
      <c r="B20" s="2" t="n">
        <f aca="false">COUNTIF(Programs!$E$2:$E$368,"*PRODUCT*")</f>
        <v>129</v>
      </c>
    </row>
    <row r="21" customFormat="false" ht="15" hidden="false" customHeight="false" outlineLevel="0" collapsed="false">
      <c r="A21" s="2" t="s">
        <v>28</v>
      </c>
      <c r="B21" s="2" t="n">
        <f aca="false">COUNTIF(Programs!$E$2:$E$368,"*PO*")</f>
        <v>63</v>
      </c>
    </row>
    <row r="22" customFormat="false" ht="15" hidden="false" customHeight="false" outlineLevel="0" collapsed="false">
      <c r="A22" s="2" t="s">
        <v>29</v>
      </c>
      <c r="B22" s="2" t="n">
        <f aca="false">COUNTIF(Programs!$E$2:$E$368,"*PRICING*")</f>
        <v>89</v>
      </c>
    </row>
    <row r="24" customFormat="false" ht="15" hidden="false" customHeight="false" outlineLevel="0" collapsed="false">
      <c r="A24" s="5"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6"/>
    <col collapsed="false" customWidth="true" hidden="false" outlineLevel="0" max="3" min="3" style="0" width="11"/>
    <col collapsed="false" customWidth="true" hidden="false" outlineLevel="0" max="4" min="4" style="0" width="16"/>
    <col collapsed="false" customWidth="true" hidden="false" outlineLevel="0" max="5" min="5" style="0" width="18"/>
    <col collapsed="false" customWidth="true" hidden="false" outlineLevel="0" max="6" min="6" style="0" width="90"/>
    <col collapsed="false" customWidth="true" hidden="false" outlineLevel="0" max="7" min="7" style="0" width="16"/>
    <col collapsed="false" customWidth="true" hidden="false" outlineLevel="0" max="8" min="8" style="0" width="20"/>
    <col collapsed="false" customWidth="true" hidden="false" outlineLevel="0" max="9" min="9" style="0" width="16"/>
    <col collapsed="false" customWidth="true" hidden="false" outlineLevel="0" max="10" min="10" style="0" width="14"/>
    <col collapsed="false" customWidth="true" hidden="false" outlineLevel="0" max="11" min="11" style="0" width="22"/>
    <col collapsed="false" customWidth="true" hidden="false" outlineLevel="0" max="12" min="12" style="0" width="40"/>
  </cols>
  <sheetData>
    <row r="1" customFormat="false" ht="15" hidden="false" customHeight="false" outlineLevel="0" collapsed="false">
      <c r="A1" s="3" t="s">
        <v>31</v>
      </c>
      <c r="B1" s="3" t="s">
        <v>32</v>
      </c>
      <c r="C1" s="3" t="s">
        <v>3</v>
      </c>
      <c r="D1" s="3" t="s">
        <v>33</v>
      </c>
      <c r="E1" s="3" t="s">
        <v>34</v>
      </c>
      <c r="F1" s="3" t="s">
        <v>35</v>
      </c>
      <c r="G1" s="3" t="s">
        <v>36</v>
      </c>
      <c r="H1" s="3" t="s">
        <v>37</v>
      </c>
      <c r="I1" s="3" t="s">
        <v>38</v>
      </c>
      <c r="J1" s="3" t="s">
        <v>39</v>
      </c>
      <c r="K1" s="3" t="s">
        <v>40</v>
      </c>
      <c r="L1" s="3" t="s">
        <v>41</v>
      </c>
    </row>
    <row r="2" customFormat="false" ht="23.85" hidden="false" customHeight="false" outlineLevel="0" collapsed="false">
      <c r="A2" s="6" t="s">
        <v>42</v>
      </c>
      <c r="B2" s="6" t="s">
        <v>43</v>
      </c>
      <c r="C2" s="6" t="s">
        <v>14</v>
      </c>
      <c r="D2" s="6" t="s">
        <v>44</v>
      </c>
      <c r="E2" s="6" t="s">
        <v>26</v>
      </c>
      <c r="F2" s="7" t="s">
        <v>45</v>
      </c>
      <c r="G2" s="6" t="s">
        <v>46</v>
      </c>
      <c r="H2" s="6" t="s">
        <v>8</v>
      </c>
      <c r="I2" s="8"/>
      <c r="J2" s="8"/>
      <c r="K2" s="8"/>
      <c r="L2" s="9"/>
    </row>
    <row r="3" customFormat="false" ht="15" hidden="false" customHeight="false" outlineLevel="0" collapsed="false">
      <c r="A3" s="6" t="s">
        <v>47</v>
      </c>
      <c r="B3" s="6" t="s">
        <v>48</v>
      </c>
      <c r="C3" s="6" t="s">
        <v>14</v>
      </c>
      <c r="D3" s="6" t="s">
        <v>49</v>
      </c>
      <c r="E3" s="6" t="s">
        <v>50</v>
      </c>
      <c r="F3" s="7" t="s">
        <v>51</v>
      </c>
      <c r="G3" s="6" t="s">
        <v>52</v>
      </c>
      <c r="H3" s="6" t="s">
        <v>8</v>
      </c>
      <c r="I3" s="8"/>
      <c r="J3" s="8"/>
      <c r="K3" s="8"/>
      <c r="L3" s="9"/>
    </row>
    <row r="4" customFormat="false" ht="15" hidden="false" customHeight="false" outlineLevel="0" collapsed="false">
      <c r="A4" s="6" t="s">
        <v>53</v>
      </c>
      <c r="B4" s="6" t="s">
        <v>48</v>
      </c>
      <c r="C4" s="6" t="s">
        <v>14</v>
      </c>
      <c r="D4" s="6" t="s">
        <v>49</v>
      </c>
      <c r="E4" s="6" t="s">
        <v>50</v>
      </c>
      <c r="F4" s="7" t="s">
        <v>54</v>
      </c>
      <c r="G4" s="6" t="s">
        <v>55</v>
      </c>
      <c r="H4" s="6" t="s">
        <v>8</v>
      </c>
      <c r="I4" s="8"/>
      <c r="J4" s="8"/>
      <c r="K4" s="8"/>
      <c r="L4" s="9"/>
    </row>
    <row r="5" customFormat="false" ht="23.85" hidden="false" customHeight="false" outlineLevel="0" collapsed="false">
      <c r="A5" s="6" t="s">
        <v>56</v>
      </c>
      <c r="B5" s="6" t="s">
        <v>48</v>
      </c>
      <c r="C5" s="6" t="s">
        <v>14</v>
      </c>
      <c r="D5" s="6" t="s">
        <v>49</v>
      </c>
      <c r="E5" s="6" t="s">
        <v>50</v>
      </c>
      <c r="F5" s="7" t="s">
        <v>57</v>
      </c>
      <c r="G5" s="6" t="s">
        <v>58</v>
      </c>
      <c r="H5" s="6" t="s">
        <v>6</v>
      </c>
      <c r="I5" s="8"/>
      <c r="J5" s="8"/>
      <c r="K5" s="8"/>
      <c r="L5" s="9"/>
    </row>
    <row r="6" customFormat="false" ht="23.85" hidden="false" customHeight="false" outlineLevel="0" collapsed="false">
      <c r="A6" s="6" t="s">
        <v>59</v>
      </c>
      <c r="B6" s="6" t="s">
        <v>48</v>
      </c>
      <c r="C6" s="6" t="s">
        <v>14</v>
      </c>
      <c r="D6" s="6" t="s">
        <v>49</v>
      </c>
      <c r="E6" s="6" t="s">
        <v>50</v>
      </c>
      <c r="F6" s="7" t="s">
        <v>60</v>
      </c>
      <c r="G6" s="6" t="s">
        <v>61</v>
      </c>
      <c r="H6" s="6" t="s">
        <v>6</v>
      </c>
      <c r="I6" s="8"/>
      <c r="J6" s="8"/>
      <c r="K6" s="8"/>
      <c r="L6" s="9"/>
    </row>
    <row r="7" customFormat="false" ht="15" hidden="false" customHeight="false" outlineLevel="0" collapsed="false">
      <c r="A7" s="6" t="s">
        <v>62</v>
      </c>
      <c r="B7" s="6" t="s">
        <v>48</v>
      </c>
      <c r="C7" s="6" t="s">
        <v>14</v>
      </c>
      <c r="D7" s="6" t="s">
        <v>49</v>
      </c>
      <c r="E7" s="6" t="s">
        <v>50</v>
      </c>
      <c r="F7" s="7" t="s">
        <v>63</v>
      </c>
      <c r="G7" s="6" t="s">
        <v>64</v>
      </c>
      <c r="H7" s="6" t="s">
        <v>6</v>
      </c>
      <c r="I7" s="8"/>
      <c r="J7" s="8"/>
      <c r="K7" s="8"/>
      <c r="L7" s="9"/>
    </row>
    <row r="8" customFormat="false" ht="23.85" hidden="false" customHeight="false" outlineLevel="0" collapsed="false">
      <c r="A8" s="6" t="s">
        <v>65</v>
      </c>
      <c r="B8" s="6" t="s">
        <v>48</v>
      </c>
      <c r="C8" s="6" t="s">
        <v>14</v>
      </c>
      <c r="D8" s="6" t="s">
        <v>49</v>
      </c>
      <c r="E8" s="6" t="s">
        <v>50</v>
      </c>
      <c r="F8" s="7" t="s">
        <v>66</v>
      </c>
      <c r="G8" s="6" t="s">
        <v>67</v>
      </c>
      <c r="H8" s="6" t="s">
        <v>7</v>
      </c>
      <c r="I8" s="8"/>
      <c r="J8" s="8"/>
      <c r="K8" s="8"/>
      <c r="L8" s="9"/>
    </row>
    <row r="9" customFormat="false" ht="15" hidden="false" customHeight="false" outlineLevel="0" collapsed="false">
      <c r="A9" s="6" t="s">
        <v>68</v>
      </c>
      <c r="B9" s="6" t="s">
        <v>48</v>
      </c>
      <c r="C9" s="6" t="s">
        <v>14</v>
      </c>
      <c r="D9" s="6" t="s">
        <v>49</v>
      </c>
      <c r="E9" s="6" t="s">
        <v>50</v>
      </c>
      <c r="F9" s="7" t="s">
        <v>69</v>
      </c>
      <c r="G9" s="6" t="s">
        <v>70</v>
      </c>
      <c r="H9" s="6" t="s">
        <v>6</v>
      </c>
      <c r="I9" s="8"/>
      <c r="J9" s="8"/>
      <c r="K9" s="8"/>
      <c r="L9" s="9"/>
    </row>
    <row r="10" customFormat="false" ht="23.85" hidden="false" customHeight="false" outlineLevel="0" collapsed="false">
      <c r="A10" s="6" t="s">
        <v>71</v>
      </c>
      <c r="B10" s="6" t="s">
        <v>48</v>
      </c>
      <c r="C10" s="6" t="s">
        <v>14</v>
      </c>
      <c r="D10" s="6" t="s">
        <v>49</v>
      </c>
      <c r="E10" s="6" t="s">
        <v>50</v>
      </c>
      <c r="F10" s="7" t="s">
        <v>72</v>
      </c>
      <c r="G10" s="6" t="s">
        <v>73</v>
      </c>
      <c r="H10" s="6" t="s">
        <v>6</v>
      </c>
      <c r="I10" s="8"/>
      <c r="J10" s="8"/>
      <c r="K10" s="8"/>
      <c r="L10" s="9"/>
    </row>
    <row r="11" customFormat="false" ht="15" hidden="false" customHeight="false" outlineLevel="0" collapsed="false">
      <c r="A11" s="6" t="s">
        <v>74</v>
      </c>
      <c r="B11" s="6" t="s">
        <v>48</v>
      </c>
      <c r="C11" s="6" t="s">
        <v>14</v>
      </c>
      <c r="D11" s="6" t="s">
        <v>49</v>
      </c>
      <c r="E11" s="6" t="s">
        <v>50</v>
      </c>
      <c r="F11" s="7" t="s">
        <v>75</v>
      </c>
      <c r="G11" s="6" t="s">
        <v>76</v>
      </c>
      <c r="H11" s="6" t="s">
        <v>8</v>
      </c>
      <c r="I11" s="8"/>
      <c r="J11" s="8"/>
      <c r="K11" s="8"/>
      <c r="L11" s="9"/>
    </row>
    <row r="12" customFormat="false" ht="23.85" hidden="false" customHeight="false" outlineLevel="0" collapsed="false">
      <c r="A12" s="6" t="s">
        <v>77</v>
      </c>
      <c r="B12" s="6" t="s">
        <v>78</v>
      </c>
      <c r="C12" s="6" t="s">
        <v>14</v>
      </c>
      <c r="D12" s="6" t="s">
        <v>79</v>
      </c>
      <c r="E12" s="6" t="s">
        <v>80</v>
      </c>
      <c r="F12" s="7" t="s">
        <v>81</v>
      </c>
      <c r="G12" s="6" t="s">
        <v>82</v>
      </c>
      <c r="H12" s="6" t="s">
        <v>8</v>
      </c>
      <c r="I12" s="8"/>
      <c r="J12" s="8"/>
      <c r="K12" s="8"/>
      <c r="L12" s="9"/>
    </row>
    <row r="13" customFormat="false" ht="23.85" hidden="false" customHeight="false" outlineLevel="0" collapsed="false">
      <c r="A13" s="6" t="s">
        <v>83</v>
      </c>
      <c r="B13" s="6" t="s">
        <v>84</v>
      </c>
      <c r="C13" s="6" t="s">
        <v>14</v>
      </c>
      <c r="D13" s="6" t="s">
        <v>85</v>
      </c>
      <c r="E13" s="6" t="s">
        <v>26</v>
      </c>
      <c r="F13" s="7" t="s">
        <v>86</v>
      </c>
      <c r="G13" s="6" t="s">
        <v>87</v>
      </c>
      <c r="H13" s="6" t="s">
        <v>9</v>
      </c>
      <c r="I13" s="8"/>
      <c r="J13" s="8"/>
      <c r="K13" s="8"/>
      <c r="L13" s="9"/>
    </row>
    <row r="14" customFormat="false" ht="15" hidden="false" customHeight="false" outlineLevel="0" collapsed="false">
      <c r="A14" s="6" t="s">
        <v>88</v>
      </c>
      <c r="B14" s="6" t="s">
        <v>89</v>
      </c>
      <c r="C14" s="6" t="s">
        <v>14</v>
      </c>
      <c r="D14" s="6" t="s">
        <v>85</v>
      </c>
      <c r="E14" s="6" t="s">
        <v>90</v>
      </c>
      <c r="F14" s="7" t="s">
        <v>91</v>
      </c>
      <c r="G14" s="6" t="s">
        <v>92</v>
      </c>
      <c r="H14" s="6" t="s">
        <v>6</v>
      </c>
      <c r="I14" s="8"/>
      <c r="J14" s="8"/>
      <c r="K14" s="8"/>
      <c r="L14" s="9"/>
    </row>
    <row r="15" customFormat="false" ht="35.05" hidden="false" customHeight="false" outlineLevel="0" collapsed="false">
      <c r="A15" s="6" t="s">
        <v>93</v>
      </c>
      <c r="B15" s="6" t="s">
        <v>89</v>
      </c>
      <c r="C15" s="6" t="s">
        <v>14</v>
      </c>
      <c r="D15" s="6" t="s">
        <v>85</v>
      </c>
      <c r="E15" s="6" t="s">
        <v>90</v>
      </c>
      <c r="F15" s="7" t="s">
        <v>94</v>
      </c>
      <c r="G15" s="6" t="s">
        <v>95</v>
      </c>
      <c r="H15" s="6" t="s">
        <v>8</v>
      </c>
      <c r="I15" s="8"/>
      <c r="J15" s="8"/>
      <c r="K15" s="8"/>
      <c r="L15" s="9"/>
    </row>
    <row r="16" customFormat="false" ht="23.85" hidden="false" customHeight="false" outlineLevel="0" collapsed="false">
      <c r="A16" s="6" t="s">
        <v>96</v>
      </c>
      <c r="B16" s="6" t="s">
        <v>89</v>
      </c>
      <c r="C16" s="6" t="s">
        <v>14</v>
      </c>
      <c r="D16" s="6" t="s">
        <v>85</v>
      </c>
      <c r="E16" s="6" t="s">
        <v>90</v>
      </c>
      <c r="F16" s="7" t="s">
        <v>97</v>
      </c>
      <c r="G16" s="6" t="s">
        <v>98</v>
      </c>
      <c r="H16" s="6" t="s">
        <v>8</v>
      </c>
      <c r="I16" s="8"/>
      <c r="J16" s="8"/>
      <c r="K16" s="8"/>
      <c r="L16" s="9"/>
    </row>
    <row r="17" customFormat="false" ht="15" hidden="false" customHeight="false" outlineLevel="0" collapsed="false">
      <c r="A17" s="6" t="s">
        <v>99</v>
      </c>
      <c r="B17" s="6" t="s">
        <v>89</v>
      </c>
      <c r="C17" s="6" t="s">
        <v>14</v>
      </c>
      <c r="D17" s="6" t="s">
        <v>85</v>
      </c>
      <c r="E17" s="6" t="s">
        <v>90</v>
      </c>
      <c r="F17" s="7" t="s">
        <v>100</v>
      </c>
      <c r="G17" s="6" t="s">
        <v>101</v>
      </c>
      <c r="H17" s="6" t="s">
        <v>9</v>
      </c>
      <c r="I17" s="8"/>
      <c r="J17" s="8"/>
      <c r="K17" s="8"/>
      <c r="L17" s="9"/>
    </row>
    <row r="18" customFormat="false" ht="15" hidden="false" customHeight="false" outlineLevel="0" collapsed="false">
      <c r="A18" s="6" t="s">
        <v>102</v>
      </c>
      <c r="B18" s="6" t="s">
        <v>103</v>
      </c>
      <c r="C18" s="6" t="s">
        <v>14</v>
      </c>
      <c r="D18" s="6" t="s">
        <v>49</v>
      </c>
      <c r="E18" s="6" t="s">
        <v>90</v>
      </c>
      <c r="F18" s="7" t="s">
        <v>104</v>
      </c>
      <c r="G18" s="6" t="s">
        <v>105</v>
      </c>
      <c r="H18" s="6" t="s">
        <v>6</v>
      </c>
      <c r="I18" s="8"/>
      <c r="J18" s="8"/>
      <c r="K18" s="8"/>
      <c r="L18" s="9"/>
    </row>
    <row r="19" customFormat="false" ht="23.85" hidden="false" customHeight="false" outlineLevel="0" collapsed="false">
      <c r="A19" s="6" t="s">
        <v>106</v>
      </c>
      <c r="B19" s="6" t="s">
        <v>103</v>
      </c>
      <c r="C19" s="6" t="s">
        <v>14</v>
      </c>
      <c r="D19" s="6" t="s">
        <v>49</v>
      </c>
      <c r="E19" s="6" t="s">
        <v>90</v>
      </c>
      <c r="F19" s="7" t="s">
        <v>107</v>
      </c>
      <c r="G19" s="6" t="s">
        <v>108</v>
      </c>
      <c r="H19" s="6" t="s">
        <v>7</v>
      </c>
      <c r="I19" s="8"/>
      <c r="J19" s="8"/>
      <c r="K19" s="8"/>
      <c r="L19" s="9"/>
    </row>
    <row r="20" customFormat="false" ht="23.85" hidden="false" customHeight="false" outlineLevel="0" collapsed="false">
      <c r="A20" s="6" t="s">
        <v>109</v>
      </c>
      <c r="B20" s="6" t="s">
        <v>103</v>
      </c>
      <c r="C20" s="6" t="s">
        <v>14</v>
      </c>
      <c r="D20" s="6" t="s">
        <v>49</v>
      </c>
      <c r="E20" s="6" t="s">
        <v>90</v>
      </c>
      <c r="F20" s="7" t="s">
        <v>110</v>
      </c>
      <c r="G20" s="6" t="s">
        <v>111</v>
      </c>
      <c r="H20" s="6" t="s">
        <v>8</v>
      </c>
      <c r="I20" s="8"/>
      <c r="J20" s="8"/>
      <c r="K20" s="8"/>
      <c r="L20" s="9"/>
    </row>
    <row r="21" customFormat="false" ht="35.05" hidden="false" customHeight="false" outlineLevel="0" collapsed="false">
      <c r="A21" s="6" t="s">
        <v>112</v>
      </c>
      <c r="B21" s="6" t="s">
        <v>113</v>
      </c>
      <c r="C21" s="6" t="s">
        <v>14</v>
      </c>
      <c r="D21" s="6" t="s">
        <v>49</v>
      </c>
      <c r="E21" s="6" t="s">
        <v>26</v>
      </c>
      <c r="F21" s="7" t="s">
        <v>114</v>
      </c>
      <c r="G21" s="6" t="s">
        <v>115</v>
      </c>
      <c r="H21" s="6" t="s">
        <v>7</v>
      </c>
      <c r="I21" s="8"/>
      <c r="J21" s="8"/>
      <c r="K21" s="8"/>
      <c r="L21" s="9"/>
    </row>
    <row r="22" customFormat="false" ht="15" hidden="false" customHeight="false" outlineLevel="0" collapsed="false">
      <c r="A22" s="6" t="s">
        <v>116</v>
      </c>
      <c r="B22" s="6" t="s">
        <v>117</v>
      </c>
      <c r="C22" s="6" t="s">
        <v>14</v>
      </c>
      <c r="D22" s="6" t="s">
        <v>49</v>
      </c>
      <c r="E22" s="6" t="s">
        <v>26</v>
      </c>
      <c r="F22" s="7" t="s">
        <v>118</v>
      </c>
      <c r="G22" s="6" t="s">
        <v>119</v>
      </c>
      <c r="H22" s="6" t="s">
        <v>7</v>
      </c>
      <c r="I22" s="8"/>
      <c r="J22" s="8"/>
      <c r="K22" s="8"/>
      <c r="L22" s="9"/>
    </row>
    <row r="23" customFormat="false" ht="23.85" hidden="false" customHeight="false" outlineLevel="0" collapsed="false">
      <c r="A23" s="6" t="s">
        <v>120</v>
      </c>
      <c r="B23" s="6" t="s">
        <v>121</v>
      </c>
      <c r="C23" s="6" t="s">
        <v>14</v>
      </c>
      <c r="D23" s="6" t="s">
        <v>49</v>
      </c>
      <c r="E23" s="6" t="s">
        <v>26</v>
      </c>
      <c r="F23" s="7" t="s">
        <v>122</v>
      </c>
      <c r="G23" s="6" t="s">
        <v>123</v>
      </c>
      <c r="H23" s="6" t="s">
        <v>8</v>
      </c>
      <c r="I23" s="8"/>
      <c r="J23" s="8"/>
      <c r="K23" s="8"/>
      <c r="L23" s="9"/>
    </row>
    <row r="24" customFormat="false" ht="23.85" hidden="false" customHeight="false" outlineLevel="0" collapsed="false">
      <c r="A24" s="6" t="s">
        <v>124</v>
      </c>
      <c r="B24" s="6" t="s">
        <v>125</v>
      </c>
      <c r="C24" s="6" t="s">
        <v>14</v>
      </c>
      <c r="D24" s="6" t="s">
        <v>49</v>
      </c>
      <c r="E24" s="6" t="s">
        <v>90</v>
      </c>
      <c r="F24" s="7" t="s">
        <v>126</v>
      </c>
      <c r="G24" s="6" t="s">
        <v>127</v>
      </c>
      <c r="H24" s="6" t="s">
        <v>6</v>
      </c>
      <c r="I24" s="8"/>
      <c r="J24" s="8"/>
      <c r="K24" s="8"/>
      <c r="L24" s="9"/>
    </row>
    <row r="25" customFormat="false" ht="23.85" hidden="false" customHeight="false" outlineLevel="0" collapsed="false">
      <c r="A25" s="6" t="s">
        <v>128</v>
      </c>
      <c r="B25" s="6" t="s">
        <v>125</v>
      </c>
      <c r="C25" s="6" t="s">
        <v>14</v>
      </c>
      <c r="D25" s="6" t="s">
        <v>49</v>
      </c>
      <c r="E25" s="6" t="s">
        <v>90</v>
      </c>
      <c r="F25" s="7" t="s">
        <v>129</v>
      </c>
      <c r="G25" s="6" t="s">
        <v>130</v>
      </c>
      <c r="H25" s="6" t="s">
        <v>6</v>
      </c>
      <c r="I25" s="8"/>
      <c r="J25" s="8"/>
      <c r="K25" s="8"/>
      <c r="L25" s="9"/>
    </row>
    <row r="26" customFormat="false" ht="23.85" hidden="false" customHeight="false" outlineLevel="0" collapsed="false">
      <c r="A26" s="6" t="s">
        <v>131</v>
      </c>
      <c r="B26" s="6" t="s">
        <v>125</v>
      </c>
      <c r="C26" s="6" t="s">
        <v>14</v>
      </c>
      <c r="D26" s="6" t="s">
        <v>49</v>
      </c>
      <c r="E26" s="6" t="s">
        <v>90</v>
      </c>
      <c r="F26" s="7" t="s">
        <v>132</v>
      </c>
      <c r="G26" s="6" t="s">
        <v>133</v>
      </c>
      <c r="H26" s="6" t="s">
        <v>8</v>
      </c>
      <c r="I26" s="8"/>
      <c r="J26" s="8"/>
      <c r="K26" s="8"/>
      <c r="L26" s="9"/>
    </row>
    <row r="27" customFormat="false" ht="35.05" hidden="false" customHeight="false" outlineLevel="0" collapsed="false">
      <c r="A27" s="6" t="s">
        <v>134</v>
      </c>
      <c r="B27" s="6" t="s">
        <v>125</v>
      </c>
      <c r="C27" s="6" t="s">
        <v>14</v>
      </c>
      <c r="D27" s="6" t="s">
        <v>49</v>
      </c>
      <c r="E27" s="6" t="s">
        <v>90</v>
      </c>
      <c r="F27" s="7" t="s">
        <v>135</v>
      </c>
      <c r="G27" s="6" t="s">
        <v>136</v>
      </c>
      <c r="H27" s="6" t="s">
        <v>6</v>
      </c>
      <c r="I27" s="8"/>
      <c r="J27" s="8"/>
      <c r="K27" s="8"/>
      <c r="L27" s="9"/>
    </row>
    <row r="28" customFormat="false" ht="15" hidden="false" customHeight="false" outlineLevel="0" collapsed="false">
      <c r="A28" s="6" t="s">
        <v>137</v>
      </c>
      <c r="B28" s="6" t="s">
        <v>138</v>
      </c>
      <c r="C28" s="6" t="s">
        <v>15</v>
      </c>
      <c r="D28" s="6" t="s">
        <v>49</v>
      </c>
      <c r="E28" s="6" t="s">
        <v>50</v>
      </c>
      <c r="F28" s="7" t="s">
        <v>139</v>
      </c>
      <c r="G28" s="6" t="s">
        <v>140</v>
      </c>
      <c r="H28" s="6" t="s">
        <v>6</v>
      </c>
      <c r="I28" s="8"/>
      <c r="J28" s="8"/>
      <c r="K28" s="8"/>
      <c r="L28" s="9"/>
    </row>
    <row r="29" customFormat="false" ht="15" hidden="false" customHeight="false" outlineLevel="0" collapsed="false">
      <c r="A29" s="6" t="s">
        <v>141</v>
      </c>
      <c r="B29" s="6" t="s">
        <v>138</v>
      </c>
      <c r="C29" s="6" t="s">
        <v>15</v>
      </c>
      <c r="D29" s="6" t="s">
        <v>49</v>
      </c>
      <c r="E29" s="6" t="s">
        <v>50</v>
      </c>
      <c r="F29" s="7" t="s">
        <v>142</v>
      </c>
      <c r="G29" s="6" t="s">
        <v>143</v>
      </c>
      <c r="H29" s="6" t="s">
        <v>6</v>
      </c>
      <c r="I29" s="8"/>
      <c r="J29" s="8"/>
      <c r="K29" s="8"/>
      <c r="L29" s="9"/>
    </row>
    <row r="30" customFormat="false" ht="15" hidden="false" customHeight="false" outlineLevel="0" collapsed="false">
      <c r="A30" s="6" t="s">
        <v>144</v>
      </c>
      <c r="B30" s="6" t="s">
        <v>138</v>
      </c>
      <c r="C30" s="6" t="s">
        <v>15</v>
      </c>
      <c r="D30" s="6" t="s">
        <v>49</v>
      </c>
      <c r="E30" s="6" t="s">
        <v>50</v>
      </c>
      <c r="F30" s="7" t="s">
        <v>145</v>
      </c>
      <c r="G30" s="6" t="s">
        <v>146</v>
      </c>
      <c r="H30" s="6" t="s">
        <v>6</v>
      </c>
      <c r="I30" s="8"/>
      <c r="J30" s="8"/>
      <c r="K30" s="8"/>
      <c r="L30" s="9"/>
    </row>
    <row r="31" customFormat="false" ht="23.85" hidden="false" customHeight="false" outlineLevel="0" collapsed="false">
      <c r="A31" s="6" t="s">
        <v>147</v>
      </c>
      <c r="B31" s="6" t="s">
        <v>138</v>
      </c>
      <c r="C31" s="6" t="s">
        <v>15</v>
      </c>
      <c r="D31" s="6" t="s">
        <v>49</v>
      </c>
      <c r="E31" s="6" t="s">
        <v>50</v>
      </c>
      <c r="F31" s="7" t="s">
        <v>148</v>
      </c>
      <c r="G31" s="6" t="s">
        <v>149</v>
      </c>
      <c r="H31" s="6" t="s">
        <v>8</v>
      </c>
      <c r="I31" s="8"/>
      <c r="J31" s="8"/>
      <c r="K31" s="8"/>
      <c r="L31" s="9"/>
    </row>
    <row r="32" customFormat="false" ht="15" hidden="false" customHeight="false" outlineLevel="0" collapsed="false">
      <c r="A32" s="6" t="s">
        <v>150</v>
      </c>
      <c r="B32" s="6" t="s">
        <v>138</v>
      </c>
      <c r="C32" s="6" t="s">
        <v>15</v>
      </c>
      <c r="D32" s="6" t="s">
        <v>49</v>
      </c>
      <c r="E32" s="6" t="s">
        <v>50</v>
      </c>
      <c r="F32" s="7" t="s">
        <v>151</v>
      </c>
      <c r="G32" s="6" t="s">
        <v>152</v>
      </c>
      <c r="H32" s="6" t="s">
        <v>6</v>
      </c>
      <c r="I32" s="8"/>
      <c r="J32" s="8"/>
      <c r="K32" s="8"/>
      <c r="L32" s="9"/>
    </row>
    <row r="33" customFormat="false" ht="15" hidden="false" customHeight="false" outlineLevel="0" collapsed="false">
      <c r="A33" s="6" t="s">
        <v>153</v>
      </c>
      <c r="B33" s="6" t="s">
        <v>138</v>
      </c>
      <c r="C33" s="6" t="s">
        <v>15</v>
      </c>
      <c r="D33" s="6" t="s">
        <v>49</v>
      </c>
      <c r="E33" s="6" t="s">
        <v>50</v>
      </c>
      <c r="F33" s="7" t="s">
        <v>154</v>
      </c>
      <c r="G33" s="6" t="s">
        <v>155</v>
      </c>
      <c r="H33" s="6" t="s">
        <v>8</v>
      </c>
      <c r="I33" s="8"/>
      <c r="J33" s="8"/>
      <c r="K33" s="8"/>
      <c r="L33" s="9"/>
    </row>
    <row r="34" customFormat="false" ht="23.85" hidden="false" customHeight="false" outlineLevel="0" collapsed="false">
      <c r="A34" s="6" t="s">
        <v>156</v>
      </c>
      <c r="B34" s="6" t="s">
        <v>138</v>
      </c>
      <c r="C34" s="6" t="s">
        <v>15</v>
      </c>
      <c r="D34" s="6" t="s">
        <v>49</v>
      </c>
      <c r="E34" s="6" t="s">
        <v>50</v>
      </c>
      <c r="F34" s="7" t="s">
        <v>157</v>
      </c>
      <c r="G34" s="6" t="s">
        <v>158</v>
      </c>
      <c r="H34" s="6" t="s">
        <v>6</v>
      </c>
      <c r="I34" s="8"/>
      <c r="J34" s="8"/>
      <c r="K34" s="8"/>
      <c r="L34" s="9"/>
    </row>
    <row r="35" customFormat="false" ht="15" hidden="false" customHeight="false" outlineLevel="0" collapsed="false">
      <c r="A35" s="6" t="s">
        <v>159</v>
      </c>
      <c r="B35" s="6" t="s">
        <v>138</v>
      </c>
      <c r="C35" s="6" t="s">
        <v>15</v>
      </c>
      <c r="D35" s="6" t="s">
        <v>49</v>
      </c>
      <c r="E35" s="6" t="s">
        <v>50</v>
      </c>
      <c r="F35" s="7" t="s">
        <v>160</v>
      </c>
      <c r="G35" s="6" t="s">
        <v>161</v>
      </c>
      <c r="H35" s="6" t="s">
        <v>6</v>
      </c>
      <c r="I35" s="8"/>
      <c r="J35" s="8"/>
      <c r="K35" s="8"/>
      <c r="L35" s="9"/>
    </row>
    <row r="36" customFormat="false" ht="23.85" hidden="false" customHeight="false" outlineLevel="0" collapsed="false">
      <c r="A36" s="6" t="s">
        <v>162</v>
      </c>
      <c r="B36" s="6" t="s">
        <v>138</v>
      </c>
      <c r="C36" s="6" t="s">
        <v>15</v>
      </c>
      <c r="D36" s="6" t="s">
        <v>49</v>
      </c>
      <c r="E36" s="6" t="s">
        <v>50</v>
      </c>
      <c r="F36" s="7" t="s">
        <v>163</v>
      </c>
      <c r="G36" s="6" t="s">
        <v>164</v>
      </c>
      <c r="H36" s="6" t="s">
        <v>7</v>
      </c>
      <c r="I36" s="8"/>
      <c r="J36" s="8"/>
      <c r="K36" s="8"/>
      <c r="L36" s="9"/>
    </row>
    <row r="37" customFormat="false" ht="23.85" hidden="false" customHeight="false" outlineLevel="0" collapsed="false">
      <c r="A37" s="6" t="s">
        <v>165</v>
      </c>
      <c r="B37" s="6" t="s">
        <v>138</v>
      </c>
      <c r="C37" s="6" t="s">
        <v>15</v>
      </c>
      <c r="D37" s="6" t="s">
        <v>49</v>
      </c>
      <c r="E37" s="6" t="s">
        <v>50</v>
      </c>
      <c r="F37" s="7" t="s">
        <v>166</v>
      </c>
      <c r="G37" s="6" t="s">
        <v>167</v>
      </c>
      <c r="H37" s="6" t="s">
        <v>6</v>
      </c>
      <c r="I37" s="8"/>
      <c r="J37" s="8"/>
      <c r="K37" s="8"/>
      <c r="L37" s="9"/>
    </row>
    <row r="38" customFormat="false" ht="15" hidden="false" customHeight="false" outlineLevel="0" collapsed="false">
      <c r="A38" s="6" t="s">
        <v>168</v>
      </c>
      <c r="B38" s="6" t="s">
        <v>138</v>
      </c>
      <c r="C38" s="6" t="s">
        <v>15</v>
      </c>
      <c r="D38" s="6" t="s">
        <v>49</v>
      </c>
      <c r="E38" s="6" t="s">
        <v>50</v>
      </c>
      <c r="F38" s="7" t="s">
        <v>169</v>
      </c>
      <c r="G38" s="6" t="s">
        <v>170</v>
      </c>
      <c r="H38" s="6" t="s">
        <v>6</v>
      </c>
      <c r="I38" s="8"/>
      <c r="J38" s="8"/>
      <c r="K38" s="8"/>
      <c r="L38" s="9"/>
    </row>
    <row r="39" customFormat="false" ht="15" hidden="false" customHeight="false" outlineLevel="0" collapsed="false">
      <c r="A39" s="6" t="s">
        <v>171</v>
      </c>
      <c r="B39" s="6" t="s">
        <v>172</v>
      </c>
      <c r="C39" s="6" t="s">
        <v>15</v>
      </c>
      <c r="D39" s="6" t="s">
        <v>49</v>
      </c>
      <c r="E39" s="6" t="s">
        <v>26</v>
      </c>
      <c r="F39" s="7" t="s">
        <v>173</v>
      </c>
      <c r="G39" s="6" t="s">
        <v>174</v>
      </c>
      <c r="H39" s="6" t="s">
        <v>6</v>
      </c>
      <c r="I39" s="8"/>
      <c r="J39" s="8"/>
      <c r="K39" s="8"/>
      <c r="L39" s="9"/>
    </row>
    <row r="40" customFormat="false" ht="23.85" hidden="false" customHeight="false" outlineLevel="0" collapsed="false">
      <c r="A40" s="6" t="s">
        <v>175</v>
      </c>
      <c r="B40" s="6" t="s">
        <v>172</v>
      </c>
      <c r="C40" s="6" t="s">
        <v>15</v>
      </c>
      <c r="D40" s="6" t="s">
        <v>49</v>
      </c>
      <c r="E40" s="6" t="s">
        <v>26</v>
      </c>
      <c r="F40" s="7" t="s">
        <v>176</v>
      </c>
      <c r="G40" s="6" t="s">
        <v>177</v>
      </c>
      <c r="H40" s="6" t="s">
        <v>8</v>
      </c>
      <c r="I40" s="8"/>
      <c r="J40" s="8"/>
      <c r="K40" s="8"/>
      <c r="L40" s="9"/>
    </row>
    <row r="41" customFormat="false" ht="23.85" hidden="false" customHeight="false" outlineLevel="0" collapsed="false">
      <c r="A41" s="6" t="s">
        <v>178</v>
      </c>
      <c r="B41" s="6" t="s">
        <v>172</v>
      </c>
      <c r="C41" s="6" t="s">
        <v>15</v>
      </c>
      <c r="D41" s="6" t="s">
        <v>49</v>
      </c>
      <c r="E41" s="6" t="s">
        <v>26</v>
      </c>
      <c r="F41" s="7" t="s">
        <v>179</v>
      </c>
      <c r="G41" s="6" t="s">
        <v>180</v>
      </c>
      <c r="H41" s="6" t="s">
        <v>6</v>
      </c>
      <c r="I41" s="8"/>
      <c r="J41" s="8"/>
      <c r="K41" s="8"/>
      <c r="L41" s="9"/>
    </row>
    <row r="42" customFormat="false" ht="15" hidden="false" customHeight="false" outlineLevel="0" collapsed="false">
      <c r="A42" s="6" t="s">
        <v>181</v>
      </c>
      <c r="B42" s="6" t="s">
        <v>172</v>
      </c>
      <c r="C42" s="6" t="s">
        <v>15</v>
      </c>
      <c r="D42" s="6" t="s">
        <v>49</v>
      </c>
      <c r="E42" s="6" t="s">
        <v>26</v>
      </c>
      <c r="F42" s="7" t="s">
        <v>182</v>
      </c>
      <c r="G42" s="6" t="s">
        <v>183</v>
      </c>
      <c r="H42" s="6" t="s">
        <v>6</v>
      </c>
      <c r="I42" s="8"/>
      <c r="J42" s="8"/>
      <c r="K42" s="8"/>
      <c r="L42" s="9"/>
    </row>
    <row r="43" customFormat="false" ht="15" hidden="false" customHeight="false" outlineLevel="0" collapsed="false">
      <c r="A43" s="6" t="s">
        <v>184</v>
      </c>
      <c r="B43" s="6" t="s">
        <v>185</v>
      </c>
      <c r="C43" s="6" t="s">
        <v>15</v>
      </c>
      <c r="D43" s="6" t="s">
        <v>85</v>
      </c>
      <c r="E43" s="6" t="s">
        <v>27</v>
      </c>
      <c r="F43" s="7" t="s">
        <v>186</v>
      </c>
      <c r="G43" s="6" t="s">
        <v>187</v>
      </c>
      <c r="H43" s="6" t="s">
        <v>6</v>
      </c>
      <c r="I43" s="8"/>
      <c r="J43" s="8"/>
      <c r="K43" s="8"/>
      <c r="L43" s="9"/>
    </row>
    <row r="44" customFormat="false" ht="23.85" hidden="false" customHeight="false" outlineLevel="0" collapsed="false">
      <c r="A44" s="6" t="s">
        <v>188</v>
      </c>
      <c r="B44" s="6" t="s">
        <v>185</v>
      </c>
      <c r="C44" s="6" t="s">
        <v>15</v>
      </c>
      <c r="D44" s="6" t="s">
        <v>85</v>
      </c>
      <c r="E44" s="6" t="s">
        <v>27</v>
      </c>
      <c r="F44" s="7" t="s">
        <v>189</v>
      </c>
      <c r="G44" s="6" t="s">
        <v>190</v>
      </c>
      <c r="H44" s="6" t="s">
        <v>8</v>
      </c>
      <c r="I44" s="8"/>
      <c r="J44" s="8"/>
      <c r="K44" s="8"/>
      <c r="L44" s="9"/>
    </row>
    <row r="45" customFormat="false" ht="35.05" hidden="false" customHeight="false" outlineLevel="0" collapsed="false">
      <c r="A45" s="6" t="s">
        <v>191</v>
      </c>
      <c r="B45" s="6" t="s">
        <v>185</v>
      </c>
      <c r="C45" s="6" t="s">
        <v>15</v>
      </c>
      <c r="D45" s="6" t="s">
        <v>85</v>
      </c>
      <c r="E45" s="6" t="s">
        <v>27</v>
      </c>
      <c r="F45" s="7" t="s">
        <v>192</v>
      </c>
      <c r="G45" s="6" t="s">
        <v>193</v>
      </c>
      <c r="H45" s="6" t="s">
        <v>6</v>
      </c>
      <c r="I45" s="8"/>
      <c r="J45" s="8"/>
      <c r="K45" s="8"/>
      <c r="L45" s="9"/>
    </row>
    <row r="46" customFormat="false" ht="15" hidden="false" customHeight="false" outlineLevel="0" collapsed="false">
      <c r="A46" s="6" t="s">
        <v>194</v>
      </c>
      <c r="B46" s="6" t="s">
        <v>185</v>
      </c>
      <c r="C46" s="6" t="s">
        <v>15</v>
      </c>
      <c r="D46" s="6" t="s">
        <v>85</v>
      </c>
      <c r="E46" s="6" t="s">
        <v>27</v>
      </c>
      <c r="F46" s="7" t="s">
        <v>195</v>
      </c>
      <c r="G46" s="6" t="s">
        <v>196</v>
      </c>
      <c r="H46" s="6" t="s">
        <v>8</v>
      </c>
      <c r="I46" s="8"/>
      <c r="J46" s="8"/>
      <c r="K46" s="8"/>
      <c r="L46" s="9"/>
    </row>
    <row r="47" customFormat="false" ht="15" hidden="false" customHeight="false" outlineLevel="0" collapsed="false">
      <c r="A47" s="6" t="s">
        <v>197</v>
      </c>
      <c r="B47" s="6" t="s">
        <v>185</v>
      </c>
      <c r="C47" s="6" t="s">
        <v>15</v>
      </c>
      <c r="D47" s="6" t="s">
        <v>85</v>
      </c>
      <c r="E47" s="6" t="s">
        <v>27</v>
      </c>
      <c r="F47" s="7" t="s">
        <v>198</v>
      </c>
      <c r="G47" s="6" t="s">
        <v>199</v>
      </c>
      <c r="H47" s="6" t="s">
        <v>10</v>
      </c>
      <c r="I47" s="8"/>
      <c r="J47" s="8"/>
      <c r="K47" s="8"/>
      <c r="L47" s="9"/>
    </row>
    <row r="48" customFormat="false" ht="15" hidden="false" customHeight="false" outlineLevel="0" collapsed="false">
      <c r="A48" s="6" t="s">
        <v>200</v>
      </c>
      <c r="B48" s="6" t="s">
        <v>201</v>
      </c>
      <c r="C48" s="6" t="s">
        <v>15</v>
      </c>
      <c r="D48" s="6" t="s">
        <v>49</v>
      </c>
      <c r="E48" s="6" t="s">
        <v>27</v>
      </c>
      <c r="F48" s="7" t="s">
        <v>202</v>
      </c>
      <c r="G48" s="6" t="s">
        <v>203</v>
      </c>
      <c r="H48" s="6" t="s">
        <v>7</v>
      </c>
      <c r="I48" s="8"/>
      <c r="J48" s="8"/>
      <c r="K48" s="8"/>
      <c r="L48" s="9"/>
    </row>
    <row r="49" customFormat="false" ht="23.85" hidden="false" customHeight="false" outlineLevel="0" collapsed="false">
      <c r="A49" s="6" t="s">
        <v>204</v>
      </c>
      <c r="B49" s="6" t="s">
        <v>201</v>
      </c>
      <c r="C49" s="6" t="s">
        <v>15</v>
      </c>
      <c r="D49" s="6" t="s">
        <v>49</v>
      </c>
      <c r="E49" s="6" t="s">
        <v>27</v>
      </c>
      <c r="F49" s="7" t="s">
        <v>205</v>
      </c>
      <c r="G49" s="6" t="s">
        <v>206</v>
      </c>
      <c r="H49" s="6" t="s">
        <v>6</v>
      </c>
      <c r="I49" s="8"/>
      <c r="J49" s="8"/>
      <c r="K49" s="8"/>
      <c r="L49" s="9"/>
    </row>
    <row r="50" customFormat="false" ht="23.85" hidden="false" customHeight="false" outlineLevel="0" collapsed="false">
      <c r="A50" s="6" t="s">
        <v>207</v>
      </c>
      <c r="B50" s="6" t="s">
        <v>201</v>
      </c>
      <c r="C50" s="6" t="s">
        <v>15</v>
      </c>
      <c r="D50" s="6" t="s">
        <v>49</v>
      </c>
      <c r="E50" s="6" t="s">
        <v>27</v>
      </c>
      <c r="F50" s="7" t="s">
        <v>208</v>
      </c>
      <c r="G50" s="6" t="s">
        <v>209</v>
      </c>
      <c r="H50" s="6" t="s">
        <v>6</v>
      </c>
      <c r="I50" s="8"/>
      <c r="J50" s="8"/>
      <c r="K50" s="8"/>
      <c r="L50" s="9"/>
    </row>
    <row r="51" customFormat="false" ht="15" hidden="false" customHeight="false" outlineLevel="0" collapsed="false">
      <c r="A51" s="6" t="s">
        <v>210</v>
      </c>
      <c r="B51" s="6" t="s">
        <v>201</v>
      </c>
      <c r="C51" s="6" t="s">
        <v>15</v>
      </c>
      <c r="D51" s="6" t="s">
        <v>49</v>
      </c>
      <c r="E51" s="6" t="s">
        <v>27</v>
      </c>
      <c r="F51" s="7" t="s">
        <v>211</v>
      </c>
      <c r="G51" s="6" t="s">
        <v>212</v>
      </c>
      <c r="H51" s="6" t="s">
        <v>8</v>
      </c>
      <c r="I51" s="8"/>
      <c r="J51" s="8"/>
      <c r="K51" s="8"/>
      <c r="L51" s="9"/>
    </row>
    <row r="52" customFormat="false" ht="23.85" hidden="false" customHeight="false" outlineLevel="0" collapsed="false">
      <c r="A52" s="6" t="s">
        <v>213</v>
      </c>
      <c r="B52" s="6" t="s">
        <v>201</v>
      </c>
      <c r="C52" s="6" t="s">
        <v>15</v>
      </c>
      <c r="D52" s="6" t="s">
        <v>49</v>
      </c>
      <c r="E52" s="6" t="s">
        <v>27</v>
      </c>
      <c r="F52" s="7" t="s">
        <v>214</v>
      </c>
      <c r="G52" s="6" t="s">
        <v>215</v>
      </c>
      <c r="H52" s="6" t="s">
        <v>6</v>
      </c>
      <c r="I52" s="8"/>
      <c r="J52" s="8"/>
      <c r="K52" s="8"/>
      <c r="L52" s="9"/>
    </row>
    <row r="53" customFormat="false" ht="15" hidden="false" customHeight="false" outlineLevel="0" collapsed="false">
      <c r="A53" s="6" t="s">
        <v>216</v>
      </c>
      <c r="B53" s="6" t="s">
        <v>201</v>
      </c>
      <c r="C53" s="6" t="s">
        <v>15</v>
      </c>
      <c r="D53" s="6" t="s">
        <v>49</v>
      </c>
      <c r="E53" s="6" t="s">
        <v>27</v>
      </c>
      <c r="F53" s="7" t="s">
        <v>217</v>
      </c>
      <c r="G53" s="6" t="s">
        <v>218</v>
      </c>
      <c r="H53" s="6" t="s">
        <v>6</v>
      </c>
      <c r="I53" s="8"/>
      <c r="J53" s="8"/>
      <c r="K53" s="8"/>
      <c r="L53" s="9"/>
    </row>
    <row r="54" customFormat="false" ht="23.85" hidden="false" customHeight="false" outlineLevel="0" collapsed="false">
      <c r="A54" s="6" t="s">
        <v>219</v>
      </c>
      <c r="B54" s="6" t="s">
        <v>201</v>
      </c>
      <c r="C54" s="6" t="s">
        <v>15</v>
      </c>
      <c r="D54" s="6" t="s">
        <v>49</v>
      </c>
      <c r="E54" s="6" t="s">
        <v>27</v>
      </c>
      <c r="F54" s="7" t="s">
        <v>220</v>
      </c>
      <c r="G54" s="6" t="s">
        <v>221</v>
      </c>
      <c r="H54" s="6" t="s">
        <v>6</v>
      </c>
      <c r="I54" s="8"/>
      <c r="J54" s="8"/>
      <c r="K54" s="8"/>
      <c r="L54" s="9"/>
    </row>
    <row r="55" customFormat="false" ht="23.85" hidden="false" customHeight="false" outlineLevel="0" collapsed="false">
      <c r="A55" s="6" t="s">
        <v>222</v>
      </c>
      <c r="B55" s="6" t="s">
        <v>201</v>
      </c>
      <c r="C55" s="6" t="s">
        <v>15</v>
      </c>
      <c r="D55" s="6" t="s">
        <v>49</v>
      </c>
      <c r="E55" s="6" t="s">
        <v>27</v>
      </c>
      <c r="F55" s="7" t="s">
        <v>223</v>
      </c>
      <c r="G55" s="6" t="s">
        <v>224</v>
      </c>
      <c r="H55" s="6" t="s">
        <v>6</v>
      </c>
      <c r="I55" s="8"/>
      <c r="J55" s="8"/>
      <c r="K55" s="8"/>
      <c r="L55" s="9"/>
    </row>
    <row r="56" customFormat="false" ht="15" hidden="false" customHeight="false" outlineLevel="0" collapsed="false">
      <c r="A56" s="6" t="s">
        <v>225</v>
      </c>
      <c r="B56" s="6" t="s">
        <v>201</v>
      </c>
      <c r="C56" s="6" t="s">
        <v>15</v>
      </c>
      <c r="D56" s="6" t="s">
        <v>49</v>
      </c>
      <c r="E56" s="6" t="s">
        <v>27</v>
      </c>
      <c r="F56" s="7" t="s">
        <v>226</v>
      </c>
      <c r="G56" s="6" t="s">
        <v>227</v>
      </c>
      <c r="H56" s="6" t="s">
        <v>10</v>
      </c>
      <c r="I56" s="8"/>
      <c r="J56" s="8"/>
      <c r="K56" s="8"/>
      <c r="L56" s="9"/>
    </row>
    <row r="57" customFormat="false" ht="23.85" hidden="false" customHeight="false" outlineLevel="0" collapsed="false">
      <c r="A57" s="6" t="s">
        <v>228</v>
      </c>
      <c r="B57" s="6" t="s">
        <v>229</v>
      </c>
      <c r="C57" s="6" t="s">
        <v>15</v>
      </c>
      <c r="D57" s="6" t="s">
        <v>230</v>
      </c>
      <c r="E57" s="6" t="s">
        <v>27</v>
      </c>
      <c r="F57" s="7" t="s">
        <v>231</v>
      </c>
      <c r="G57" s="6" t="s">
        <v>232</v>
      </c>
      <c r="H57" s="6" t="s">
        <v>8</v>
      </c>
      <c r="I57" s="8"/>
      <c r="J57" s="8"/>
      <c r="K57" s="8"/>
      <c r="L57" s="9"/>
    </row>
    <row r="58" customFormat="false" ht="15" hidden="false" customHeight="false" outlineLevel="0" collapsed="false">
      <c r="A58" s="6" t="s">
        <v>233</v>
      </c>
      <c r="B58" s="6" t="s">
        <v>229</v>
      </c>
      <c r="C58" s="6" t="s">
        <v>15</v>
      </c>
      <c r="D58" s="6" t="s">
        <v>230</v>
      </c>
      <c r="E58" s="6" t="s">
        <v>27</v>
      </c>
      <c r="F58" s="7" t="s">
        <v>234</v>
      </c>
      <c r="G58" s="6" t="s">
        <v>235</v>
      </c>
      <c r="H58" s="6" t="s">
        <v>10</v>
      </c>
      <c r="I58" s="8"/>
      <c r="J58" s="8"/>
      <c r="K58" s="8"/>
      <c r="L58" s="9"/>
    </row>
    <row r="59" customFormat="false" ht="23.85" hidden="false" customHeight="false" outlineLevel="0" collapsed="false">
      <c r="A59" s="6" t="s">
        <v>236</v>
      </c>
      <c r="B59" s="6" t="s">
        <v>237</v>
      </c>
      <c r="C59" s="6" t="s">
        <v>15</v>
      </c>
      <c r="D59" s="6" t="s">
        <v>230</v>
      </c>
      <c r="E59" s="6" t="s">
        <v>27</v>
      </c>
      <c r="F59" s="7" t="s">
        <v>238</v>
      </c>
      <c r="G59" s="6" t="s">
        <v>239</v>
      </c>
      <c r="H59" s="6" t="s">
        <v>7</v>
      </c>
      <c r="I59" s="8"/>
      <c r="J59" s="8"/>
      <c r="K59" s="8"/>
      <c r="L59" s="9"/>
    </row>
    <row r="60" customFormat="false" ht="23.85" hidden="false" customHeight="false" outlineLevel="0" collapsed="false">
      <c r="A60" s="6" t="s">
        <v>240</v>
      </c>
      <c r="B60" s="6" t="s">
        <v>241</v>
      </c>
      <c r="C60" s="6" t="s">
        <v>15</v>
      </c>
      <c r="D60" s="6" t="s">
        <v>230</v>
      </c>
      <c r="E60" s="6" t="s">
        <v>27</v>
      </c>
      <c r="F60" s="7" t="s">
        <v>242</v>
      </c>
      <c r="G60" s="6" t="s">
        <v>243</v>
      </c>
      <c r="H60" s="6" t="s">
        <v>7</v>
      </c>
      <c r="I60" s="8"/>
      <c r="J60" s="8"/>
      <c r="K60" s="8"/>
      <c r="L60" s="9"/>
    </row>
    <row r="61" customFormat="false" ht="15" hidden="false" customHeight="false" outlineLevel="0" collapsed="false">
      <c r="A61" s="6" t="s">
        <v>244</v>
      </c>
      <c r="B61" s="6" t="s">
        <v>241</v>
      </c>
      <c r="C61" s="6" t="s">
        <v>15</v>
      </c>
      <c r="D61" s="6" t="s">
        <v>230</v>
      </c>
      <c r="E61" s="6" t="s">
        <v>27</v>
      </c>
      <c r="F61" s="7" t="s">
        <v>245</v>
      </c>
      <c r="G61" s="6" t="s">
        <v>246</v>
      </c>
      <c r="H61" s="6" t="s">
        <v>8</v>
      </c>
      <c r="I61" s="8"/>
      <c r="J61" s="8"/>
      <c r="K61" s="8"/>
      <c r="L61" s="9"/>
    </row>
    <row r="62" customFormat="false" ht="15" hidden="false" customHeight="false" outlineLevel="0" collapsed="false">
      <c r="A62" s="6" t="s">
        <v>247</v>
      </c>
      <c r="B62" s="6" t="s">
        <v>248</v>
      </c>
      <c r="C62" s="6" t="s">
        <v>15</v>
      </c>
      <c r="D62" s="6" t="s">
        <v>44</v>
      </c>
      <c r="E62" s="6"/>
      <c r="F62" s="7" t="s">
        <v>249</v>
      </c>
      <c r="G62" s="6" t="s">
        <v>250</v>
      </c>
      <c r="H62" s="6" t="s">
        <v>9</v>
      </c>
      <c r="I62" s="8"/>
      <c r="J62" s="8"/>
      <c r="K62" s="8"/>
      <c r="L62" s="9"/>
    </row>
    <row r="63" customFormat="false" ht="23.85" hidden="false" customHeight="false" outlineLevel="0" collapsed="false">
      <c r="A63" s="6" t="s">
        <v>251</v>
      </c>
      <c r="B63" s="6" t="s">
        <v>252</v>
      </c>
      <c r="C63" s="6" t="s">
        <v>15</v>
      </c>
      <c r="D63" s="6" t="s">
        <v>230</v>
      </c>
      <c r="E63" s="6"/>
      <c r="F63" s="7" t="s">
        <v>253</v>
      </c>
      <c r="G63" s="6" t="s">
        <v>254</v>
      </c>
      <c r="H63" s="6" t="s">
        <v>9</v>
      </c>
      <c r="I63" s="8"/>
      <c r="J63" s="8"/>
      <c r="K63" s="8"/>
      <c r="L63" s="9"/>
    </row>
    <row r="64" customFormat="false" ht="35.05" hidden="false" customHeight="false" outlineLevel="0" collapsed="false">
      <c r="A64" s="6" t="s">
        <v>255</v>
      </c>
      <c r="B64" s="6" t="s">
        <v>256</v>
      </c>
      <c r="C64" s="6" t="s">
        <v>15</v>
      </c>
      <c r="D64" s="6" t="s">
        <v>44</v>
      </c>
      <c r="E64" s="6" t="s">
        <v>26</v>
      </c>
      <c r="F64" s="7" t="s">
        <v>257</v>
      </c>
      <c r="G64" s="6" t="s">
        <v>258</v>
      </c>
      <c r="H64" s="6" t="s">
        <v>6</v>
      </c>
      <c r="I64" s="8"/>
      <c r="J64" s="8"/>
      <c r="K64" s="8"/>
      <c r="L64" s="9"/>
    </row>
    <row r="65" customFormat="false" ht="15" hidden="false" customHeight="false" outlineLevel="0" collapsed="false">
      <c r="A65" s="6" t="s">
        <v>259</v>
      </c>
      <c r="B65" s="6" t="s">
        <v>256</v>
      </c>
      <c r="C65" s="6" t="s">
        <v>15</v>
      </c>
      <c r="D65" s="6" t="s">
        <v>44</v>
      </c>
      <c r="E65" s="6" t="s">
        <v>26</v>
      </c>
      <c r="F65" s="7" t="s">
        <v>260</v>
      </c>
      <c r="G65" s="6" t="s">
        <v>261</v>
      </c>
      <c r="H65" s="6" t="s">
        <v>9</v>
      </c>
      <c r="I65" s="8"/>
      <c r="J65" s="8"/>
      <c r="K65" s="8"/>
      <c r="L65" s="9"/>
    </row>
    <row r="66" customFormat="false" ht="23.85" hidden="false" customHeight="false" outlineLevel="0" collapsed="false">
      <c r="A66" s="6" t="s">
        <v>262</v>
      </c>
      <c r="B66" s="6" t="s">
        <v>263</v>
      </c>
      <c r="C66" s="6" t="s">
        <v>16</v>
      </c>
      <c r="D66" s="6" t="s">
        <v>44</v>
      </c>
      <c r="E66" s="6" t="s">
        <v>264</v>
      </c>
      <c r="F66" s="7" t="s">
        <v>265</v>
      </c>
      <c r="G66" s="6" t="s">
        <v>266</v>
      </c>
      <c r="H66" s="6" t="s">
        <v>8</v>
      </c>
      <c r="I66" s="8"/>
      <c r="J66" s="8"/>
      <c r="K66" s="8"/>
      <c r="L66" s="9"/>
    </row>
    <row r="67" customFormat="false" ht="35.05" hidden="false" customHeight="false" outlineLevel="0" collapsed="false">
      <c r="A67" s="6" t="s">
        <v>267</v>
      </c>
      <c r="B67" s="6" t="s">
        <v>263</v>
      </c>
      <c r="C67" s="6" t="s">
        <v>16</v>
      </c>
      <c r="D67" s="6" t="s">
        <v>44</v>
      </c>
      <c r="E67" s="6" t="s">
        <v>264</v>
      </c>
      <c r="F67" s="7" t="s">
        <v>268</v>
      </c>
      <c r="G67" s="6" t="s">
        <v>174</v>
      </c>
      <c r="H67" s="6" t="s">
        <v>8</v>
      </c>
      <c r="I67" s="8"/>
      <c r="J67" s="8"/>
      <c r="K67" s="8"/>
      <c r="L67" s="9"/>
    </row>
    <row r="68" customFormat="false" ht="15" hidden="false" customHeight="false" outlineLevel="0" collapsed="false">
      <c r="A68" s="6" t="s">
        <v>269</v>
      </c>
      <c r="B68" s="6" t="s">
        <v>263</v>
      </c>
      <c r="C68" s="6" t="s">
        <v>16</v>
      </c>
      <c r="D68" s="6" t="s">
        <v>44</v>
      </c>
      <c r="E68" s="6" t="s">
        <v>264</v>
      </c>
      <c r="F68" s="7" t="s">
        <v>270</v>
      </c>
      <c r="G68" s="6" t="s">
        <v>271</v>
      </c>
      <c r="H68" s="6" t="s">
        <v>9</v>
      </c>
      <c r="I68" s="8"/>
      <c r="J68" s="8"/>
      <c r="K68" s="8"/>
      <c r="L68" s="9"/>
    </row>
    <row r="69" customFormat="false" ht="15" hidden="false" customHeight="false" outlineLevel="0" collapsed="false">
      <c r="A69" s="6" t="s">
        <v>272</v>
      </c>
      <c r="B69" s="6" t="s">
        <v>273</v>
      </c>
      <c r="C69" s="6" t="s">
        <v>16</v>
      </c>
      <c r="D69" s="6" t="s">
        <v>274</v>
      </c>
      <c r="E69" s="6" t="s">
        <v>264</v>
      </c>
      <c r="F69" s="7" t="s">
        <v>275</v>
      </c>
      <c r="G69" s="6" t="s">
        <v>276</v>
      </c>
      <c r="H69" s="6" t="s">
        <v>6</v>
      </c>
      <c r="I69" s="8"/>
      <c r="J69" s="8"/>
      <c r="K69" s="8"/>
      <c r="L69" s="9"/>
    </row>
    <row r="70" customFormat="false" ht="23.85" hidden="false" customHeight="false" outlineLevel="0" collapsed="false">
      <c r="A70" s="6" t="s">
        <v>277</v>
      </c>
      <c r="B70" s="6" t="s">
        <v>273</v>
      </c>
      <c r="C70" s="6" t="s">
        <v>16</v>
      </c>
      <c r="D70" s="6" t="s">
        <v>274</v>
      </c>
      <c r="E70" s="6" t="s">
        <v>264</v>
      </c>
      <c r="F70" s="7" t="s">
        <v>278</v>
      </c>
      <c r="G70" s="6" t="s">
        <v>279</v>
      </c>
      <c r="H70" s="6" t="s">
        <v>6</v>
      </c>
      <c r="I70" s="8"/>
      <c r="J70" s="8"/>
      <c r="K70" s="8"/>
      <c r="L70" s="9"/>
    </row>
    <row r="71" customFormat="false" ht="15" hidden="false" customHeight="false" outlineLevel="0" collapsed="false">
      <c r="A71" s="6" t="s">
        <v>280</v>
      </c>
      <c r="B71" s="6" t="s">
        <v>273</v>
      </c>
      <c r="C71" s="6" t="s">
        <v>16</v>
      </c>
      <c r="D71" s="6" t="s">
        <v>274</v>
      </c>
      <c r="E71" s="6" t="s">
        <v>264</v>
      </c>
      <c r="F71" s="7" t="s">
        <v>281</v>
      </c>
      <c r="G71" s="6" t="s">
        <v>282</v>
      </c>
      <c r="H71" s="6" t="s">
        <v>8</v>
      </c>
      <c r="I71" s="8"/>
      <c r="J71" s="8"/>
      <c r="K71" s="8"/>
      <c r="L71" s="9"/>
    </row>
    <row r="72" customFormat="false" ht="15" hidden="false" customHeight="false" outlineLevel="0" collapsed="false">
      <c r="A72" s="6" t="s">
        <v>283</v>
      </c>
      <c r="B72" s="6" t="s">
        <v>273</v>
      </c>
      <c r="C72" s="6" t="s">
        <v>16</v>
      </c>
      <c r="D72" s="6" t="s">
        <v>274</v>
      </c>
      <c r="E72" s="6" t="s">
        <v>264</v>
      </c>
      <c r="F72" s="7" t="s">
        <v>284</v>
      </c>
      <c r="G72" s="6" t="s">
        <v>285</v>
      </c>
      <c r="H72" s="6" t="s">
        <v>10</v>
      </c>
      <c r="I72" s="8"/>
      <c r="J72" s="8"/>
      <c r="K72" s="8"/>
      <c r="L72" s="9"/>
    </row>
    <row r="73" customFormat="false" ht="23.85" hidden="false" customHeight="false" outlineLevel="0" collapsed="false">
      <c r="A73" s="6" t="s">
        <v>286</v>
      </c>
      <c r="B73" s="6" t="s">
        <v>287</v>
      </c>
      <c r="C73" s="6" t="s">
        <v>16</v>
      </c>
      <c r="D73" s="6" t="s">
        <v>274</v>
      </c>
      <c r="E73" s="6" t="s">
        <v>264</v>
      </c>
      <c r="F73" s="7" t="s">
        <v>288</v>
      </c>
      <c r="G73" s="6" t="s">
        <v>289</v>
      </c>
      <c r="H73" s="6" t="s">
        <v>6</v>
      </c>
      <c r="I73" s="8"/>
      <c r="J73" s="8"/>
      <c r="K73" s="8"/>
      <c r="L73" s="9"/>
    </row>
    <row r="74" customFormat="false" ht="23.85" hidden="false" customHeight="false" outlineLevel="0" collapsed="false">
      <c r="A74" s="6" t="s">
        <v>290</v>
      </c>
      <c r="B74" s="6" t="s">
        <v>287</v>
      </c>
      <c r="C74" s="6" t="s">
        <v>16</v>
      </c>
      <c r="D74" s="6" t="s">
        <v>274</v>
      </c>
      <c r="E74" s="6" t="s">
        <v>264</v>
      </c>
      <c r="F74" s="7" t="s">
        <v>291</v>
      </c>
      <c r="G74" s="6" t="s">
        <v>292</v>
      </c>
      <c r="H74" s="6" t="s">
        <v>10</v>
      </c>
      <c r="I74" s="8"/>
      <c r="J74" s="8"/>
      <c r="K74" s="8"/>
      <c r="L74" s="9"/>
    </row>
    <row r="75" customFormat="false" ht="23.85" hidden="false" customHeight="false" outlineLevel="0" collapsed="false">
      <c r="A75" s="6" t="s">
        <v>293</v>
      </c>
      <c r="B75" s="6" t="s">
        <v>294</v>
      </c>
      <c r="C75" s="6" t="s">
        <v>16</v>
      </c>
      <c r="D75" s="6" t="s">
        <v>44</v>
      </c>
      <c r="E75" s="6" t="s">
        <v>27</v>
      </c>
      <c r="F75" s="7" t="s">
        <v>295</v>
      </c>
      <c r="G75" s="6" t="s">
        <v>296</v>
      </c>
      <c r="H75" s="6" t="s">
        <v>8</v>
      </c>
      <c r="I75" s="8"/>
      <c r="J75" s="8"/>
      <c r="K75" s="8"/>
      <c r="L75" s="9"/>
    </row>
    <row r="76" customFormat="false" ht="15" hidden="false" customHeight="false" outlineLevel="0" collapsed="false">
      <c r="A76" s="6" t="s">
        <v>297</v>
      </c>
      <c r="B76" s="6" t="s">
        <v>294</v>
      </c>
      <c r="C76" s="6" t="s">
        <v>16</v>
      </c>
      <c r="D76" s="6" t="s">
        <v>44</v>
      </c>
      <c r="E76" s="6" t="s">
        <v>27</v>
      </c>
      <c r="F76" s="7" t="s">
        <v>298</v>
      </c>
      <c r="G76" s="6" t="s">
        <v>98</v>
      </c>
      <c r="H76" s="6" t="s">
        <v>9</v>
      </c>
      <c r="I76" s="8"/>
      <c r="J76" s="8"/>
      <c r="K76" s="8"/>
      <c r="L76" s="9"/>
    </row>
    <row r="77" customFormat="false" ht="15" hidden="false" customHeight="false" outlineLevel="0" collapsed="false">
      <c r="A77" s="6" t="s">
        <v>299</v>
      </c>
      <c r="B77" s="6" t="s">
        <v>300</v>
      </c>
      <c r="C77" s="6" t="s">
        <v>16</v>
      </c>
      <c r="D77" s="6" t="s">
        <v>44</v>
      </c>
      <c r="E77" s="6" t="s">
        <v>90</v>
      </c>
      <c r="F77" s="7" t="s">
        <v>301</v>
      </c>
      <c r="G77" s="6" t="s">
        <v>302</v>
      </c>
      <c r="H77" s="6" t="s">
        <v>6</v>
      </c>
      <c r="I77" s="8"/>
      <c r="J77" s="8"/>
      <c r="K77" s="8"/>
      <c r="L77" s="9"/>
    </row>
    <row r="78" customFormat="false" ht="23.85" hidden="false" customHeight="false" outlineLevel="0" collapsed="false">
      <c r="A78" s="6" t="s">
        <v>303</v>
      </c>
      <c r="B78" s="6" t="s">
        <v>300</v>
      </c>
      <c r="C78" s="6" t="s">
        <v>16</v>
      </c>
      <c r="D78" s="6" t="s">
        <v>44</v>
      </c>
      <c r="E78" s="6" t="s">
        <v>90</v>
      </c>
      <c r="F78" s="7" t="s">
        <v>304</v>
      </c>
      <c r="G78" s="6" t="s">
        <v>305</v>
      </c>
      <c r="H78" s="6" t="s">
        <v>8</v>
      </c>
      <c r="I78" s="8"/>
      <c r="J78" s="8"/>
      <c r="K78" s="8"/>
      <c r="L78" s="9"/>
    </row>
    <row r="79" customFormat="false" ht="23.85" hidden="false" customHeight="false" outlineLevel="0" collapsed="false">
      <c r="A79" s="6" t="s">
        <v>306</v>
      </c>
      <c r="B79" s="6" t="s">
        <v>300</v>
      </c>
      <c r="C79" s="6" t="s">
        <v>16</v>
      </c>
      <c r="D79" s="6" t="s">
        <v>44</v>
      </c>
      <c r="E79" s="6" t="s">
        <v>90</v>
      </c>
      <c r="F79" s="7" t="s">
        <v>307</v>
      </c>
      <c r="G79" s="6" t="s">
        <v>308</v>
      </c>
      <c r="H79" s="6" t="s">
        <v>8</v>
      </c>
      <c r="I79" s="8"/>
      <c r="J79" s="8"/>
      <c r="K79" s="8"/>
      <c r="L79" s="9"/>
    </row>
    <row r="80" customFormat="false" ht="15" hidden="false" customHeight="false" outlineLevel="0" collapsed="false">
      <c r="A80" s="6" t="s">
        <v>309</v>
      </c>
      <c r="B80" s="6" t="s">
        <v>310</v>
      </c>
      <c r="C80" s="6" t="s">
        <v>16</v>
      </c>
      <c r="D80" s="6" t="s">
        <v>49</v>
      </c>
      <c r="E80" s="6" t="s">
        <v>27</v>
      </c>
      <c r="F80" s="7" t="s">
        <v>311</v>
      </c>
      <c r="G80" s="6" t="s">
        <v>312</v>
      </c>
      <c r="H80" s="6" t="s">
        <v>6</v>
      </c>
      <c r="I80" s="8"/>
      <c r="J80" s="8"/>
      <c r="K80" s="8"/>
      <c r="L80" s="9"/>
    </row>
    <row r="81" customFormat="false" ht="15" hidden="false" customHeight="false" outlineLevel="0" collapsed="false">
      <c r="A81" s="6" t="s">
        <v>313</v>
      </c>
      <c r="B81" s="6" t="s">
        <v>314</v>
      </c>
      <c r="C81" s="6" t="s">
        <v>16</v>
      </c>
      <c r="D81" s="6" t="s">
        <v>44</v>
      </c>
      <c r="E81" s="6" t="s">
        <v>27</v>
      </c>
      <c r="F81" s="7" t="s">
        <v>315</v>
      </c>
      <c r="G81" s="6" t="s">
        <v>316</v>
      </c>
      <c r="H81" s="6" t="s">
        <v>9</v>
      </c>
      <c r="I81" s="8"/>
      <c r="J81" s="8"/>
      <c r="K81" s="8"/>
      <c r="L81" s="9"/>
    </row>
    <row r="82" customFormat="false" ht="15" hidden="false" customHeight="false" outlineLevel="0" collapsed="false">
      <c r="A82" s="6" t="s">
        <v>317</v>
      </c>
      <c r="B82" s="6" t="s">
        <v>318</v>
      </c>
      <c r="C82" s="6" t="s">
        <v>16</v>
      </c>
      <c r="D82" s="6" t="s">
        <v>274</v>
      </c>
      <c r="E82" s="6" t="s">
        <v>319</v>
      </c>
      <c r="F82" s="7" t="s">
        <v>320</v>
      </c>
      <c r="G82" s="6" t="s">
        <v>321</v>
      </c>
      <c r="H82" s="6" t="s">
        <v>10</v>
      </c>
      <c r="I82" s="8"/>
      <c r="J82" s="8"/>
      <c r="K82" s="8"/>
      <c r="L82" s="9"/>
    </row>
    <row r="83" customFormat="false" ht="23.85" hidden="false" customHeight="false" outlineLevel="0" collapsed="false">
      <c r="A83" s="6" t="s">
        <v>322</v>
      </c>
      <c r="B83" s="6" t="s">
        <v>318</v>
      </c>
      <c r="C83" s="6" t="s">
        <v>16</v>
      </c>
      <c r="D83" s="6" t="s">
        <v>274</v>
      </c>
      <c r="E83" s="6" t="s">
        <v>319</v>
      </c>
      <c r="F83" s="7" t="s">
        <v>323</v>
      </c>
      <c r="G83" s="6" t="s">
        <v>324</v>
      </c>
      <c r="H83" s="6" t="s">
        <v>8</v>
      </c>
      <c r="I83" s="8"/>
      <c r="J83" s="8"/>
      <c r="K83" s="8"/>
      <c r="L83" s="9"/>
    </row>
    <row r="84" customFormat="false" ht="23.85" hidden="false" customHeight="false" outlineLevel="0" collapsed="false">
      <c r="A84" s="6" t="s">
        <v>325</v>
      </c>
      <c r="B84" s="6" t="s">
        <v>326</v>
      </c>
      <c r="C84" s="6" t="s">
        <v>16</v>
      </c>
      <c r="D84" s="6" t="s">
        <v>79</v>
      </c>
      <c r="E84" s="6" t="s">
        <v>27</v>
      </c>
      <c r="F84" s="7" t="s">
        <v>327</v>
      </c>
      <c r="G84" s="6" t="s">
        <v>328</v>
      </c>
      <c r="H84" s="6" t="s">
        <v>6</v>
      </c>
      <c r="I84" s="8"/>
      <c r="J84" s="8"/>
      <c r="K84" s="8"/>
      <c r="L84" s="9"/>
    </row>
    <row r="85" customFormat="false" ht="15" hidden="false" customHeight="false" outlineLevel="0" collapsed="false">
      <c r="A85" s="6" t="s">
        <v>329</v>
      </c>
      <c r="B85" s="6" t="s">
        <v>330</v>
      </c>
      <c r="C85" s="6" t="s">
        <v>16</v>
      </c>
      <c r="D85" s="6" t="s">
        <v>331</v>
      </c>
      <c r="E85" s="6" t="s">
        <v>319</v>
      </c>
      <c r="F85" s="7" t="s">
        <v>332</v>
      </c>
      <c r="G85" s="6" t="s">
        <v>333</v>
      </c>
      <c r="H85" s="6" t="s">
        <v>8</v>
      </c>
      <c r="I85" s="8"/>
      <c r="J85" s="8"/>
      <c r="K85" s="8"/>
      <c r="L85" s="9"/>
    </row>
    <row r="86" customFormat="false" ht="23.85" hidden="false" customHeight="false" outlineLevel="0" collapsed="false">
      <c r="A86" s="6" t="s">
        <v>334</v>
      </c>
      <c r="B86" s="6" t="s">
        <v>330</v>
      </c>
      <c r="C86" s="6" t="s">
        <v>16</v>
      </c>
      <c r="D86" s="6" t="s">
        <v>331</v>
      </c>
      <c r="E86" s="6" t="s">
        <v>319</v>
      </c>
      <c r="F86" s="7" t="s">
        <v>335</v>
      </c>
      <c r="G86" s="6" t="s">
        <v>336</v>
      </c>
      <c r="H86" s="6" t="s">
        <v>8</v>
      </c>
      <c r="I86" s="8"/>
      <c r="J86" s="8"/>
      <c r="K86" s="8"/>
      <c r="L86" s="9"/>
    </row>
    <row r="87" customFormat="false" ht="23.85" hidden="false" customHeight="false" outlineLevel="0" collapsed="false">
      <c r="A87" s="6" t="s">
        <v>337</v>
      </c>
      <c r="B87" s="6" t="s">
        <v>330</v>
      </c>
      <c r="C87" s="6" t="s">
        <v>16</v>
      </c>
      <c r="D87" s="6" t="s">
        <v>331</v>
      </c>
      <c r="E87" s="6" t="s">
        <v>319</v>
      </c>
      <c r="F87" s="7" t="s">
        <v>338</v>
      </c>
      <c r="G87" s="6" t="s">
        <v>339</v>
      </c>
      <c r="H87" s="6" t="s">
        <v>8</v>
      </c>
      <c r="I87" s="8"/>
      <c r="J87" s="8"/>
      <c r="K87" s="8"/>
      <c r="L87" s="9"/>
    </row>
    <row r="88" customFormat="false" ht="23.85" hidden="false" customHeight="false" outlineLevel="0" collapsed="false">
      <c r="A88" s="6" t="s">
        <v>340</v>
      </c>
      <c r="B88" s="6" t="s">
        <v>330</v>
      </c>
      <c r="C88" s="6" t="s">
        <v>16</v>
      </c>
      <c r="D88" s="6" t="s">
        <v>331</v>
      </c>
      <c r="E88" s="6" t="s">
        <v>319</v>
      </c>
      <c r="F88" s="7" t="s">
        <v>341</v>
      </c>
      <c r="G88" s="6" t="s">
        <v>342</v>
      </c>
      <c r="H88" s="6" t="s">
        <v>8</v>
      </c>
      <c r="I88" s="8"/>
      <c r="J88" s="8"/>
      <c r="K88" s="8"/>
      <c r="L88" s="9"/>
    </row>
    <row r="89" customFormat="false" ht="23.85" hidden="false" customHeight="false" outlineLevel="0" collapsed="false">
      <c r="A89" s="6" t="s">
        <v>343</v>
      </c>
      <c r="B89" s="6" t="s">
        <v>330</v>
      </c>
      <c r="C89" s="6" t="s">
        <v>16</v>
      </c>
      <c r="D89" s="6" t="s">
        <v>331</v>
      </c>
      <c r="E89" s="6" t="s">
        <v>319</v>
      </c>
      <c r="F89" s="7" t="s">
        <v>344</v>
      </c>
      <c r="G89" s="6" t="s">
        <v>345</v>
      </c>
      <c r="H89" s="6" t="s">
        <v>8</v>
      </c>
      <c r="I89" s="8"/>
      <c r="J89" s="8"/>
      <c r="K89" s="8"/>
      <c r="L89" s="9"/>
    </row>
    <row r="90" customFormat="false" ht="15" hidden="false" customHeight="false" outlineLevel="0" collapsed="false">
      <c r="A90" s="6" t="s">
        <v>346</v>
      </c>
      <c r="B90" s="6" t="s">
        <v>347</v>
      </c>
      <c r="C90" s="6" t="s">
        <v>16</v>
      </c>
      <c r="D90" s="6" t="s">
        <v>49</v>
      </c>
      <c r="E90" s="6" t="s">
        <v>27</v>
      </c>
      <c r="F90" s="7" t="s">
        <v>348</v>
      </c>
      <c r="G90" s="6" t="s">
        <v>349</v>
      </c>
      <c r="H90" s="6" t="s">
        <v>6</v>
      </c>
      <c r="I90" s="8"/>
      <c r="J90" s="8"/>
      <c r="K90" s="8"/>
      <c r="L90" s="9"/>
    </row>
    <row r="91" customFormat="false" ht="15" hidden="false" customHeight="false" outlineLevel="0" collapsed="false">
      <c r="A91" s="6" t="s">
        <v>350</v>
      </c>
      <c r="B91" s="6" t="s">
        <v>351</v>
      </c>
      <c r="C91" s="6" t="s">
        <v>16</v>
      </c>
      <c r="D91" s="6" t="s">
        <v>44</v>
      </c>
      <c r="E91" s="6" t="s">
        <v>27</v>
      </c>
      <c r="F91" s="7" t="s">
        <v>352</v>
      </c>
      <c r="G91" s="6" t="s">
        <v>353</v>
      </c>
      <c r="H91" s="6" t="s">
        <v>9</v>
      </c>
      <c r="I91" s="8"/>
      <c r="J91" s="8"/>
      <c r="K91" s="8"/>
      <c r="L91" s="9"/>
    </row>
    <row r="92" customFormat="false" ht="23.85" hidden="false" customHeight="false" outlineLevel="0" collapsed="false">
      <c r="A92" s="6" t="s">
        <v>354</v>
      </c>
      <c r="B92" s="6" t="s">
        <v>355</v>
      </c>
      <c r="C92" s="6" t="s">
        <v>16</v>
      </c>
      <c r="D92" s="6" t="s">
        <v>44</v>
      </c>
      <c r="E92" s="6" t="s">
        <v>356</v>
      </c>
      <c r="F92" s="7" t="s">
        <v>357</v>
      </c>
      <c r="G92" s="6" t="s">
        <v>358</v>
      </c>
      <c r="H92" s="6" t="s">
        <v>9</v>
      </c>
      <c r="I92" s="8"/>
      <c r="J92" s="8"/>
      <c r="K92" s="8"/>
      <c r="L92" s="9"/>
    </row>
    <row r="93" customFormat="false" ht="23.85" hidden="false" customHeight="false" outlineLevel="0" collapsed="false">
      <c r="A93" s="6" t="s">
        <v>359</v>
      </c>
      <c r="B93" s="6" t="s">
        <v>360</v>
      </c>
      <c r="C93" s="6" t="s">
        <v>16</v>
      </c>
      <c r="D93" s="6" t="s">
        <v>44</v>
      </c>
      <c r="E93" s="6" t="s">
        <v>27</v>
      </c>
      <c r="F93" s="7" t="s">
        <v>361</v>
      </c>
      <c r="G93" s="6" t="s">
        <v>362</v>
      </c>
      <c r="H93" s="6" t="s">
        <v>9</v>
      </c>
      <c r="I93" s="8"/>
      <c r="J93" s="8"/>
      <c r="K93" s="8"/>
      <c r="L93" s="9"/>
    </row>
    <row r="94" customFormat="false" ht="15" hidden="false" customHeight="false" outlineLevel="0" collapsed="false">
      <c r="A94" s="6" t="s">
        <v>363</v>
      </c>
      <c r="B94" s="6" t="s">
        <v>364</v>
      </c>
      <c r="C94" s="6" t="s">
        <v>16</v>
      </c>
      <c r="D94" s="6" t="s">
        <v>49</v>
      </c>
      <c r="E94" s="6" t="s">
        <v>27</v>
      </c>
      <c r="F94" s="7" t="s">
        <v>365</v>
      </c>
      <c r="G94" s="6" t="s">
        <v>366</v>
      </c>
      <c r="H94" s="6" t="s">
        <v>6</v>
      </c>
      <c r="I94" s="8"/>
      <c r="J94" s="8"/>
      <c r="K94" s="8"/>
      <c r="L94" s="9"/>
    </row>
    <row r="95" customFormat="false" ht="23.85" hidden="false" customHeight="false" outlineLevel="0" collapsed="false">
      <c r="A95" s="6" t="s">
        <v>367</v>
      </c>
      <c r="B95" s="6" t="s">
        <v>368</v>
      </c>
      <c r="C95" s="6" t="s">
        <v>16</v>
      </c>
      <c r="D95" s="6" t="s">
        <v>49</v>
      </c>
      <c r="E95" s="6" t="s">
        <v>369</v>
      </c>
      <c r="F95" s="7" t="s">
        <v>370</v>
      </c>
      <c r="G95" s="6" t="s">
        <v>371</v>
      </c>
      <c r="H95" s="6" t="s">
        <v>8</v>
      </c>
      <c r="I95" s="8"/>
      <c r="J95" s="8"/>
      <c r="K95" s="8"/>
      <c r="L95" s="9"/>
    </row>
    <row r="96" customFormat="false" ht="15" hidden="false" customHeight="false" outlineLevel="0" collapsed="false">
      <c r="A96" s="6" t="s">
        <v>372</v>
      </c>
      <c r="B96" s="6" t="s">
        <v>373</v>
      </c>
      <c r="C96" s="6" t="s">
        <v>16</v>
      </c>
      <c r="D96" s="6" t="s">
        <v>49</v>
      </c>
      <c r="E96" s="6" t="s">
        <v>374</v>
      </c>
      <c r="F96" s="7" t="s">
        <v>375</v>
      </c>
      <c r="G96" s="6" t="s">
        <v>376</v>
      </c>
      <c r="H96" s="6" t="s">
        <v>6</v>
      </c>
      <c r="I96" s="8"/>
      <c r="J96" s="8"/>
      <c r="K96" s="8"/>
      <c r="L96" s="9"/>
    </row>
    <row r="97" customFormat="false" ht="15" hidden="false" customHeight="false" outlineLevel="0" collapsed="false">
      <c r="A97" s="6" t="s">
        <v>377</v>
      </c>
      <c r="B97" s="6" t="s">
        <v>373</v>
      </c>
      <c r="C97" s="6" t="s">
        <v>16</v>
      </c>
      <c r="D97" s="6" t="s">
        <v>49</v>
      </c>
      <c r="E97" s="6" t="s">
        <v>374</v>
      </c>
      <c r="F97" s="7" t="s">
        <v>378</v>
      </c>
      <c r="G97" s="6" t="s">
        <v>379</v>
      </c>
      <c r="H97" s="6" t="s">
        <v>8</v>
      </c>
      <c r="I97" s="8"/>
      <c r="J97" s="8"/>
      <c r="K97" s="8"/>
      <c r="L97" s="9"/>
    </row>
    <row r="98" customFormat="false" ht="23.85" hidden="false" customHeight="false" outlineLevel="0" collapsed="false">
      <c r="A98" s="6" t="s">
        <v>380</v>
      </c>
      <c r="B98" s="6" t="s">
        <v>373</v>
      </c>
      <c r="C98" s="6" t="s">
        <v>16</v>
      </c>
      <c r="D98" s="6" t="s">
        <v>49</v>
      </c>
      <c r="E98" s="6" t="s">
        <v>374</v>
      </c>
      <c r="F98" s="7" t="s">
        <v>381</v>
      </c>
      <c r="G98" s="6" t="s">
        <v>382</v>
      </c>
      <c r="H98" s="6" t="s">
        <v>8</v>
      </c>
      <c r="I98" s="8"/>
      <c r="J98" s="8"/>
      <c r="K98" s="8"/>
      <c r="L98" s="9"/>
    </row>
    <row r="99" customFormat="false" ht="15" hidden="false" customHeight="false" outlineLevel="0" collapsed="false">
      <c r="A99" s="6" t="s">
        <v>383</v>
      </c>
      <c r="B99" s="6" t="s">
        <v>373</v>
      </c>
      <c r="C99" s="6" t="s">
        <v>16</v>
      </c>
      <c r="D99" s="6" t="s">
        <v>49</v>
      </c>
      <c r="E99" s="6" t="s">
        <v>374</v>
      </c>
      <c r="F99" s="7" t="s">
        <v>384</v>
      </c>
      <c r="G99" s="6" t="s">
        <v>385</v>
      </c>
      <c r="H99" s="6" t="s">
        <v>7</v>
      </c>
      <c r="I99" s="8"/>
      <c r="J99" s="8"/>
      <c r="K99" s="8"/>
      <c r="L99" s="9"/>
    </row>
    <row r="100" customFormat="false" ht="15" hidden="false" customHeight="false" outlineLevel="0" collapsed="false">
      <c r="A100" s="6" t="s">
        <v>386</v>
      </c>
      <c r="B100" s="6" t="s">
        <v>373</v>
      </c>
      <c r="C100" s="6" t="s">
        <v>16</v>
      </c>
      <c r="D100" s="6" t="s">
        <v>49</v>
      </c>
      <c r="E100" s="6" t="s">
        <v>374</v>
      </c>
      <c r="F100" s="7" t="s">
        <v>387</v>
      </c>
      <c r="G100" s="6" t="s">
        <v>388</v>
      </c>
      <c r="H100" s="6" t="s">
        <v>6</v>
      </c>
      <c r="I100" s="8"/>
      <c r="J100" s="8"/>
      <c r="K100" s="8"/>
      <c r="L100" s="9"/>
    </row>
    <row r="101" customFormat="false" ht="15" hidden="false" customHeight="false" outlineLevel="0" collapsed="false">
      <c r="A101" s="6" t="s">
        <v>389</v>
      </c>
      <c r="B101" s="6" t="s">
        <v>373</v>
      </c>
      <c r="C101" s="6" t="s">
        <v>16</v>
      </c>
      <c r="D101" s="6" t="s">
        <v>49</v>
      </c>
      <c r="E101" s="6" t="s">
        <v>374</v>
      </c>
      <c r="F101" s="7" t="s">
        <v>390</v>
      </c>
      <c r="G101" s="6" t="s">
        <v>391</v>
      </c>
      <c r="H101" s="6" t="s">
        <v>7</v>
      </c>
      <c r="I101" s="8"/>
      <c r="J101" s="8"/>
      <c r="K101" s="8"/>
      <c r="L101" s="9"/>
    </row>
    <row r="102" customFormat="false" ht="15" hidden="false" customHeight="false" outlineLevel="0" collapsed="false">
      <c r="A102" s="6" t="s">
        <v>392</v>
      </c>
      <c r="B102" s="6" t="s">
        <v>393</v>
      </c>
      <c r="C102" s="6" t="s">
        <v>16</v>
      </c>
      <c r="D102" s="6" t="s">
        <v>49</v>
      </c>
      <c r="E102" s="6" t="s">
        <v>394</v>
      </c>
      <c r="F102" s="7" t="s">
        <v>395</v>
      </c>
      <c r="G102" s="6" t="s">
        <v>396</v>
      </c>
      <c r="H102" s="6" t="s">
        <v>6</v>
      </c>
      <c r="I102" s="8"/>
      <c r="J102" s="8"/>
      <c r="K102" s="8"/>
      <c r="L102" s="9"/>
    </row>
    <row r="103" customFormat="false" ht="23.85" hidden="false" customHeight="false" outlineLevel="0" collapsed="false">
      <c r="A103" s="6" t="s">
        <v>397</v>
      </c>
      <c r="B103" s="6" t="s">
        <v>393</v>
      </c>
      <c r="C103" s="6" t="s">
        <v>16</v>
      </c>
      <c r="D103" s="6" t="s">
        <v>49</v>
      </c>
      <c r="E103" s="6" t="s">
        <v>394</v>
      </c>
      <c r="F103" s="7" t="s">
        <v>398</v>
      </c>
      <c r="G103" s="6" t="s">
        <v>399</v>
      </c>
      <c r="H103" s="6" t="s">
        <v>7</v>
      </c>
      <c r="I103" s="8"/>
      <c r="J103" s="8"/>
      <c r="K103" s="8"/>
      <c r="L103" s="9"/>
    </row>
    <row r="104" customFormat="false" ht="15" hidden="false" customHeight="false" outlineLevel="0" collapsed="false">
      <c r="A104" s="6" t="s">
        <v>400</v>
      </c>
      <c r="B104" s="6" t="s">
        <v>393</v>
      </c>
      <c r="C104" s="6" t="s">
        <v>16</v>
      </c>
      <c r="D104" s="6" t="s">
        <v>49</v>
      </c>
      <c r="E104" s="6" t="s">
        <v>394</v>
      </c>
      <c r="F104" s="7" t="s">
        <v>401</v>
      </c>
      <c r="G104" s="6" t="s">
        <v>402</v>
      </c>
      <c r="H104" s="6" t="s">
        <v>8</v>
      </c>
      <c r="I104" s="8"/>
      <c r="J104" s="8"/>
      <c r="K104" s="8"/>
      <c r="L104" s="9"/>
    </row>
    <row r="105" customFormat="false" ht="23.85" hidden="false" customHeight="false" outlineLevel="0" collapsed="false">
      <c r="A105" s="6" t="s">
        <v>403</v>
      </c>
      <c r="B105" s="6" t="s">
        <v>393</v>
      </c>
      <c r="C105" s="6" t="s">
        <v>16</v>
      </c>
      <c r="D105" s="6" t="s">
        <v>49</v>
      </c>
      <c r="E105" s="6" t="s">
        <v>394</v>
      </c>
      <c r="F105" s="7" t="s">
        <v>404</v>
      </c>
      <c r="G105" s="6" t="s">
        <v>405</v>
      </c>
      <c r="H105" s="6" t="s">
        <v>6</v>
      </c>
      <c r="I105" s="8"/>
      <c r="J105" s="8"/>
      <c r="K105" s="8"/>
      <c r="L105" s="9"/>
    </row>
    <row r="106" customFormat="false" ht="23.85" hidden="false" customHeight="false" outlineLevel="0" collapsed="false">
      <c r="A106" s="6" t="s">
        <v>406</v>
      </c>
      <c r="B106" s="6" t="s">
        <v>393</v>
      </c>
      <c r="C106" s="6" t="s">
        <v>16</v>
      </c>
      <c r="D106" s="6" t="s">
        <v>49</v>
      </c>
      <c r="E106" s="6" t="s">
        <v>394</v>
      </c>
      <c r="F106" s="7" t="s">
        <v>407</v>
      </c>
      <c r="G106" s="6" t="s">
        <v>408</v>
      </c>
      <c r="H106" s="6" t="s">
        <v>8</v>
      </c>
      <c r="I106" s="8"/>
      <c r="J106" s="8"/>
      <c r="K106" s="8"/>
      <c r="L106" s="9"/>
    </row>
    <row r="107" customFormat="false" ht="15" hidden="false" customHeight="false" outlineLevel="0" collapsed="false">
      <c r="A107" s="6" t="s">
        <v>409</v>
      </c>
      <c r="B107" s="6" t="s">
        <v>393</v>
      </c>
      <c r="C107" s="6" t="s">
        <v>16</v>
      </c>
      <c r="D107" s="6" t="s">
        <v>49</v>
      </c>
      <c r="E107" s="6" t="s">
        <v>394</v>
      </c>
      <c r="F107" s="7" t="s">
        <v>410</v>
      </c>
      <c r="G107" s="6" t="s">
        <v>411</v>
      </c>
      <c r="H107" s="6" t="s">
        <v>6</v>
      </c>
      <c r="I107" s="8"/>
      <c r="J107" s="8"/>
      <c r="K107" s="8"/>
      <c r="L107" s="9"/>
    </row>
    <row r="108" customFormat="false" ht="23.85" hidden="false" customHeight="false" outlineLevel="0" collapsed="false">
      <c r="A108" s="6" t="s">
        <v>412</v>
      </c>
      <c r="B108" s="6" t="s">
        <v>393</v>
      </c>
      <c r="C108" s="6" t="s">
        <v>16</v>
      </c>
      <c r="D108" s="6" t="s">
        <v>49</v>
      </c>
      <c r="E108" s="6" t="s">
        <v>394</v>
      </c>
      <c r="F108" s="7" t="s">
        <v>413</v>
      </c>
      <c r="G108" s="6" t="s">
        <v>414</v>
      </c>
      <c r="H108" s="6" t="s">
        <v>8</v>
      </c>
      <c r="I108" s="8"/>
      <c r="J108" s="8"/>
      <c r="K108" s="8"/>
      <c r="L108" s="9"/>
    </row>
    <row r="109" customFormat="false" ht="15" hidden="false" customHeight="false" outlineLevel="0" collapsed="false">
      <c r="A109" s="6" t="s">
        <v>415</v>
      </c>
      <c r="B109" s="6" t="s">
        <v>393</v>
      </c>
      <c r="C109" s="6" t="s">
        <v>16</v>
      </c>
      <c r="D109" s="6" t="s">
        <v>49</v>
      </c>
      <c r="E109" s="6" t="s">
        <v>394</v>
      </c>
      <c r="F109" s="7" t="s">
        <v>416</v>
      </c>
      <c r="G109" s="6" t="s">
        <v>417</v>
      </c>
      <c r="H109" s="6" t="s">
        <v>6</v>
      </c>
      <c r="I109" s="8"/>
      <c r="J109" s="8"/>
      <c r="K109" s="8"/>
      <c r="L109" s="9"/>
    </row>
    <row r="110" customFormat="false" ht="15" hidden="false" customHeight="false" outlineLevel="0" collapsed="false">
      <c r="A110" s="6" t="s">
        <v>418</v>
      </c>
      <c r="B110" s="6" t="s">
        <v>393</v>
      </c>
      <c r="C110" s="6" t="s">
        <v>16</v>
      </c>
      <c r="D110" s="6" t="s">
        <v>49</v>
      </c>
      <c r="E110" s="6" t="s">
        <v>394</v>
      </c>
      <c r="F110" s="7" t="s">
        <v>419</v>
      </c>
      <c r="G110" s="6" t="s">
        <v>420</v>
      </c>
      <c r="H110" s="6" t="s">
        <v>6</v>
      </c>
      <c r="I110" s="8"/>
      <c r="J110" s="8"/>
      <c r="K110" s="8"/>
      <c r="L110" s="9"/>
    </row>
    <row r="111" customFormat="false" ht="23.85" hidden="false" customHeight="false" outlineLevel="0" collapsed="false">
      <c r="A111" s="6" t="s">
        <v>421</v>
      </c>
      <c r="B111" s="6" t="s">
        <v>393</v>
      </c>
      <c r="C111" s="6" t="s">
        <v>16</v>
      </c>
      <c r="D111" s="6" t="s">
        <v>49</v>
      </c>
      <c r="E111" s="6" t="s">
        <v>394</v>
      </c>
      <c r="F111" s="7" t="s">
        <v>422</v>
      </c>
      <c r="G111" s="6" t="s">
        <v>423</v>
      </c>
      <c r="H111" s="6" t="s">
        <v>6</v>
      </c>
      <c r="I111" s="8"/>
      <c r="J111" s="8"/>
      <c r="K111" s="8"/>
      <c r="L111" s="9"/>
    </row>
    <row r="112" customFormat="false" ht="23.85" hidden="false" customHeight="false" outlineLevel="0" collapsed="false">
      <c r="A112" s="6" t="s">
        <v>424</v>
      </c>
      <c r="B112" s="6" t="s">
        <v>393</v>
      </c>
      <c r="C112" s="6" t="s">
        <v>16</v>
      </c>
      <c r="D112" s="6" t="s">
        <v>49</v>
      </c>
      <c r="E112" s="6" t="s">
        <v>394</v>
      </c>
      <c r="F112" s="7" t="s">
        <v>425</v>
      </c>
      <c r="G112" s="6" t="s">
        <v>426</v>
      </c>
      <c r="H112" s="6" t="s">
        <v>6</v>
      </c>
      <c r="I112" s="8"/>
      <c r="J112" s="8"/>
      <c r="K112" s="8"/>
      <c r="L112" s="9"/>
    </row>
    <row r="113" customFormat="false" ht="23.85" hidden="false" customHeight="false" outlineLevel="0" collapsed="false">
      <c r="A113" s="6" t="s">
        <v>427</v>
      </c>
      <c r="B113" s="6" t="s">
        <v>393</v>
      </c>
      <c r="C113" s="6" t="s">
        <v>16</v>
      </c>
      <c r="D113" s="6" t="s">
        <v>49</v>
      </c>
      <c r="E113" s="6" t="s">
        <v>394</v>
      </c>
      <c r="F113" s="7" t="s">
        <v>428</v>
      </c>
      <c r="G113" s="6" t="s">
        <v>429</v>
      </c>
      <c r="H113" s="6" t="s">
        <v>8</v>
      </c>
      <c r="I113" s="8"/>
      <c r="J113" s="8"/>
      <c r="K113" s="8"/>
      <c r="L113" s="9"/>
    </row>
    <row r="114" customFormat="false" ht="15" hidden="false" customHeight="false" outlineLevel="0" collapsed="false">
      <c r="A114" s="6" t="s">
        <v>430</v>
      </c>
      <c r="B114" s="6" t="s">
        <v>431</v>
      </c>
      <c r="C114" s="6" t="s">
        <v>16</v>
      </c>
      <c r="D114" s="6" t="s">
        <v>49</v>
      </c>
      <c r="E114" s="6" t="s">
        <v>394</v>
      </c>
      <c r="F114" s="7" t="s">
        <v>432</v>
      </c>
      <c r="G114" s="6" t="s">
        <v>433</v>
      </c>
      <c r="H114" s="6" t="s">
        <v>6</v>
      </c>
      <c r="I114" s="8"/>
      <c r="J114" s="8"/>
      <c r="K114" s="8"/>
      <c r="L114" s="9"/>
    </row>
    <row r="115" customFormat="false" ht="15" hidden="false" customHeight="false" outlineLevel="0" collapsed="false">
      <c r="A115" s="6" t="s">
        <v>434</v>
      </c>
      <c r="B115" s="6" t="s">
        <v>431</v>
      </c>
      <c r="C115" s="6" t="s">
        <v>16</v>
      </c>
      <c r="D115" s="6" t="s">
        <v>49</v>
      </c>
      <c r="E115" s="6" t="s">
        <v>394</v>
      </c>
      <c r="F115" s="7" t="s">
        <v>435</v>
      </c>
      <c r="G115" s="6" t="s">
        <v>436</v>
      </c>
      <c r="H115" s="6" t="s">
        <v>6</v>
      </c>
      <c r="I115" s="8"/>
      <c r="J115" s="8"/>
      <c r="K115" s="8"/>
      <c r="L115" s="9"/>
    </row>
    <row r="116" customFormat="false" ht="15" hidden="false" customHeight="false" outlineLevel="0" collapsed="false">
      <c r="A116" s="6" t="s">
        <v>437</v>
      </c>
      <c r="B116" s="6" t="s">
        <v>431</v>
      </c>
      <c r="C116" s="6" t="s">
        <v>16</v>
      </c>
      <c r="D116" s="6" t="s">
        <v>49</v>
      </c>
      <c r="E116" s="6" t="s">
        <v>394</v>
      </c>
      <c r="F116" s="7" t="s">
        <v>438</v>
      </c>
      <c r="G116" s="6" t="s">
        <v>439</v>
      </c>
      <c r="H116" s="6" t="s">
        <v>7</v>
      </c>
      <c r="I116" s="8"/>
      <c r="J116" s="8"/>
      <c r="K116" s="8"/>
      <c r="L116" s="9"/>
    </row>
    <row r="117" customFormat="false" ht="23.85" hidden="false" customHeight="false" outlineLevel="0" collapsed="false">
      <c r="A117" s="6" t="s">
        <v>440</v>
      </c>
      <c r="B117" s="6" t="s">
        <v>431</v>
      </c>
      <c r="C117" s="6" t="s">
        <v>16</v>
      </c>
      <c r="D117" s="6" t="s">
        <v>49</v>
      </c>
      <c r="E117" s="6" t="s">
        <v>394</v>
      </c>
      <c r="F117" s="7" t="s">
        <v>441</v>
      </c>
      <c r="G117" s="6" t="s">
        <v>442</v>
      </c>
      <c r="H117" s="6" t="s">
        <v>8</v>
      </c>
      <c r="I117" s="8"/>
      <c r="J117" s="8"/>
      <c r="K117" s="8"/>
      <c r="L117" s="9"/>
    </row>
    <row r="118" customFormat="false" ht="15" hidden="false" customHeight="false" outlineLevel="0" collapsed="false">
      <c r="A118" s="6" t="s">
        <v>443</v>
      </c>
      <c r="B118" s="6" t="s">
        <v>431</v>
      </c>
      <c r="C118" s="6" t="s">
        <v>16</v>
      </c>
      <c r="D118" s="6" t="s">
        <v>49</v>
      </c>
      <c r="E118" s="6" t="s">
        <v>394</v>
      </c>
      <c r="F118" s="7" t="s">
        <v>444</v>
      </c>
      <c r="G118" s="6" t="s">
        <v>445</v>
      </c>
      <c r="H118" s="6" t="s">
        <v>6</v>
      </c>
      <c r="I118" s="8"/>
      <c r="J118" s="8"/>
      <c r="K118" s="8"/>
      <c r="L118" s="9"/>
    </row>
    <row r="119" customFormat="false" ht="15" hidden="false" customHeight="false" outlineLevel="0" collapsed="false">
      <c r="A119" s="6" t="s">
        <v>446</v>
      </c>
      <c r="B119" s="6" t="s">
        <v>431</v>
      </c>
      <c r="C119" s="6" t="s">
        <v>16</v>
      </c>
      <c r="D119" s="6" t="s">
        <v>49</v>
      </c>
      <c r="E119" s="6" t="s">
        <v>394</v>
      </c>
      <c r="F119" s="7" t="s">
        <v>447</v>
      </c>
      <c r="G119" s="6" t="s">
        <v>448</v>
      </c>
      <c r="H119" s="6" t="s">
        <v>6</v>
      </c>
      <c r="I119" s="8"/>
      <c r="J119" s="8"/>
      <c r="K119" s="8"/>
      <c r="L119" s="9"/>
    </row>
    <row r="120" customFormat="false" ht="15" hidden="false" customHeight="false" outlineLevel="0" collapsed="false">
      <c r="A120" s="6" t="s">
        <v>449</v>
      </c>
      <c r="B120" s="6" t="s">
        <v>431</v>
      </c>
      <c r="C120" s="6" t="s">
        <v>16</v>
      </c>
      <c r="D120" s="6" t="s">
        <v>49</v>
      </c>
      <c r="E120" s="6" t="s">
        <v>394</v>
      </c>
      <c r="F120" s="7" t="s">
        <v>450</v>
      </c>
      <c r="G120" s="6" t="s">
        <v>451</v>
      </c>
      <c r="H120" s="6" t="s">
        <v>6</v>
      </c>
      <c r="I120" s="8"/>
      <c r="J120" s="8"/>
      <c r="K120" s="8"/>
      <c r="L120" s="9"/>
    </row>
    <row r="121" customFormat="false" ht="23.85" hidden="false" customHeight="false" outlineLevel="0" collapsed="false">
      <c r="A121" s="6" t="s">
        <v>452</v>
      </c>
      <c r="B121" s="6" t="s">
        <v>431</v>
      </c>
      <c r="C121" s="6" t="s">
        <v>16</v>
      </c>
      <c r="D121" s="6" t="s">
        <v>49</v>
      </c>
      <c r="E121" s="6" t="s">
        <v>394</v>
      </c>
      <c r="F121" s="7" t="s">
        <v>453</v>
      </c>
      <c r="G121" s="6" t="s">
        <v>454</v>
      </c>
      <c r="H121" s="6" t="s">
        <v>8</v>
      </c>
      <c r="I121" s="8"/>
      <c r="J121" s="8"/>
      <c r="K121" s="8"/>
      <c r="L121" s="9"/>
    </row>
    <row r="122" customFormat="false" ht="23.85" hidden="false" customHeight="false" outlineLevel="0" collapsed="false">
      <c r="A122" s="6" t="s">
        <v>455</v>
      </c>
      <c r="B122" s="6" t="s">
        <v>431</v>
      </c>
      <c r="C122" s="6" t="s">
        <v>16</v>
      </c>
      <c r="D122" s="6" t="s">
        <v>49</v>
      </c>
      <c r="E122" s="6" t="s">
        <v>394</v>
      </c>
      <c r="F122" s="7" t="s">
        <v>456</v>
      </c>
      <c r="G122" s="6" t="s">
        <v>457</v>
      </c>
      <c r="H122" s="6" t="s">
        <v>8</v>
      </c>
      <c r="I122" s="8"/>
      <c r="J122" s="8"/>
      <c r="K122" s="8"/>
      <c r="L122" s="9"/>
    </row>
    <row r="123" customFormat="false" ht="15" hidden="false" customHeight="false" outlineLevel="0" collapsed="false">
      <c r="A123" s="6" t="s">
        <v>458</v>
      </c>
      <c r="B123" s="6" t="s">
        <v>431</v>
      </c>
      <c r="C123" s="6" t="s">
        <v>16</v>
      </c>
      <c r="D123" s="6" t="s">
        <v>49</v>
      </c>
      <c r="E123" s="6" t="s">
        <v>394</v>
      </c>
      <c r="F123" s="7" t="s">
        <v>459</v>
      </c>
      <c r="G123" s="6" t="s">
        <v>460</v>
      </c>
      <c r="H123" s="6" t="s">
        <v>6</v>
      </c>
      <c r="I123" s="8"/>
      <c r="J123" s="8"/>
      <c r="K123" s="8"/>
      <c r="L123" s="9"/>
    </row>
    <row r="124" customFormat="false" ht="15" hidden="false" customHeight="false" outlineLevel="0" collapsed="false">
      <c r="A124" s="6" t="s">
        <v>461</v>
      </c>
      <c r="B124" s="6" t="s">
        <v>431</v>
      </c>
      <c r="C124" s="6" t="s">
        <v>16</v>
      </c>
      <c r="D124" s="6" t="s">
        <v>49</v>
      </c>
      <c r="E124" s="6" t="s">
        <v>394</v>
      </c>
      <c r="F124" s="7" t="s">
        <v>462</v>
      </c>
      <c r="G124" s="6" t="s">
        <v>463</v>
      </c>
      <c r="H124" s="6" t="s">
        <v>6</v>
      </c>
      <c r="I124" s="8"/>
      <c r="J124" s="8"/>
      <c r="K124" s="8"/>
      <c r="L124" s="9"/>
    </row>
    <row r="125" customFormat="false" ht="15" hidden="false" customHeight="false" outlineLevel="0" collapsed="false">
      <c r="A125" s="6" t="s">
        <v>464</v>
      </c>
      <c r="B125" s="6" t="s">
        <v>431</v>
      </c>
      <c r="C125" s="6" t="s">
        <v>16</v>
      </c>
      <c r="D125" s="6" t="s">
        <v>49</v>
      </c>
      <c r="E125" s="6" t="s">
        <v>394</v>
      </c>
      <c r="F125" s="7" t="s">
        <v>465</v>
      </c>
      <c r="G125" s="6" t="s">
        <v>466</v>
      </c>
      <c r="H125" s="6" t="s">
        <v>6</v>
      </c>
      <c r="I125" s="8"/>
      <c r="J125" s="8"/>
      <c r="K125" s="8"/>
      <c r="L125" s="9"/>
    </row>
    <row r="126" customFormat="false" ht="15" hidden="false" customHeight="false" outlineLevel="0" collapsed="false">
      <c r="A126" s="6" t="s">
        <v>467</v>
      </c>
      <c r="B126" s="6" t="s">
        <v>431</v>
      </c>
      <c r="C126" s="6" t="s">
        <v>16</v>
      </c>
      <c r="D126" s="6" t="s">
        <v>49</v>
      </c>
      <c r="E126" s="6" t="s">
        <v>394</v>
      </c>
      <c r="F126" s="7" t="s">
        <v>468</v>
      </c>
      <c r="G126" s="6" t="s">
        <v>469</v>
      </c>
      <c r="H126" s="6" t="s">
        <v>6</v>
      </c>
      <c r="I126" s="8"/>
      <c r="J126" s="8"/>
      <c r="K126" s="8"/>
      <c r="L126" s="9"/>
    </row>
    <row r="127" customFormat="false" ht="15" hidden="false" customHeight="false" outlineLevel="0" collapsed="false">
      <c r="A127" s="6" t="s">
        <v>470</v>
      </c>
      <c r="B127" s="6" t="s">
        <v>431</v>
      </c>
      <c r="C127" s="6" t="s">
        <v>16</v>
      </c>
      <c r="D127" s="6" t="s">
        <v>49</v>
      </c>
      <c r="E127" s="6" t="s">
        <v>394</v>
      </c>
      <c r="F127" s="7" t="s">
        <v>471</v>
      </c>
      <c r="G127" s="6" t="s">
        <v>472</v>
      </c>
      <c r="H127" s="6" t="s">
        <v>6</v>
      </c>
      <c r="I127" s="8"/>
      <c r="J127" s="8"/>
      <c r="K127" s="8"/>
      <c r="L127" s="9"/>
    </row>
    <row r="128" customFormat="false" ht="23.85" hidden="false" customHeight="false" outlineLevel="0" collapsed="false">
      <c r="A128" s="6" t="s">
        <v>473</v>
      </c>
      <c r="B128" s="6" t="s">
        <v>431</v>
      </c>
      <c r="C128" s="6" t="s">
        <v>16</v>
      </c>
      <c r="D128" s="6" t="s">
        <v>49</v>
      </c>
      <c r="E128" s="6" t="s">
        <v>394</v>
      </c>
      <c r="F128" s="7" t="s">
        <v>474</v>
      </c>
      <c r="G128" s="6" t="s">
        <v>475</v>
      </c>
      <c r="H128" s="6" t="s">
        <v>7</v>
      </c>
      <c r="I128" s="8"/>
      <c r="J128" s="8"/>
      <c r="K128" s="8"/>
      <c r="L128" s="9"/>
    </row>
    <row r="129" customFormat="false" ht="15" hidden="false" customHeight="false" outlineLevel="0" collapsed="false">
      <c r="A129" s="6" t="s">
        <v>476</v>
      </c>
      <c r="B129" s="6" t="s">
        <v>431</v>
      </c>
      <c r="C129" s="6" t="s">
        <v>16</v>
      </c>
      <c r="D129" s="6" t="s">
        <v>49</v>
      </c>
      <c r="E129" s="6" t="s">
        <v>394</v>
      </c>
      <c r="F129" s="7" t="s">
        <v>477</v>
      </c>
      <c r="G129" s="6" t="s">
        <v>478</v>
      </c>
      <c r="H129" s="6" t="s">
        <v>6</v>
      </c>
      <c r="I129" s="8"/>
      <c r="J129" s="8"/>
      <c r="K129" s="8"/>
      <c r="L129" s="9"/>
    </row>
    <row r="130" customFormat="false" ht="23.85" hidden="false" customHeight="false" outlineLevel="0" collapsed="false">
      <c r="A130" s="6" t="s">
        <v>479</v>
      </c>
      <c r="B130" s="6" t="s">
        <v>431</v>
      </c>
      <c r="C130" s="6" t="s">
        <v>16</v>
      </c>
      <c r="D130" s="6" t="s">
        <v>49</v>
      </c>
      <c r="E130" s="6" t="s">
        <v>394</v>
      </c>
      <c r="F130" s="7" t="s">
        <v>480</v>
      </c>
      <c r="G130" s="6" t="s">
        <v>481</v>
      </c>
      <c r="H130" s="6" t="s">
        <v>6</v>
      </c>
      <c r="I130" s="8"/>
      <c r="J130" s="8"/>
      <c r="K130" s="8"/>
      <c r="L130" s="9"/>
    </row>
    <row r="131" customFormat="false" ht="23.85" hidden="false" customHeight="false" outlineLevel="0" collapsed="false">
      <c r="A131" s="6" t="s">
        <v>482</v>
      </c>
      <c r="B131" s="6" t="s">
        <v>431</v>
      </c>
      <c r="C131" s="6" t="s">
        <v>16</v>
      </c>
      <c r="D131" s="6" t="s">
        <v>49</v>
      </c>
      <c r="E131" s="6" t="s">
        <v>394</v>
      </c>
      <c r="F131" s="7" t="s">
        <v>483</v>
      </c>
      <c r="G131" s="6" t="s">
        <v>484</v>
      </c>
      <c r="H131" s="6" t="s">
        <v>6</v>
      </c>
      <c r="I131" s="8"/>
      <c r="J131" s="8"/>
      <c r="K131" s="8"/>
      <c r="L131" s="9"/>
    </row>
    <row r="132" customFormat="false" ht="23.85" hidden="false" customHeight="false" outlineLevel="0" collapsed="false">
      <c r="A132" s="6" t="s">
        <v>485</v>
      </c>
      <c r="B132" s="6" t="s">
        <v>486</v>
      </c>
      <c r="C132" s="6" t="s">
        <v>16</v>
      </c>
      <c r="D132" s="6" t="s">
        <v>49</v>
      </c>
      <c r="E132" s="6" t="s">
        <v>487</v>
      </c>
      <c r="F132" s="7" t="s">
        <v>488</v>
      </c>
      <c r="G132" s="6" t="s">
        <v>489</v>
      </c>
      <c r="H132" s="6" t="s">
        <v>6</v>
      </c>
      <c r="I132" s="8"/>
      <c r="J132" s="8"/>
      <c r="K132" s="8"/>
      <c r="L132" s="9"/>
    </row>
    <row r="133" customFormat="false" ht="15" hidden="false" customHeight="false" outlineLevel="0" collapsed="false">
      <c r="A133" s="6" t="s">
        <v>490</v>
      </c>
      <c r="B133" s="6" t="s">
        <v>486</v>
      </c>
      <c r="C133" s="6" t="s">
        <v>16</v>
      </c>
      <c r="D133" s="6" t="s">
        <v>49</v>
      </c>
      <c r="E133" s="6" t="s">
        <v>487</v>
      </c>
      <c r="F133" s="7" t="s">
        <v>491</v>
      </c>
      <c r="G133" s="6" t="s">
        <v>492</v>
      </c>
      <c r="H133" s="6" t="s">
        <v>6</v>
      </c>
      <c r="I133" s="8"/>
      <c r="J133" s="8"/>
      <c r="K133" s="8"/>
      <c r="L133" s="9"/>
    </row>
    <row r="134" customFormat="false" ht="15" hidden="false" customHeight="false" outlineLevel="0" collapsed="false">
      <c r="A134" s="6" t="s">
        <v>493</v>
      </c>
      <c r="B134" s="6" t="s">
        <v>486</v>
      </c>
      <c r="C134" s="6" t="s">
        <v>16</v>
      </c>
      <c r="D134" s="6" t="s">
        <v>49</v>
      </c>
      <c r="E134" s="6" t="s">
        <v>487</v>
      </c>
      <c r="F134" s="7" t="s">
        <v>494</v>
      </c>
      <c r="G134" s="6" t="s">
        <v>495</v>
      </c>
      <c r="H134" s="6" t="s">
        <v>6</v>
      </c>
      <c r="I134" s="8"/>
      <c r="J134" s="8"/>
      <c r="K134" s="8"/>
      <c r="L134" s="9"/>
    </row>
    <row r="135" customFormat="false" ht="35.05" hidden="false" customHeight="false" outlineLevel="0" collapsed="false">
      <c r="A135" s="6" t="s">
        <v>496</v>
      </c>
      <c r="B135" s="6" t="s">
        <v>486</v>
      </c>
      <c r="C135" s="6" t="s">
        <v>16</v>
      </c>
      <c r="D135" s="6" t="s">
        <v>49</v>
      </c>
      <c r="E135" s="6" t="s">
        <v>487</v>
      </c>
      <c r="F135" s="7" t="s">
        <v>497</v>
      </c>
      <c r="G135" s="6" t="s">
        <v>498</v>
      </c>
      <c r="H135" s="6" t="s">
        <v>6</v>
      </c>
      <c r="I135" s="8"/>
      <c r="J135" s="8"/>
      <c r="K135" s="8"/>
      <c r="L135" s="9"/>
    </row>
    <row r="136" customFormat="false" ht="23.85" hidden="false" customHeight="false" outlineLevel="0" collapsed="false">
      <c r="A136" s="6" t="s">
        <v>499</v>
      </c>
      <c r="B136" s="6" t="s">
        <v>486</v>
      </c>
      <c r="C136" s="6" t="s">
        <v>16</v>
      </c>
      <c r="D136" s="6" t="s">
        <v>49</v>
      </c>
      <c r="E136" s="6" t="s">
        <v>487</v>
      </c>
      <c r="F136" s="7" t="s">
        <v>500</v>
      </c>
      <c r="G136" s="6" t="s">
        <v>501</v>
      </c>
      <c r="H136" s="6" t="s">
        <v>8</v>
      </c>
      <c r="I136" s="8"/>
      <c r="J136" s="8"/>
      <c r="K136" s="8"/>
      <c r="L136" s="9"/>
    </row>
    <row r="137" customFormat="false" ht="23.85" hidden="false" customHeight="false" outlineLevel="0" collapsed="false">
      <c r="A137" s="6" t="s">
        <v>502</v>
      </c>
      <c r="B137" s="6" t="s">
        <v>486</v>
      </c>
      <c r="C137" s="6" t="s">
        <v>16</v>
      </c>
      <c r="D137" s="6" t="s">
        <v>49</v>
      </c>
      <c r="E137" s="6" t="s">
        <v>487</v>
      </c>
      <c r="F137" s="7" t="s">
        <v>503</v>
      </c>
      <c r="G137" s="6" t="s">
        <v>504</v>
      </c>
      <c r="H137" s="6" t="s">
        <v>8</v>
      </c>
      <c r="I137" s="8"/>
      <c r="J137" s="8"/>
      <c r="K137" s="8"/>
      <c r="L137" s="9"/>
    </row>
    <row r="138" customFormat="false" ht="23.85" hidden="false" customHeight="false" outlineLevel="0" collapsed="false">
      <c r="A138" s="6" t="s">
        <v>505</v>
      </c>
      <c r="B138" s="6" t="s">
        <v>486</v>
      </c>
      <c r="C138" s="6" t="s">
        <v>16</v>
      </c>
      <c r="D138" s="6" t="s">
        <v>49</v>
      </c>
      <c r="E138" s="6" t="s">
        <v>487</v>
      </c>
      <c r="F138" s="7" t="s">
        <v>506</v>
      </c>
      <c r="G138" s="6" t="s">
        <v>507</v>
      </c>
      <c r="H138" s="6" t="s">
        <v>6</v>
      </c>
      <c r="I138" s="8"/>
      <c r="J138" s="8"/>
      <c r="K138" s="8"/>
      <c r="L138" s="9"/>
    </row>
    <row r="139" customFormat="false" ht="23.85" hidden="false" customHeight="false" outlineLevel="0" collapsed="false">
      <c r="A139" s="6" t="s">
        <v>508</v>
      </c>
      <c r="B139" s="6" t="s">
        <v>486</v>
      </c>
      <c r="C139" s="6" t="s">
        <v>16</v>
      </c>
      <c r="D139" s="6" t="s">
        <v>49</v>
      </c>
      <c r="E139" s="6" t="s">
        <v>487</v>
      </c>
      <c r="F139" s="7" t="s">
        <v>509</v>
      </c>
      <c r="G139" s="6" t="s">
        <v>510</v>
      </c>
      <c r="H139" s="6" t="s">
        <v>6</v>
      </c>
      <c r="I139" s="8"/>
      <c r="J139" s="8"/>
      <c r="K139" s="8"/>
      <c r="L139" s="9"/>
    </row>
    <row r="140" customFormat="false" ht="23.85" hidden="false" customHeight="false" outlineLevel="0" collapsed="false">
      <c r="A140" s="6" t="s">
        <v>511</v>
      </c>
      <c r="B140" s="6" t="s">
        <v>486</v>
      </c>
      <c r="C140" s="6" t="s">
        <v>16</v>
      </c>
      <c r="D140" s="6" t="s">
        <v>49</v>
      </c>
      <c r="E140" s="6" t="s">
        <v>487</v>
      </c>
      <c r="F140" s="7" t="s">
        <v>512</v>
      </c>
      <c r="G140" s="6" t="s">
        <v>513</v>
      </c>
      <c r="H140" s="6" t="s">
        <v>8</v>
      </c>
      <c r="I140" s="8"/>
      <c r="J140" s="8"/>
      <c r="K140" s="8"/>
      <c r="L140" s="9"/>
    </row>
    <row r="141" customFormat="false" ht="15" hidden="false" customHeight="false" outlineLevel="0" collapsed="false">
      <c r="A141" s="6" t="s">
        <v>514</v>
      </c>
      <c r="B141" s="6" t="s">
        <v>486</v>
      </c>
      <c r="C141" s="6" t="s">
        <v>16</v>
      </c>
      <c r="D141" s="6" t="s">
        <v>49</v>
      </c>
      <c r="E141" s="6" t="s">
        <v>487</v>
      </c>
      <c r="F141" s="7" t="s">
        <v>515</v>
      </c>
      <c r="G141" s="6" t="s">
        <v>516</v>
      </c>
      <c r="H141" s="6" t="s">
        <v>6</v>
      </c>
      <c r="I141" s="8"/>
      <c r="J141" s="8"/>
      <c r="K141" s="8"/>
      <c r="L141" s="9"/>
    </row>
    <row r="142" customFormat="false" ht="23.85" hidden="false" customHeight="false" outlineLevel="0" collapsed="false">
      <c r="A142" s="6" t="s">
        <v>517</v>
      </c>
      <c r="B142" s="6" t="s">
        <v>486</v>
      </c>
      <c r="C142" s="6" t="s">
        <v>16</v>
      </c>
      <c r="D142" s="6" t="s">
        <v>49</v>
      </c>
      <c r="E142" s="6" t="s">
        <v>487</v>
      </c>
      <c r="F142" s="7" t="s">
        <v>518</v>
      </c>
      <c r="G142" s="6" t="s">
        <v>519</v>
      </c>
      <c r="H142" s="6" t="s">
        <v>8</v>
      </c>
      <c r="I142" s="8"/>
      <c r="J142" s="8"/>
      <c r="K142" s="8"/>
      <c r="L142" s="9"/>
    </row>
    <row r="143" customFormat="false" ht="15" hidden="false" customHeight="false" outlineLevel="0" collapsed="false">
      <c r="A143" s="6" t="s">
        <v>520</v>
      </c>
      <c r="B143" s="6" t="s">
        <v>486</v>
      </c>
      <c r="C143" s="6" t="s">
        <v>16</v>
      </c>
      <c r="D143" s="6" t="s">
        <v>49</v>
      </c>
      <c r="E143" s="6" t="s">
        <v>487</v>
      </c>
      <c r="F143" s="7" t="s">
        <v>521</v>
      </c>
      <c r="G143" s="6" t="s">
        <v>522</v>
      </c>
      <c r="H143" s="6" t="s">
        <v>6</v>
      </c>
      <c r="I143" s="8"/>
      <c r="J143" s="8"/>
      <c r="K143" s="8"/>
      <c r="L143" s="9"/>
    </row>
    <row r="144" customFormat="false" ht="23.85" hidden="false" customHeight="false" outlineLevel="0" collapsed="false">
      <c r="A144" s="6" t="s">
        <v>523</v>
      </c>
      <c r="B144" s="6" t="s">
        <v>486</v>
      </c>
      <c r="C144" s="6" t="s">
        <v>16</v>
      </c>
      <c r="D144" s="6" t="s">
        <v>49</v>
      </c>
      <c r="E144" s="6" t="s">
        <v>487</v>
      </c>
      <c r="F144" s="7" t="s">
        <v>524</v>
      </c>
      <c r="G144" s="6" t="s">
        <v>525</v>
      </c>
      <c r="H144" s="6" t="s">
        <v>6</v>
      </c>
      <c r="I144" s="8"/>
      <c r="J144" s="8"/>
      <c r="K144" s="8"/>
      <c r="L144" s="9"/>
    </row>
    <row r="145" customFormat="false" ht="15" hidden="false" customHeight="false" outlineLevel="0" collapsed="false">
      <c r="A145" s="6" t="s">
        <v>526</v>
      </c>
      <c r="B145" s="6" t="s">
        <v>486</v>
      </c>
      <c r="C145" s="6" t="s">
        <v>16</v>
      </c>
      <c r="D145" s="6" t="s">
        <v>49</v>
      </c>
      <c r="E145" s="6" t="s">
        <v>487</v>
      </c>
      <c r="F145" s="7" t="s">
        <v>527</v>
      </c>
      <c r="G145" s="6" t="s">
        <v>528</v>
      </c>
      <c r="H145" s="6" t="s">
        <v>6</v>
      </c>
      <c r="I145" s="8"/>
      <c r="J145" s="8"/>
      <c r="K145" s="8"/>
      <c r="L145" s="9"/>
    </row>
    <row r="146" customFormat="false" ht="15" hidden="false" customHeight="false" outlineLevel="0" collapsed="false">
      <c r="A146" s="6" t="s">
        <v>529</v>
      </c>
      <c r="B146" s="6" t="s">
        <v>486</v>
      </c>
      <c r="C146" s="6" t="s">
        <v>16</v>
      </c>
      <c r="D146" s="6" t="s">
        <v>49</v>
      </c>
      <c r="E146" s="6" t="s">
        <v>487</v>
      </c>
      <c r="F146" s="7" t="s">
        <v>530</v>
      </c>
      <c r="G146" s="6" t="s">
        <v>531</v>
      </c>
      <c r="H146" s="6" t="s">
        <v>6</v>
      </c>
      <c r="I146" s="8"/>
      <c r="J146" s="8"/>
      <c r="K146" s="8"/>
      <c r="L146" s="9"/>
    </row>
    <row r="147" customFormat="false" ht="23.85" hidden="false" customHeight="false" outlineLevel="0" collapsed="false">
      <c r="A147" s="6" t="s">
        <v>532</v>
      </c>
      <c r="B147" s="6" t="s">
        <v>486</v>
      </c>
      <c r="C147" s="6" t="s">
        <v>16</v>
      </c>
      <c r="D147" s="6" t="s">
        <v>49</v>
      </c>
      <c r="E147" s="6" t="s">
        <v>487</v>
      </c>
      <c r="F147" s="7" t="s">
        <v>533</v>
      </c>
      <c r="G147" s="6" t="s">
        <v>534</v>
      </c>
      <c r="H147" s="6" t="s">
        <v>8</v>
      </c>
      <c r="I147" s="8"/>
      <c r="J147" s="8"/>
      <c r="K147" s="8"/>
      <c r="L147" s="9"/>
    </row>
    <row r="148" customFormat="false" ht="23.85" hidden="false" customHeight="false" outlineLevel="0" collapsed="false">
      <c r="A148" s="6" t="s">
        <v>535</v>
      </c>
      <c r="B148" s="6" t="s">
        <v>486</v>
      </c>
      <c r="C148" s="6" t="s">
        <v>16</v>
      </c>
      <c r="D148" s="6" t="s">
        <v>49</v>
      </c>
      <c r="E148" s="6" t="s">
        <v>487</v>
      </c>
      <c r="F148" s="7" t="s">
        <v>536</v>
      </c>
      <c r="G148" s="6" t="s">
        <v>537</v>
      </c>
      <c r="H148" s="6" t="s">
        <v>6</v>
      </c>
      <c r="I148" s="8"/>
      <c r="J148" s="8"/>
      <c r="K148" s="8"/>
      <c r="L148" s="9"/>
    </row>
    <row r="149" customFormat="false" ht="23.85" hidden="false" customHeight="false" outlineLevel="0" collapsed="false">
      <c r="A149" s="6" t="s">
        <v>538</v>
      </c>
      <c r="B149" s="6" t="s">
        <v>486</v>
      </c>
      <c r="C149" s="6" t="s">
        <v>16</v>
      </c>
      <c r="D149" s="6" t="s">
        <v>49</v>
      </c>
      <c r="E149" s="6" t="s">
        <v>487</v>
      </c>
      <c r="F149" s="7" t="s">
        <v>539</v>
      </c>
      <c r="G149" s="6" t="s">
        <v>540</v>
      </c>
      <c r="H149" s="6" t="s">
        <v>6</v>
      </c>
      <c r="I149" s="8"/>
      <c r="J149" s="8"/>
      <c r="K149" s="8"/>
      <c r="L149" s="9"/>
    </row>
    <row r="150" customFormat="false" ht="23.85" hidden="false" customHeight="false" outlineLevel="0" collapsed="false">
      <c r="A150" s="6" t="s">
        <v>541</v>
      </c>
      <c r="B150" s="6" t="s">
        <v>486</v>
      </c>
      <c r="C150" s="6" t="s">
        <v>16</v>
      </c>
      <c r="D150" s="6" t="s">
        <v>49</v>
      </c>
      <c r="E150" s="6" t="s">
        <v>487</v>
      </c>
      <c r="F150" s="7" t="s">
        <v>542</v>
      </c>
      <c r="G150" s="6" t="s">
        <v>543</v>
      </c>
      <c r="H150" s="6" t="s">
        <v>6</v>
      </c>
      <c r="I150" s="8"/>
      <c r="J150" s="8"/>
      <c r="K150" s="8"/>
      <c r="L150" s="9"/>
    </row>
    <row r="151" customFormat="false" ht="23.85" hidden="false" customHeight="false" outlineLevel="0" collapsed="false">
      <c r="A151" s="6" t="s">
        <v>544</v>
      </c>
      <c r="B151" s="6" t="s">
        <v>545</v>
      </c>
      <c r="C151" s="6" t="s">
        <v>16</v>
      </c>
      <c r="D151" s="6" t="s">
        <v>230</v>
      </c>
      <c r="E151" s="6" t="s">
        <v>264</v>
      </c>
      <c r="F151" s="7" t="s">
        <v>546</v>
      </c>
      <c r="G151" s="6" t="s">
        <v>547</v>
      </c>
      <c r="H151" s="6" t="s">
        <v>9</v>
      </c>
      <c r="I151" s="8"/>
      <c r="J151" s="8"/>
      <c r="K151" s="8"/>
      <c r="L151" s="9"/>
    </row>
    <row r="152" customFormat="false" ht="23.85" hidden="false" customHeight="false" outlineLevel="0" collapsed="false">
      <c r="A152" s="6" t="s">
        <v>548</v>
      </c>
      <c r="B152" s="6" t="s">
        <v>549</v>
      </c>
      <c r="C152" s="6" t="s">
        <v>16</v>
      </c>
      <c r="D152" s="6" t="s">
        <v>44</v>
      </c>
      <c r="E152" s="6" t="s">
        <v>550</v>
      </c>
      <c r="F152" s="7" t="s">
        <v>551</v>
      </c>
      <c r="G152" s="6" t="s">
        <v>552</v>
      </c>
      <c r="H152" s="6" t="s">
        <v>9</v>
      </c>
      <c r="I152" s="8"/>
      <c r="J152" s="8"/>
      <c r="K152" s="8"/>
      <c r="L152" s="9"/>
    </row>
    <row r="153" customFormat="false" ht="15" hidden="false" customHeight="false" outlineLevel="0" collapsed="false">
      <c r="A153" s="6" t="s">
        <v>553</v>
      </c>
      <c r="B153" s="6" t="s">
        <v>554</v>
      </c>
      <c r="C153" s="6" t="s">
        <v>16</v>
      </c>
      <c r="D153" s="6" t="s">
        <v>49</v>
      </c>
      <c r="E153" s="6" t="s">
        <v>487</v>
      </c>
      <c r="F153" s="7" t="s">
        <v>555</v>
      </c>
      <c r="G153" s="6" t="s">
        <v>556</v>
      </c>
      <c r="H153" s="6" t="s">
        <v>8</v>
      </c>
      <c r="I153" s="8"/>
      <c r="J153" s="8"/>
      <c r="K153" s="8"/>
      <c r="L153" s="9"/>
    </row>
    <row r="154" customFormat="false" ht="15" hidden="false" customHeight="false" outlineLevel="0" collapsed="false">
      <c r="A154" s="6" t="s">
        <v>557</v>
      </c>
      <c r="B154" s="6" t="s">
        <v>554</v>
      </c>
      <c r="C154" s="6" t="s">
        <v>16</v>
      </c>
      <c r="D154" s="6" t="s">
        <v>49</v>
      </c>
      <c r="E154" s="6" t="s">
        <v>487</v>
      </c>
      <c r="F154" s="7" t="s">
        <v>558</v>
      </c>
      <c r="G154" s="6" t="s">
        <v>559</v>
      </c>
      <c r="H154" s="6" t="s">
        <v>8</v>
      </c>
      <c r="I154" s="8"/>
      <c r="J154" s="8"/>
      <c r="K154" s="8"/>
      <c r="L154" s="9"/>
    </row>
    <row r="155" customFormat="false" ht="35.05" hidden="false" customHeight="false" outlineLevel="0" collapsed="false">
      <c r="A155" s="6" t="s">
        <v>560</v>
      </c>
      <c r="B155" s="6" t="s">
        <v>554</v>
      </c>
      <c r="C155" s="6" t="s">
        <v>16</v>
      </c>
      <c r="D155" s="6" t="s">
        <v>49</v>
      </c>
      <c r="E155" s="6" t="s">
        <v>487</v>
      </c>
      <c r="F155" s="7" t="s">
        <v>561</v>
      </c>
      <c r="G155" s="6" t="s">
        <v>562</v>
      </c>
      <c r="H155" s="6" t="s">
        <v>6</v>
      </c>
      <c r="I155" s="8"/>
      <c r="J155" s="8"/>
      <c r="K155" s="8"/>
      <c r="L155" s="9"/>
    </row>
    <row r="156" customFormat="false" ht="15" hidden="false" customHeight="false" outlineLevel="0" collapsed="false">
      <c r="A156" s="6" t="s">
        <v>563</v>
      </c>
      <c r="B156" s="6" t="s">
        <v>554</v>
      </c>
      <c r="C156" s="6" t="s">
        <v>16</v>
      </c>
      <c r="D156" s="6" t="s">
        <v>49</v>
      </c>
      <c r="E156" s="6" t="s">
        <v>487</v>
      </c>
      <c r="F156" s="7" t="s">
        <v>564</v>
      </c>
      <c r="G156" s="6" t="s">
        <v>565</v>
      </c>
      <c r="H156" s="6" t="s">
        <v>6</v>
      </c>
      <c r="I156" s="8"/>
      <c r="J156" s="8"/>
      <c r="K156" s="8"/>
      <c r="L156" s="9"/>
    </row>
    <row r="157" customFormat="false" ht="15" hidden="false" customHeight="false" outlineLevel="0" collapsed="false">
      <c r="A157" s="6" t="s">
        <v>566</v>
      </c>
      <c r="B157" s="6" t="s">
        <v>554</v>
      </c>
      <c r="C157" s="6" t="s">
        <v>16</v>
      </c>
      <c r="D157" s="6" t="s">
        <v>49</v>
      </c>
      <c r="E157" s="6" t="s">
        <v>487</v>
      </c>
      <c r="F157" s="7" t="s">
        <v>567</v>
      </c>
      <c r="G157" s="6" t="s">
        <v>568</v>
      </c>
      <c r="H157" s="6" t="s">
        <v>6</v>
      </c>
      <c r="I157" s="8"/>
      <c r="J157" s="8"/>
      <c r="K157" s="8"/>
      <c r="L157" s="9"/>
    </row>
    <row r="158" customFormat="false" ht="23.85" hidden="false" customHeight="false" outlineLevel="0" collapsed="false">
      <c r="A158" s="6" t="s">
        <v>569</v>
      </c>
      <c r="B158" s="6" t="s">
        <v>554</v>
      </c>
      <c r="C158" s="6" t="s">
        <v>16</v>
      </c>
      <c r="D158" s="6" t="s">
        <v>49</v>
      </c>
      <c r="E158" s="6" t="s">
        <v>487</v>
      </c>
      <c r="F158" s="7" t="s">
        <v>570</v>
      </c>
      <c r="G158" s="6" t="s">
        <v>571</v>
      </c>
      <c r="H158" s="6" t="s">
        <v>6</v>
      </c>
      <c r="I158" s="8"/>
      <c r="J158" s="8"/>
      <c r="K158" s="8"/>
      <c r="L158" s="9"/>
    </row>
    <row r="159" customFormat="false" ht="15" hidden="false" customHeight="false" outlineLevel="0" collapsed="false">
      <c r="A159" s="6" t="s">
        <v>572</v>
      </c>
      <c r="B159" s="6" t="s">
        <v>554</v>
      </c>
      <c r="C159" s="6" t="s">
        <v>16</v>
      </c>
      <c r="D159" s="6" t="s">
        <v>49</v>
      </c>
      <c r="E159" s="6" t="s">
        <v>487</v>
      </c>
      <c r="F159" s="7" t="s">
        <v>573</v>
      </c>
      <c r="G159" s="6" t="s">
        <v>574</v>
      </c>
      <c r="H159" s="6" t="s">
        <v>8</v>
      </c>
      <c r="I159" s="8"/>
      <c r="J159" s="8"/>
      <c r="K159" s="8"/>
      <c r="L159" s="9"/>
    </row>
    <row r="160" customFormat="false" ht="15" hidden="false" customHeight="false" outlineLevel="0" collapsed="false">
      <c r="A160" s="6" t="s">
        <v>575</v>
      </c>
      <c r="B160" s="6" t="s">
        <v>554</v>
      </c>
      <c r="C160" s="6" t="s">
        <v>16</v>
      </c>
      <c r="D160" s="6" t="s">
        <v>49</v>
      </c>
      <c r="E160" s="6" t="s">
        <v>487</v>
      </c>
      <c r="F160" s="7" t="s">
        <v>576</v>
      </c>
      <c r="G160" s="6" t="s">
        <v>577</v>
      </c>
      <c r="H160" s="6" t="s">
        <v>8</v>
      </c>
      <c r="I160" s="8"/>
      <c r="J160" s="8"/>
      <c r="K160" s="8"/>
      <c r="L160" s="9"/>
    </row>
    <row r="161" customFormat="false" ht="15" hidden="false" customHeight="false" outlineLevel="0" collapsed="false">
      <c r="A161" s="6" t="s">
        <v>578</v>
      </c>
      <c r="B161" s="6" t="s">
        <v>554</v>
      </c>
      <c r="C161" s="6" t="s">
        <v>16</v>
      </c>
      <c r="D161" s="6" t="s">
        <v>49</v>
      </c>
      <c r="E161" s="6" t="s">
        <v>487</v>
      </c>
      <c r="F161" s="7" t="s">
        <v>579</v>
      </c>
      <c r="G161" s="6" t="s">
        <v>580</v>
      </c>
      <c r="H161" s="6" t="s">
        <v>8</v>
      </c>
      <c r="I161" s="8"/>
      <c r="J161" s="8"/>
      <c r="K161" s="8"/>
      <c r="L161" s="9"/>
    </row>
    <row r="162" customFormat="false" ht="15" hidden="false" customHeight="false" outlineLevel="0" collapsed="false">
      <c r="A162" s="6" t="s">
        <v>581</v>
      </c>
      <c r="B162" s="6" t="s">
        <v>554</v>
      </c>
      <c r="C162" s="6" t="s">
        <v>16</v>
      </c>
      <c r="D162" s="6" t="s">
        <v>49</v>
      </c>
      <c r="E162" s="6" t="s">
        <v>487</v>
      </c>
      <c r="F162" s="7" t="s">
        <v>582</v>
      </c>
      <c r="G162" s="6" t="s">
        <v>583</v>
      </c>
      <c r="H162" s="6" t="s">
        <v>6</v>
      </c>
      <c r="I162" s="8"/>
      <c r="J162" s="8"/>
      <c r="K162" s="8"/>
      <c r="L162" s="9"/>
    </row>
    <row r="163" customFormat="false" ht="15" hidden="false" customHeight="false" outlineLevel="0" collapsed="false">
      <c r="A163" s="6" t="s">
        <v>584</v>
      </c>
      <c r="B163" s="6" t="s">
        <v>554</v>
      </c>
      <c r="C163" s="6" t="s">
        <v>16</v>
      </c>
      <c r="D163" s="6" t="s">
        <v>49</v>
      </c>
      <c r="E163" s="6" t="s">
        <v>487</v>
      </c>
      <c r="F163" s="7" t="s">
        <v>585</v>
      </c>
      <c r="G163" s="6" t="s">
        <v>586</v>
      </c>
      <c r="H163" s="6" t="s">
        <v>6</v>
      </c>
      <c r="I163" s="8"/>
      <c r="J163" s="8"/>
      <c r="K163" s="8"/>
      <c r="L163" s="9"/>
    </row>
    <row r="164" customFormat="false" ht="15" hidden="false" customHeight="false" outlineLevel="0" collapsed="false">
      <c r="A164" s="6" t="s">
        <v>587</v>
      </c>
      <c r="B164" s="6" t="s">
        <v>554</v>
      </c>
      <c r="C164" s="6" t="s">
        <v>16</v>
      </c>
      <c r="D164" s="6" t="s">
        <v>49</v>
      </c>
      <c r="E164" s="6" t="s">
        <v>487</v>
      </c>
      <c r="F164" s="7" t="s">
        <v>588</v>
      </c>
      <c r="G164" s="6" t="s">
        <v>589</v>
      </c>
      <c r="H164" s="6" t="s">
        <v>6</v>
      </c>
      <c r="I164" s="8"/>
      <c r="J164" s="8"/>
      <c r="K164" s="8"/>
      <c r="L164" s="9"/>
    </row>
    <row r="165" customFormat="false" ht="15" hidden="false" customHeight="false" outlineLevel="0" collapsed="false">
      <c r="A165" s="6" t="s">
        <v>590</v>
      </c>
      <c r="B165" s="6" t="s">
        <v>554</v>
      </c>
      <c r="C165" s="6" t="s">
        <v>16</v>
      </c>
      <c r="D165" s="6" t="s">
        <v>49</v>
      </c>
      <c r="E165" s="6" t="s">
        <v>487</v>
      </c>
      <c r="F165" s="7" t="s">
        <v>591</v>
      </c>
      <c r="G165" s="6" t="s">
        <v>592</v>
      </c>
      <c r="H165" s="6" t="s">
        <v>8</v>
      </c>
      <c r="I165" s="8"/>
      <c r="J165" s="8"/>
      <c r="K165" s="8"/>
      <c r="L165" s="9"/>
    </row>
    <row r="166" customFormat="false" ht="23.85" hidden="false" customHeight="false" outlineLevel="0" collapsed="false">
      <c r="A166" s="6" t="s">
        <v>593</v>
      </c>
      <c r="B166" s="6" t="s">
        <v>594</v>
      </c>
      <c r="C166" s="6" t="s">
        <v>16</v>
      </c>
      <c r="D166" s="6" t="s">
        <v>49</v>
      </c>
      <c r="E166" s="6" t="s">
        <v>319</v>
      </c>
      <c r="F166" s="7" t="s">
        <v>595</v>
      </c>
      <c r="G166" s="6" t="s">
        <v>596</v>
      </c>
      <c r="H166" s="6" t="s">
        <v>6</v>
      </c>
      <c r="I166" s="8"/>
      <c r="J166" s="8"/>
      <c r="K166" s="8"/>
      <c r="L166" s="9"/>
    </row>
    <row r="167" customFormat="false" ht="23.85" hidden="false" customHeight="false" outlineLevel="0" collapsed="false">
      <c r="A167" s="6" t="s">
        <v>597</v>
      </c>
      <c r="B167" s="6" t="s">
        <v>594</v>
      </c>
      <c r="C167" s="6" t="s">
        <v>16</v>
      </c>
      <c r="D167" s="6" t="s">
        <v>49</v>
      </c>
      <c r="E167" s="6" t="s">
        <v>319</v>
      </c>
      <c r="F167" s="7" t="s">
        <v>598</v>
      </c>
      <c r="G167" s="6" t="s">
        <v>599</v>
      </c>
      <c r="H167" s="6" t="s">
        <v>6</v>
      </c>
      <c r="I167" s="8"/>
      <c r="J167" s="8"/>
      <c r="K167" s="8"/>
      <c r="L167" s="9"/>
    </row>
    <row r="168" customFormat="false" ht="15" hidden="false" customHeight="false" outlineLevel="0" collapsed="false">
      <c r="A168" s="6" t="s">
        <v>600</v>
      </c>
      <c r="B168" s="6" t="s">
        <v>594</v>
      </c>
      <c r="C168" s="6" t="s">
        <v>16</v>
      </c>
      <c r="D168" s="6" t="s">
        <v>49</v>
      </c>
      <c r="E168" s="6" t="s">
        <v>319</v>
      </c>
      <c r="F168" s="7" t="s">
        <v>601</v>
      </c>
      <c r="G168" s="6" t="s">
        <v>602</v>
      </c>
      <c r="H168" s="6" t="s">
        <v>6</v>
      </c>
      <c r="I168" s="8"/>
      <c r="J168" s="8"/>
      <c r="K168" s="8"/>
      <c r="L168" s="9"/>
    </row>
    <row r="169" customFormat="false" ht="35.05" hidden="false" customHeight="false" outlineLevel="0" collapsed="false">
      <c r="A169" s="6" t="s">
        <v>603</v>
      </c>
      <c r="B169" s="6" t="s">
        <v>594</v>
      </c>
      <c r="C169" s="6" t="s">
        <v>16</v>
      </c>
      <c r="D169" s="6" t="s">
        <v>49</v>
      </c>
      <c r="E169" s="6" t="s">
        <v>319</v>
      </c>
      <c r="F169" s="7" t="s">
        <v>604</v>
      </c>
      <c r="G169" s="6" t="s">
        <v>605</v>
      </c>
      <c r="H169" s="6" t="s">
        <v>8</v>
      </c>
      <c r="I169" s="8"/>
      <c r="J169" s="8"/>
      <c r="K169" s="8"/>
      <c r="L169" s="9"/>
    </row>
    <row r="170" customFormat="false" ht="23.85" hidden="false" customHeight="false" outlineLevel="0" collapsed="false">
      <c r="A170" s="6" t="s">
        <v>606</v>
      </c>
      <c r="B170" s="6" t="s">
        <v>607</v>
      </c>
      <c r="C170" s="6" t="s">
        <v>16</v>
      </c>
      <c r="D170" s="6" t="s">
        <v>49</v>
      </c>
      <c r="E170" s="6" t="s">
        <v>27</v>
      </c>
      <c r="F170" s="7" t="s">
        <v>608</v>
      </c>
      <c r="G170" s="6" t="s">
        <v>609</v>
      </c>
      <c r="H170" s="6" t="s">
        <v>6</v>
      </c>
      <c r="I170" s="8"/>
      <c r="J170" s="8"/>
      <c r="K170" s="8"/>
      <c r="L170" s="9"/>
    </row>
    <row r="171" customFormat="false" ht="23.85" hidden="false" customHeight="false" outlineLevel="0" collapsed="false">
      <c r="A171" s="6" t="s">
        <v>610</v>
      </c>
      <c r="B171" s="6" t="s">
        <v>607</v>
      </c>
      <c r="C171" s="6" t="s">
        <v>16</v>
      </c>
      <c r="D171" s="6" t="s">
        <v>49</v>
      </c>
      <c r="E171" s="6" t="s">
        <v>27</v>
      </c>
      <c r="F171" s="7" t="s">
        <v>611</v>
      </c>
      <c r="G171" s="6" t="s">
        <v>612</v>
      </c>
      <c r="H171" s="6" t="s">
        <v>6</v>
      </c>
      <c r="I171" s="8"/>
      <c r="J171" s="8"/>
      <c r="K171" s="8"/>
      <c r="L171" s="9"/>
    </row>
    <row r="172" customFormat="false" ht="15" hidden="false" customHeight="false" outlineLevel="0" collapsed="false">
      <c r="A172" s="6" t="s">
        <v>613</v>
      </c>
      <c r="B172" s="6" t="s">
        <v>607</v>
      </c>
      <c r="C172" s="6" t="s">
        <v>16</v>
      </c>
      <c r="D172" s="6" t="s">
        <v>49</v>
      </c>
      <c r="E172" s="6" t="s">
        <v>27</v>
      </c>
      <c r="F172" s="7" t="s">
        <v>614</v>
      </c>
      <c r="G172" s="6" t="s">
        <v>615</v>
      </c>
      <c r="H172" s="6" t="s">
        <v>6</v>
      </c>
      <c r="I172" s="8"/>
      <c r="J172" s="8"/>
      <c r="K172" s="8"/>
      <c r="L172" s="9"/>
    </row>
    <row r="173" customFormat="false" ht="23.85" hidden="false" customHeight="false" outlineLevel="0" collapsed="false">
      <c r="A173" s="6" t="s">
        <v>616</v>
      </c>
      <c r="B173" s="6" t="s">
        <v>607</v>
      </c>
      <c r="C173" s="6" t="s">
        <v>16</v>
      </c>
      <c r="D173" s="6" t="s">
        <v>49</v>
      </c>
      <c r="E173" s="6" t="s">
        <v>27</v>
      </c>
      <c r="F173" s="7" t="s">
        <v>617</v>
      </c>
      <c r="G173" s="6" t="s">
        <v>618</v>
      </c>
      <c r="H173" s="6" t="s">
        <v>6</v>
      </c>
      <c r="I173" s="8"/>
      <c r="J173" s="8"/>
      <c r="K173" s="8"/>
      <c r="L173" s="9"/>
    </row>
    <row r="174" customFormat="false" ht="15" hidden="false" customHeight="false" outlineLevel="0" collapsed="false">
      <c r="A174" s="6" t="s">
        <v>619</v>
      </c>
      <c r="B174" s="6" t="s">
        <v>620</v>
      </c>
      <c r="C174" s="6" t="s">
        <v>16</v>
      </c>
      <c r="D174" s="6" t="s">
        <v>49</v>
      </c>
      <c r="E174" s="6" t="s">
        <v>27</v>
      </c>
      <c r="F174" s="7" t="s">
        <v>621</v>
      </c>
      <c r="G174" s="6" t="s">
        <v>622</v>
      </c>
      <c r="H174" s="6" t="s">
        <v>7</v>
      </c>
      <c r="I174" s="8"/>
      <c r="J174" s="8"/>
      <c r="K174" s="8"/>
      <c r="L174" s="9"/>
    </row>
    <row r="175" customFormat="false" ht="35.05" hidden="false" customHeight="false" outlineLevel="0" collapsed="false">
      <c r="A175" s="6" t="s">
        <v>623</v>
      </c>
      <c r="B175" s="6" t="s">
        <v>624</v>
      </c>
      <c r="C175" s="6" t="s">
        <v>16</v>
      </c>
      <c r="D175" s="6" t="s">
        <v>79</v>
      </c>
      <c r="E175" s="6" t="s">
        <v>27</v>
      </c>
      <c r="F175" s="7" t="s">
        <v>625</v>
      </c>
      <c r="G175" s="6" t="s">
        <v>626</v>
      </c>
      <c r="H175" s="6" t="s">
        <v>7</v>
      </c>
      <c r="I175" s="8"/>
      <c r="J175" s="8"/>
      <c r="K175" s="8"/>
      <c r="L175" s="9"/>
    </row>
    <row r="176" customFormat="false" ht="23.85" hidden="false" customHeight="false" outlineLevel="0" collapsed="false">
      <c r="A176" s="6" t="s">
        <v>627</v>
      </c>
      <c r="B176" s="6" t="s">
        <v>628</v>
      </c>
      <c r="C176" s="6" t="s">
        <v>16</v>
      </c>
      <c r="D176" s="6" t="s">
        <v>79</v>
      </c>
      <c r="E176" s="6" t="s">
        <v>27</v>
      </c>
      <c r="F176" s="7" t="s">
        <v>629</v>
      </c>
      <c r="G176" s="6" t="s">
        <v>630</v>
      </c>
      <c r="H176" s="6" t="s">
        <v>7</v>
      </c>
      <c r="I176" s="8"/>
      <c r="J176" s="8"/>
      <c r="K176" s="8"/>
      <c r="L176" s="9"/>
    </row>
    <row r="177" customFormat="false" ht="23.85" hidden="false" customHeight="false" outlineLevel="0" collapsed="false">
      <c r="A177" s="6" t="s">
        <v>631</v>
      </c>
      <c r="B177" s="6" t="s">
        <v>632</v>
      </c>
      <c r="C177" s="6" t="s">
        <v>16</v>
      </c>
      <c r="D177" s="6" t="s">
        <v>44</v>
      </c>
      <c r="E177" s="6" t="s">
        <v>27</v>
      </c>
      <c r="F177" s="7" t="s">
        <v>633</v>
      </c>
      <c r="G177" s="6" t="s">
        <v>634</v>
      </c>
      <c r="H177" s="6" t="s">
        <v>9</v>
      </c>
      <c r="I177" s="8"/>
      <c r="J177" s="8"/>
      <c r="K177" s="8"/>
      <c r="L177" s="9"/>
    </row>
    <row r="178" customFormat="false" ht="15" hidden="false" customHeight="false" outlineLevel="0" collapsed="false">
      <c r="A178" s="6" t="s">
        <v>635</v>
      </c>
      <c r="B178" s="6" t="s">
        <v>636</v>
      </c>
      <c r="C178" s="6" t="s">
        <v>16</v>
      </c>
      <c r="D178" s="6" t="s">
        <v>44</v>
      </c>
      <c r="E178" s="6" t="s">
        <v>319</v>
      </c>
      <c r="F178" s="7" t="s">
        <v>637</v>
      </c>
      <c r="G178" s="6" t="s">
        <v>312</v>
      </c>
      <c r="H178" s="6" t="s">
        <v>6</v>
      </c>
      <c r="I178" s="8"/>
      <c r="J178" s="8"/>
      <c r="K178" s="8"/>
      <c r="L178" s="9"/>
    </row>
    <row r="179" customFormat="false" ht="15" hidden="false" customHeight="false" outlineLevel="0" collapsed="false">
      <c r="A179" s="6" t="s">
        <v>638</v>
      </c>
      <c r="B179" s="6" t="s">
        <v>636</v>
      </c>
      <c r="C179" s="6" t="s">
        <v>16</v>
      </c>
      <c r="D179" s="6" t="s">
        <v>44</v>
      </c>
      <c r="E179" s="6" t="s">
        <v>319</v>
      </c>
      <c r="F179" s="7" t="s">
        <v>639</v>
      </c>
      <c r="G179" s="6" t="s">
        <v>640</v>
      </c>
      <c r="H179" s="6" t="s">
        <v>8</v>
      </c>
      <c r="I179" s="8"/>
      <c r="J179" s="8"/>
      <c r="K179" s="8"/>
      <c r="L179" s="9"/>
    </row>
    <row r="180" customFormat="false" ht="23.85" hidden="false" customHeight="false" outlineLevel="0" collapsed="false">
      <c r="A180" s="6" t="s">
        <v>641</v>
      </c>
      <c r="B180" s="6" t="s">
        <v>636</v>
      </c>
      <c r="C180" s="6" t="s">
        <v>16</v>
      </c>
      <c r="D180" s="6" t="s">
        <v>44</v>
      </c>
      <c r="E180" s="6" t="s">
        <v>319</v>
      </c>
      <c r="F180" s="7" t="s">
        <v>642</v>
      </c>
      <c r="G180" s="6" t="s">
        <v>271</v>
      </c>
      <c r="H180" s="6" t="s">
        <v>6</v>
      </c>
      <c r="I180" s="8"/>
      <c r="J180" s="8"/>
      <c r="K180" s="8"/>
      <c r="L180" s="9"/>
    </row>
    <row r="181" customFormat="false" ht="15" hidden="false" customHeight="false" outlineLevel="0" collapsed="false">
      <c r="A181" s="6" t="s">
        <v>643</v>
      </c>
      <c r="B181" s="6" t="s">
        <v>644</v>
      </c>
      <c r="C181" s="6" t="s">
        <v>16</v>
      </c>
      <c r="D181" s="6" t="s">
        <v>85</v>
      </c>
      <c r="E181" s="6" t="s">
        <v>27</v>
      </c>
      <c r="F181" s="7" t="s">
        <v>645</v>
      </c>
      <c r="G181" s="6" t="s">
        <v>646</v>
      </c>
      <c r="H181" s="6" t="s">
        <v>11</v>
      </c>
      <c r="I181" s="8"/>
      <c r="J181" s="8"/>
      <c r="K181" s="8"/>
      <c r="L181" s="9"/>
    </row>
    <row r="182" customFormat="false" ht="23.85" hidden="false" customHeight="false" outlineLevel="0" collapsed="false">
      <c r="A182" s="6" t="s">
        <v>647</v>
      </c>
      <c r="B182" s="6" t="s">
        <v>648</v>
      </c>
      <c r="C182" s="6" t="s">
        <v>16</v>
      </c>
      <c r="D182" s="6" t="s">
        <v>44</v>
      </c>
      <c r="E182" s="6" t="s">
        <v>27</v>
      </c>
      <c r="F182" s="7" t="s">
        <v>649</v>
      </c>
      <c r="G182" s="6" t="s">
        <v>650</v>
      </c>
      <c r="H182" s="6" t="s">
        <v>8</v>
      </c>
      <c r="I182" s="8"/>
      <c r="J182" s="8"/>
      <c r="K182" s="8"/>
      <c r="L182" s="9"/>
    </row>
    <row r="183" customFormat="false" ht="15" hidden="false" customHeight="false" outlineLevel="0" collapsed="false">
      <c r="A183" s="6" t="s">
        <v>651</v>
      </c>
      <c r="B183" s="6" t="s">
        <v>648</v>
      </c>
      <c r="C183" s="6" t="s">
        <v>16</v>
      </c>
      <c r="D183" s="6" t="s">
        <v>44</v>
      </c>
      <c r="E183" s="6" t="s">
        <v>27</v>
      </c>
      <c r="F183" s="7" t="s">
        <v>652</v>
      </c>
      <c r="G183" s="6" t="s">
        <v>653</v>
      </c>
      <c r="H183" s="6" t="s">
        <v>8</v>
      </c>
      <c r="I183" s="8"/>
      <c r="J183" s="8"/>
      <c r="K183" s="8"/>
      <c r="L183" s="9"/>
    </row>
    <row r="184" customFormat="false" ht="23.85" hidden="false" customHeight="false" outlineLevel="0" collapsed="false">
      <c r="A184" s="6" t="s">
        <v>654</v>
      </c>
      <c r="B184" s="6" t="s">
        <v>655</v>
      </c>
      <c r="C184" s="6" t="s">
        <v>16</v>
      </c>
      <c r="D184" s="6" t="s">
        <v>44</v>
      </c>
      <c r="E184" s="6" t="s">
        <v>27</v>
      </c>
      <c r="F184" s="7" t="s">
        <v>656</v>
      </c>
      <c r="G184" s="6" t="s">
        <v>657</v>
      </c>
      <c r="H184" s="6" t="s">
        <v>7</v>
      </c>
      <c r="I184" s="8"/>
      <c r="J184" s="8"/>
      <c r="K184" s="8"/>
      <c r="L184" s="9"/>
    </row>
    <row r="185" customFormat="false" ht="23.85" hidden="false" customHeight="false" outlineLevel="0" collapsed="false">
      <c r="A185" s="6" t="s">
        <v>658</v>
      </c>
      <c r="B185" s="6" t="s">
        <v>659</v>
      </c>
      <c r="C185" s="6" t="s">
        <v>16</v>
      </c>
      <c r="D185" s="6" t="s">
        <v>44</v>
      </c>
      <c r="E185" s="6" t="s">
        <v>27</v>
      </c>
      <c r="F185" s="7" t="s">
        <v>660</v>
      </c>
      <c r="G185" s="6" t="s">
        <v>302</v>
      </c>
      <c r="H185" s="6" t="s">
        <v>8</v>
      </c>
      <c r="I185" s="8"/>
      <c r="J185" s="8"/>
      <c r="K185" s="8"/>
      <c r="L185" s="9"/>
    </row>
    <row r="186" customFormat="false" ht="23.85" hidden="false" customHeight="false" outlineLevel="0" collapsed="false">
      <c r="A186" s="6" t="s">
        <v>661</v>
      </c>
      <c r="B186" s="6" t="s">
        <v>659</v>
      </c>
      <c r="C186" s="6" t="s">
        <v>16</v>
      </c>
      <c r="D186" s="6" t="s">
        <v>44</v>
      </c>
      <c r="E186" s="6" t="s">
        <v>27</v>
      </c>
      <c r="F186" s="7" t="s">
        <v>662</v>
      </c>
      <c r="G186" s="6" t="s">
        <v>663</v>
      </c>
      <c r="H186" s="6" t="s">
        <v>6</v>
      </c>
      <c r="I186" s="8"/>
      <c r="J186" s="8"/>
      <c r="K186" s="8"/>
      <c r="L186" s="9"/>
    </row>
    <row r="187" customFormat="false" ht="23.85" hidden="false" customHeight="false" outlineLevel="0" collapsed="false">
      <c r="A187" s="6" t="s">
        <v>664</v>
      </c>
      <c r="B187" s="6" t="s">
        <v>665</v>
      </c>
      <c r="C187" s="6" t="s">
        <v>16</v>
      </c>
      <c r="D187" s="6" t="s">
        <v>44</v>
      </c>
      <c r="E187" s="6" t="s">
        <v>264</v>
      </c>
      <c r="F187" s="7" t="s">
        <v>666</v>
      </c>
      <c r="G187" s="6" t="s">
        <v>667</v>
      </c>
      <c r="H187" s="6" t="s">
        <v>6</v>
      </c>
      <c r="I187" s="8"/>
      <c r="J187" s="8"/>
      <c r="K187" s="8"/>
      <c r="L187" s="9"/>
    </row>
    <row r="188" customFormat="false" ht="23.85" hidden="false" customHeight="false" outlineLevel="0" collapsed="false">
      <c r="A188" s="6" t="s">
        <v>668</v>
      </c>
      <c r="B188" s="6" t="s">
        <v>665</v>
      </c>
      <c r="C188" s="6" t="s">
        <v>16</v>
      </c>
      <c r="D188" s="6" t="s">
        <v>44</v>
      </c>
      <c r="E188" s="6" t="s">
        <v>264</v>
      </c>
      <c r="F188" s="7" t="s">
        <v>669</v>
      </c>
      <c r="G188" s="6" t="s">
        <v>670</v>
      </c>
      <c r="H188" s="6" t="s">
        <v>8</v>
      </c>
      <c r="I188" s="8"/>
      <c r="J188" s="8"/>
      <c r="K188" s="8"/>
      <c r="L188" s="9"/>
    </row>
    <row r="189" customFormat="false" ht="35.05" hidden="false" customHeight="false" outlineLevel="0" collapsed="false">
      <c r="A189" s="6" t="s">
        <v>671</v>
      </c>
      <c r="B189" s="6" t="s">
        <v>672</v>
      </c>
      <c r="C189" s="6" t="s">
        <v>16</v>
      </c>
      <c r="D189" s="6" t="s">
        <v>44</v>
      </c>
      <c r="E189" s="6" t="s">
        <v>264</v>
      </c>
      <c r="F189" s="7" t="s">
        <v>673</v>
      </c>
      <c r="G189" s="6" t="s">
        <v>622</v>
      </c>
      <c r="H189" s="6" t="s">
        <v>8</v>
      </c>
      <c r="I189" s="8"/>
      <c r="J189" s="8"/>
      <c r="K189" s="8"/>
      <c r="L189" s="9"/>
    </row>
    <row r="190" customFormat="false" ht="15" hidden="false" customHeight="false" outlineLevel="0" collapsed="false">
      <c r="A190" s="6" t="s">
        <v>674</v>
      </c>
      <c r="B190" s="6" t="s">
        <v>672</v>
      </c>
      <c r="C190" s="6" t="s">
        <v>16</v>
      </c>
      <c r="D190" s="6" t="s">
        <v>44</v>
      </c>
      <c r="E190" s="6" t="s">
        <v>264</v>
      </c>
      <c r="F190" s="7" t="s">
        <v>675</v>
      </c>
      <c r="G190" s="6" t="s">
        <v>676</v>
      </c>
      <c r="H190" s="6" t="s">
        <v>10</v>
      </c>
      <c r="I190" s="8"/>
      <c r="J190" s="8"/>
      <c r="K190" s="8"/>
      <c r="L190" s="9"/>
    </row>
    <row r="191" customFormat="false" ht="35.05" hidden="false" customHeight="false" outlineLevel="0" collapsed="false">
      <c r="A191" s="6" t="s">
        <v>677</v>
      </c>
      <c r="B191" s="6" t="s">
        <v>678</v>
      </c>
      <c r="C191" s="6" t="s">
        <v>16</v>
      </c>
      <c r="D191" s="6" t="s">
        <v>44</v>
      </c>
      <c r="E191" s="6" t="s">
        <v>27</v>
      </c>
      <c r="F191" s="7" t="s">
        <v>679</v>
      </c>
      <c r="G191" s="6" t="s">
        <v>680</v>
      </c>
      <c r="H191" s="6" t="s">
        <v>8</v>
      </c>
      <c r="I191" s="8"/>
      <c r="J191" s="8"/>
      <c r="K191" s="8"/>
      <c r="L191" s="9"/>
    </row>
    <row r="192" customFormat="false" ht="23.85" hidden="false" customHeight="false" outlineLevel="0" collapsed="false">
      <c r="A192" s="6" t="s">
        <v>681</v>
      </c>
      <c r="B192" s="6" t="s">
        <v>682</v>
      </c>
      <c r="C192" s="6" t="s">
        <v>16</v>
      </c>
      <c r="D192" s="6" t="s">
        <v>44</v>
      </c>
      <c r="E192" s="6" t="s">
        <v>27</v>
      </c>
      <c r="F192" s="7" t="s">
        <v>683</v>
      </c>
      <c r="G192" s="6" t="s">
        <v>684</v>
      </c>
      <c r="H192" s="6" t="s">
        <v>9</v>
      </c>
      <c r="I192" s="8"/>
      <c r="J192" s="8"/>
      <c r="K192" s="8"/>
      <c r="L192" s="9"/>
    </row>
    <row r="193" customFormat="false" ht="23.85" hidden="false" customHeight="false" outlineLevel="0" collapsed="false">
      <c r="A193" s="6" t="s">
        <v>685</v>
      </c>
      <c r="B193" s="6" t="s">
        <v>686</v>
      </c>
      <c r="C193" s="6" t="s">
        <v>16</v>
      </c>
      <c r="D193" s="6" t="s">
        <v>49</v>
      </c>
      <c r="E193" s="6" t="s">
        <v>319</v>
      </c>
      <c r="F193" s="7" t="s">
        <v>687</v>
      </c>
      <c r="G193" s="6" t="s">
        <v>688</v>
      </c>
      <c r="H193" s="6" t="s">
        <v>6</v>
      </c>
      <c r="I193" s="8"/>
      <c r="J193" s="8"/>
      <c r="K193" s="8"/>
      <c r="L193" s="9"/>
    </row>
    <row r="194" customFormat="false" ht="23.85" hidden="false" customHeight="false" outlineLevel="0" collapsed="false">
      <c r="A194" s="6" t="s">
        <v>689</v>
      </c>
      <c r="B194" s="6" t="s">
        <v>686</v>
      </c>
      <c r="C194" s="6" t="s">
        <v>16</v>
      </c>
      <c r="D194" s="6" t="s">
        <v>49</v>
      </c>
      <c r="E194" s="6" t="s">
        <v>319</v>
      </c>
      <c r="F194" s="7" t="s">
        <v>690</v>
      </c>
      <c r="G194" s="6" t="s">
        <v>691</v>
      </c>
      <c r="H194" s="6" t="s">
        <v>8</v>
      </c>
      <c r="I194" s="8"/>
      <c r="J194" s="8"/>
      <c r="K194" s="8"/>
      <c r="L194" s="9"/>
    </row>
    <row r="195" customFormat="false" ht="23.85" hidden="false" customHeight="false" outlineLevel="0" collapsed="false">
      <c r="A195" s="6" t="s">
        <v>692</v>
      </c>
      <c r="B195" s="6" t="s">
        <v>693</v>
      </c>
      <c r="C195" s="6" t="s">
        <v>17</v>
      </c>
      <c r="D195" s="6" t="s">
        <v>44</v>
      </c>
      <c r="E195" s="6" t="s">
        <v>694</v>
      </c>
      <c r="F195" s="7" t="s">
        <v>695</v>
      </c>
      <c r="G195" s="6" t="s">
        <v>640</v>
      </c>
      <c r="H195" s="6" t="s">
        <v>9</v>
      </c>
      <c r="I195" s="8"/>
      <c r="J195" s="8"/>
      <c r="K195" s="8"/>
      <c r="L195" s="9"/>
    </row>
    <row r="196" customFormat="false" ht="23.85" hidden="false" customHeight="false" outlineLevel="0" collapsed="false">
      <c r="A196" s="6" t="s">
        <v>696</v>
      </c>
      <c r="B196" s="6" t="s">
        <v>693</v>
      </c>
      <c r="C196" s="6" t="s">
        <v>17</v>
      </c>
      <c r="D196" s="6" t="s">
        <v>44</v>
      </c>
      <c r="E196" s="6" t="s">
        <v>694</v>
      </c>
      <c r="F196" s="7" t="s">
        <v>697</v>
      </c>
      <c r="G196" s="6" t="s">
        <v>698</v>
      </c>
      <c r="H196" s="6" t="s">
        <v>8</v>
      </c>
      <c r="I196" s="8"/>
      <c r="J196" s="8"/>
      <c r="K196" s="8"/>
      <c r="L196" s="9"/>
    </row>
    <row r="197" customFormat="false" ht="23.85" hidden="false" customHeight="false" outlineLevel="0" collapsed="false">
      <c r="A197" s="6" t="s">
        <v>699</v>
      </c>
      <c r="B197" s="6" t="s">
        <v>693</v>
      </c>
      <c r="C197" s="6" t="s">
        <v>17</v>
      </c>
      <c r="D197" s="6" t="s">
        <v>44</v>
      </c>
      <c r="E197" s="6" t="s">
        <v>694</v>
      </c>
      <c r="F197" s="7" t="s">
        <v>700</v>
      </c>
      <c r="G197" s="6" t="s">
        <v>701</v>
      </c>
      <c r="H197" s="6" t="s">
        <v>8</v>
      </c>
      <c r="I197" s="8"/>
      <c r="J197" s="8"/>
      <c r="K197" s="8"/>
      <c r="L197" s="9"/>
    </row>
    <row r="198" customFormat="false" ht="15" hidden="false" customHeight="false" outlineLevel="0" collapsed="false">
      <c r="A198" s="6" t="s">
        <v>702</v>
      </c>
      <c r="B198" s="6" t="s">
        <v>693</v>
      </c>
      <c r="C198" s="6" t="s">
        <v>17</v>
      </c>
      <c r="D198" s="6" t="s">
        <v>44</v>
      </c>
      <c r="E198" s="6" t="s">
        <v>694</v>
      </c>
      <c r="F198" s="7" t="s">
        <v>703</v>
      </c>
      <c r="G198" s="6" t="s">
        <v>254</v>
      </c>
      <c r="H198" s="6" t="s">
        <v>9</v>
      </c>
      <c r="I198" s="8"/>
      <c r="J198" s="8"/>
      <c r="K198" s="8"/>
      <c r="L198" s="9"/>
    </row>
    <row r="199" customFormat="false" ht="23.85" hidden="false" customHeight="false" outlineLevel="0" collapsed="false">
      <c r="A199" s="6" t="s">
        <v>704</v>
      </c>
      <c r="B199" s="6" t="s">
        <v>705</v>
      </c>
      <c r="C199" s="6" t="s">
        <v>17</v>
      </c>
      <c r="D199" s="6" t="s">
        <v>44</v>
      </c>
      <c r="E199" s="6" t="s">
        <v>28</v>
      </c>
      <c r="F199" s="7" t="s">
        <v>706</v>
      </c>
      <c r="G199" s="6" t="s">
        <v>707</v>
      </c>
      <c r="H199" s="6" t="s">
        <v>9</v>
      </c>
      <c r="I199" s="8"/>
      <c r="J199" s="8"/>
      <c r="K199" s="8"/>
      <c r="L199" s="9"/>
    </row>
    <row r="200" customFormat="false" ht="23.85" hidden="false" customHeight="false" outlineLevel="0" collapsed="false">
      <c r="A200" s="6" t="s">
        <v>708</v>
      </c>
      <c r="B200" s="6" t="s">
        <v>709</v>
      </c>
      <c r="C200" s="6" t="s">
        <v>17</v>
      </c>
      <c r="D200" s="6" t="s">
        <v>44</v>
      </c>
      <c r="E200" s="6" t="s">
        <v>27</v>
      </c>
      <c r="F200" s="7" t="s">
        <v>710</v>
      </c>
      <c r="G200" s="6" t="s">
        <v>711</v>
      </c>
      <c r="H200" s="6" t="s">
        <v>9</v>
      </c>
      <c r="I200" s="8"/>
      <c r="J200" s="8"/>
      <c r="K200" s="8"/>
      <c r="L200" s="9"/>
    </row>
    <row r="201" customFormat="false" ht="15" hidden="false" customHeight="false" outlineLevel="0" collapsed="false">
      <c r="A201" s="6" t="s">
        <v>712</v>
      </c>
      <c r="B201" s="6" t="s">
        <v>713</v>
      </c>
      <c r="C201" s="6" t="s">
        <v>17</v>
      </c>
      <c r="D201" s="6" t="s">
        <v>44</v>
      </c>
      <c r="E201" s="6" t="s">
        <v>714</v>
      </c>
      <c r="F201" s="7" t="s">
        <v>715</v>
      </c>
      <c r="G201" s="6" t="s">
        <v>716</v>
      </c>
      <c r="H201" s="6" t="s">
        <v>7</v>
      </c>
      <c r="I201" s="8"/>
      <c r="J201" s="8"/>
      <c r="K201" s="8"/>
      <c r="L201" s="9"/>
    </row>
    <row r="202" customFormat="false" ht="15" hidden="false" customHeight="false" outlineLevel="0" collapsed="false">
      <c r="A202" s="6" t="s">
        <v>717</v>
      </c>
      <c r="B202" s="6" t="s">
        <v>713</v>
      </c>
      <c r="C202" s="6" t="s">
        <v>17</v>
      </c>
      <c r="D202" s="6" t="s">
        <v>44</v>
      </c>
      <c r="E202" s="6" t="s">
        <v>714</v>
      </c>
      <c r="F202" s="7" t="s">
        <v>718</v>
      </c>
      <c r="G202" s="6" t="s">
        <v>701</v>
      </c>
      <c r="H202" s="6" t="s">
        <v>8</v>
      </c>
      <c r="I202" s="8"/>
      <c r="J202" s="8"/>
      <c r="K202" s="8"/>
      <c r="L202" s="9"/>
    </row>
    <row r="203" customFormat="false" ht="23.85" hidden="false" customHeight="false" outlineLevel="0" collapsed="false">
      <c r="A203" s="6" t="s">
        <v>719</v>
      </c>
      <c r="B203" s="6" t="s">
        <v>720</v>
      </c>
      <c r="C203" s="6" t="s">
        <v>17</v>
      </c>
      <c r="D203" s="6" t="s">
        <v>49</v>
      </c>
      <c r="E203" s="6" t="s">
        <v>27</v>
      </c>
      <c r="F203" s="7" t="s">
        <v>721</v>
      </c>
      <c r="G203" s="6" t="s">
        <v>722</v>
      </c>
      <c r="H203" s="6" t="s">
        <v>6</v>
      </c>
      <c r="I203" s="8"/>
      <c r="J203" s="8"/>
      <c r="K203" s="8"/>
      <c r="L203" s="9"/>
    </row>
    <row r="204" customFormat="false" ht="15" hidden="false" customHeight="false" outlineLevel="0" collapsed="false">
      <c r="A204" s="6" t="s">
        <v>723</v>
      </c>
      <c r="B204" s="6" t="s">
        <v>720</v>
      </c>
      <c r="C204" s="6" t="s">
        <v>17</v>
      </c>
      <c r="D204" s="6" t="s">
        <v>49</v>
      </c>
      <c r="E204" s="6" t="s">
        <v>27</v>
      </c>
      <c r="F204" s="7" t="s">
        <v>724</v>
      </c>
      <c r="G204" s="6" t="s">
        <v>725</v>
      </c>
      <c r="H204" s="6" t="s">
        <v>11</v>
      </c>
      <c r="I204" s="8"/>
      <c r="J204" s="8"/>
      <c r="K204" s="8"/>
      <c r="L204" s="9"/>
    </row>
    <row r="205" customFormat="false" ht="15" hidden="false" customHeight="false" outlineLevel="0" collapsed="false">
      <c r="A205" s="6" t="s">
        <v>726</v>
      </c>
      <c r="B205" s="6" t="s">
        <v>720</v>
      </c>
      <c r="C205" s="6" t="s">
        <v>17</v>
      </c>
      <c r="D205" s="6" t="s">
        <v>49</v>
      </c>
      <c r="E205" s="6" t="s">
        <v>27</v>
      </c>
      <c r="F205" s="7" t="s">
        <v>727</v>
      </c>
      <c r="G205" s="6" t="s">
        <v>728</v>
      </c>
      <c r="H205" s="6" t="s">
        <v>6</v>
      </c>
      <c r="I205" s="8"/>
      <c r="J205" s="8"/>
      <c r="K205" s="8"/>
      <c r="L205" s="9"/>
    </row>
    <row r="206" customFormat="false" ht="15" hidden="false" customHeight="false" outlineLevel="0" collapsed="false">
      <c r="A206" s="6" t="s">
        <v>729</v>
      </c>
      <c r="B206" s="6" t="s">
        <v>720</v>
      </c>
      <c r="C206" s="6" t="s">
        <v>17</v>
      </c>
      <c r="D206" s="6" t="s">
        <v>49</v>
      </c>
      <c r="E206" s="6" t="s">
        <v>27</v>
      </c>
      <c r="F206" s="7" t="s">
        <v>730</v>
      </c>
      <c r="G206" s="6" t="s">
        <v>731</v>
      </c>
      <c r="H206" s="6" t="s">
        <v>8</v>
      </c>
      <c r="I206" s="8"/>
      <c r="J206" s="8"/>
      <c r="K206" s="8"/>
      <c r="L206" s="9"/>
    </row>
    <row r="207" customFormat="false" ht="23.85" hidden="false" customHeight="false" outlineLevel="0" collapsed="false">
      <c r="A207" s="6" t="s">
        <v>732</v>
      </c>
      <c r="B207" s="6" t="s">
        <v>720</v>
      </c>
      <c r="C207" s="6" t="s">
        <v>17</v>
      </c>
      <c r="D207" s="6" t="s">
        <v>49</v>
      </c>
      <c r="E207" s="6" t="s">
        <v>27</v>
      </c>
      <c r="F207" s="7" t="s">
        <v>733</v>
      </c>
      <c r="G207" s="6" t="s">
        <v>734</v>
      </c>
      <c r="H207" s="6" t="s">
        <v>6</v>
      </c>
      <c r="I207" s="8"/>
      <c r="J207" s="8"/>
      <c r="K207" s="8"/>
      <c r="L207" s="9"/>
    </row>
    <row r="208" customFormat="false" ht="46.25" hidden="false" customHeight="false" outlineLevel="0" collapsed="false">
      <c r="A208" s="6" t="s">
        <v>735</v>
      </c>
      <c r="B208" s="6" t="s">
        <v>736</v>
      </c>
      <c r="C208" s="6" t="s">
        <v>17</v>
      </c>
      <c r="D208" s="6" t="s">
        <v>49</v>
      </c>
      <c r="E208" s="6" t="s">
        <v>264</v>
      </c>
      <c r="F208" s="7" t="s">
        <v>737</v>
      </c>
      <c r="G208" s="6" t="s">
        <v>738</v>
      </c>
      <c r="H208" s="6" t="s">
        <v>8</v>
      </c>
      <c r="I208" s="8"/>
      <c r="J208" s="8"/>
      <c r="K208" s="8"/>
      <c r="L208" s="9"/>
    </row>
    <row r="209" customFormat="false" ht="23.85" hidden="false" customHeight="false" outlineLevel="0" collapsed="false">
      <c r="A209" s="6" t="s">
        <v>739</v>
      </c>
      <c r="B209" s="6" t="s">
        <v>736</v>
      </c>
      <c r="C209" s="6" t="s">
        <v>17</v>
      </c>
      <c r="D209" s="6" t="s">
        <v>49</v>
      </c>
      <c r="E209" s="6" t="s">
        <v>264</v>
      </c>
      <c r="F209" s="7" t="s">
        <v>740</v>
      </c>
      <c r="G209" s="6" t="s">
        <v>741</v>
      </c>
      <c r="H209" s="6" t="s">
        <v>8</v>
      </c>
      <c r="I209" s="8"/>
      <c r="J209" s="8"/>
      <c r="K209" s="8"/>
      <c r="L209" s="9"/>
    </row>
    <row r="210" customFormat="false" ht="23.85" hidden="false" customHeight="false" outlineLevel="0" collapsed="false">
      <c r="A210" s="6" t="s">
        <v>742</v>
      </c>
      <c r="B210" s="6" t="s">
        <v>736</v>
      </c>
      <c r="C210" s="6" t="s">
        <v>17</v>
      </c>
      <c r="D210" s="6" t="s">
        <v>49</v>
      </c>
      <c r="E210" s="6" t="s">
        <v>264</v>
      </c>
      <c r="F210" s="7" t="s">
        <v>743</v>
      </c>
      <c r="G210" s="6" t="s">
        <v>744</v>
      </c>
      <c r="H210" s="6" t="s">
        <v>7</v>
      </c>
      <c r="I210" s="8"/>
      <c r="J210" s="8"/>
      <c r="K210" s="8"/>
      <c r="L210" s="9"/>
    </row>
    <row r="211" customFormat="false" ht="23.85" hidden="false" customHeight="false" outlineLevel="0" collapsed="false">
      <c r="A211" s="6" t="s">
        <v>745</v>
      </c>
      <c r="B211" s="6" t="s">
        <v>736</v>
      </c>
      <c r="C211" s="6" t="s">
        <v>17</v>
      </c>
      <c r="D211" s="6" t="s">
        <v>49</v>
      </c>
      <c r="E211" s="6" t="s">
        <v>264</v>
      </c>
      <c r="F211" s="7" t="s">
        <v>746</v>
      </c>
      <c r="G211" s="6" t="s">
        <v>747</v>
      </c>
      <c r="H211" s="6" t="s">
        <v>8</v>
      </c>
      <c r="I211" s="8"/>
      <c r="J211" s="8"/>
      <c r="K211" s="8"/>
      <c r="L211" s="9"/>
    </row>
    <row r="212" customFormat="false" ht="15" hidden="false" customHeight="false" outlineLevel="0" collapsed="false">
      <c r="A212" s="6" t="s">
        <v>748</v>
      </c>
      <c r="B212" s="6" t="s">
        <v>736</v>
      </c>
      <c r="C212" s="6" t="s">
        <v>17</v>
      </c>
      <c r="D212" s="6" t="s">
        <v>49</v>
      </c>
      <c r="E212" s="6" t="s">
        <v>264</v>
      </c>
      <c r="F212" s="7" t="s">
        <v>749</v>
      </c>
      <c r="G212" s="6" t="s">
        <v>750</v>
      </c>
      <c r="H212" s="6" t="s">
        <v>11</v>
      </c>
      <c r="I212" s="8"/>
      <c r="J212" s="8"/>
      <c r="K212" s="8"/>
      <c r="L212" s="9"/>
    </row>
    <row r="213" customFormat="false" ht="23.85" hidden="false" customHeight="false" outlineLevel="0" collapsed="false">
      <c r="A213" s="6" t="s">
        <v>751</v>
      </c>
      <c r="B213" s="6" t="s">
        <v>736</v>
      </c>
      <c r="C213" s="6" t="s">
        <v>17</v>
      </c>
      <c r="D213" s="6" t="s">
        <v>49</v>
      </c>
      <c r="E213" s="6" t="s">
        <v>264</v>
      </c>
      <c r="F213" s="7" t="s">
        <v>752</v>
      </c>
      <c r="G213" s="6" t="s">
        <v>753</v>
      </c>
      <c r="H213" s="6" t="s">
        <v>6</v>
      </c>
      <c r="I213" s="8"/>
      <c r="J213" s="8"/>
      <c r="K213" s="8"/>
      <c r="L213" s="9"/>
    </row>
    <row r="214" customFormat="false" ht="15" hidden="false" customHeight="false" outlineLevel="0" collapsed="false">
      <c r="A214" s="6" t="s">
        <v>754</v>
      </c>
      <c r="B214" s="6" t="s">
        <v>736</v>
      </c>
      <c r="C214" s="6" t="s">
        <v>17</v>
      </c>
      <c r="D214" s="6" t="s">
        <v>49</v>
      </c>
      <c r="E214" s="6" t="s">
        <v>264</v>
      </c>
      <c r="F214" s="7" t="s">
        <v>755</v>
      </c>
      <c r="G214" s="6" t="s">
        <v>756</v>
      </c>
      <c r="H214" s="6" t="s">
        <v>6</v>
      </c>
      <c r="I214" s="8"/>
      <c r="J214" s="8"/>
      <c r="K214" s="8"/>
      <c r="L214" s="9"/>
    </row>
    <row r="215" customFormat="false" ht="23.85" hidden="false" customHeight="false" outlineLevel="0" collapsed="false">
      <c r="A215" s="6" t="s">
        <v>757</v>
      </c>
      <c r="B215" s="6" t="s">
        <v>736</v>
      </c>
      <c r="C215" s="6" t="s">
        <v>17</v>
      </c>
      <c r="D215" s="6" t="s">
        <v>49</v>
      </c>
      <c r="E215" s="6" t="s">
        <v>264</v>
      </c>
      <c r="F215" s="7" t="s">
        <v>758</v>
      </c>
      <c r="G215" s="6" t="s">
        <v>759</v>
      </c>
      <c r="H215" s="6" t="s">
        <v>6</v>
      </c>
      <c r="I215" s="8"/>
      <c r="J215" s="8"/>
      <c r="K215" s="8"/>
      <c r="L215" s="9"/>
    </row>
    <row r="216" customFormat="false" ht="15" hidden="false" customHeight="false" outlineLevel="0" collapsed="false">
      <c r="A216" s="6" t="s">
        <v>760</v>
      </c>
      <c r="B216" s="6" t="s">
        <v>736</v>
      </c>
      <c r="C216" s="6" t="s">
        <v>17</v>
      </c>
      <c r="D216" s="6" t="s">
        <v>49</v>
      </c>
      <c r="E216" s="6" t="s">
        <v>264</v>
      </c>
      <c r="F216" s="7" t="s">
        <v>761</v>
      </c>
      <c r="G216" s="6" t="s">
        <v>762</v>
      </c>
      <c r="H216" s="6" t="s">
        <v>11</v>
      </c>
      <c r="I216" s="8"/>
      <c r="J216" s="8"/>
      <c r="K216" s="8"/>
      <c r="L216" s="9"/>
    </row>
    <row r="217" customFormat="false" ht="35.05" hidden="false" customHeight="false" outlineLevel="0" collapsed="false">
      <c r="A217" s="6" t="s">
        <v>763</v>
      </c>
      <c r="B217" s="6" t="s">
        <v>736</v>
      </c>
      <c r="C217" s="6" t="s">
        <v>17</v>
      </c>
      <c r="D217" s="6" t="s">
        <v>49</v>
      </c>
      <c r="E217" s="6" t="s">
        <v>264</v>
      </c>
      <c r="F217" s="7" t="s">
        <v>764</v>
      </c>
      <c r="G217" s="6" t="s">
        <v>765</v>
      </c>
      <c r="H217" s="6" t="s">
        <v>11</v>
      </c>
      <c r="I217" s="8"/>
      <c r="J217" s="8"/>
      <c r="K217" s="8"/>
      <c r="L217" s="9"/>
    </row>
    <row r="218" customFormat="false" ht="23.85" hidden="false" customHeight="false" outlineLevel="0" collapsed="false">
      <c r="A218" s="6" t="s">
        <v>766</v>
      </c>
      <c r="B218" s="6" t="s">
        <v>736</v>
      </c>
      <c r="C218" s="6" t="s">
        <v>17</v>
      </c>
      <c r="D218" s="6" t="s">
        <v>49</v>
      </c>
      <c r="E218" s="6" t="s">
        <v>264</v>
      </c>
      <c r="F218" s="7" t="s">
        <v>767</v>
      </c>
      <c r="G218" s="6" t="s">
        <v>768</v>
      </c>
      <c r="H218" s="6" t="s">
        <v>6</v>
      </c>
      <c r="I218" s="8"/>
      <c r="J218" s="8"/>
      <c r="K218" s="8"/>
      <c r="L218" s="9"/>
    </row>
    <row r="219" customFormat="false" ht="23.85" hidden="false" customHeight="false" outlineLevel="0" collapsed="false">
      <c r="A219" s="6" t="s">
        <v>769</v>
      </c>
      <c r="B219" s="6" t="s">
        <v>736</v>
      </c>
      <c r="C219" s="6" t="s">
        <v>17</v>
      </c>
      <c r="D219" s="6" t="s">
        <v>49</v>
      </c>
      <c r="E219" s="6" t="s">
        <v>264</v>
      </c>
      <c r="F219" s="7" t="s">
        <v>770</v>
      </c>
      <c r="G219" s="6" t="s">
        <v>771</v>
      </c>
      <c r="H219" s="6" t="s">
        <v>11</v>
      </c>
      <c r="I219" s="8"/>
      <c r="J219" s="8"/>
      <c r="K219" s="8"/>
      <c r="L219" s="9"/>
    </row>
    <row r="220" customFormat="false" ht="23.85" hidden="false" customHeight="false" outlineLevel="0" collapsed="false">
      <c r="A220" s="6" t="s">
        <v>772</v>
      </c>
      <c r="B220" s="6" t="s">
        <v>736</v>
      </c>
      <c r="C220" s="6" t="s">
        <v>17</v>
      </c>
      <c r="D220" s="6" t="s">
        <v>49</v>
      </c>
      <c r="E220" s="6" t="s">
        <v>264</v>
      </c>
      <c r="F220" s="7" t="s">
        <v>773</v>
      </c>
      <c r="G220" s="6" t="s">
        <v>774</v>
      </c>
      <c r="H220" s="6" t="s">
        <v>11</v>
      </c>
      <c r="I220" s="8"/>
      <c r="J220" s="8"/>
      <c r="K220" s="8"/>
      <c r="L220" s="9"/>
    </row>
    <row r="221" customFormat="false" ht="15" hidden="false" customHeight="false" outlineLevel="0" collapsed="false">
      <c r="A221" s="6" t="s">
        <v>775</v>
      </c>
      <c r="B221" s="6" t="s">
        <v>736</v>
      </c>
      <c r="C221" s="6" t="s">
        <v>17</v>
      </c>
      <c r="D221" s="6" t="s">
        <v>49</v>
      </c>
      <c r="E221" s="6" t="s">
        <v>264</v>
      </c>
      <c r="F221" s="7" t="s">
        <v>776</v>
      </c>
      <c r="G221" s="6" t="s">
        <v>777</v>
      </c>
      <c r="H221" s="6" t="s">
        <v>11</v>
      </c>
      <c r="I221" s="8"/>
      <c r="J221" s="8"/>
      <c r="K221" s="8"/>
      <c r="L221" s="9"/>
    </row>
    <row r="222" customFormat="false" ht="15" hidden="false" customHeight="false" outlineLevel="0" collapsed="false">
      <c r="A222" s="6" t="s">
        <v>778</v>
      </c>
      <c r="B222" s="6" t="s">
        <v>736</v>
      </c>
      <c r="C222" s="6" t="s">
        <v>17</v>
      </c>
      <c r="D222" s="6" t="s">
        <v>49</v>
      </c>
      <c r="E222" s="6" t="s">
        <v>264</v>
      </c>
      <c r="F222" s="7" t="s">
        <v>779</v>
      </c>
      <c r="G222" s="6" t="s">
        <v>780</v>
      </c>
      <c r="H222" s="6" t="s">
        <v>6</v>
      </c>
      <c r="I222" s="8"/>
      <c r="J222" s="8"/>
      <c r="K222" s="8"/>
      <c r="L222" s="9"/>
    </row>
    <row r="223" customFormat="false" ht="23.85" hidden="false" customHeight="false" outlineLevel="0" collapsed="false">
      <c r="A223" s="6" t="s">
        <v>781</v>
      </c>
      <c r="B223" s="6" t="s">
        <v>736</v>
      </c>
      <c r="C223" s="6" t="s">
        <v>17</v>
      </c>
      <c r="D223" s="6" t="s">
        <v>49</v>
      </c>
      <c r="E223" s="6" t="s">
        <v>264</v>
      </c>
      <c r="F223" s="7" t="s">
        <v>782</v>
      </c>
      <c r="G223" s="6" t="s">
        <v>783</v>
      </c>
      <c r="H223" s="6" t="s">
        <v>6</v>
      </c>
      <c r="I223" s="8"/>
      <c r="J223" s="8"/>
      <c r="K223" s="8"/>
      <c r="L223" s="9"/>
    </row>
    <row r="224" customFormat="false" ht="15" hidden="false" customHeight="false" outlineLevel="0" collapsed="false">
      <c r="A224" s="6" t="s">
        <v>784</v>
      </c>
      <c r="B224" s="6" t="s">
        <v>736</v>
      </c>
      <c r="C224" s="6" t="s">
        <v>17</v>
      </c>
      <c r="D224" s="6" t="s">
        <v>49</v>
      </c>
      <c r="E224" s="6" t="s">
        <v>264</v>
      </c>
      <c r="F224" s="7" t="s">
        <v>785</v>
      </c>
      <c r="G224" s="6" t="s">
        <v>786</v>
      </c>
      <c r="H224" s="6" t="s">
        <v>7</v>
      </c>
      <c r="I224" s="8"/>
      <c r="J224" s="8"/>
      <c r="K224" s="8"/>
      <c r="L224" s="9"/>
    </row>
    <row r="225" customFormat="false" ht="23.85" hidden="false" customHeight="false" outlineLevel="0" collapsed="false">
      <c r="A225" s="6" t="s">
        <v>787</v>
      </c>
      <c r="B225" s="6" t="s">
        <v>788</v>
      </c>
      <c r="C225" s="6" t="s">
        <v>17</v>
      </c>
      <c r="D225" s="6" t="s">
        <v>49</v>
      </c>
      <c r="E225" s="6" t="s">
        <v>789</v>
      </c>
      <c r="F225" s="7" t="s">
        <v>790</v>
      </c>
      <c r="G225" s="6" t="s">
        <v>791</v>
      </c>
      <c r="H225" s="6" t="s">
        <v>6</v>
      </c>
      <c r="I225" s="8"/>
      <c r="J225" s="8"/>
      <c r="K225" s="8"/>
      <c r="L225" s="9"/>
    </row>
    <row r="226" customFormat="false" ht="15" hidden="false" customHeight="false" outlineLevel="0" collapsed="false">
      <c r="A226" s="6" t="s">
        <v>792</v>
      </c>
      <c r="B226" s="6" t="s">
        <v>788</v>
      </c>
      <c r="C226" s="6" t="s">
        <v>17</v>
      </c>
      <c r="D226" s="6" t="s">
        <v>49</v>
      </c>
      <c r="E226" s="6" t="s">
        <v>789</v>
      </c>
      <c r="F226" s="7" t="s">
        <v>793</v>
      </c>
      <c r="G226" s="6" t="s">
        <v>794</v>
      </c>
      <c r="H226" s="6" t="s">
        <v>6</v>
      </c>
      <c r="I226" s="8"/>
      <c r="J226" s="8"/>
      <c r="K226" s="8"/>
      <c r="L226" s="9"/>
    </row>
    <row r="227" customFormat="false" ht="15" hidden="false" customHeight="false" outlineLevel="0" collapsed="false">
      <c r="A227" s="6" t="s">
        <v>795</v>
      </c>
      <c r="B227" s="6" t="s">
        <v>788</v>
      </c>
      <c r="C227" s="6" t="s">
        <v>17</v>
      </c>
      <c r="D227" s="6" t="s">
        <v>49</v>
      </c>
      <c r="E227" s="6" t="s">
        <v>789</v>
      </c>
      <c r="F227" s="7" t="s">
        <v>796</v>
      </c>
      <c r="G227" s="6" t="s">
        <v>797</v>
      </c>
      <c r="H227" s="6" t="s">
        <v>6</v>
      </c>
      <c r="I227" s="8"/>
      <c r="J227" s="8"/>
      <c r="K227" s="8"/>
      <c r="L227" s="9"/>
    </row>
    <row r="228" customFormat="false" ht="15" hidden="false" customHeight="false" outlineLevel="0" collapsed="false">
      <c r="A228" s="6" t="s">
        <v>798</v>
      </c>
      <c r="B228" s="6" t="s">
        <v>788</v>
      </c>
      <c r="C228" s="6" t="s">
        <v>17</v>
      </c>
      <c r="D228" s="6" t="s">
        <v>49</v>
      </c>
      <c r="E228" s="6" t="s">
        <v>789</v>
      </c>
      <c r="F228" s="7" t="s">
        <v>799</v>
      </c>
      <c r="G228" s="6" t="s">
        <v>800</v>
      </c>
      <c r="H228" s="6" t="s">
        <v>6</v>
      </c>
      <c r="I228" s="8"/>
      <c r="J228" s="8"/>
      <c r="K228" s="8"/>
      <c r="L228" s="9"/>
    </row>
    <row r="229" customFormat="false" ht="15" hidden="false" customHeight="false" outlineLevel="0" collapsed="false">
      <c r="A229" s="6" t="s">
        <v>801</v>
      </c>
      <c r="B229" s="6" t="s">
        <v>788</v>
      </c>
      <c r="C229" s="6" t="s">
        <v>17</v>
      </c>
      <c r="D229" s="6" t="s">
        <v>49</v>
      </c>
      <c r="E229" s="6" t="s">
        <v>789</v>
      </c>
      <c r="F229" s="7" t="s">
        <v>802</v>
      </c>
      <c r="G229" s="6" t="s">
        <v>803</v>
      </c>
      <c r="H229" s="6" t="s">
        <v>7</v>
      </c>
      <c r="I229" s="8"/>
      <c r="J229" s="8"/>
      <c r="K229" s="8"/>
      <c r="L229" s="9"/>
    </row>
    <row r="230" customFormat="false" ht="15" hidden="false" customHeight="false" outlineLevel="0" collapsed="false">
      <c r="A230" s="6" t="s">
        <v>804</v>
      </c>
      <c r="B230" s="6" t="s">
        <v>788</v>
      </c>
      <c r="C230" s="6" t="s">
        <v>17</v>
      </c>
      <c r="D230" s="6" t="s">
        <v>49</v>
      </c>
      <c r="E230" s="6" t="s">
        <v>789</v>
      </c>
      <c r="F230" s="7" t="s">
        <v>805</v>
      </c>
      <c r="G230" s="6" t="s">
        <v>806</v>
      </c>
      <c r="H230" s="6" t="s">
        <v>8</v>
      </c>
      <c r="I230" s="8"/>
      <c r="J230" s="8"/>
      <c r="K230" s="8"/>
      <c r="L230" s="9"/>
    </row>
    <row r="231" customFormat="false" ht="15" hidden="false" customHeight="false" outlineLevel="0" collapsed="false">
      <c r="A231" s="6" t="s">
        <v>807</v>
      </c>
      <c r="B231" s="6" t="s">
        <v>808</v>
      </c>
      <c r="C231" s="6" t="s">
        <v>17</v>
      </c>
      <c r="D231" s="6" t="s">
        <v>49</v>
      </c>
      <c r="E231" s="6" t="s">
        <v>809</v>
      </c>
      <c r="F231" s="7" t="s">
        <v>810</v>
      </c>
      <c r="G231" s="6" t="s">
        <v>811</v>
      </c>
      <c r="H231" s="6" t="s">
        <v>6</v>
      </c>
      <c r="I231" s="8"/>
      <c r="J231" s="8"/>
      <c r="K231" s="8"/>
      <c r="L231" s="9"/>
    </row>
    <row r="232" customFormat="false" ht="23.85" hidden="false" customHeight="false" outlineLevel="0" collapsed="false">
      <c r="A232" s="6" t="s">
        <v>812</v>
      </c>
      <c r="B232" s="6" t="s">
        <v>808</v>
      </c>
      <c r="C232" s="6" t="s">
        <v>17</v>
      </c>
      <c r="D232" s="6" t="s">
        <v>49</v>
      </c>
      <c r="E232" s="6" t="s">
        <v>809</v>
      </c>
      <c r="F232" s="7" t="s">
        <v>813</v>
      </c>
      <c r="G232" s="6" t="s">
        <v>814</v>
      </c>
      <c r="H232" s="6" t="s">
        <v>7</v>
      </c>
      <c r="I232" s="8"/>
      <c r="J232" s="8"/>
      <c r="K232" s="8"/>
      <c r="L232" s="9"/>
    </row>
    <row r="233" customFormat="false" ht="15" hidden="false" customHeight="false" outlineLevel="0" collapsed="false">
      <c r="A233" s="6" t="s">
        <v>815</v>
      </c>
      <c r="B233" s="6" t="s">
        <v>808</v>
      </c>
      <c r="C233" s="6" t="s">
        <v>17</v>
      </c>
      <c r="D233" s="6" t="s">
        <v>49</v>
      </c>
      <c r="E233" s="6" t="s">
        <v>809</v>
      </c>
      <c r="F233" s="7" t="s">
        <v>816</v>
      </c>
      <c r="G233" s="6" t="s">
        <v>817</v>
      </c>
      <c r="H233" s="6" t="s">
        <v>8</v>
      </c>
      <c r="I233" s="8"/>
      <c r="J233" s="8"/>
      <c r="K233" s="8"/>
      <c r="L233" s="9"/>
    </row>
    <row r="234" customFormat="false" ht="15" hidden="false" customHeight="false" outlineLevel="0" collapsed="false">
      <c r="A234" s="6" t="s">
        <v>818</v>
      </c>
      <c r="B234" s="6" t="s">
        <v>808</v>
      </c>
      <c r="C234" s="6" t="s">
        <v>17</v>
      </c>
      <c r="D234" s="6" t="s">
        <v>49</v>
      </c>
      <c r="E234" s="6" t="s">
        <v>809</v>
      </c>
      <c r="F234" s="7" t="s">
        <v>819</v>
      </c>
      <c r="G234" s="6" t="s">
        <v>820</v>
      </c>
      <c r="H234" s="6" t="s">
        <v>6</v>
      </c>
      <c r="I234" s="8"/>
      <c r="J234" s="8"/>
      <c r="K234" s="8"/>
      <c r="L234" s="9"/>
    </row>
    <row r="235" customFormat="false" ht="23.85" hidden="false" customHeight="false" outlineLevel="0" collapsed="false">
      <c r="A235" s="6" t="s">
        <v>821</v>
      </c>
      <c r="B235" s="6" t="s">
        <v>808</v>
      </c>
      <c r="C235" s="6" t="s">
        <v>17</v>
      </c>
      <c r="D235" s="6" t="s">
        <v>49</v>
      </c>
      <c r="E235" s="6" t="s">
        <v>809</v>
      </c>
      <c r="F235" s="7" t="s">
        <v>822</v>
      </c>
      <c r="G235" s="6" t="s">
        <v>823</v>
      </c>
      <c r="H235" s="6" t="s">
        <v>6</v>
      </c>
      <c r="I235" s="8"/>
      <c r="J235" s="8"/>
      <c r="K235" s="8"/>
      <c r="L235" s="9"/>
    </row>
    <row r="236" customFormat="false" ht="23.85" hidden="false" customHeight="false" outlineLevel="0" collapsed="false">
      <c r="A236" s="6" t="s">
        <v>824</v>
      </c>
      <c r="B236" s="6" t="s">
        <v>808</v>
      </c>
      <c r="C236" s="6" t="s">
        <v>17</v>
      </c>
      <c r="D236" s="6" t="s">
        <v>49</v>
      </c>
      <c r="E236" s="6" t="s">
        <v>809</v>
      </c>
      <c r="F236" s="7" t="s">
        <v>825</v>
      </c>
      <c r="G236" s="6" t="s">
        <v>405</v>
      </c>
      <c r="H236" s="6" t="s">
        <v>6</v>
      </c>
      <c r="I236" s="8"/>
      <c r="J236" s="8"/>
      <c r="K236" s="8"/>
      <c r="L236" s="9"/>
    </row>
    <row r="237" customFormat="false" ht="15" hidden="false" customHeight="false" outlineLevel="0" collapsed="false">
      <c r="A237" s="6" t="s">
        <v>826</v>
      </c>
      <c r="B237" s="6" t="s">
        <v>808</v>
      </c>
      <c r="C237" s="6" t="s">
        <v>17</v>
      </c>
      <c r="D237" s="6" t="s">
        <v>49</v>
      </c>
      <c r="E237" s="6" t="s">
        <v>809</v>
      </c>
      <c r="F237" s="7" t="s">
        <v>827</v>
      </c>
      <c r="G237" s="6" t="s">
        <v>828</v>
      </c>
      <c r="H237" s="6" t="s">
        <v>6</v>
      </c>
      <c r="I237" s="8"/>
      <c r="J237" s="8"/>
      <c r="K237" s="8"/>
      <c r="L237" s="9"/>
    </row>
    <row r="238" customFormat="false" ht="23.85" hidden="false" customHeight="false" outlineLevel="0" collapsed="false">
      <c r="A238" s="6" t="s">
        <v>829</v>
      </c>
      <c r="B238" s="6" t="s">
        <v>808</v>
      </c>
      <c r="C238" s="6" t="s">
        <v>17</v>
      </c>
      <c r="D238" s="6" t="s">
        <v>49</v>
      </c>
      <c r="E238" s="6" t="s">
        <v>809</v>
      </c>
      <c r="F238" s="7" t="s">
        <v>830</v>
      </c>
      <c r="G238" s="6" t="s">
        <v>831</v>
      </c>
      <c r="H238" s="6" t="s">
        <v>6</v>
      </c>
      <c r="I238" s="8"/>
      <c r="J238" s="8"/>
      <c r="K238" s="8"/>
      <c r="L238" s="9"/>
    </row>
    <row r="239" customFormat="false" ht="15" hidden="false" customHeight="false" outlineLevel="0" collapsed="false">
      <c r="A239" s="6" t="s">
        <v>832</v>
      </c>
      <c r="B239" s="6" t="s">
        <v>808</v>
      </c>
      <c r="C239" s="6" t="s">
        <v>17</v>
      </c>
      <c r="D239" s="6" t="s">
        <v>49</v>
      </c>
      <c r="E239" s="6" t="s">
        <v>809</v>
      </c>
      <c r="F239" s="7" t="s">
        <v>833</v>
      </c>
      <c r="G239" s="6" t="s">
        <v>834</v>
      </c>
      <c r="H239" s="6" t="s">
        <v>8</v>
      </c>
      <c r="I239" s="8"/>
      <c r="J239" s="8"/>
      <c r="K239" s="8"/>
      <c r="L239" s="9"/>
    </row>
    <row r="240" customFormat="false" ht="23.85" hidden="false" customHeight="false" outlineLevel="0" collapsed="false">
      <c r="A240" s="6" t="s">
        <v>835</v>
      </c>
      <c r="B240" s="6" t="s">
        <v>808</v>
      </c>
      <c r="C240" s="6" t="s">
        <v>17</v>
      </c>
      <c r="D240" s="6" t="s">
        <v>49</v>
      </c>
      <c r="E240" s="6" t="s">
        <v>809</v>
      </c>
      <c r="F240" s="7" t="s">
        <v>836</v>
      </c>
      <c r="G240" s="6" t="s">
        <v>837</v>
      </c>
      <c r="H240" s="6" t="s">
        <v>6</v>
      </c>
      <c r="I240" s="8"/>
      <c r="J240" s="8"/>
      <c r="K240" s="8"/>
      <c r="L240" s="9"/>
    </row>
    <row r="241" customFormat="false" ht="23.85" hidden="false" customHeight="false" outlineLevel="0" collapsed="false">
      <c r="A241" s="6" t="s">
        <v>838</v>
      </c>
      <c r="B241" s="6" t="s">
        <v>808</v>
      </c>
      <c r="C241" s="6" t="s">
        <v>17</v>
      </c>
      <c r="D241" s="6" t="s">
        <v>49</v>
      </c>
      <c r="E241" s="6" t="s">
        <v>809</v>
      </c>
      <c r="F241" s="7" t="s">
        <v>839</v>
      </c>
      <c r="G241" s="6" t="s">
        <v>840</v>
      </c>
      <c r="H241" s="6" t="s">
        <v>6</v>
      </c>
      <c r="I241" s="8"/>
      <c r="J241" s="8"/>
      <c r="K241" s="8"/>
      <c r="L241" s="9"/>
    </row>
    <row r="242" customFormat="false" ht="23.85" hidden="false" customHeight="false" outlineLevel="0" collapsed="false">
      <c r="A242" s="6" t="s">
        <v>841</v>
      </c>
      <c r="B242" s="6" t="s">
        <v>808</v>
      </c>
      <c r="C242" s="6" t="s">
        <v>17</v>
      </c>
      <c r="D242" s="6" t="s">
        <v>49</v>
      </c>
      <c r="E242" s="6" t="s">
        <v>809</v>
      </c>
      <c r="F242" s="7" t="s">
        <v>842</v>
      </c>
      <c r="G242" s="6" t="s">
        <v>843</v>
      </c>
      <c r="H242" s="6" t="s">
        <v>6</v>
      </c>
      <c r="I242" s="8"/>
      <c r="J242" s="8"/>
      <c r="K242" s="8"/>
      <c r="L242" s="9"/>
    </row>
    <row r="243" customFormat="false" ht="15" hidden="false" customHeight="false" outlineLevel="0" collapsed="false">
      <c r="A243" s="6" t="s">
        <v>844</v>
      </c>
      <c r="B243" s="6" t="s">
        <v>808</v>
      </c>
      <c r="C243" s="6" t="s">
        <v>17</v>
      </c>
      <c r="D243" s="6" t="s">
        <v>49</v>
      </c>
      <c r="E243" s="6" t="s">
        <v>809</v>
      </c>
      <c r="F243" s="7" t="s">
        <v>845</v>
      </c>
      <c r="G243" s="6" t="s">
        <v>846</v>
      </c>
      <c r="H243" s="6" t="s">
        <v>6</v>
      </c>
      <c r="I243" s="8"/>
      <c r="J243" s="8"/>
      <c r="K243" s="8"/>
      <c r="L243" s="9"/>
    </row>
    <row r="244" customFormat="false" ht="23.85" hidden="false" customHeight="false" outlineLevel="0" collapsed="false">
      <c r="A244" s="6" t="s">
        <v>847</v>
      </c>
      <c r="B244" s="6" t="s">
        <v>808</v>
      </c>
      <c r="C244" s="6" t="s">
        <v>17</v>
      </c>
      <c r="D244" s="6" t="s">
        <v>49</v>
      </c>
      <c r="E244" s="6" t="s">
        <v>809</v>
      </c>
      <c r="F244" s="7" t="s">
        <v>848</v>
      </c>
      <c r="G244" s="6" t="s">
        <v>849</v>
      </c>
      <c r="H244" s="6" t="s">
        <v>6</v>
      </c>
      <c r="I244" s="8"/>
      <c r="J244" s="8"/>
      <c r="K244" s="8"/>
      <c r="L244" s="9"/>
    </row>
    <row r="245" customFormat="false" ht="23.85" hidden="false" customHeight="false" outlineLevel="0" collapsed="false">
      <c r="A245" s="6" t="s">
        <v>850</v>
      </c>
      <c r="B245" s="6" t="s">
        <v>808</v>
      </c>
      <c r="C245" s="6" t="s">
        <v>17</v>
      </c>
      <c r="D245" s="6" t="s">
        <v>49</v>
      </c>
      <c r="E245" s="6" t="s">
        <v>809</v>
      </c>
      <c r="F245" s="7" t="s">
        <v>851</v>
      </c>
      <c r="G245" s="6" t="s">
        <v>852</v>
      </c>
      <c r="H245" s="6" t="s">
        <v>8</v>
      </c>
      <c r="I245" s="8"/>
      <c r="J245" s="8"/>
      <c r="K245" s="8"/>
      <c r="L245" s="9"/>
    </row>
    <row r="246" customFormat="false" ht="15" hidden="false" customHeight="false" outlineLevel="0" collapsed="false">
      <c r="A246" s="6" t="s">
        <v>853</v>
      </c>
      <c r="B246" s="6" t="s">
        <v>808</v>
      </c>
      <c r="C246" s="6" t="s">
        <v>17</v>
      </c>
      <c r="D246" s="6" t="s">
        <v>49</v>
      </c>
      <c r="E246" s="6" t="s">
        <v>809</v>
      </c>
      <c r="F246" s="7" t="s">
        <v>854</v>
      </c>
      <c r="G246" s="6" t="s">
        <v>855</v>
      </c>
      <c r="H246" s="6" t="s">
        <v>6</v>
      </c>
      <c r="I246" s="8"/>
      <c r="J246" s="8"/>
      <c r="K246" s="8"/>
      <c r="L246" s="9"/>
    </row>
    <row r="247" customFormat="false" ht="23.85" hidden="false" customHeight="false" outlineLevel="0" collapsed="false">
      <c r="A247" s="6" t="s">
        <v>856</v>
      </c>
      <c r="B247" s="6" t="s">
        <v>808</v>
      </c>
      <c r="C247" s="6" t="s">
        <v>17</v>
      </c>
      <c r="D247" s="6" t="s">
        <v>49</v>
      </c>
      <c r="E247" s="6" t="s">
        <v>809</v>
      </c>
      <c r="F247" s="7" t="s">
        <v>857</v>
      </c>
      <c r="G247" s="6" t="s">
        <v>858</v>
      </c>
      <c r="H247" s="6" t="s">
        <v>6</v>
      </c>
      <c r="I247" s="8"/>
      <c r="J247" s="8"/>
      <c r="K247" s="8"/>
      <c r="L247" s="9"/>
    </row>
    <row r="248" customFormat="false" ht="15" hidden="false" customHeight="false" outlineLevel="0" collapsed="false">
      <c r="A248" s="6" t="s">
        <v>859</v>
      </c>
      <c r="B248" s="6" t="s">
        <v>808</v>
      </c>
      <c r="C248" s="6" t="s">
        <v>17</v>
      </c>
      <c r="D248" s="6" t="s">
        <v>49</v>
      </c>
      <c r="E248" s="6" t="s">
        <v>809</v>
      </c>
      <c r="F248" s="7" t="s">
        <v>860</v>
      </c>
      <c r="G248" s="6" t="s">
        <v>861</v>
      </c>
      <c r="H248" s="6" t="s">
        <v>6</v>
      </c>
      <c r="I248" s="8"/>
      <c r="J248" s="8"/>
      <c r="K248" s="8"/>
      <c r="L248" s="9"/>
    </row>
    <row r="249" customFormat="false" ht="35.05" hidden="false" customHeight="false" outlineLevel="0" collapsed="false">
      <c r="A249" s="6" t="s">
        <v>862</v>
      </c>
      <c r="B249" s="6" t="s">
        <v>808</v>
      </c>
      <c r="C249" s="6" t="s">
        <v>17</v>
      </c>
      <c r="D249" s="6" t="s">
        <v>49</v>
      </c>
      <c r="E249" s="6" t="s">
        <v>809</v>
      </c>
      <c r="F249" s="7" t="s">
        <v>863</v>
      </c>
      <c r="G249" s="6" t="s">
        <v>864</v>
      </c>
      <c r="H249" s="6" t="s">
        <v>8</v>
      </c>
      <c r="I249" s="8"/>
      <c r="J249" s="8"/>
      <c r="K249" s="8"/>
      <c r="L249" s="9"/>
    </row>
    <row r="250" customFormat="false" ht="35.05" hidden="false" customHeight="false" outlineLevel="0" collapsed="false">
      <c r="A250" s="6" t="s">
        <v>865</v>
      </c>
      <c r="B250" s="6" t="s">
        <v>808</v>
      </c>
      <c r="C250" s="6" t="s">
        <v>17</v>
      </c>
      <c r="D250" s="6" t="s">
        <v>49</v>
      </c>
      <c r="E250" s="6" t="s">
        <v>809</v>
      </c>
      <c r="F250" s="7" t="s">
        <v>866</v>
      </c>
      <c r="G250" s="6" t="s">
        <v>867</v>
      </c>
      <c r="H250" s="6" t="s">
        <v>8</v>
      </c>
      <c r="I250" s="8"/>
      <c r="J250" s="8"/>
      <c r="K250" s="8"/>
      <c r="L250" s="9"/>
    </row>
    <row r="251" customFormat="false" ht="15" hidden="false" customHeight="false" outlineLevel="0" collapsed="false">
      <c r="A251" s="6" t="s">
        <v>868</v>
      </c>
      <c r="B251" s="6" t="s">
        <v>808</v>
      </c>
      <c r="C251" s="6" t="s">
        <v>17</v>
      </c>
      <c r="D251" s="6" t="s">
        <v>49</v>
      </c>
      <c r="E251" s="6" t="s">
        <v>809</v>
      </c>
      <c r="F251" s="7" t="s">
        <v>869</v>
      </c>
      <c r="G251" s="6" t="s">
        <v>870</v>
      </c>
      <c r="H251" s="6" t="s">
        <v>7</v>
      </c>
      <c r="I251" s="8"/>
      <c r="J251" s="8"/>
      <c r="K251" s="8"/>
      <c r="L251" s="9"/>
    </row>
    <row r="252" customFormat="false" ht="15" hidden="false" customHeight="false" outlineLevel="0" collapsed="false">
      <c r="A252" s="6" t="s">
        <v>871</v>
      </c>
      <c r="B252" s="6" t="s">
        <v>872</v>
      </c>
      <c r="C252" s="6" t="s">
        <v>17</v>
      </c>
      <c r="D252" s="6" t="s">
        <v>230</v>
      </c>
      <c r="E252" s="6" t="s">
        <v>873</v>
      </c>
      <c r="F252" s="7" t="s">
        <v>874</v>
      </c>
      <c r="G252" s="6" t="s">
        <v>875</v>
      </c>
      <c r="H252" s="6" t="s">
        <v>6</v>
      </c>
      <c r="I252" s="8"/>
      <c r="J252" s="8"/>
      <c r="K252" s="8"/>
      <c r="L252" s="9"/>
    </row>
    <row r="253" customFormat="false" ht="23.85" hidden="false" customHeight="false" outlineLevel="0" collapsed="false">
      <c r="A253" s="6" t="s">
        <v>876</v>
      </c>
      <c r="B253" s="6" t="s">
        <v>872</v>
      </c>
      <c r="C253" s="6" t="s">
        <v>17</v>
      </c>
      <c r="D253" s="6" t="s">
        <v>230</v>
      </c>
      <c r="E253" s="6" t="s">
        <v>873</v>
      </c>
      <c r="F253" s="7" t="s">
        <v>877</v>
      </c>
      <c r="G253" s="6" t="s">
        <v>878</v>
      </c>
      <c r="H253" s="6" t="s">
        <v>8</v>
      </c>
      <c r="I253" s="8"/>
      <c r="J253" s="8"/>
      <c r="K253" s="8"/>
      <c r="L253" s="9"/>
    </row>
    <row r="254" customFormat="false" ht="15" hidden="false" customHeight="false" outlineLevel="0" collapsed="false">
      <c r="A254" s="6" t="s">
        <v>879</v>
      </c>
      <c r="B254" s="6" t="s">
        <v>872</v>
      </c>
      <c r="C254" s="6" t="s">
        <v>17</v>
      </c>
      <c r="D254" s="6" t="s">
        <v>230</v>
      </c>
      <c r="E254" s="6" t="s">
        <v>873</v>
      </c>
      <c r="F254" s="7" t="s">
        <v>880</v>
      </c>
      <c r="G254" s="6" t="s">
        <v>881</v>
      </c>
      <c r="H254" s="6" t="s">
        <v>6</v>
      </c>
      <c r="I254" s="8"/>
      <c r="J254" s="8"/>
      <c r="K254" s="8"/>
      <c r="L254" s="9"/>
    </row>
    <row r="255" customFormat="false" ht="15" hidden="false" customHeight="false" outlineLevel="0" collapsed="false">
      <c r="A255" s="6" t="s">
        <v>882</v>
      </c>
      <c r="B255" s="6" t="s">
        <v>872</v>
      </c>
      <c r="C255" s="6" t="s">
        <v>17</v>
      </c>
      <c r="D255" s="6" t="s">
        <v>230</v>
      </c>
      <c r="E255" s="6" t="s">
        <v>873</v>
      </c>
      <c r="F255" s="7" t="s">
        <v>883</v>
      </c>
      <c r="G255" s="6" t="s">
        <v>884</v>
      </c>
      <c r="H255" s="6" t="s">
        <v>6</v>
      </c>
      <c r="I255" s="8"/>
      <c r="J255" s="8"/>
      <c r="K255" s="8"/>
      <c r="L255" s="9"/>
    </row>
    <row r="256" customFormat="false" ht="15" hidden="false" customHeight="false" outlineLevel="0" collapsed="false">
      <c r="A256" s="6" t="s">
        <v>885</v>
      </c>
      <c r="B256" s="6" t="s">
        <v>886</v>
      </c>
      <c r="C256" s="6" t="s">
        <v>17</v>
      </c>
      <c r="D256" s="6" t="s">
        <v>49</v>
      </c>
      <c r="E256" s="6" t="s">
        <v>27</v>
      </c>
      <c r="F256" s="7" t="s">
        <v>887</v>
      </c>
      <c r="G256" s="6" t="s">
        <v>888</v>
      </c>
      <c r="H256" s="6" t="s">
        <v>11</v>
      </c>
      <c r="I256" s="8"/>
      <c r="J256" s="8"/>
      <c r="K256" s="8"/>
      <c r="L256" s="9"/>
    </row>
    <row r="257" customFormat="false" ht="15" hidden="false" customHeight="false" outlineLevel="0" collapsed="false">
      <c r="A257" s="6" t="s">
        <v>889</v>
      </c>
      <c r="B257" s="6" t="s">
        <v>886</v>
      </c>
      <c r="C257" s="6" t="s">
        <v>17</v>
      </c>
      <c r="D257" s="6" t="s">
        <v>49</v>
      </c>
      <c r="E257" s="6" t="s">
        <v>27</v>
      </c>
      <c r="F257" s="7" t="s">
        <v>890</v>
      </c>
      <c r="G257" s="6" t="s">
        <v>279</v>
      </c>
      <c r="H257" s="6" t="s">
        <v>11</v>
      </c>
      <c r="I257" s="8"/>
      <c r="J257" s="8"/>
      <c r="K257" s="8"/>
      <c r="L257" s="9"/>
    </row>
    <row r="258" customFormat="false" ht="23.85" hidden="false" customHeight="false" outlineLevel="0" collapsed="false">
      <c r="A258" s="6" t="s">
        <v>891</v>
      </c>
      <c r="B258" s="6" t="s">
        <v>886</v>
      </c>
      <c r="C258" s="6" t="s">
        <v>17</v>
      </c>
      <c r="D258" s="6" t="s">
        <v>49</v>
      </c>
      <c r="E258" s="6" t="s">
        <v>27</v>
      </c>
      <c r="F258" s="7" t="s">
        <v>892</v>
      </c>
      <c r="G258" s="6" t="s">
        <v>893</v>
      </c>
      <c r="H258" s="6" t="s">
        <v>11</v>
      </c>
      <c r="I258" s="8"/>
      <c r="J258" s="8"/>
      <c r="K258" s="8"/>
      <c r="L258" s="9"/>
    </row>
    <row r="259" customFormat="false" ht="15" hidden="false" customHeight="false" outlineLevel="0" collapsed="false">
      <c r="A259" s="6" t="s">
        <v>894</v>
      </c>
      <c r="B259" s="6" t="s">
        <v>886</v>
      </c>
      <c r="C259" s="6" t="s">
        <v>17</v>
      </c>
      <c r="D259" s="6" t="s">
        <v>49</v>
      </c>
      <c r="E259" s="6" t="s">
        <v>27</v>
      </c>
      <c r="F259" s="7" t="s">
        <v>895</v>
      </c>
      <c r="G259" s="6" t="s">
        <v>896</v>
      </c>
      <c r="H259" s="6" t="s">
        <v>8</v>
      </c>
      <c r="I259" s="8"/>
      <c r="J259" s="8"/>
      <c r="K259" s="8"/>
      <c r="L259" s="9"/>
    </row>
    <row r="260" customFormat="false" ht="23.85" hidden="false" customHeight="false" outlineLevel="0" collapsed="false">
      <c r="A260" s="6" t="s">
        <v>897</v>
      </c>
      <c r="B260" s="6" t="s">
        <v>898</v>
      </c>
      <c r="C260" s="6" t="s">
        <v>17</v>
      </c>
      <c r="D260" s="6" t="s">
        <v>79</v>
      </c>
      <c r="E260" s="6" t="s">
        <v>264</v>
      </c>
      <c r="F260" s="7" t="s">
        <v>899</v>
      </c>
      <c r="G260" s="6" t="s">
        <v>900</v>
      </c>
      <c r="H260" s="6" t="s">
        <v>8</v>
      </c>
      <c r="I260" s="8"/>
      <c r="J260" s="8"/>
      <c r="K260" s="8"/>
      <c r="L260" s="9"/>
    </row>
    <row r="261" customFormat="false" ht="23.85" hidden="false" customHeight="false" outlineLevel="0" collapsed="false">
      <c r="A261" s="6" t="s">
        <v>901</v>
      </c>
      <c r="B261" s="6" t="s">
        <v>898</v>
      </c>
      <c r="C261" s="6" t="s">
        <v>17</v>
      </c>
      <c r="D261" s="6" t="s">
        <v>79</v>
      </c>
      <c r="E261" s="6" t="s">
        <v>264</v>
      </c>
      <c r="F261" s="7" t="s">
        <v>902</v>
      </c>
      <c r="G261" s="6" t="s">
        <v>903</v>
      </c>
      <c r="H261" s="6" t="s">
        <v>8</v>
      </c>
      <c r="I261" s="8"/>
      <c r="J261" s="8"/>
      <c r="K261" s="8"/>
      <c r="L261" s="9"/>
    </row>
    <row r="262" customFormat="false" ht="23.85" hidden="false" customHeight="false" outlineLevel="0" collapsed="false">
      <c r="A262" s="6" t="s">
        <v>904</v>
      </c>
      <c r="B262" s="6" t="s">
        <v>898</v>
      </c>
      <c r="C262" s="6" t="s">
        <v>17</v>
      </c>
      <c r="D262" s="6" t="s">
        <v>79</v>
      </c>
      <c r="E262" s="6" t="s">
        <v>264</v>
      </c>
      <c r="F262" s="7" t="s">
        <v>905</v>
      </c>
      <c r="G262" s="6" t="s">
        <v>906</v>
      </c>
      <c r="H262" s="6" t="s">
        <v>8</v>
      </c>
      <c r="I262" s="8"/>
      <c r="J262" s="8"/>
      <c r="K262" s="8"/>
      <c r="L262" s="9"/>
    </row>
    <row r="263" customFormat="false" ht="15" hidden="false" customHeight="false" outlineLevel="0" collapsed="false">
      <c r="A263" s="6" t="s">
        <v>907</v>
      </c>
      <c r="B263" s="6" t="s">
        <v>898</v>
      </c>
      <c r="C263" s="6" t="s">
        <v>17</v>
      </c>
      <c r="D263" s="6" t="s">
        <v>79</v>
      </c>
      <c r="E263" s="6" t="s">
        <v>264</v>
      </c>
      <c r="F263" s="7" t="s">
        <v>908</v>
      </c>
      <c r="G263" s="6" t="s">
        <v>909</v>
      </c>
      <c r="H263" s="6" t="s">
        <v>8</v>
      </c>
      <c r="I263" s="8"/>
      <c r="J263" s="8"/>
      <c r="K263" s="8"/>
      <c r="L263" s="9"/>
    </row>
    <row r="264" customFormat="false" ht="15" hidden="false" customHeight="false" outlineLevel="0" collapsed="false">
      <c r="A264" s="6" t="s">
        <v>910</v>
      </c>
      <c r="B264" s="6" t="s">
        <v>898</v>
      </c>
      <c r="C264" s="6" t="s">
        <v>17</v>
      </c>
      <c r="D264" s="6" t="s">
        <v>79</v>
      </c>
      <c r="E264" s="6" t="s">
        <v>264</v>
      </c>
      <c r="F264" s="7" t="s">
        <v>911</v>
      </c>
      <c r="G264" s="6" t="s">
        <v>912</v>
      </c>
      <c r="H264" s="6" t="s">
        <v>7</v>
      </c>
      <c r="I264" s="8"/>
      <c r="J264" s="8"/>
      <c r="K264" s="8"/>
      <c r="L264" s="9"/>
    </row>
    <row r="265" customFormat="false" ht="15" hidden="false" customHeight="false" outlineLevel="0" collapsed="false">
      <c r="A265" s="6" t="s">
        <v>913</v>
      </c>
      <c r="B265" s="6" t="s">
        <v>914</v>
      </c>
      <c r="C265" s="6" t="s">
        <v>17</v>
      </c>
      <c r="D265" s="6" t="s">
        <v>331</v>
      </c>
      <c r="E265" s="6" t="s">
        <v>264</v>
      </c>
      <c r="F265" s="7" t="s">
        <v>915</v>
      </c>
      <c r="G265" s="6" t="s">
        <v>609</v>
      </c>
      <c r="H265" s="6" t="s">
        <v>6</v>
      </c>
      <c r="I265" s="8"/>
      <c r="J265" s="8"/>
      <c r="K265" s="8"/>
      <c r="L265" s="9"/>
    </row>
    <row r="266" customFormat="false" ht="23.85" hidden="false" customHeight="false" outlineLevel="0" collapsed="false">
      <c r="A266" s="6" t="s">
        <v>916</v>
      </c>
      <c r="B266" s="6" t="s">
        <v>914</v>
      </c>
      <c r="C266" s="6" t="s">
        <v>17</v>
      </c>
      <c r="D266" s="6" t="s">
        <v>331</v>
      </c>
      <c r="E266" s="6" t="s">
        <v>264</v>
      </c>
      <c r="F266" s="7" t="s">
        <v>917</v>
      </c>
      <c r="G266" s="6" t="s">
        <v>918</v>
      </c>
      <c r="H266" s="6" t="s">
        <v>11</v>
      </c>
      <c r="I266" s="8"/>
      <c r="J266" s="8"/>
      <c r="K266" s="8"/>
      <c r="L266" s="9"/>
    </row>
    <row r="267" customFormat="false" ht="15" hidden="false" customHeight="false" outlineLevel="0" collapsed="false">
      <c r="A267" s="6" t="s">
        <v>919</v>
      </c>
      <c r="B267" s="6" t="s">
        <v>914</v>
      </c>
      <c r="C267" s="6" t="s">
        <v>17</v>
      </c>
      <c r="D267" s="6" t="s">
        <v>331</v>
      </c>
      <c r="E267" s="6" t="s">
        <v>264</v>
      </c>
      <c r="F267" s="7" t="s">
        <v>920</v>
      </c>
      <c r="G267" s="6" t="s">
        <v>921</v>
      </c>
      <c r="H267" s="6" t="s">
        <v>6</v>
      </c>
      <c r="I267" s="8"/>
      <c r="J267" s="8"/>
      <c r="K267" s="8"/>
      <c r="L267" s="9"/>
    </row>
    <row r="268" customFormat="false" ht="15" hidden="false" customHeight="false" outlineLevel="0" collapsed="false">
      <c r="A268" s="6" t="s">
        <v>922</v>
      </c>
      <c r="B268" s="6" t="s">
        <v>914</v>
      </c>
      <c r="C268" s="6" t="s">
        <v>17</v>
      </c>
      <c r="D268" s="6" t="s">
        <v>331</v>
      </c>
      <c r="E268" s="6" t="s">
        <v>264</v>
      </c>
      <c r="F268" s="7" t="s">
        <v>923</v>
      </c>
      <c r="G268" s="6" t="s">
        <v>924</v>
      </c>
      <c r="H268" s="6" t="s">
        <v>8</v>
      </c>
      <c r="I268" s="8"/>
      <c r="J268" s="8"/>
      <c r="K268" s="8"/>
      <c r="L268" s="9"/>
    </row>
    <row r="269" customFormat="false" ht="15" hidden="false" customHeight="false" outlineLevel="0" collapsed="false">
      <c r="A269" s="6" t="s">
        <v>925</v>
      </c>
      <c r="B269" s="6" t="s">
        <v>914</v>
      </c>
      <c r="C269" s="6" t="s">
        <v>17</v>
      </c>
      <c r="D269" s="6" t="s">
        <v>331</v>
      </c>
      <c r="E269" s="6" t="s">
        <v>264</v>
      </c>
      <c r="F269" s="7" t="s">
        <v>926</v>
      </c>
      <c r="G269" s="6" t="s">
        <v>927</v>
      </c>
      <c r="H269" s="6" t="s">
        <v>6</v>
      </c>
      <c r="I269" s="8"/>
      <c r="J269" s="8"/>
      <c r="K269" s="8"/>
      <c r="L269" s="9"/>
    </row>
    <row r="270" customFormat="false" ht="15" hidden="false" customHeight="false" outlineLevel="0" collapsed="false">
      <c r="A270" s="6" t="s">
        <v>928</v>
      </c>
      <c r="B270" s="6" t="s">
        <v>914</v>
      </c>
      <c r="C270" s="6" t="s">
        <v>17</v>
      </c>
      <c r="D270" s="6" t="s">
        <v>331</v>
      </c>
      <c r="E270" s="6" t="s">
        <v>264</v>
      </c>
      <c r="F270" s="7" t="s">
        <v>929</v>
      </c>
      <c r="G270" s="6" t="s">
        <v>930</v>
      </c>
      <c r="H270" s="6" t="s">
        <v>6</v>
      </c>
      <c r="I270" s="8"/>
      <c r="J270" s="8"/>
      <c r="K270" s="8"/>
      <c r="L270" s="9"/>
    </row>
    <row r="271" customFormat="false" ht="23.85" hidden="false" customHeight="false" outlineLevel="0" collapsed="false">
      <c r="A271" s="6" t="s">
        <v>931</v>
      </c>
      <c r="B271" s="6" t="s">
        <v>914</v>
      </c>
      <c r="C271" s="6" t="s">
        <v>17</v>
      </c>
      <c r="D271" s="6" t="s">
        <v>331</v>
      </c>
      <c r="E271" s="6" t="s">
        <v>264</v>
      </c>
      <c r="F271" s="7" t="s">
        <v>932</v>
      </c>
      <c r="G271" s="6" t="s">
        <v>933</v>
      </c>
      <c r="H271" s="6" t="s">
        <v>6</v>
      </c>
      <c r="I271" s="8"/>
      <c r="J271" s="8"/>
      <c r="K271" s="8"/>
      <c r="L271" s="9"/>
    </row>
    <row r="272" customFormat="false" ht="23.85" hidden="false" customHeight="false" outlineLevel="0" collapsed="false">
      <c r="A272" s="6" t="s">
        <v>934</v>
      </c>
      <c r="B272" s="6" t="s">
        <v>935</v>
      </c>
      <c r="C272" s="6" t="s">
        <v>17</v>
      </c>
      <c r="D272" s="6" t="s">
        <v>230</v>
      </c>
      <c r="E272" s="6" t="s">
        <v>264</v>
      </c>
      <c r="F272" s="7" t="s">
        <v>936</v>
      </c>
      <c r="G272" s="6" t="s">
        <v>937</v>
      </c>
      <c r="H272" s="6" t="s">
        <v>8</v>
      </c>
      <c r="I272" s="8"/>
      <c r="J272" s="8"/>
      <c r="K272" s="8"/>
      <c r="L272" s="9"/>
    </row>
    <row r="273" customFormat="false" ht="15" hidden="false" customHeight="false" outlineLevel="0" collapsed="false">
      <c r="A273" s="6" t="s">
        <v>938</v>
      </c>
      <c r="B273" s="6" t="s">
        <v>935</v>
      </c>
      <c r="C273" s="6" t="s">
        <v>17</v>
      </c>
      <c r="D273" s="6" t="s">
        <v>230</v>
      </c>
      <c r="E273" s="6" t="s">
        <v>264</v>
      </c>
      <c r="F273" s="7" t="s">
        <v>939</v>
      </c>
      <c r="G273" s="6" t="s">
        <v>940</v>
      </c>
      <c r="H273" s="6" t="s">
        <v>6</v>
      </c>
      <c r="I273" s="8"/>
      <c r="J273" s="8"/>
      <c r="K273" s="8"/>
      <c r="L273" s="9"/>
    </row>
    <row r="274" customFormat="false" ht="15" hidden="false" customHeight="false" outlineLevel="0" collapsed="false">
      <c r="A274" s="6" t="s">
        <v>941</v>
      </c>
      <c r="B274" s="6" t="s">
        <v>935</v>
      </c>
      <c r="C274" s="6" t="s">
        <v>17</v>
      </c>
      <c r="D274" s="6" t="s">
        <v>230</v>
      </c>
      <c r="E274" s="6" t="s">
        <v>264</v>
      </c>
      <c r="F274" s="7" t="s">
        <v>942</v>
      </c>
      <c r="G274" s="6" t="s">
        <v>943</v>
      </c>
      <c r="H274" s="6" t="s">
        <v>6</v>
      </c>
      <c r="I274" s="8"/>
      <c r="J274" s="8"/>
      <c r="K274" s="8"/>
      <c r="L274" s="9"/>
    </row>
    <row r="275" customFormat="false" ht="15" hidden="false" customHeight="false" outlineLevel="0" collapsed="false">
      <c r="A275" s="6" t="s">
        <v>944</v>
      </c>
      <c r="B275" s="6" t="s">
        <v>935</v>
      </c>
      <c r="C275" s="6" t="s">
        <v>17</v>
      </c>
      <c r="D275" s="6" t="s">
        <v>230</v>
      </c>
      <c r="E275" s="6" t="s">
        <v>264</v>
      </c>
      <c r="F275" s="7" t="s">
        <v>945</v>
      </c>
      <c r="G275" s="6" t="s">
        <v>946</v>
      </c>
      <c r="H275" s="6" t="s">
        <v>8</v>
      </c>
      <c r="I275" s="8"/>
      <c r="J275" s="8"/>
      <c r="K275" s="8"/>
      <c r="L275" s="9"/>
    </row>
    <row r="276" customFormat="false" ht="23.85" hidden="false" customHeight="false" outlineLevel="0" collapsed="false">
      <c r="A276" s="6" t="s">
        <v>947</v>
      </c>
      <c r="B276" s="6" t="s">
        <v>948</v>
      </c>
      <c r="C276" s="6" t="s">
        <v>17</v>
      </c>
      <c r="D276" s="6" t="s">
        <v>44</v>
      </c>
      <c r="E276" s="6" t="s">
        <v>27</v>
      </c>
      <c r="F276" s="7" t="s">
        <v>949</v>
      </c>
      <c r="G276" s="6" t="s">
        <v>950</v>
      </c>
      <c r="H276" s="6" t="s">
        <v>7</v>
      </c>
      <c r="I276" s="8"/>
      <c r="J276" s="8"/>
      <c r="K276" s="8"/>
      <c r="L276" s="9"/>
    </row>
    <row r="277" customFormat="false" ht="15" hidden="false" customHeight="false" outlineLevel="0" collapsed="false">
      <c r="A277" s="6" t="s">
        <v>951</v>
      </c>
      <c r="B277" s="6" t="s">
        <v>948</v>
      </c>
      <c r="C277" s="6" t="s">
        <v>17</v>
      </c>
      <c r="D277" s="6" t="s">
        <v>44</v>
      </c>
      <c r="E277" s="6" t="s">
        <v>27</v>
      </c>
      <c r="F277" s="7" t="s">
        <v>952</v>
      </c>
      <c r="G277" s="6" t="s">
        <v>953</v>
      </c>
      <c r="H277" s="6" t="s">
        <v>8</v>
      </c>
      <c r="I277" s="8"/>
      <c r="J277" s="8"/>
      <c r="K277" s="8"/>
      <c r="L277" s="9"/>
    </row>
    <row r="278" customFormat="false" ht="23.85" hidden="false" customHeight="false" outlineLevel="0" collapsed="false">
      <c r="A278" s="6" t="s">
        <v>954</v>
      </c>
      <c r="B278" s="6" t="s">
        <v>955</v>
      </c>
      <c r="C278" s="6" t="s">
        <v>17</v>
      </c>
      <c r="D278" s="6" t="s">
        <v>44</v>
      </c>
      <c r="E278" s="6" t="s">
        <v>28</v>
      </c>
      <c r="F278" s="7" t="s">
        <v>956</v>
      </c>
      <c r="G278" s="6" t="s">
        <v>957</v>
      </c>
      <c r="H278" s="6" t="s">
        <v>8</v>
      </c>
      <c r="I278" s="8"/>
      <c r="J278" s="8"/>
      <c r="K278" s="8"/>
      <c r="L278" s="9"/>
    </row>
    <row r="279" customFormat="false" ht="23.85" hidden="false" customHeight="false" outlineLevel="0" collapsed="false">
      <c r="A279" s="6" t="s">
        <v>958</v>
      </c>
      <c r="B279" s="6" t="s">
        <v>955</v>
      </c>
      <c r="C279" s="6" t="s">
        <v>17</v>
      </c>
      <c r="D279" s="6" t="s">
        <v>44</v>
      </c>
      <c r="E279" s="6" t="s">
        <v>28</v>
      </c>
      <c r="F279" s="7" t="s">
        <v>959</v>
      </c>
      <c r="G279" s="6" t="s">
        <v>960</v>
      </c>
      <c r="H279" s="6" t="s">
        <v>6</v>
      </c>
      <c r="I279" s="8"/>
      <c r="J279" s="8"/>
      <c r="K279" s="8"/>
      <c r="L279" s="9"/>
    </row>
    <row r="280" customFormat="false" ht="15" hidden="false" customHeight="false" outlineLevel="0" collapsed="false">
      <c r="A280" s="6" t="s">
        <v>961</v>
      </c>
      <c r="B280" s="6" t="s">
        <v>955</v>
      </c>
      <c r="C280" s="6" t="s">
        <v>17</v>
      </c>
      <c r="D280" s="6" t="s">
        <v>44</v>
      </c>
      <c r="E280" s="6" t="s">
        <v>28</v>
      </c>
      <c r="F280" s="7" t="s">
        <v>962</v>
      </c>
      <c r="G280" s="6" t="s">
        <v>174</v>
      </c>
      <c r="H280" s="6" t="s">
        <v>6</v>
      </c>
      <c r="I280" s="8"/>
      <c r="J280" s="8"/>
      <c r="K280" s="8"/>
      <c r="L280" s="9"/>
    </row>
    <row r="281" customFormat="false" ht="23.85" hidden="false" customHeight="false" outlineLevel="0" collapsed="false">
      <c r="A281" s="6" t="s">
        <v>963</v>
      </c>
      <c r="B281" s="6" t="s">
        <v>964</v>
      </c>
      <c r="C281" s="6" t="s">
        <v>17</v>
      </c>
      <c r="D281" s="6" t="s">
        <v>49</v>
      </c>
      <c r="E281" s="6" t="s">
        <v>356</v>
      </c>
      <c r="F281" s="7" t="s">
        <v>965</v>
      </c>
      <c r="G281" s="6" t="s">
        <v>966</v>
      </c>
      <c r="H281" s="6" t="s">
        <v>8</v>
      </c>
      <c r="I281" s="8"/>
      <c r="J281" s="8"/>
      <c r="K281" s="8"/>
      <c r="L281" s="9"/>
    </row>
    <row r="282" customFormat="false" ht="15" hidden="false" customHeight="false" outlineLevel="0" collapsed="false">
      <c r="A282" s="6" t="s">
        <v>967</v>
      </c>
      <c r="B282" s="6" t="s">
        <v>964</v>
      </c>
      <c r="C282" s="6" t="s">
        <v>17</v>
      </c>
      <c r="D282" s="6" t="s">
        <v>49</v>
      </c>
      <c r="E282" s="6" t="s">
        <v>356</v>
      </c>
      <c r="F282" s="7" t="s">
        <v>968</v>
      </c>
      <c r="G282" s="6" t="s">
        <v>969</v>
      </c>
      <c r="H282" s="6" t="s">
        <v>8</v>
      </c>
      <c r="I282" s="8"/>
      <c r="J282" s="8"/>
      <c r="K282" s="8"/>
      <c r="L282" s="9"/>
    </row>
    <row r="283" customFormat="false" ht="23.85" hidden="false" customHeight="false" outlineLevel="0" collapsed="false">
      <c r="A283" s="6" t="s">
        <v>970</v>
      </c>
      <c r="B283" s="6" t="s">
        <v>971</v>
      </c>
      <c r="C283" s="6" t="s">
        <v>17</v>
      </c>
      <c r="D283" s="6" t="s">
        <v>85</v>
      </c>
      <c r="E283" s="6" t="s">
        <v>972</v>
      </c>
      <c r="F283" s="7" t="s">
        <v>973</v>
      </c>
      <c r="G283" s="6" t="s">
        <v>974</v>
      </c>
      <c r="H283" s="6" t="s">
        <v>6</v>
      </c>
      <c r="I283" s="8"/>
      <c r="J283" s="8"/>
      <c r="K283" s="8"/>
      <c r="L283" s="9"/>
    </row>
    <row r="284" customFormat="false" ht="15" hidden="false" customHeight="false" outlineLevel="0" collapsed="false">
      <c r="A284" s="6" t="s">
        <v>975</v>
      </c>
      <c r="B284" s="6" t="s">
        <v>971</v>
      </c>
      <c r="C284" s="6" t="s">
        <v>17</v>
      </c>
      <c r="D284" s="6" t="s">
        <v>85</v>
      </c>
      <c r="E284" s="6" t="s">
        <v>972</v>
      </c>
      <c r="F284" s="7" t="s">
        <v>976</v>
      </c>
      <c r="G284" s="6" t="s">
        <v>977</v>
      </c>
      <c r="H284" s="6" t="s">
        <v>8</v>
      </c>
      <c r="I284" s="8"/>
      <c r="J284" s="8"/>
      <c r="K284" s="8"/>
      <c r="L284" s="9"/>
    </row>
    <row r="285" customFormat="false" ht="23.85" hidden="false" customHeight="false" outlineLevel="0" collapsed="false">
      <c r="A285" s="6" t="s">
        <v>978</v>
      </c>
      <c r="B285" s="6" t="s">
        <v>971</v>
      </c>
      <c r="C285" s="6" t="s">
        <v>17</v>
      </c>
      <c r="D285" s="6" t="s">
        <v>85</v>
      </c>
      <c r="E285" s="6" t="s">
        <v>972</v>
      </c>
      <c r="F285" s="7" t="s">
        <v>979</v>
      </c>
      <c r="G285" s="6" t="s">
        <v>980</v>
      </c>
      <c r="H285" s="6" t="s">
        <v>9</v>
      </c>
      <c r="I285" s="8"/>
      <c r="J285" s="8"/>
      <c r="K285" s="8"/>
      <c r="L285" s="9"/>
    </row>
    <row r="286" customFormat="false" ht="15" hidden="false" customHeight="false" outlineLevel="0" collapsed="false">
      <c r="A286" s="6" t="s">
        <v>981</v>
      </c>
      <c r="B286" s="6" t="s">
        <v>982</v>
      </c>
      <c r="C286" s="6" t="s">
        <v>17</v>
      </c>
      <c r="D286" s="6" t="s">
        <v>331</v>
      </c>
      <c r="E286" s="6" t="s">
        <v>356</v>
      </c>
      <c r="F286" s="7" t="s">
        <v>983</v>
      </c>
      <c r="G286" s="6" t="s">
        <v>984</v>
      </c>
      <c r="H286" s="6" t="s">
        <v>8</v>
      </c>
      <c r="I286" s="8"/>
      <c r="J286" s="8"/>
      <c r="K286" s="8"/>
      <c r="L286" s="9"/>
    </row>
    <row r="287" customFormat="false" ht="15" hidden="false" customHeight="false" outlineLevel="0" collapsed="false">
      <c r="A287" s="6" t="s">
        <v>985</v>
      </c>
      <c r="B287" s="6" t="s">
        <v>982</v>
      </c>
      <c r="C287" s="6" t="s">
        <v>17</v>
      </c>
      <c r="D287" s="6" t="s">
        <v>331</v>
      </c>
      <c r="E287" s="6" t="s">
        <v>356</v>
      </c>
      <c r="F287" s="7" t="s">
        <v>986</v>
      </c>
      <c r="G287" s="6" t="s">
        <v>190</v>
      </c>
      <c r="H287" s="6" t="s">
        <v>6</v>
      </c>
      <c r="I287" s="8"/>
      <c r="J287" s="8"/>
      <c r="K287" s="8"/>
      <c r="L287" s="9"/>
    </row>
    <row r="288" customFormat="false" ht="15" hidden="false" customHeight="false" outlineLevel="0" collapsed="false">
      <c r="A288" s="6" t="s">
        <v>987</v>
      </c>
      <c r="B288" s="6" t="s">
        <v>982</v>
      </c>
      <c r="C288" s="6" t="s">
        <v>17</v>
      </c>
      <c r="D288" s="6" t="s">
        <v>331</v>
      </c>
      <c r="E288" s="6" t="s">
        <v>356</v>
      </c>
      <c r="F288" s="7" t="s">
        <v>988</v>
      </c>
      <c r="G288" s="6" t="s">
        <v>989</v>
      </c>
      <c r="H288" s="6" t="s">
        <v>6</v>
      </c>
      <c r="I288" s="8"/>
      <c r="J288" s="8"/>
      <c r="K288" s="8"/>
      <c r="L288" s="9"/>
    </row>
    <row r="289" customFormat="false" ht="23.85" hidden="false" customHeight="false" outlineLevel="0" collapsed="false">
      <c r="A289" s="6" t="s">
        <v>990</v>
      </c>
      <c r="B289" s="6" t="s">
        <v>982</v>
      </c>
      <c r="C289" s="6" t="s">
        <v>17</v>
      </c>
      <c r="D289" s="6" t="s">
        <v>331</v>
      </c>
      <c r="E289" s="6" t="s">
        <v>356</v>
      </c>
      <c r="F289" s="7" t="s">
        <v>991</v>
      </c>
      <c r="G289" s="6" t="s">
        <v>992</v>
      </c>
      <c r="H289" s="6" t="s">
        <v>6</v>
      </c>
      <c r="I289" s="8"/>
      <c r="J289" s="8"/>
      <c r="K289" s="8"/>
      <c r="L289" s="9"/>
    </row>
    <row r="290" customFormat="false" ht="23.85" hidden="false" customHeight="false" outlineLevel="0" collapsed="false">
      <c r="A290" s="6" t="s">
        <v>993</v>
      </c>
      <c r="B290" s="6" t="s">
        <v>982</v>
      </c>
      <c r="C290" s="6" t="s">
        <v>17</v>
      </c>
      <c r="D290" s="6" t="s">
        <v>331</v>
      </c>
      <c r="E290" s="6" t="s">
        <v>356</v>
      </c>
      <c r="F290" s="7" t="s">
        <v>994</v>
      </c>
      <c r="G290" s="6" t="s">
        <v>995</v>
      </c>
      <c r="H290" s="6" t="s">
        <v>6</v>
      </c>
      <c r="I290" s="8"/>
      <c r="J290" s="8"/>
      <c r="K290" s="8"/>
      <c r="L290" s="9"/>
    </row>
    <row r="291" customFormat="false" ht="15" hidden="false" customHeight="false" outlineLevel="0" collapsed="false">
      <c r="A291" s="6" t="s">
        <v>996</v>
      </c>
      <c r="B291" s="6" t="s">
        <v>982</v>
      </c>
      <c r="C291" s="6" t="s">
        <v>17</v>
      </c>
      <c r="D291" s="6" t="s">
        <v>331</v>
      </c>
      <c r="E291" s="6" t="s">
        <v>356</v>
      </c>
      <c r="F291" s="7" t="s">
        <v>997</v>
      </c>
      <c r="G291" s="6" t="s">
        <v>998</v>
      </c>
      <c r="H291" s="6" t="s">
        <v>8</v>
      </c>
      <c r="I291" s="8"/>
      <c r="J291" s="8"/>
      <c r="K291" s="8"/>
      <c r="L291" s="9"/>
    </row>
    <row r="292" customFormat="false" ht="15" hidden="false" customHeight="false" outlineLevel="0" collapsed="false">
      <c r="A292" s="6" t="s">
        <v>999</v>
      </c>
      <c r="B292" s="6" t="s">
        <v>982</v>
      </c>
      <c r="C292" s="6" t="s">
        <v>17</v>
      </c>
      <c r="D292" s="6" t="s">
        <v>331</v>
      </c>
      <c r="E292" s="6" t="s">
        <v>356</v>
      </c>
      <c r="F292" s="7" t="s">
        <v>1000</v>
      </c>
      <c r="G292" s="6" t="s">
        <v>1001</v>
      </c>
      <c r="H292" s="6" t="s">
        <v>8</v>
      </c>
      <c r="I292" s="8"/>
      <c r="J292" s="8"/>
      <c r="K292" s="8"/>
      <c r="L292" s="9"/>
    </row>
    <row r="293" customFormat="false" ht="23.85" hidden="false" customHeight="false" outlineLevel="0" collapsed="false">
      <c r="A293" s="6" t="s">
        <v>1002</v>
      </c>
      <c r="B293" s="6" t="s">
        <v>982</v>
      </c>
      <c r="C293" s="6" t="s">
        <v>17</v>
      </c>
      <c r="D293" s="6" t="s">
        <v>331</v>
      </c>
      <c r="E293" s="6" t="s">
        <v>356</v>
      </c>
      <c r="F293" s="7" t="s">
        <v>1003</v>
      </c>
      <c r="G293" s="6" t="s">
        <v>1004</v>
      </c>
      <c r="H293" s="6" t="s">
        <v>8</v>
      </c>
      <c r="I293" s="8"/>
      <c r="J293" s="8"/>
      <c r="K293" s="8"/>
      <c r="L293" s="9"/>
    </row>
    <row r="294" customFormat="false" ht="15" hidden="false" customHeight="false" outlineLevel="0" collapsed="false">
      <c r="A294" s="6" t="s">
        <v>1005</v>
      </c>
      <c r="B294" s="6" t="s">
        <v>982</v>
      </c>
      <c r="C294" s="6" t="s">
        <v>17</v>
      </c>
      <c r="D294" s="6" t="s">
        <v>331</v>
      </c>
      <c r="E294" s="6" t="s">
        <v>356</v>
      </c>
      <c r="F294" s="7" t="s">
        <v>1006</v>
      </c>
      <c r="G294" s="6" t="s">
        <v>1007</v>
      </c>
      <c r="H294" s="6" t="s">
        <v>8</v>
      </c>
      <c r="I294" s="8"/>
      <c r="J294" s="8"/>
      <c r="K294" s="8"/>
      <c r="L294" s="9"/>
    </row>
    <row r="295" customFormat="false" ht="23.85" hidden="false" customHeight="false" outlineLevel="0" collapsed="false">
      <c r="A295" s="6" t="s">
        <v>1008</v>
      </c>
      <c r="B295" s="6" t="s">
        <v>982</v>
      </c>
      <c r="C295" s="6" t="s">
        <v>17</v>
      </c>
      <c r="D295" s="6" t="s">
        <v>331</v>
      </c>
      <c r="E295" s="6" t="s">
        <v>356</v>
      </c>
      <c r="F295" s="7" t="s">
        <v>1009</v>
      </c>
      <c r="G295" s="6" t="s">
        <v>174</v>
      </c>
      <c r="H295" s="6" t="s">
        <v>8</v>
      </c>
      <c r="I295" s="8"/>
      <c r="J295" s="8"/>
      <c r="K295" s="8"/>
      <c r="L295" s="9"/>
    </row>
    <row r="296" customFormat="false" ht="15" hidden="false" customHeight="false" outlineLevel="0" collapsed="false">
      <c r="A296" s="6" t="s">
        <v>1010</v>
      </c>
      <c r="B296" s="6" t="s">
        <v>1011</v>
      </c>
      <c r="C296" s="6" t="s">
        <v>17</v>
      </c>
      <c r="D296" s="6" t="s">
        <v>85</v>
      </c>
      <c r="E296" s="6" t="s">
        <v>1012</v>
      </c>
      <c r="F296" s="7" t="s">
        <v>1013</v>
      </c>
      <c r="G296" s="6" t="s">
        <v>1014</v>
      </c>
      <c r="H296" s="6" t="s">
        <v>8</v>
      </c>
      <c r="I296" s="8"/>
      <c r="J296" s="8"/>
      <c r="K296" s="8"/>
      <c r="L296" s="9"/>
    </row>
    <row r="297" customFormat="false" ht="23.85" hidden="false" customHeight="false" outlineLevel="0" collapsed="false">
      <c r="A297" s="6" t="s">
        <v>1015</v>
      </c>
      <c r="B297" s="6" t="s">
        <v>1011</v>
      </c>
      <c r="C297" s="6" t="s">
        <v>17</v>
      </c>
      <c r="D297" s="6" t="s">
        <v>85</v>
      </c>
      <c r="E297" s="6" t="s">
        <v>1012</v>
      </c>
      <c r="F297" s="7" t="s">
        <v>1016</v>
      </c>
      <c r="G297" s="6" t="s">
        <v>1017</v>
      </c>
      <c r="H297" s="6" t="s">
        <v>6</v>
      </c>
      <c r="I297" s="8"/>
      <c r="J297" s="8"/>
      <c r="K297" s="8"/>
      <c r="L297" s="9"/>
    </row>
    <row r="298" customFormat="false" ht="15" hidden="false" customHeight="false" outlineLevel="0" collapsed="false">
      <c r="A298" s="6" t="s">
        <v>1018</v>
      </c>
      <c r="B298" s="6" t="s">
        <v>1011</v>
      </c>
      <c r="C298" s="6" t="s">
        <v>17</v>
      </c>
      <c r="D298" s="6" t="s">
        <v>85</v>
      </c>
      <c r="E298" s="6" t="s">
        <v>1012</v>
      </c>
      <c r="F298" s="7" t="s">
        <v>1019</v>
      </c>
      <c r="G298" s="6" t="s">
        <v>405</v>
      </c>
      <c r="H298" s="6" t="s">
        <v>6</v>
      </c>
      <c r="I298" s="8"/>
      <c r="J298" s="8"/>
      <c r="K298" s="8"/>
      <c r="L298" s="9"/>
    </row>
    <row r="299" customFormat="false" ht="23.85" hidden="false" customHeight="false" outlineLevel="0" collapsed="false">
      <c r="A299" s="6" t="s">
        <v>1020</v>
      </c>
      <c r="B299" s="6" t="s">
        <v>1011</v>
      </c>
      <c r="C299" s="6" t="s">
        <v>17</v>
      </c>
      <c r="D299" s="6" t="s">
        <v>85</v>
      </c>
      <c r="E299" s="6" t="s">
        <v>1012</v>
      </c>
      <c r="F299" s="7" t="s">
        <v>1021</v>
      </c>
      <c r="G299" s="6" t="s">
        <v>1022</v>
      </c>
      <c r="H299" s="6" t="s">
        <v>8</v>
      </c>
      <c r="I299" s="8"/>
      <c r="J299" s="8"/>
      <c r="K299" s="8"/>
      <c r="L299" s="9"/>
    </row>
    <row r="300" customFormat="false" ht="23.85" hidden="false" customHeight="false" outlineLevel="0" collapsed="false">
      <c r="A300" s="6" t="s">
        <v>1023</v>
      </c>
      <c r="B300" s="6" t="s">
        <v>1011</v>
      </c>
      <c r="C300" s="6" t="s">
        <v>17</v>
      </c>
      <c r="D300" s="6" t="s">
        <v>85</v>
      </c>
      <c r="E300" s="6" t="s">
        <v>1012</v>
      </c>
      <c r="F300" s="7" t="s">
        <v>1024</v>
      </c>
      <c r="G300" s="6" t="s">
        <v>1025</v>
      </c>
      <c r="H300" s="6" t="s">
        <v>6</v>
      </c>
      <c r="I300" s="8"/>
      <c r="J300" s="8"/>
      <c r="K300" s="8"/>
      <c r="L300" s="9"/>
    </row>
    <row r="301" customFormat="false" ht="15" hidden="false" customHeight="false" outlineLevel="0" collapsed="false">
      <c r="A301" s="6" t="s">
        <v>1026</v>
      </c>
      <c r="B301" s="6" t="s">
        <v>1011</v>
      </c>
      <c r="C301" s="6" t="s">
        <v>17</v>
      </c>
      <c r="D301" s="6" t="s">
        <v>85</v>
      </c>
      <c r="E301" s="6" t="s">
        <v>1012</v>
      </c>
      <c r="F301" s="7" t="s">
        <v>1027</v>
      </c>
      <c r="G301" s="6" t="s">
        <v>1028</v>
      </c>
      <c r="H301" s="6" t="s">
        <v>6</v>
      </c>
      <c r="I301" s="8"/>
      <c r="J301" s="8"/>
      <c r="K301" s="8"/>
      <c r="L301" s="9"/>
    </row>
    <row r="302" customFormat="false" ht="15" hidden="false" customHeight="false" outlineLevel="0" collapsed="false">
      <c r="A302" s="6" t="s">
        <v>1029</v>
      </c>
      <c r="B302" s="6" t="s">
        <v>1011</v>
      </c>
      <c r="C302" s="6" t="s">
        <v>17</v>
      </c>
      <c r="D302" s="6" t="s">
        <v>85</v>
      </c>
      <c r="E302" s="6" t="s">
        <v>1012</v>
      </c>
      <c r="F302" s="7" t="s">
        <v>1030</v>
      </c>
      <c r="G302" s="6" t="s">
        <v>1031</v>
      </c>
      <c r="H302" s="6" t="s">
        <v>8</v>
      </c>
      <c r="I302" s="8"/>
      <c r="J302" s="8"/>
      <c r="K302" s="8"/>
      <c r="L302" s="9"/>
    </row>
    <row r="303" customFormat="false" ht="15" hidden="false" customHeight="false" outlineLevel="0" collapsed="false">
      <c r="A303" s="6" t="s">
        <v>1032</v>
      </c>
      <c r="B303" s="6" t="s">
        <v>1011</v>
      </c>
      <c r="C303" s="6" t="s">
        <v>17</v>
      </c>
      <c r="D303" s="6" t="s">
        <v>85</v>
      </c>
      <c r="E303" s="6" t="s">
        <v>1012</v>
      </c>
      <c r="F303" s="7" t="s">
        <v>1033</v>
      </c>
      <c r="G303" s="6" t="s">
        <v>1034</v>
      </c>
      <c r="H303" s="6" t="s">
        <v>8</v>
      </c>
      <c r="I303" s="8"/>
      <c r="J303" s="8"/>
      <c r="K303" s="8"/>
      <c r="L303" s="9"/>
    </row>
    <row r="304" customFormat="false" ht="23.85" hidden="false" customHeight="false" outlineLevel="0" collapsed="false">
      <c r="A304" s="6" t="s">
        <v>1035</v>
      </c>
      <c r="B304" s="6" t="s">
        <v>1036</v>
      </c>
      <c r="C304" s="6" t="s">
        <v>17</v>
      </c>
      <c r="D304" s="6" t="s">
        <v>49</v>
      </c>
      <c r="E304" s="6" t="s">
        <v>972</v>
      </c>
      <c r="F304" s="7" t="s">
        <v>1037</v>
      </c>
      <c r="G304" s="6" t="s">
        <v>1038</v>
      </c>
      <c r="H304" s="6" t="s">
        <v>6</v>
      </c>
      <c r="I304" s="8"/>
      <c r="J304" s="8"/>
      <c r="K304" s="8"/>
      <c r="L304" s="9"/>
    </row>
    <row r="305" customFormat="false" ht="15" hidden="false" customHeight="false" outlineLevel="0" collapsed="false">
      <c r="A305" s="6" t="s">
        <v>1039</v>
      </c>
      <c r="B305" s="6" t="s">
        <v>1036</v>
      </c>
      <c r="C305" s="6" t="s">
        <v>17</v>
      </c>
      <c r="D305" s="6" t="s">
        <v>49</v>
      </c>
      <c r="E305" s="6" t="s">
        <v>972</v>
      </c>
      <c r="F305" s="7" t="s">
        <v>1040</v>
      </c>
      <c r="G305" s="6" t="s">
        <v>1041</v>
      </c>
      <c r="H305" s="6" t="s">
        <v>8</v>
      </c>
      <c r="I305" s="8"/>
      <c r="J305" s="8"/>
      <c r="K305" s="8"/>
      <c r="L305" s="9"/>
    </row>
    <row r="306" customFormat="false" ht="15" hidden="false" customHeight="false" outlineLevel="0" collapsed="false">
      <c r="A306" s="6" t="s">
        <v>1042</v>
      </c>
      <c r="B306" s="6" t="s">
        <v>1036</v>
      </c>
      <c r="C306" s="6" t="s">
        <v>17</v>
      </c>
      <c r="D306" s="6" t="s">
        <v>49</v>
      </c>
      <c r="E306" s="6" t="s">
        <v>972</v>
      </c>
      <c r="F306" s="7" t="s">
        <v>1043</v>
      </c>
      <c r="G306" s="6" t="s">
        <v>1044</v>
      </c>
      <c r="H306" s="6" t="s">
        <v>6</v>
      </c>
      <c r="I306" s="8"/>
      <c r="J306" s="8"/>
      <c r="K306" s="8"/>
      <c r="L306" s="9"/>
    </row>
    <row r="307" customFormat="false" ht="23.85" hidden="false" customHeight="false" outlineLevel="0" collapsed="false">
      <c r="A307" s="6" t="s">
        <v>1045</v>
      </c>
      <c r="B307" s="6" t="s">
        <v>1036</v>
      </c>
      <c r="C307" s="6" t="s">
        <v>17</v>
      </c>
      <c r="D307" s="6" t="s">
        <v>49</v>
      </c>
      <c r="E307" s="6" t="s">
        <v>972</v>
      </c>
      <c r="F307" s="7" t="s">
        <v>1046</v>
      </c>
      <c r="G307" s="6" t="s">
        <v>1047</v>
      </c>
      <c r="H307" s="6" t="s">
        <v>6</v>
      </c>
      <c r="I307" s="8"/>
      <c r="J307" s="8"/>
      <c r="K307" s="8"/>
      <c r="L307" s="9"/>
    </row>
    <row r="308" customFormat="false" ht="15" hidden="false" customHeight="false" outlineLevel="0" collapsed="false">
      <c r="A308" s="6" t="s">
        <v>1048</v>
      </c>
      <c r="B308" s="6" t="s">
        <v>1036</v>
      </c>
      <c r="C308" s="6" t="s">
        <v>17</v>
      </c>
      <c r="D308" s="6" t="s">
        <v>49</v>
      </c>
      <c r="E308" s="6" t="s">
        <v>972</v>
      </c>
      <c r="F308" s="7" t="s">
        <v>1049</v>
      </c>
      <c r="G308" s="6" t="s">
        <v>1050</v>
      </c>
      <c r="H308" s="6" t="s">
        <v>8</v>
      </c>
      <c r="I308" s="8"/>
      <c r="J308" s="8"/>
      <c r="K308" s="8"/>
      <c r="L308" s="9"/>
    </row>
    <row r="309" customFormat="false" ht="23.85" hidden="false" customHeight="false" outlineLevel="0" collapsed="false">
      <c r="A309" s="6" t="s">
        <v>1051</v>
      </c>
      <c r="B309" s="6" t="s">
        <v>1036</v>
      </c>
      <c r="C309" s="6" t="s">
        <v>17</v>
      </c>
      <c r="D309" s="6" t="s">
        <v>49</v>
      </c>
      <c r="E309" s="6" t="s">
        <v>972</v>
      </c>
      <c r="F309" s="7" t="s">
        <v>1052</v>
      </c>
      <c r="G309" s="6" t="s">
        <v>1053</v>
      </c>
      <c r="H309" s="6" t="s">
        <v>8</v>
      </c>
      <c r="I309" s="8"/>
      <c r="J309" s="8"/>
      <c r="K309" s="8"/>
      <c r="L309" s="9"/>
    </row>
    <row r="310" customFormat="false" ht="15" hidden="false" customHeight="false" outlineLevel="0" collapsed="false">
      <c r="A310" s="6" t="s">
        <v>1054</v>
      </c>
      <c r="B310" s="6" t="s">
        <v>1036</v>
      </c>
      <c r="C310" s="6" t="s">
        <v>17</v>
      </c>
      <c r="D310" s="6" t="s">
        <v>49</v>
      </c>
      <c r="E310" s="6" t="s">
        <v>972</v>
      </c>
      <c r="F310" s="7" t="s">
        <v>1055</v>
      </c>
      <c r="G310" s="6" t="s">
        <v>1056</v>
      </c>
      <c r="H310" s="6" t="s">
        <v>8</v>
      </c>
      <c r="I310" s="8"/>
      <c r="J310" s="8"/>
      <c r="K310" s="8"/>
      <c r="L310" s="9"/>
    </row>
    <row r="311" customFormat="false" ht="23.85" hidden="false" customHeight="false" outlineLevel="0" collapsed="false">
      <c r="A311" s="6" t="s">
        <v>1057</v>
      </c>
      <c r="B311" s="6" t="s">
        <v>1036</v>
      </c>
      <c r="C311" s="6" t="s">
        <v>17</v>
      </c>
      <c r="D311" s="6" t="s">
        <v>49</v>
      </c>
      <c r="E311" s="6" t="s">
        <v>972</v>
      </c>
      <c r="F311" s="7" t="s">
        <v>1058</v>
      </c>
      <c r="G311" s="6" t="s">
        <v>1059</v>
      </c>
      <c r="H311" s="6" t="s">
        <v>8</v>
      </c>
      <c r="I311" s="8"/>
      <c r="J311" s="8"/>
      <c r="K311" s="8"/>
      <c r="L311" s="9"/>
    </row>
    <row r="312" customFormat="false" ht="15" hidden="false" customHeight="false" outlineLevel="0" collapsed="false">
      <c r="A312" s="6" t="s">
        <v>1060</v>
      </c>
      <c r="B312" s="6" t="s">
        <v>1036</v>
      </c>
      <c r="C312" s="6" t="s">
        <v>17</v>
      </c>
      <c r="D312" s="6" t="s">
        <v>49</v>
      </c>
      <c r="E312" s="6" t="s">
        <v>972</v>
      </c>
      <c r="F312" s="7" t="s">
        <v>1061</v>
      </c>
      <c r="G312" s="6" t="s">
        <v>1062</v>
      </c>
      <c r="H312" s="6" t="s">
        <v>6</v>
      </c>
      <c r="I312" s="8"/>
      <c r="J312" s="8"/>
      <c r="K312" s="8"/>
      <c r="L312" s="9"/>
    </row>
    <row r="313" customFormat="false" ht="15" hidden="false" customHeight="false" outlineLevel="0" collapsed="false">
      <c r="A313" s="6" t="s">
        <v>1063</v>
      </c>
      <c r="B313" s="6" t="s">
        <v>1036</v>
      </c>
      <c r="C313" s="6" t="s">
        <v>17</v>
      </c>
      <c r="D313" s="6" t="s">
        <v>49</v>
      </c>
      <c r="E313" s="6" t="s">
        <v>972</v>
      </c>
      <c r="F313" s="7" t="s">
        <v>1064</v>
      </c>
      <c r="G313" s="6" t="s">
        <v>1065</v>
      </c>
      <c r="H313" s="6" t="s">
        <v>8</v>
      </c>
      <c r="I313" s="8"/>
      <c r="J313" s="8"/>
      <c r="K313" s="8"/>
      <c r="L313" s="9"/>
    </row>
    <row r="314" customFormat="false" ht="15" hidden="false" customHeight="false" outlineLevel="0" collapsed="false">
      <c r="A314" s="6" t="s">
        <v>1066</v>
      </c>
      <c r="B314" s="6" t="s">
        <v>1036</v>
      </c>
      <c r="C314" s="6" t="s">
        <v>17</v>
      </c>
      <c r="D314" s="6" t="s">
        <v>49</v>
      </c>
      <c r="E314" s="6" t="s">
        <v>972</v>
      </c>
      <c r="F314" s="7" t="s">
        <v>1067</v>
      </c>
      <c r="G314" s="6" t="s">
        <v>1068</v>
      </c>
      <c r="H314" s="6" t="s">
        <v>9</v>
      </c>
      <c r="I314" s="8"/>
      <c r="J314" s="8"/>
      <c r="K314" s="8"/>
      <c r="L314" s="9"/>
    </row>
    <row r="315" customFormat="false" ht="15" hidden="false" customHeight="false" outlineLevel="0" collapsed="false">
      <c r="A315" s="6" t="s">
        <v>1069</v>
      </c>
      <c r="B315" s="6" t="s">
        <v>1070</v>
      </c>
      <c r="C315" s="6" t="s">
        <v>17</v>
      </c>
      <c r="D315" s="6" t="s">
        <v>79</v>
      </c>
      <c r="E315" s="6" t="s">
        <v>972</v>
      </c>
      <c r="F315" s="7" t="s">
        <v>1071</v>
      </c>
      <c r="G315" s="6" t="s">
        <v>1072</v>
      </c>
      <c r="H315" s="6" t="s">
        <v>9</v>
      </c>
      <c r="I315" s="8"/>
      <c r="J315" s="8"/>
      <c r="K315" s="8"/>
      <c r="L315" s="9"/>
    </row>
    <row r="316" customFormat="false" ht="15" hidden="false" customHeight="false" outlineLevel="0" collapsed="false">
      <c r="A316" s="6" t="s">
        <v>1073</v>
      </c>
      <c r="B316" s="6" t="s">
        <v>1074</v>
      </c>
      <c r="C316" s="6" t="s">
        <v>17</v>
      </c>
      <c r="D316" s="6" t="s">
        <v>79</v>
      </c>
      <c r="E316" s="6" t="s">
        <v>1075</v>
      </c>
      <c r="F316" s="7" t="s">
        <v>1076</v>
      </c>
      <c r="G316" s="6" t="s">
        <v>1077</v>
      </c>
      <c r="H316" s="6" t="s">
        <v>6</v>
      </c>
      <c r="I316" s="8"/>
      <c r="J316" s="8"/>
      <c r="K316" s="8"/>
      <c r="L316" s="9"/>
    </row>
    <row r="317" customFormat="false" ht="15" hidden="false" customHeight="false" outlineLevel="0" collapsed="false">
      <c r="A317" s="6" t="s">
        <v>1078</v>
      </c>
      <c r="B317" s="6" t="s">
        <v>1074</v>
      </c>
      <c r="C317" s="6" t="s">
        <v>17</v>
      </c>
      <c r="D317" s="6" t="s">
        <v>79</v>
      </c>
      <c r="E317" s="6" t="s">
        <v>1075</v>
      </c>
      <c r="F317" s="7" t="s">
        <v>1079</v>
      </c>
      <c r="G317" s="6" t="s">
        <v>1080</v>
      </c>
      <c r="H317" s="6" t="s">
        <v>8</v>
      </c>
      <c r="I317" s="8"/>
      <c r="J317" s="8"/>
      <c r="K317" s="8"/>
      <c r="L317" s="9"/>
    </row>
    <row r="318" customFormat="false" ht="35.05" hidden="false" customHeight="false" outlineLevel="0" collapsed="false">
      <c r="A318" s="6" t="s">
        <v>1081</v>
      </c>
      <c r="B318" s="6" t="s">
        <v>1074</v>
      </c>
      <c r="C318" s="6" t="s">
        <v>17</v>
      </c>
      <c r="D318" s="6" t="s">
        <v>79</v>
      </c>
      <c r="E318" s="6" t="s">
        <v>1075</v>
      </c>
      <c r="F318" s="7" t="s">
        <v>1082</v>
      </c>
      <c r="G318" s="6" t="s">
        <v>1083</v>
      </c>
      <c r="H318" s="6" t="s">
        <v>8</v>
      </c>
      <c r="I318" s="8"/>
      <c r="J318" s="8"/>
      <c r="K318" s="8"/>
      <c r="L318" s="9"/>
    </row>
    <row r="319" customFormat="false" ht="23.85" hidden="false" customHeight="false" outlineLevel="0" collapsed="false">
      <c r="A319" s="6" t="s">
        <v>1084</v>
      </c>
      <c r="B319" s="6" t="s">
        <v>1074</v>
      </c>
      <c r="C319" s="6" t="s">
        <v>17</v>
      </c>
      <c r="D319" s="6" t="s">
        <v>79</v>
      </c>
      <c r="E319" s="6" t="s">
        <v>1075</v>
      </c>
      <c r="F319" s="7" t="s">
        <v>1085</v>
      </c>
      <c r="G319" s="6" t="s">
        <v>1086</v>
      </c>
      <c r="H319" s="6" t="s">
        <v>8</v>
      </c>
      <c r="I319" s="8"/>
      <c r="J319" s="8"/>
      <c r="K319" s="8"/>
      <c r="L319" s="9"/>
    </row>
    <row r="320" customFormat="false" ht="15" hidden="false" customHeight="false" outlineLevel="0" collapsed="false">
      <c r="A320" s="6" t="s">
        <v>1087</v>
      </c>
      <c r="B320" s="6" t="s">
        <v>1074</v>
      </c>
      <c r="C320" s="6" t="s">
        <v>17</v>
      </c>
      <c r="D320" s="6" t="s">
        <v>79</v>
      </c>
      <c r="E320" s="6" t="s">
        <v>1075</v>
      </c>
      <c r="F320" s="7" t="s">
        <v>1088</v>
      </c>
      <c r="G320" s="6" t="s">
        <v>1089</v>
      </c>
      <c r="H320" s="6" t="s">
        <v>8</v>
      </c>
      <c r="I320" s="8"/>
      <c r="J320" s="8"/>
      <c r="K320" s="8"/>
      <c r="L320" s="9"/>
    </row>
    <row r="321" customFormat="false" ht="15" hidden="false" customHeight="false" outlineLevel="0" collapsed="false">
      <c r="A321" s="6" t="s">
        <v>1090</v>
      </c>
      <c r="B321" s="6" t="s">
        <v>1074</v>
      </c>
      <c r="C321" s="6" t="s">
        <v>17</v>
      </c>
      <c r="D321" s="6" t="s">
        <v>79</v>
      </c>
      <c r="E321" s="6" t="s">
        <v>1075</v>
      </c>
      <c r="F321" s="7" t="s">
        <v>1091</v>
      </c>
      <c r="G321" s="6" t="s">
        <v>1092</v>
      </c>
      <c r="H321" s="6" t="s">
        <v>6</v>
      </c>
      <c r="I321" s="8"/>
      <c r="J321" s="8"/>
      <c r="K321" s="8"/>
      <c r="L321" s="9"/>
    </row>
    <row r="322" customFormat="false" ht="15" hidden="false" customHeight="false" outlineLevel="0" collapsed="false">
      <c r="A322" s="6" t="s">
        <v>1093</v>
      </c>
      <c r="B322" s="6" t="s">
        <v>1074</v>
      </c>
      <c r="C322" s="6" t="s">
        <v>17</v>
      </c>
      <c r="D322" s="6" t="s">
        <v>79</v>
      </c>
      <c r="E322" s="6" t="s">
        <v>1075</v>
      </c>
      <c r="F322" s="7" t="s">
        <v>1094</v>
      </c>
      <c r="G322" s="6" t="s">
        <v>1095</v>
      </c>
      <c r="H322" s="6" t="s">
        <v>6</v>
      </c>
      <c r="I322" s="8"/>
      <c r="J322" s="8"/>
      <c r="K322" s="8"/>
      <c r="L322" s="9"/>
    </row>
    <row r="323" customFormat="false" ht="23.85" hidden="false" customHeight="false" outlineLevel="0" collapsed="false">
      <c r="A323" s="6" t="s">
        <v>1096</v>
      </c>
      <c r="B323" s="6" t="s">
        <v>1074</v>
      </c>
      <c r="C323" s="6" t="s">
        <v>17</v>
      </c>
      <c r="D323" s="6" t="s">
        <v>79</v>
      </c>
      <c r="E323" s="6" t="s">
        <v>1075</v>
      </c>
      <c r="F323" s="7" t="s">
        <v>1097</v>
      </c>
      <c r="G323" s="6" t="s">
        <v>1098</v>
      </c>
      <c r="H323" s="6" t="s">
        <v>8</v>
      </c>
      <c r="I323" s="8"/>
      <c r="J323" s="8"/>
      <c r="K323" s="8"/>
      <c r="L323" s="9"/>
    </row>
    <row r="324" customFormat="false" ht="15" hidden="false" customHeight="false" outlineLevel="0" collapsed="false">
      <c r="A324" s="6" t="s">
        <v>1099</v>
      </c>
      <c r="B324" s="6" t="s">
        <v>1074</v>
      </c>
      <c r="C324" s="6" t="s">
        <v>17</v>
      </c>
      <c r="D324" s="6" t="s">
        <v>79</v>
      </c>
      <c r="E324" s="6" t="s">
        <v>1075</v>
      </c>
      <c r="F324" s="7" t="s">
        <v>1100</v>
      </c>
      <c r="G324" s="6" t="s">
        <v>1101</v>
      </c>
      <c r="H324" s="6" t="s">
        <v>6</v>
      </c>
      <c r="I324" s="8"/>
      <c r="J324" s="8"/>
      <c r="K324" s="8"/>
      <c r="L324" s="9"/>
    </row>
    <row r="325" customFormat="false" ht="15" hidden="false" customHeight="false" outlineLevel="0" collapsed="false">
      <c r="A325" s="6" t="s">
        <v>1102</v>
      </c>
      <c r="B325" s="6" t="s">
        <v>1074</v>
      </c>
      <c r="C325" s="6" t="s">
        <v>17</v>
      </c>
      <c r="D325" s="6" t="s">
        <v>79</v>
      </c>
      <c r="E325" s="6" t="s">
        <v>1075</v>
      </c>
      <c r="F325" s="7" t="s">
        <v>1103</v>
      </c>
      <c r="G325" s="6" t="s">
        <v>1104</v>
      </c>
      <c r="H325" s="6" t="s">
        <v>6</v>
      </c>
      <c r="I325" s="8"/>
      <c r="J325" s="8"/>
      <c r="K325" s="8"/>
      <c r="L325" s="9"/>
    </row>
    <row r="326" customFormat="false" ht="23.85" hidden="false" customHeight="false" outlineLevel="0" collapsed="false">
      <c r="A326" s="6" t="s">
        <v>1105</v>
      </c>
      <c r="B326" s="6" t="s">
        <v>1074</v>
      </c>
      <c r="C326" s="6" t="s">
        <v>17</v>
      </c>
      <c r="D326" s="6" t="s">
        <v>79</v>
      </c>
      <c r="E326" s="6" t="s">
        <v>1075</v>
      </c>
      <c r="F326" s="7" t="s">
        <v>1106</v>
      </c>
      <c r="G326" s="6" t="s">
        <v>1107</v>
      </c>
      <c r="H326" s="6" t="s">
        <v>8</v>
      </c>
      <c r="I326" s="8"/>
      <c r="J326" s="8"/>
      <c r="K326" s="8"/>
      <c r="L326" s="9"/>
    </row>
    <row r="327" customFormat="false" ht="15" hidden="false" customHeight="false" outlineLevel="0" collapsed="false">
      <c r="A327" s="6" t="s">
        <v>1108</v>
      </c>
      <c r="B327" s="6" t="s">
        <v>1074</v>
      </c>
      <c r="C327" s="6" t="s">
        <v>17</v>
      </c>
      <c r="D327" s="6" t="s">
        <v>79</v>
      </c>
      <c r="E327" s="6" t="s">
        <v>1075</v>
      </c>
      <c r="F327" s="7" t="s">
        <v>1109</v>
      </c>
      <c r="G327" s="6" t="s">
        <v>1110</v>
      </c>
      <c r="H327" s="6" t="s">
        <v>8</v>
      </c>
      <c r="I327" s="8"/>
      <c r="J327" s="8"/>
      <c r="K327" s="8"/>
      <c r="L327" s="9"/>
    </row>
    <row r="328" customFormat="false" ht="35.05" hidden="false" customHeight="false" outlineLevel="0" collapsed="false">
      <c r="A328" s="6" t="s">
        <v>1111</v>
      </c>
      <c r="B328" s="6" t="s">
        <v>1074</v>
      </c>
      <c r="C328" s="6" t="s">
        <v>17</v>
      </c>
      <c r="D328" s="6" t="s">
        <v>79</v>
      </c>
      <c r="E328" s="6" t="s">
        <v>1075</v>
      </c>
      <c r="F328" s="7" t="s">
        <v>1112</v>
      </c>
      <c r="G328" s="6" t="s">
        <v>1113</v>
      </c>
      <c r="H328" s="6" t="s">
        <v>6</v>
      </c>
      <c r="I328" s="8"/>
      <c r="J328" s="8"/>
      <c r="K328" s="8"/>
      <c r="L328" s="9"/>
    </row>
    <row r="329" customFormat="false" ht="15" hidden="false" customHeight="false" outlineLevel="0" collapsed="false">
      <c r="A329" s="6" t="s">
        <v>1114</v>
      </c>
      <c r="B329" s="6" t="s">
        <v>1074</v>
      </c>
      <c r="C329" s="6" t="s">
        <v>17</v>
      </c>
      <c r="D329" s="6" t="s">
        <v>79</v>
      </c>
      <c r="E329" s="6" t="s">
        <v>1075</v>
      </c>
      <c r="F329" s="7" t="s">
        <v>1115</v>
      </c>
      <c r="G329" s="6" t="s">
        <v>1116</v>
      </c>
      <c r="H329" s="6" t="s">
        <v>6</v>
      </c>
      <c r="I329" s="8"/>
      <c r="J329" s="8"/>
      <c r="K329" s="8"/>
      <c r="L329" s="9"/>
    </row>
    <row r="330" customFormat="false" ht="23.85" hidden="false" customHeight="false" outlineLevel="0" collapsed="false">
      <c r="A330" s="6" t="s">
        <v>1117</v>
      </c>
      <c r="B330" s="6" t="s">
        <v>1118</v>
      </c>
      <c r="C330" s="6" t="s">
        <v>17</v>
      </c>
      <c r="D330" s="6" t="s">
        <v>49</v>
      </c>
      <c r="E330" s="6" t="s">
        <v>873</v>
      </c>
      <c r="F330" s="7" t="s">
        <v>1119</v>
      </c>
      <c r="G330" s="6" t="s">
        <v>1120</v>
      </c>
      <c r="H330" s="6" t="s">
        <v>9</v>
      </c>
      <c r="I330" s="8"/>
      <c r="J330" s="8"/>
      <c r="K330" s="8"/>
      <c r="L330" s="9"/>
    </row>
    <row r="331" customFormat="false" ht="23.85" hidden="false" customHeight="false" outlineLevel="0" collapsed="false">
      <c r="A331" s="6" t="s">
        <v>1121</v>
      </c>
      <c r="B331" s="6" t="s">
        <v>1118</v>
      </c>
      <c r="C331" s="6" t="s">
        <v>17</v>
      </c>
      <c r="D331" s="6" t="s">
        <v>49</v>
      </c>
      <c r="E331" s="6" t="s">
        <v>873</v>
      </c>
      <c r="F331" s="7" t="s">
        <v>1122</v>
      </c>
      <c r="G331" s="6" t="s">
        <v>1123</v>
      </c>
      <c r="H331" s="6" t="s">
        <v>8</v>
      </c>
      <c r="I331" s="8"/>
      <c r="J331" s="8"/>
      <c r="K331" s="8"/>
      <c r="L331" s="9"/>
    </row>
    <row r="332" customFormat="false" ht="23.85" hidden="false" customHeight="false" outlineLevel="0" collapsed="false">
      <c r="A332" s="6" t="s">
        <v>1124</v>
      </c>
      <c r="B332" s="6" t="s">
        <v>1118</v>
      </c>
      <c r="C332" s="6" t="s">
        <v>17</v>
      </c>
      <c r="D332" s="6" t="s">
        <v>49</v>
      </c>
      <c r="E332" s="6" t="s">
        <v>873</v>
      </c>
      <c r="F332" s="7" t="s">
        <v>1125</v>
      </c>
      <c r="G332" s="6" t="s">
        <v>1126</v>
      </c>
      <c r="H332" s="6" t="s">
        <v>9</v>
      </c>
      <c r="I332" s="8"/>
      <c r="J332" s="8"/>
      <c r="K332" s="8"/>
      <c r="L332" s="9"/>
    </row>
    <row r="333" customFormat="false" ht="15" hidden="false" customHeight="false" outlineLevel="0" collapsed="false">
      <c r="A333" s="6" t="s">
        <v>1127</v>
      </c>
      <c r="B333" s="6" t="s">
        <v>1118</v>
      </c>
      <c r="C333" s="6" t="s">
        <v>17</v>
      </c>
      <c r="D333" s="6" t="s">
        <v>49</v>
      </c>
      <c r="E333" s="6" t="s">
        <v>873</v>
      </c>
      <c r="F333" s="7" t="s">
        <v>1128</v>
      </c>
      <c r="G333" s="6" t="s">
        <v>1129</v>
      </c>
      <c r="H333" s="6" t="s">
        <v>9</v>
      </c>
      <c r="I333" s="8"/>
      <c r="J333" s="8"/>
      <c r="K333" s="8"/>
      <c r="L333" s="9"/>
    </row>
    <row r="334" customFormat="false" ht="23.85" hidden="false" customHeight="false" outlineLevel="0" collapsed="false">
      <c r="A334" s="6" t="s">
        <v>1130</v>
      </c>
      <c r="B334" s="6" t="s">
        <v>1118</v>
      </c>
      <c r="C334" s="6" t="s">
        <v>17</v>
      </c>
      <c r="D334" s="6" t="s">
        <v>49</v>
      </c>
      <c r="E334" s="6" t="s">
        <v>873</v>
      </c>
      <c r="F334" s="7" t="s">
        <v>1131</v>
      </c>
      <c r="G334" s="6" t="s">
        <v>1132</v>
      </c>
      <c r="H334" s="6" t="s">
        <v>9</v>
      </c>
      <c r="I334" s="8"/>
      <c r="J334" s="8"/>
      <c r="K334" s="8"/>
      <c r="L334" s="9"/>
    </row>
    <row r="335" customFormat="false" ht="23.85" hidden="false" customHeight="false" outlineLevel="0" collapsed="false">
      <c r="A335" s="6" t="s">
        <v>1133</v>
      </c>
      <c r="B335" s="6" t="s">
        <v>1118</v>
      </c>
      <c r="C335" s="6" t="s">
        <v>17</v>
      </c>
      <c r="D335" s="6" t="s">
        <v>49</v>
      </c>
      <c r="E335" s="6" t="s">
        <v>873</v>
      </c>
      <c r="F335" s="7" t="s">
        <v>1134</v>
      </c>
      <c r="G335" s="6" t="s">
        <v>1135</v>
      </c>
      <c r="H335" s="6" t="s">
        <v>9</v>
      </c>
      <c r="I335" s="8"/>
      <c r="J335" s="8"/>
      <c r="K335" s="8"/>
      <c r="L335" s="9"/>
    </row>
    <row r="336" customFormat="false" ht="15" hidden="false" customHeight="false" outlineLevel="0" collapsed="false">
      <c r="A336" s="6" t="s">
        <v>1136</v>
      </c>
      <c r="B336" s="6" t="s">
        <v>1118</v>
      </c>
      <c r="C336" s="6" t="s">
        <v>17</v>
      </c>
      <c r="D336" s="6" t="s">
        <v>49</v>
      </c>
      <c r="E336" s="6" t="s">
        <v>873</v>
      </c>
      <c r="F336" s="7" t="s">
        <v>1137</v>
      </c>
      <c r="G336" s="6" t="s">
        <v>1138</v>
      </c>
      <c r="H336" s="6" t="s">
        <v>8</v>
      </c>
      <c r="I336" s="8"/>
      <c r="J336" s="8"/>
      <c r="K336" s="8"/>
      <c r="L336" s="9"/>
    </row>
    <row r="337" customFormat="false" ht="23.85" hidden="false" customHeight="false" outlineLevel="0" collapsed="false">
      <c r="A337" s="6" t="s">
        <v>1139</v>
      </c>
      <c r="B337" s="6" t="s">
        <v>1118</v>
      </c>
      <c r="C337" s="6" t="s">
        <v>17</v>
      </c>
      <c r="D337" s="6" t="s">
        <v>49</v>
      </c>
      <c r="E337" s="6" t="s">
        <v>873</v>
      </c>
      <c r="F337" s="7" t="s">
        <v>1140</v>
      </c>
      <c r="G337" s="6" t="s">
        <v>1141</v>
      </c>
      <c r="H337" s="6" t="s">
        <v>9</v>
      </c>
      <c r="I337" s="8"/>
      <c r="J337" s="8"/>
      <c r="K337" s="8"/>
      <c r="L337" s="9"/>
    </row>
    <row r="338" customFormat="false" ht="15" hidden="false" customHeight="false" outlineLevel="0" collapsed="false">
      <c r="A338" s="6" t="s">
        <v>1142</v>
      </c>
      <c r="B338" s="6" t="s">
        <v>1143</v>
      </c>
      <c r="C338" s="6" t="s">
        <v>17</v>
      </c>
      <c r="D338" s="6" t="s">
        <v>49</v>
      </c>
      <c r="E338" s="6" t="s">
        <v>972</v>
      </c>
      <c r="F338" s="7" t="s">
        <v>1144</v>
      </c>
      <c r="G338" s="6" t="s">
        <v>1145</v>
      </c>
      <c r="H338" s="6" t="s">
        <v>6</v>
      </c>
      <c r="I338" s="8"/>
      <c r="J338" s="8"/>
      <c r="K338" s="8"/>
      <c r="L338" s="9"/>
    </row>
    <row r="339" customFormat="false" ht="15" hidden="false" customHeight="false" outlineLevel="0" collapsed="false">
      <c r="A339" s="6" t="s">
        <v>1146</v>
      </c>
      <c r="B339" s="6" t="s">
        <v>1143</v>
      </c>
      <c r="C339" s="6" t="s">
        <v>17</v>
      </c>
      <c r="D339" s="6" t="s">
        <v>49</v>
      </c>
      <c r="E339" s="6" t="s">
        <v>972</v>
      </c>
      <c r="F339" s="7" t="s">
        <v>1147</v>
      </c>
      <c r="G339" s="6" t="s">
        <v>1148</v>
      </c>
      <c r="H339" s="6" t="s">
        <v>6</v>
      </c>
      <c r="I339" s="8"/>
      <c r="J339" s="8"/>
      <c r="K339" s="8"/>
      <c r="L339" s="9"/>
    </row>
    <row r="340" customFormat="false" ht="15" hidden="false" customHeight="false" outlineLevel="0" collapsed="false">
      <c r="A340" s="6" t="s">
        <v>1149</v>
      </c>
      <c r="B340" s="6" t="s">
        <v>1143</v>
      </c>
      <c r="C340" s="6" t="s">
        <v>17</v>
      </c>
      <c r="D340" s="6" t="s">
        <v>49</v>
      </c>
      <c r="E340" s="6" t="s">
        <v>972</v>
      </c>
      <c r="F340" s="7" t="s">
        <v>1150</v>
      </c>
      <c r="G340" s="6" t="s">
        <v>1151</v>
      </c>
      <c r="H340" s="6" t="s">
        <v>8</v>
      </c>
      <c r="I340" s="8"/>
      <c r="J340" s="8"/>
      <c r="K340" s="8"/>
      <c r="L340" s="9"/>
    </row>
    <row r="341" customFormat="false" ht="15" hidden="false" customHeight="false" outlineLevel="0" collapsed="false">
      <c r="A341" s="6" t="s">
        <v>1152</v>
      </c>
      <c r="B341" s="6" t="s">
        <v>1143</v>
      </c>
      <c r="C341" s="6" t="s">
        <v>17</v>
      </c>
      <c r="D341" s="6" t="s">
        <v>49</v>
      </c>
      <c r="E341" s="6" t="s">
        <v>972</v>
      </c>
      <c r="F341" s="7" t="s">
        <v>1153</v>
      </c>
      <c r="G341" s="6" t="s">
        <v>1154</v>
      </c>
      <c r="H341" s="6" t="s">
        <v>8</v>
      </c>
      <c r="I341" s="8"/>
      <c r="J341" s="8"/>
      <c r="K341" s="8"/>
      <c r="L341" s="9"/>
    </row>
    <row r="342" customFormat="false" ht="23.85" hidden="false" customHeight="false" outlineLevel="0" collapsed="false">
      <c r="A342" s="6" t="s">
        <v>1155</v>
      </c>
      <c r="B342" s="6" t="s">
        <v>1156</v>
      </c>
      <c r="C342" s="6" t="s">
        <v>17</v>
      </c>
      <c r="D342" s="6" t="s">
        <v>49</v>
      </c>
      <c r="E342" s="6" t="s">
        <v>356</v>
      </c>
      <c r="F342" s="7" t="s">
        <v>1157</v>
      </c>
      <c r="G342" s="6" t="s">
        <v>1158</v>
      </c>
      <c r="H342" s="6" t="s">
        <v>6</v>
      </c>
      <c r="I342" s="8"/>
      <c r="J342" s="8"/>
      <c r="K342" s="8"/>
      <c r="L342" s="9"/>
    </row>
    <row r="343" customFormat="false" ht="23.85" hidden="false" customHeight="false" outlineLevel="0" collapsed="false">
      <c r="A343" s="6" t="s">
        <v>1159</v>
      </c>
      <c r="B343" s="6" t="s">
        <v>1156</v>
      </c>
      <c r="C343" s="6" t="s">
        <v>17</v>
      </c>
      <c r="D343" s="6" t="s">
        <v>49</v>
      </c>
      <c r="E343" s="6" t="s">
        <v>356</v>
      </c>
      <c r="F343" s="7" t="s">
        <v>1160</v>
      </c>
      <c r="G343" s="6" t="s">
        <v>1161</v>
      </c>
      <c r="H343" s="6" t="s">
        <v>8</v>
      </c>
      <c r="I343" s="8"/>
      <c r="J343" s="8"/>
      <c r="K343" s="8"/>
      <c r="L343" s="9"/>
    </row>
    <row r="344" customFormat="false" ht="23.85" hidden="false" customHeight="false" outlineLevel="0" collapsed="false">
      <c r="A344" s="6" t="s">
        <v>1162</v>
      </c>
      <c r="B344" s="6" t="s">
        <v>1156</v>
      </c>
      <c r="C344" s="6" t="s">
        <v>17</v>
      </c>
      <c r="D344" s="6" t="s">
        <v>49</v>
      </c>
      <c r="E344" s="6" t="s">
        <v>356</v>
      </c>
      <c r="F344" s="7" t="s">
        <v>1163</v>
      </c>
      <c r="G344" s="6" t="s">
        <v>1164</v>
      </c>
      <c r="H344" s="6" t="s">
        <v>6</v>
      </c>
      <c r="I344" s="8"/>
      <c r="J344" s="8"/>
      <c r="K344" s="8"/>
      <c r="L344" s="9"/>
    </row>
    <row r="345" customFormat="false" ht="15" hidden="false" customHeight="false" outlineLevel="0" collapsed="false">
      <c r="A345" s="6" t="s">
        <v>1165</v>
      </c>
      <c r="B345" s="6" t="s">
        <v>1156</v>
      </c>
      <c r="C345" s="6" t="s">
        <v>17</v>
      </c>
      <c r="D345" s="6" t="s">
        <v>49</v>
      </c>
      <c r="E345" s="6" t="s">
        <v>356</v>
      </c>
      <c r="F345" s="7" t="s">
        <v>1166</v>
      </c>
      <c r="G345" s="6" t="s">
        <v>1167</v>
      </c>
      <c r="H345" s="6" t="s">
        <v>6</v>
      </c>
      <c r="I345" s="8"/>
      <c r="J345" s="8"/>
      <c r="K345" s="8"/>
      <c r="L345" s="9"/>
    </row>
    <row r="346" customFormat="false" ht="15" hidden="false" customHeight="false" outlineLevel="0" collapsed="false">
      <c r="A346" s="6" t="s">
        <v>1168</v>
      </c>
      <c r="B346" s="6" t="s">
        <v>1156</v>
      </c>
      <c r="C346" s="6" t="s">
        <v>17</v>
      </c>
      <c r="D346" s="6" t="s">
        <v>49</v>
      </c>
      <c r="E346" s="6" t="s">
        <v>356</v>
      </c>
      <c r="F346" s="7" t="s">
        <v>1169</v>
      </c>
      <c r="G346" s="6" t="s">
        <v>1170</v>
      </c>
      <c r="H346" s="6" t="s">
        <v>8</v>
      </c>
      <c r="I346" s="8"/>
      <c r="J346" s="8"/>
      <c r="K346" s="8"/>
      <c r="L346" s="9"/>
    </row>
    <row r="347" customFormat="false" ht="15" hidden="false" customHeight="false" outlineLevel="0" collapsed="false">
      <c r="A347" s="6" t="s">
        <v>1171</v>
      </c>
      <c r="B347" s="6" t="s">
        <v>1172</v>
      </c>
      <c r="C347" s="6" t="s">
        <v>17</v>
      </c>
      <c r="D347" s="6" t="s">
        <v>230</v>
      </c>
      <c r="E347" s="6" t="s">
        <v>714</v>
      </c>
      <c r="F347" s="7" t="s">
        <v>1173</v>
      </c>
      <c r="G347" s="6" t="s">
        <v>1174</v>
      </c>
      <c r="H347" s="6" t="s">
        <v>9</v>
      </c>
      <c r="I347" s="8"/>
      <c r="J347" s="8"/>
      <c r="K347" s="8"/>
      <c r="L347" s="9"/>
    </row>
    <row r="348" customFormat="false" ht="23.85" hidden="false" customHeight="false" outlineLevel="0" collapsed="false">
      <c r="A348" s="6" t="s">
        <v>1175</v>
      </c>
      <c r="B348" s="6" t="s">
        <v>1172</v>
      </c>
      <c r="C348" s="6" t="s">
        <v>17</v>
      </c>
      <c r="D348" s="6" t="s">
        <v>230</v>
      </c>
      <c r="E348" s="6" t="s">
        <v>714</v>
      </c>
      <c r="F348" s="7" t="s">
        <v>1176</v>
      </c>
      <c r="G348" s="6" t="s">
        <v>1177</v>
      </c>
      <c r="H348" s="6" t="s">
        <v>9</v>
      </c>
      <c r="I348" s="8"/>
      <c r="J348" s="8"/>
      <c r="K348" s="8"/>
      <c r="L348" s="9"/>
    </row>
    <row r="349" customFormat="false" ht="23.85" hidden="false" customHeight="false" outlineLevel="0" collapsed="false">
      <c r="A349" s="6" t="s">
        <v>1178</v>
      </c>
      <c r="B349" s="6" t="s">
        <v>1179</v>
      </c>
      <c r="C349" s="6" t="s">
        <v>17</v>
      </c>
      <c r="D349" s="6" t="s">
        <v>230</v>
      </c>
      <c r="E349" s="6" t="s">
        <v>714</v>
      </c>
      <c r="F349" s="7" t="s">
        <v>1180</v>
      </c>
      <c r="G349" s="6" t="s">
        <v>1181</v>
      </c>
      <c r="H349" s="6" t="s">
        <v>8</v>
      </c>
      <c r="I349" s="8"/>
      <c r="J349" s="8"/>
      <c r="K349" s="8"/>
      <c r="L349" s="9"/>
    </row>
    <row r="350" customFormat="false" ht="15" hidden="false" customHeight="false" outlineLevel="0" collapsed="false">
      <c r="A350" s="6" t="s">
        <v>1182</v>
      </c>
      <c r="B350" s="6" t="s">
        <v>1179</v>
      </c>
      <c r="C350" s="6" t="s">
        <v>17</v>
      </c>
      <c r="D350" s="6" t="s">
        <v>230</v>
      </c>
      <c r="E350" s="6" t="s">
        <v>714</v>
      </c>
      <c r="F350" s="7" t="s">
        <v>1183</v>
      </c>
      <c r="G350" s="6" t="s">
        <v>1184</v>
      </c>
      <c r="H350" s="6" t="s">
        <v>9</v>
      </c>
      <c r="I350" s="8"/>
      <c r="J350" s="8"/>
      <c r="K350" s="8"/>
      <c r="L350" s="9"/>
    </row>
    <row r="351" customFormat="false" ht="15" hidden="false" customHeight="false" outlineLevel="0" collapsed="false">
      <c r="A351" s="6" t="s">
        <v>1185</v>
      </c>
      <c r="B351" s="6" t="s">
        <v>1179</v>
      </c>
      <c r="C351" s="6" t="s">
        <v>17</v>
      </c>
      <c r="D351" s="6" t="s">
        <v>230</v>
      </c>
      <c r="E351" s="6" t="s">
        <v>714</v>
      </c>
      <c r="F351" s="7" t="s">
        <v>1186</v>
      </c>
      <c r="G351" s="6" t="s">
        <v>1187</v>
      </c>
      <c r="H351" s="6" t="s">
        <v>9</v>
      </c>
      <c r="I351" s="8"/>
      <c r="J351" s="8"/>
      <c r="K351" s="8"/>
      <c r="L351" s="9"/>
    </row>
    <row r="352" customFormat="false" ht="15" hidden="false" customHeight="false" outlineLevel="0" collapsed="false">
      <c r="A352" s="6" t="s">
        <v>1188</v>
      </c>
      <c r="B352" s="6" t="s">
        <v>1189</v>
      </c>
      <c r="C352" s="6" t="s">
        <v>17</v>
      </c>
      <c r="D352" s="6" t="s">
        <v>49</v>
      </c>
      <c r="E352" s="6" t="s">
        <v>1190</v>
      </c>
      <c r="F352" s="7" t="s">
        <v>1191</v>
      </c>
      <c r="G352" s="6" t="s">
        <v>1192</v>
      </c>
      <c r="H352" s="6" t="s">
        <v>6</v>
      </c>
      <c r="I352" s="8"/>
      <c r="J352" s="8"/>
      <c r="K352" s="8"/>
      <c r="L352" s="9"/>
    </row>
    <row r="353" customFormat="false" ht="15" hidden="false" customHeight="false" outlineLevel="0" collapsed="false">
      <c r="A353" s="6" t="s">
        <v>1193</v>
      </c>
      <c r="B353" s="6" t="s">
        <v>1189</v>
      </c>
      <c r="C353" s="6" t="s">
        <v>17</v>
      </c>
      <c r="D353" s="6" t="s">
        <v>49</v>
      </c>
      <c r="E353" s="6" t="s">
        <v>1190</v>
      </c>
      <c r="F353" s="7" t="s">
        <v>1194</v>
      </c>
      <c r="G353" s="6" t="s">
        <v>1195</v>
      </c>
      <c r="H353" s="6" t="s">
        <v>7</v>
      </c>
      <c r="I353" s="8"/>
      <c r="J353" s="8"/>
      <c r="K353" s="8"/>
      <c r="L353" s="9"/>
    </row>
    <row r="354" customFormat="false" ht="15" hidden="false" customHeight="false" outlineLevel="0" collapsed="false">
      <c r="A354" s="6" t="s">
        <v>1196</v>
      </c>
      <c r="B354" s="6" t="s">
        <v>1189</v>
      </c>
      <c r="C354" s="6" t="s">
        <v>17</v>
      </c>
      <c r="D354" s="6" t="s">
        <v>49</v>
      </c>
      <c r="E354" s="6" t="s">
        <v>1190</v>
      </c>
      <c r="F354" s="7" t="s">
        <v>1197</v>
      </c>
      <c r="G354" s="6" t="s">
        <v>1198</v>
      </c>
      <c r="H354" s="6" t="s">
        <v>9</v>
      </c>
      <c r="I354" s="8"/>
      <c r="J354" s="8"/>
      <c r="K354" s="8"/>
      <c r="L354" s="9"/>
    </row>
    <row r="355" customFormat="false" ht="23.85" hidden="false" customHeight="false" outlineLevel="0" collapsed="false">
      <c r="A355" s="6" t="s">
        <v>1199</v>
      </c>
      <c r="B355" s="6" t="s">
        <v>1189</v>
      </c>
      <c r="C355" s="6" t="s">
        <v>17</v>
      </c>
      <c r="D355" s="6" t="s">
        <v>49</v>
      </c>
      <c r="E355" s="6" t="s">
        <v>1190</v>
      </c>
      <c r="F355" s="7" t="s">
        <v>1200</v>
      </c>
      <c r="G355" s="6" t="s">
        <v>1201</v>
      </c>
      <c r="H355" s="6" t="s">
        <v>6</v>
      </c>
      <c r="I355" s="8"/>
      <c r="J355" s="8"/>
      <c r="K355" s="8"/>
      <c r="L355" s="9"/>
    </row>
    <row r="356" customFormat="false" ht="23.85" hidden="false" customHeight="false" outlineLevel="0" collapsed="false">
      <c r="A356" s="6" t="s">
        <v>1202</v>
      </c>
      <c r="B356" s="6" t="s">
        <v>1189</v>
      </c>
      <c r="C356" s="6" t="s">
        <v>17</v>
      </c>
      <c r="D356" s="6" t="s">
        <v>49</v>
      </c>
      <c r="E356" s="6" t="s">
        <v>1190</v>
      </c>
      <c r="F356" s="7" t="s">
        <v>1203</v>
      </c>
      <c r="G356" s="6" t="s">
        <v>1204</v>
      </c>
      <c r="H356" s="6" t="s">
        <v>8</v>
      </c>
      <c r="I356" s="8"/>
      <c r="J356" s="8"/>
      <c r="K356" s="8"/>
      <c r="L356" s="9"/>
    </row>
    <row r="357" customFormat="false" ht="15" hidden="false" customHeight="false" outlineLevel="0" collapsed="false">
      <c r="A357" s="6" t="s">
        <v>1205</v>
      </c>
      <c r="B357" s="6" t="s">
        <v>1189</v>
      </c>
      <c r="C357" s="6" t="s">
        <v>17</v>
      </c>
      <c r="D357" s="6" t="s">
        <v>49</v>
      </c>
      <c r="E357" s="6" t="s">
        <v>1190</v>
      </c>
      <c r="F357" s="7" t="s">
        <v>1206</v>
      </c>
      <c r="G357" s="6" t="s">
        <v>1207</v>
      </c>
      <c r="H357" s="6" t="s">
        <v>6</v>
      </c>
      <c r="I357" s="8"/>
      <c r="J357" s="8"/>
      <c r="K357" s="8"/>
      <c r="L357" s="9"/>
    </row>
    <row r="358" customFormat="false" ht="23.85" hidden="false" customHeight="false" outlineLevel="0" collapsed="false">
      <c r="A358" s="6" t="s">
        <v>1208</v>
      </c>
      <c r="B358" s="6" t="s">
        <v>1189</v>
      </c>
      <c r="C358" s="6" t="s">
        <v>17</v>
      </c>
      <c r="D358" s="6" t="s">
        <v>49</v>
      </c>
      <c r="E358" s="6" t="s">
        <v>1190</v>
      </c>
      <c r="F358" s="7" t="s">
        <v>1209</v>
      </c>
      <c r="G358" s="6" t="s">
        <v>1210</v>
      </c>
      <c r="H358" s="6" t="s">
        <v>6</v>
      </c>
      <c r="I358" s="8"/>
      <c r="J358" s="8"/>
      <c r="K358" s="8"/>
      <c r="L358" s="9"/>
    </row>
    <row r="359" customFormat="false" ht="15" hidden="false" customHeight="false" outlineLevel="0" collapsed="false">
      <c r="A359" s="6" t="s">
        <v>1211</v>
      </c>
      <c r="B359" s="6" t="s">
        <v>1189</v>
      </c>
      <c r="C359" s="6" t="s">
        <v>17</v>
      </c>
      <c r="D359" s="6" t="s">
        <v>49</v>
      </c>
      <c r="E359" s="6" t="s">
        <v>1190</v>
      </c>
      <c r="F359" s="7" t="s">
        <v>1212</v>
      </c>
      <c r="G359" s="6" t="s">
        <v>1213</v>
      </c>
      <c r="H359" s="6" t="s">
        <v>6</v>
      </c>
      <c r="I359" s="8"/>
      <c r="J359" s="8"/>
      <c r="K359" s="8"/>
      <c r="L359" s="9"/>
    </row>
    <row r="360" customFormat="false" ht="15" hidden="false" customHeight="false" outlineLevel="0" collapsed="false">
      <c r="A360" s="6" t="s">
        <v>1214</v>
      </c>
      <c r="B360" s="6" t="s">
        <v>1215</v>
      </c>
      <c r="C360" s="6" t="s">
        <v>17</v>
      </c>
      <c r="D360" s="6" t="s">
        <v>79</v>
      </c>
      <c r="E360" s="6" t="s">
        <v>28</v>
      </c>
      <c r="F360" s="7" t="s">
        <v>1216</v>
      </c>
      <c r="G360" s="6" t="s">
        <v>1217</v>
      </c>
      <c r="H360" s="6" t="s">
        <v>6</v>
      </c>
      <c r="I360" s="8"/>
      <c r="J360" s="8"/>
      <c r="K360" s="8"/>
      <c r="L360" s="9"/>
    </row>
    <row r="361" customFormat="false" ht="23.85" hidden="false" customHeight="false" outlineLevel="0" collapsed="false">
      <c r="A361" s="6" t="s">
        <v>1218</v>
      </c>
      <c r="B361" s="6" t="s">
        <v>1219</v>
      </c>
      <c r="C361" s="6" t="s">
        <v>17</v>
      </c>
      <c r="D361" s="6" t="s">
        <v>79</v>
      </c>
      <c r="E361" s="6"/>
      <c r="F361" s="7" t="s">
        <v>1220</v>
      </c>
      <c r="G361" s="6" t="s">
        <v>1221</v>
      </c>
      <c r="H361" s="6" t="s">
        <v>11</v>
      </c>
      <c r="I361" s="8"/>
      <c r="J361" s="8"/>
      <c r="K361" s="8"/>
      <c r="L361" s="9"/>
    </row>
    <row r="362" customFormat="false" ht="35.05" hidden="false" customHeight="false" outlineLevel="0" collapsed="false">
      <c r="A362" s="6" t="s">
        <v>1222</v>
      </c>
      <c r="B362" s="6" t="s">
        <v>1219</v>
      </c>
      <c r="C362" s="6" t="s">
        <v>17</v>
      </c>
      <c r="D362" s="6" t="s">
        <v>79</v>
      </c>
      <c r="E362" s="6"/>
      <c r="F362" s="7" t="s">
        <v>1223</v>
      </c>
      <c r="G362" s="6" t="s">
        <v>127</v>
      </c>
      <c r="H362" s="6" t="s">
        <v>11</v>
      </c>
      <c r="I362" s="8"/>
      <c r="J362" s="8"/>
      <c r="K362" s="8"/>
      <c r="L362" s="9"/>
    </row>
    <row r="363" customFormat="false" ht="23.85" hidden="false" customHeight="false" outlineLevel="0" collapsed="false">
      <c r="A363" s="6" t="s">
        <v>1224</v>
      </c>
      <c r="B363" s="6" t="s">
        <v>1225</v>
      </c>
      <c r="C363" s="6" t="s">
        <v>17</v>
      </c>
      <c r="D363" s="6" t="s">
        <v>79</v>
      </c>
      <c r="E363" s="6" t="s">
        <v>28</v>
      </c>
      <c r="F363" s="7" t="s">
        <v>1226</v>
      </c>
      <c r="G363" s="6" t="s">
        <v>1227</v>
      </c>
      <c r="H363" s="6" t="s">
        <v>8</v>
      </c>
      <c r="I363" s="8"/>
      <c r="J363" s="8"/>
      <c r="K363" s="8"/>
      <c r="L363" s="9"/>
    </row>
    <row r="364" customFormat="false" ht="35.05" hidden="false" customHeight="false" outlineLevel="0" collapsed="false">
      <c r="A364" s="6" t="s">
        <v>1228</v>
      </c>
      <c r="B364" s="6" t="s">
        <v>1225</v>
      </c>
      <c r="C364" s="6" t="s">
        <v>17</v>
      </c>
      <c r="D364" s="6" t="s">
        <v>79</v>
      </c>
      <c r="E364" s="6" t="s">
        <v>28</v>
      </c>
      <c r="F364" s="7" t="s">
        <v>1229</v>
      </c>
      <c r="G364" s="6" t="s">
        <v>1230</v>
      </c>
      <c r="H364" s="6" t="s">
        <v>9</v>
      </c>
      <c r="I364" s="8"/>
      <c r="J364" s="8"/>
      <c r="K364" s="8"/>
      <c r="L364" s="9"/>
    </row>
    <row r="365" customFormat="false" ht="35.05" hidden="false" customHeight="false" outlineLevel="0" collapsed="false">
      <c r="A365" s="6" t="s">
        <v>1231</v>
      </c>
      <c r="B365" s="6" t="s">
        <v>1232</v>
      </c>
      <c r="C365" s="6" t="s">
        <v>17</v>
      </c>
      <c r="D365" s="6" t="s">
        <v>85</v>
      </c>
      <c r="E365" s="6" t="s">
        <v>27</v>
      </c>
      <c r="F365" s="7" t="s">
        <v>1233</v>
      </c>
      <c r="G365" s="6" t="s">
        <v>1234</v>
      </c>
      <c r="H365" s="6" t="s">
        <v>11</v>
      </c>
      <c r="I365" s="8"/>
      <c r="J365" s="8"/>
      <c r="K365" s="8"/>
      <c r="L365" s="9"/>
    </row>
    <row r="366" customFormat="false" ht="23.85" hidden="false" customHeight="false" outlineLevel="0" collapsed="false">
      <c r="A366" s="6" t="s">
        <v>1235</v>
      </c>
      <c r="B366" s="6" t="s">
        <v>1232</v>
      </c>
      <c r="C366" s="6" t="s">
        <v>17</v>
      </c>
      <c r="D366" s="6" t="s">
        <v>85</v>
      </c>
      <c r="E366" s="6" t="s">
        <v>27</v>
      </c>
      <c r="F366" s="7" t="s">
        <v>1236</v>
      </c>
      <c r="G366" s="6" t="s">
        <v>1237</v>
      </c>
      <c r="H366" s="6" t="s">
        <v>7</v>
      </c>
      <c r="I366" s="8"/>
      <c r="J366" s="8"/>
      <c r="K366" s="8"/>
      <c r="L366" s="9"/>
    </row>
    <row r="367" customFormat="false" ht="23.85" hidden="false" customHeight="false" outlineLevel="0" collapsed="false">
      <c r="A367" s="6" t="s">
        <v>1238</v>
      </c>
      <c r="B367" s="6" t="s">
        <v>1232</v>
      </c>
      <c r="C367" s="6" t="s">
        <v>17</v>
      </c>
      <c r="D367" s="6" t="s">
        <v>85</v>
      </c>
      <c r="E367" s="6" t="s">
        <v>27</v>
      </c>
      <c r="F367" s="7" t="s">
        <v>1239</v>
      </c>
      <c r="G367" s="6" t="s">
        <v>1240</v>
      </c>
      <c r="H367" s="6" t="s">
        <v>8</v>
      </c>
      <c r="I367" s="8"/>
      <c r="J367" s="8"/>
      <c r="K367" s="8"/>
      <c r="L367" s="9"/>
    </row>
    <row r="368" customFormat="false" ht="15" hidden="false" customHeight="false" outlineLevel="0" collapsed="false">
      <c r="A368" s="6" t="s">
        <v>1241</v>
      </c>
      <c r="B368" s="6" t="s">
        <v>1242</v>
      </c>
      <c r="C368" s="6" t="s">
        <v>17</v>
      </c>
      <c r="D368" s="6" t="s">
        <v>49</v>
      </c>
      <c r="E368" s="6" t="s">
        <v>27</v>
      </c>
      <c r="F368" s="7" t="s">
        <v>1243</v>
      </c>
      <c r="G368" s="6" t="s">
        <v>349</v>
      </c>
      <c r="H368" s="6" t="s">
        <v>11</v>
      </c>
      <c r="I368" s="8"/>
      <c r="J368" s="8"/>
      <c r="K368" s="8"/>
      <c r="L368" s="9"/>
    </row>
    <row r="369" customFormat="false" ht="15" hidden="false" customHeight="false" outlineLevel="0" collapsed="false">
      <c r="A369" s="6" t="s">
        <v>1244</v>
      </c>
      <c r="B369" s="6" t="s">
        <v>1245</v>
      </c>
      <c r="C369" s="6" t="s">
        <v>17</v>
      </c>
      <c r="D369" s="6" t="s">
        <v>331</v>
      </c>
      <c r="E369" s="6" t="s">
        <v>873</v>
      </c>
      <c r="F369" s="7" t="s">
        <v>1246</v>
      </c>
      <c r="G369" s="6" t="s">
        <v>279</v>
      </c>
      <c r="H369" s="6" t="s">
        <v>6</v>
      </c>
      <c r="I369" s="8"/>
      <c r="J369" s="8"/>
      <c r="K369" s="8"/>
      <c r="L369" s="9"/>
    </row>
    <row r="370" customFormat="false" ht="23.85" hidden="false" customHeight="false" outlineLevel="0" collapsed="false">
      <c r="A370" s="6" t="s">
        <v>1247</v>
      </c>
      <c r="B370" s="6" t="s">
        <v>1245</v>
      </c>
      <c r="C370" s="6" t="s">
        <v>17</v>
      </c>
      <c r="D370" s="6" t="s">
        <v>331</v>
      </c>
      <c r="E370" s="6" t="s">
        <v>873</v>
      </c>
      <c r="F370" s="7" t="s">
        <v>1248</v>
      </c>
      <c r="G370" s="6" t="s">
        <v>1249</v>
      </c>
      <c r="H370" s="6" t="s">
        <v>6</v>
      </c>
      <c r="I370" s="8"/>
      <c r="J370" s="8"/>
      <c r="K370" s="8"/>
      <c r="L370" s="9"/>
    </row>
    <row r="371" customFormat="false" ht="23.85" hidden="false" customHeight="false" outlineLevel="0" collapsed="false">
      <c r="A371" s="6" t="s">
        <v>1250</v>
      </c>
      <c r="B371" s="6" t="s">
        <v>1245</v>
      </c>
      <c r="C371" s="6" t="s">
        <v>17</v>
      </c>
      <c r="D371" s="6" t="s">
        <v>331</v>
      </c>
      <c r="E371" s="6" t="s">
        <v>873</v>
      </c>
      <c r="F371" s="7" t="s">
        <v>1251</v>
      </c>
      <c r="G371" s="6" t="s">
        <v>1252</v>
      </c>
      <c r="H371" s="6" t="s">
        <v>8</v>
      </c>
      <c r="I371" s="8"/>
      <c r="J371" s="8"/>
      <c r="K371" s="8"/>
      <c r="L371" s="9"/>
    </row>
    <row r="372" customFormat="false" ht="23.85" hidden="false" customHeight="false" outlineLevel="0" collapsed="false">
      <c r="A372" s="6" t="s">
        <v>1253</v>
      </c>
      <c r="B372" s="6" t="s">
        <v>1245</v>
      </c>
      <c r="C372" s="6" t="s">
        <v>17</v>
      </c>
      <c r="D372" s="6" t="s">
        <v>331</v>
      </c>
      <c r="E372" s="6" t="s">
        <v>873</v>
      </c>
      <c r="F372" s="7" t="s">
        <v>1254</v>
      </c>
      <c r="G372" s="6" t="s">
        <v>1255</v>
      </c>
      <c r="H372" s="6" t="s">
        <v>8</v>
      </c>
      <c r="I372" s="8"/>
      <c r="J372" s="8"/>
      <c r="K372" s="8"/>
      <c r="L372" s="9"/>
    </row>
    <row r="373" customFormat="false" ht="23.85" hidden="false" customHeight="false" outlineLevel="0" collapsed="false">
      <c r="A373" s="6" t="s">
        <v>1256</v>
      </c>
      <c r="B373" s="6" t="s">
        <v>1245</v>
      </c>
      <c r="C373" s="6" t="s">
        <v>17</v>
      </c>
      <c r="D373" s="6" t="s">
        <v>331</v>
      </c>
      <c r="E373" s="6" t="s">
        <v>873</v>
      </c>
      <c r="F373" s="7" t="s">
        <v>1257</v>
      </c>
      <c r="G373" s="6" t="s">
        <v>1258</v>
      </c>
      <c r="H373" s="6" t="s">
        <v>6</v>
      </c>
      <c r="I373" s="8"/>
      <c r="J373" s="8"/>
      <c r="K373" s="8"/>
      <c r="L373" s="9"/>
    </row>
    <row r="374" customFormat="false" ht="23.85" hidden="false" customHeight="false" outlineLevel="0" collapsed="false">
      <c r="A374" s="6" t="s">
        <v>1259</v>
      </c>
      <c r="B374" s="6" t="s">
        <v>1245</v>
      </c>
      <c r="C374" s="6" t="s">
        <v>17</v>
      </c>
      <c r="D374" s="6" t="s">
        <v>331</v>
      </c>
      <c r="E374" s="6" t="s">
        <v>873</v>
      </c>
      <c r="F374" s="7" t="s">
        <v>1260</v>
      </c>
      <c r="G374" s="6" t="s">
        <v>1261</v>
      </c>
      <c r="H374" s="6" t="s">
        <v>6</v>
      </c>
      <c r="I374" s="8"/>
      <c r="J374" s="8"/>
      <c r="K374" s="8"/>
      <c r="L374" s="9"/>
    </row>
    <row r="375" customFormat="false" ht="15" hidden="false" customHeight="false" outlineLevel="0" collapsed="false">
      <c r="A375" s="6" t="s">
        <v>1262</v>
      </c>
      <c r="B375" s="6" t="s">
        <v>1245</v>
      </c>
      <c r="C375" s="6" t="s">
        <v>17</v>
      </c>
      <c r="D375" s="6" t="s">
        <v>331</v>
      </c>
      <c r="E375" s="6" t="s">
        <v>873</v>
      </c>
      <c r="F375" s="7" t="s">
        <v>1263</v>
      </c>
      <c r="G375" s="6" t="s">
        <v>1264</v>
      </c>
      <c r="H375" s="6" t="s">
        <v>7</v>
      </c>
      <c r="I375" s="8"/>
      <c r="J375" s="8"/>
      <c r="K375" s="8"/>
      <c r="L375" s="9"/>
    </row>
    <row r="376" customFormat="false" ht="15" hidden="false" customHeight="false" outlineLevel="0" collapsed="false">
      <c r="A376" s="6" t="s">
        <v>1265</v>
      </c>
      <c r="B376" s="6" t="s">
        <v>1266</v>
      </c>
      <c r="C376" s="6" t="s">
        <v>17</v>
      </c>
      <c r="D376" s="6" t="s">
        <v>44</v>
      </c>
      <c r="E376" s="6" t="s">
        <v>27</v>
      </c>
      <c r="F376" s="7" t="s">
        <v>1267</v>
      </c>
      <c r="G376" s="6" t="s">
        <v>1268</v>
      </c>
      <c r="H376" s="6" t="s">
        <v>9</v>
      </c>
      <c r="I376" s="8"/>
      <c r="J376" s="8"/>
      <c r="K376" s="8"/>
      <c r="L376" s="9"/>
    </row>
    <row r="377" customFormat="false" ht="35.05" hidden="false" customHeight="false" outlineLevel="0" collapsed="false">
      <c r="A377" s="6" t="s">
        <v>1269</v>
      </c>
      <c r="B377" s="6" t="s">
        <v>1266</v>
      </c>
      <c r="C377" s="6" t="s">
        <v>17</v>
      </c>
      <c r="D377" s="6" t="s">
        <v>44</v>
      </c>
      <c r="E377" s="6" t="s">
        <v>27</v>
      </c>
      <c r="F377" s="7" t="s">
        <v>1270</v>
      </c>
      <c r="G377" s="6" t="s">
        <v>1271</v>
      </c>
      <c r="H377" s="6" t="s">
        <v>9</v>
      </c>
      <c r="I377" s="8"/>
      <c r="J377" s="8"/>
      <c r="K377" s="8"/>
      <c r="L377" s="9"/>
    </row>
    <row r="378" customFormat="false" ht="23.85" hidden="false" customHeight="false" outlineLevel="0" collapsed="false">
      <c r="A378" s="6" t="s">
        <v>1272</v>
      </c>
      <c r="B378" s="6" t="s">
        <v>1273</v>
      </c>
      <c r="C378" s="6" t="s">
        <v>17</v>
      </c>
      <c r="D378" s="6" t="s">
        <v>49</v>
      </c>
      <c r="E378" s="6" t="s">
        <v>27</v>
      </c>
      <c r="F378" s="7" t="s">
        <v>1274</v>
      </c>
      <c r="G378" s="6" t="s">
        <v>1275</v>
      </c>
      <c r="H378" s="6" t="s">
        <v>6</v>
      </c>
      <c r="I378" s="8"/>
      <c r="J378" s="8"/>
      <c r="K378" s="8"/>
      <c r="L378" s="9"/>
    </row>
    <row r="379" customFormat="false" ht="23.85" hidden="false" customHeight="false" outlineLevel="0" collapsed="false">
      <c r="A379" s="6" t="s">
        <v>1276</v>
      </c>
      <c r="B379" s="6" t="s">
        <v>1273</v>
      </c>
      <c r="C379" s="6" t="s">
        <v>17</v>
      </c>
      <c r="D379" s="6" t="s">
        <v>49</v>
      </c>
      <c r="E379" s="6" t="s">
        <v>27</v>
      </c>
      <c r="F379" s="7" t="s">
        <v>1277</v>
      </c>
      <c r="G379" s="6" t="s">
        <v>1278</v>
      </c>
      <c r="H379" s="6" t="s">
        <v>6</v>
      </c>
      <c r="I379" s="8"/>
      <c r="J379" s="8"/>
      <c r="K379" s="8"/>
      <c r="L379" s="9"/>
    </row>
    <row r="380" customFormat="false" ht="23.85" hidden="false" customHeight="false" outlineLevel="0" collapsed="false">
      <c r="A380" s="6" t="s">
        <v>1279</v>
      </c>
      <c r="B380" s="6" t="s">
        <v>1273</v>
      </c>
      <c r="C380" s="6" t="s">
        <v>17</v>
      </c>
      <c r="D380" s="6" t="s">
        <v>49</v>
      </c>
      <c r="E380" s="6" t="s">
        <v>27</v>
      </c>
      <c r="F380" s="7" t="s">
        <v>1280</v>
      </c>
      <c r="G380" s="6" t="s">
        <v>1281</v>
      </c>
      <c r="H380" s="6" t="s">
        <v>7</v>
      </c>
      <c r="I380" s="8"/>
      <c r="J380" s="8"/>
      <c r="K380" s="8"/>
      <c r="L380" s="9"/>
    </row>
    <row r="381" customFormat="false" ht="15" hidden="false" customHeight="false" outlineLevel="0" collapsed="false">
      <c r="A381" s="6" t="s">
        <v>1282</v>
      </c>
      <c r="B381" s="6" t="s">
        <v>1273</v>
      </c>
      <c r="C381" s="6" t="s">
        <v>17</v>
      </c>
      <c r="D381" s="6" t="s">
        <v>49</v>
      </c>
      <c r="E381" s="6" t="s">
        <v>27</v>
      </c>
      <c r="F381" s="7" t="s">
        <v>1283</v>
      </c>
      <c r="G381" s="6" t="s">
        <v>1284</v>
      </c>
      <c r="H381" s="6" t="s">
        <v>6</v>
      </c>
      <c r="I381" s="8"/>
      <c r="J381" s="8"/>
      <c r="K381" s="8"/>
      <c r="L381" s="9"/>
    </row>
    <row r="382" customFormat="false" ht="23.85" hidden="false" customHeight="false" outlineLevel="0" collapsed="false">
      <c r="A382" s="6" t="s">
        <v>1285</v>
      </c>
      <c r="B382" s="6" t="s">
        <v>1273</v>
      </c>
      <c r="C382" s="6" t="s">
        <v>17</v>
      </c>
      <c r="D382" s="6" t="s">
        <v>49</v>
      </c>
      <c r="E382" s="6" t="s">
        <v>27</v>
      </c>
      <c r="F382" s="7" t="s">
        <v>1286</v>
      </c>
      <c r="G382" s="6" t="s">
        <v>1287</v>
      </c>
      <c r="H382" s="6" t="s">
        <v>6</v>
      </c>
      <c r="I382" s="8"/>
      <c r="J382" s="8"/>
      <c r="K382" s="8"/>
      <c r="L382" s="9"/>
    </row>
    <row r="383" customFormat="false" ht="23.85" hidden="false" customHeight="false" outlineLevel="0" collapsed="false">
      <c r="A383" s="6" t="s">
        <v>1288</v>
      </c>
      <c r="B383" s="6" t="s">
        <v>1273</v>
      </c>
      <c r="C383" s="6" t="s">
        <v>17</v>
      </c>
      <c r="D383" s="6" t="s">
        <v>49</v>
      </c>
      <c r="E383" s="6" t="s">
        <v>27</v>
      </c>
      <c r="F383" s="7" t="s">
        <v>1289</v>
      </c>
      <c r="G383" s="6" t="s">
        <v>1290</v>
      </c>
      <c r="H383" s="6" t="s">
        <v>11</v>
      </c>
      <c r="I383" s="8"/>
      <c r="J383" s="8"/>
      <c r="K383" s="8"/>
      <c r="L383" s="9"/>
    </row>
    <row r="384" customFormat="false" ht="23.85" hidden="false" customHeight="false" outlineLevel="0" collapsed="false">
      <c r="A384" s="6" t="s">
        <v>1291</v>
      </c>
      <c r="B384" s="6" t="s">
        <v>1273</v>
      </c>
      <c r="C384" s="6" t="s">
        <v>17</v>
      </c>
      <c r="D384" s="6" t="s">
        <v>49</v>
      </c>
      <c r="E384" s="6" t="s">
        <v>27</v>
      </c>
      <c r="F384" s="7" t="s">
        <v>1292</v>
      </c>
      <c r="G384" s="6" t="s">
        <v>1293</v>
      </c>
      <c r="H384" s="6" t="s">
        <v>6</v>
      </c>
      <c r="I384" s="8"/>
      <c r="J384" s="8"/>
      <c r="K384" s="8"/>
      <c r="L384" s="9"/>
    </row>
    <row r="385" customFormat="false" ht="23.85" hidden="false" customHeight="false" outlineLevel="0" collapsed="false">
      <c r="A385" s="6" t="s">
        <v>1294</v>
      </c>
      <c r="B385" s="6" t="s">
        <v>1273</v>
      </c>
      <c r="C385" s="6" t="s">
        <v>17</v>
      </c>
      <c r="D385" s="6" t="s">
        <v>49</v>
      </c>
      <c r="E385" s="6" t="s">
        <v>27</v>
      </c>
      <c r="F385" s="7" t="s">
        <v>1295</v>
      </c>
      <c r="G385" s="6" t="s">
        <v>1296</v>
      </c>
      <c r="H385" s="6" t="s">
        <v>6</v>
      </c>
      <c r="I385" s="8"/>
      <c r="J385" s="8"/>
      <c r="K385" s="8"/>
      <c r="L385" s="9"/>
    </row>
    <row r="386" customFormat="false" ht="23.85" hidden="false" customHeight="false" outlineLevel="0" collapsed="false">
      <c r="A386" s="6" t="s">
        <v>1297</v>
      </c>
      <c r="B386" s="6" t="s">
        <v>1298</v>
      </c>
      <c r="C386" s="6" t="s">
        <v>17</v>
      </c>
      <c r="D386" s="6" t="s">
        <v>230</v>
      </c>
      <c r="E386" s="6" t="s">
        <v>27</v>
      </c>
      <c r="F386" s="7" t="s">
        <v>1299</v>
      </c>
      <c r="G386" s="6" t="s">
        <v>1300</v>
      </c>
      <c r="H386" s="6" t="s">
        <v>9</v>
      </c>
      <c r="I386" s="8"/>
      <c r="J386" s="8"/>
      <c r="K386" s="8"/>
      <c r="L386" s="9"/>
    </row>
    <row r="387" customFormat="false" ht="23.85" hidden="false" customHeight="false" outlineLevel="0" collapsed="false">
      <c r="A387" s="6" t="s">
        <v>1301</v>
      </c>
      <c r="B387" s="6" t="s">
        <v>1302</v>
      </c>
      <c r="C387" s="6" t="s">
        <v>18</v>
      </c>
      <c r="D387" s="6" t="s">
        <v>1303</v>
      </c>
      <c r="E387" s="6" t="s">
        <v>1304</v>
      </c>
      <c r="F387" s="7" t="s">
        <v>1305</v>
      </c>
      <c r="G387" s="6" t="s">
        <v>1306</v>
      </c>
      <c r="H387" s="6" t="s">
        <v>10</v>
      </c>
      <c r="I387" s="8"/>
      <c r="J387" s="8"/>
      <c r="K387" s="8"/>
      <c r="L387" s="9"/>
    </row>
    <row r="388" customFormat="false" ht="35.05" hidden="false" customHeight="false" outlineLevel="0" collapsed="false">
      <c r="A388" s="6" t="s">
        <v>1307</v>
      </c>
      <c r="B388" s="6" t="s">
        <v>1302</v>
      </c>
      <c r="C388" s="6" t="s">
        <v>18</v>
      </c>
      <c r="D388" s="6" t="s">
        <v>1303</v>
      </c>
      <c r="E388" s="6" t="s">
        <v>1304</v>
      </c>
      <c r="F388" s="7" t="s">
        <v>1308</v>
      </c>
      <c r="G388" s="6" t="s">
        <v>1309</v>
      </c>
      <c r="H388" s="6" t="s">
        <v>8</v>
      </c>
      <c r="I388" s="8"/>
      <c r="J388" s="8"/>
      <c r="K388" s="8"/>
      <c r="L388" s="9"/>
    </row>
    <row r="389" customFormat="false" ht="15" hidden="false" customHeight="false" outlineLevel="0" collapsed="false">
      <c r="A389" s="6" t="s">
        <v>1310</v>
      </c>
      <c r="B389" s="6" t="s">
        <v>1302</v>
      </c>
      <c r="C389" s="6" t="s">
        <v>18</v>
      </c>
      <c r="D389" s="6" t="s">
        <v>1303</v>
      </c>
      <c r="E389" s="6" t="s">
        <v>1304</v>
      </c>
      <c r="F389" s="7" t="s">
        <v>1311</v>
      </c>
      <c r="G389" s="6" t="s">
        <v>1312</v>
      </c>
      <c r="H389" s="6" t="s">
        <v>6</v>
      </c>
      <c r="I389" s="8"/>
      <c r="J389" s="8"/>
      <c r="K389" s="8"/>
      <c r="L389" s="9"/>
    </row>
    <row r="390" customFormat="false" ht="23.85" hidden="false" customHeight="false" outlineLevel="0" collapsed="false">
      <c r="A390" s="6" t="s">
        <v>1313</v>
      </c>
      <c r="B390" s="6" t="s">
        <v>1302</v>
      </c>
      <c r="C390" s="6" t="s">
        <v>18</v>
      </c>
      <c r="D390" s="6" t="s">
        <v>1303</v>
      </c>
      <c r="E390" s="6" t="s">
        <v>1304</v>
      </c>
      <c r="F390" s="7" t="s">
        <v>1314</v>
      </c>
      <c r="G390" s="6" t="s">
        <v>1315</v>
      </c>
      <c r="H390" s="6" t="s">
        <v>7</v>
      </c>
      <c r="I390" s="8"/>
      <c r="J390" s="8"/>
      <c r="K390" s="8"/>
      <c r="L390" s="9"/>
    </row>
    <row r="391" customFormat="false" ht="35.05" hidden="false" customHeight="false" outlineLevel="0" collapsed="false">
      <c r="A391" s="6" t="s">
        <v>1316</v>
      </c>
      <c r="B391" s="6" t="s">
        <v>1302</v>
      </c>
      <c r="C391" s="6" t="s">
        <v>18</v>
      </c>
      <c r="D391" s="6" t="s">
        <v>1303</v>
      </c>
      <c r="E391" s="6" t="s">
        <v>1304</v>
      </c>
      <c r="F391" s="7" t="s">
        <v>1317</v>
      </c>
      <c r="G391" s="6" t="s">
        <v>1318</v>
      </c>
      <c r="H391" s="6" t="s">
        <v>6</v>
      </c>
      <c r="I391" s="8"/>
      <c r="J391" s="8"/>
      <c r="K391" s="8"/>
      <c r="L391" s="9"/>
    </row>
    <row r="392" customFormat="false" ht="23.85" hidden="false" customHeight="false" outlineLevel="0" collapsed="false">
      <c r="A392" s="6" t="s">
        <v>1319</v>
      </c>
      <c r="B392" s="6" t="s">
        <v>1302</v>
      </c>
      <c r="C392" s="6" t="s">
        <v>18</v>
      </c>
      <c r="D392" s="6" t="s">
        <v>1303</v>
      </c>
      <c r="E392" s="6" t="s">
        <v>1304</v>
      </c>
      <c r="F392" s="7" t="s">
        <v>1320</v>
      </c>
      <c r="G392" s="6" t="s">
        <v>1321</v>
      </c>
      <c r="H392" s="6" t="s">
        <v>6</v>
      </c>
      <c r="I392" s="8"/>
      <c r="J392" s="8"/>
      <c r="K392" s="8"/>
      <c r="L392" s="9"/>
    </row>
    <row r="393" customFormat="false" ht="15" hidden="false" customHeight="false" outlineLevel="0" collapsed="false">
      <c r="A393" s="6" t="s">
        <v>1322</v>
      </c>
      <c r="B393" s="6" t="s">
        <v>1302</v>
      </c>
      <c r="C393" s="6" t="s">
        <v>18</v>
      </c>
      <c r="D393" s="6" t="s">
        <v>1303</v>
      </c>
      <c r="E393" s="6" t="s">
        <v>1304</v>
      </c>
      <c r="F393" s="7" t="s">
        <v>1323</v>
      </c>
      <c r="G393" s="6" t="s">
        <v>1324</v>
      </c>
      <c r="H393" s="6" t="s">
        <v>8</v>
      </c>
      <c r="I393" s="8"/>
      <c r="J393" s="8"/>
      <c r="K393" s="8"/>
      <c r="L393" s="9"/>
    </row>
    <row r="394" customFormat="false" ht="23.85" hidden="false" customHeight="false" outlineLevel="0" collapsed="false">
      <c r="A394" s="6" t="s">
        <v>1325</v>
      </c>
      <c r="B394" s="6" t="s">
        <v>1302</v>
      </c>
      <c r="C394" s="6" t="s">
        <v>18</v>
      </c>
      <c r="D394" s="6" t="s">
        <v>1303</v>
      </c>
      <c r="E394" s="6" t="s">
        <v>1304</v>
      </c>
      <c r="F394" s="7" t="s">
        <v>1326</v>
      </c>
      <c r="G394" s="6" t="s">
        <v>1327</v>
      </c>
      <c r="H394" s="6" t="s">
        <v>8</v>
      </c>
      <c r="I394" s="8"/>
      <c r="J394" s="8"/>
      <c r="K394" s="8"/>
      <c r="L394" s="9"/>
    </row>
    <row r="395" customFormat="false" ht="23.85" hidden="false" customHeight="false" outlineLevel="0" collapsed="false">
      <c r="A395" s="6" t="s">
        <v>1328</v>
      </c>
      <c r="B395" s="6" t="s">
        <v>1302</v>
      </c>
      <c r="C395" s="6" t="s">
        <v>18</v>
      </c>
      <c r="D395" s="6" t="s">
        <v>1303</v>
      </c>
      <c r="E395" s="6" t="s">
        <v>1304</v>
      </c>
      <c r="F395" s="7" t="s">
        <v>1329</v>
      </c>
      <c r="G395" s="6" t="s">
        <v>1330</v>
      </c>
      <c r="H395" s="6" t="s">
        <v>8</v>
      </c>
      <c r="I395" s="8"/>
      <c r="J395" s="8"/>
      <c r="K395" s="8"/>
      <c r="L395" s="9"/>
    </row>
    <row r="396" customFormat="false" ht="23.85" hidden="false" customHeight="false" outlineLevel="0" collapsed="false">
      <c r="A396" s="6" t="s">
        <v>1331</v>
      </c>
      <c r="B396" s="6" t="s">
        <v>1302</v>
      </c>
      <c r="C396" s="6" t="s">
        <v>18</v>
      </c>
      <c r="D396" s="6" t="s">
        <v>1303</v>
      </c>
      <c r="E396" s="6" t="s">
        <v>1304</v>
      </c>
      <c r="F396" s="7" t="s">
        <v>1332</v>
      </c>
      <c r="G396" s="6" t="s">
        <v>1333</v>
      </c>
      <c r="H396" s="6" t="s">
        <v>6</v>
      </c>
      <c r="I396" s="8"/>
      <c r="J396" s="8"/>
      <c r="K396" s="8"/>
      <c r="L396" s="9"/>
    </row>
    <row r="397" customFormat="false" ht="15" hidden="false" customHeight="false" outlineLevel="0" collapsed="false">
      <c r="A397" s="6" t="s">
        <v>1334</v>
      </c>
      <c r="B397" s="6" t="s">
        <v>1302</v>
      </c>
      <c r="C397" s="6" t="s">
        <v>18</v>
      </c>
      <c r="D397" s="6" t="s">
        <v>1303</v>
      </c>
      <c r="E397" s="6" t="s">
        <v>1304</v>
      </c>
      <c r="F397" s="7" t="s">
        <v>1335</v>
      </c>
      <c r="G397" s="6" t="s">
        <v>1336</v>
      </c>
      <c r="H397" s="6" t="s">
        <v>8</v>
      </c>
      <c r="I397" s="8"/>
      <c r="J397" s="8"/>
      <c r="K397" s="8"/>
      <c r="L397" s="9"/>
    </row>
    <row r="398" customFormat="false" ht="23.85" hidden="false" customHeight="false" outlineLevel="0" collapsed="false">
      <c r="A398" s="6" t="s">
        <v>1337</v>
      </c>
      <c r="B398" s="6" t="s">
        <v>1338</v>
      </c>
      <c r="C398" s="6" t="s">
        <v>18</v>
      </c>
      <c r="D398" s="6" t="s">
        <v>1303</v>
      </c>
      <c r="E398" s="6"/>
      <c r="F398" s="7" t="s">
        <v>1339</v>
      </c>
      <c r="G398" s="6" t="s">
        <v>1340</v>
      </c>
      <c r="H398" s="6" t="s">
        <v>7</v>
      </c>
      <c r="I398" s="8"/>
      <c r="J398" s="8"/>
      <c r="K398" s="8"/>
      <c r="L398" s="9"/>
    </row>
    <row r="399" customFormat="false" ht="23.85" hidden="false" customHeight="false" outlineLevel="0" collapsed="false">
      <c r="A399" s="6" t="s">
        <v>1341</v>
      </c>
      <c r="B399" s="6" t="s">
        <v>1338</v>
      </c>
      <c r="C399" s="6" t="s">
        <v>18</v>
      </c>
      <c r="D399" s="6" t="s">
        <v>1303</v>
      </c>
      <c r="E399" s="6"/>
      <c r="F399" s="7" t="s">
        <v>1342</v>
      </c>
      <c r="G399" s="6" t="s">
        <v>1343</v>
      </c>
      <c r="H399" s="6" t="s">
        <v>10</v>
      </c>
      <c r="I399" s="8"/>
      <c r="J399" s="8"/>
      <c r="K399" s="8"/>
      <c r="L399" s="9"/>
    </row>
    <row r="400" customFormat="false" ht="15" hidden="false" customHeight="false" outlineLevel="0" collapsed="false">
      <c r="A400" s="6" t="s">
        <v>1344</v>
      </c>
      <c r="B400" s="6" t="s">
        <v>1338</v>
      </c>
      <c r="C400" s="6" t="s">
        <v>18</v>
      </c>
      <c r="D400" s="6" t="s">
        <v>1303</v>
      </c>
      <c r="E400" s="6"/>
      <c r="F400" s="7" t="s">
        <v>1345</v>
      </c>
      <c r="G400" s="6" t="s">
        <v>1346</v>
      </c>
      <c r="H400" s="6" t="s">
        <v>6</v>
      </c>
      <c r="I400" s="8"/>
      <c r="J400" s="8"/>
      <c r="K400" s="8"/>
      <c r="L400" s="9"/>
    </row>
    <row r="401" customFormat="false" ht="23.85" hidden="false" customHeight="false" outlineLevel="0" collapsed="false">
      <c r="A401" s="6" t="s">
        <v>1347</v>
      </c>
      <c r="B401" s="6" t="s">
        <v>1338</v>
      </c>
      <c r="C401" s="6" t="s">
        <v>18</v>
      </c>
      <c r="D401" s="6" t="s">
        <v>1303</v>
      </c>
      <c r="E401" s="6"/>
      <c r="F401" s="7" t="s">
        <v>1348</v>
      </c>
      <c r="G401" s="6" t="s">
        <v>1349</v>
      </c>
      <c r="H401" s="6" t="s">
        <v>11</v>
      </c>
      <c r="I401" s="8"/>
      <c r="J401" s="8"/>
      <c r="K401" s="8"/>
      <c r="L401" s="9"/>
    </row>
    <row r="402" customFormat="false" ht="23.85" hidden="false" customHeight="false" outlineLevel="0" collapsed="false">
      <c r="A402" s="6" t="s">
        <v>1350</v>
      </c>
      <c r="B402" s="6" t="s">
        <v>1338</v>
      </c>
      <c r="C402" s="6" t="s">
        <v>18</v>
      </c>
      <c r="D402" s="6" t="s">
        <v>1303</v>
      </c>
      <c r="E402" s="6"/>
      <c r="F402" s="7" t="s">
        <v>1351</v>
      </c>
      <c r="G402" s="6" t="s">
        <v>1352</v>
      </c>
      <c r="H402" s="6" t="s">
        <v>11</v>
      </c>
      <c r="I402" s="8"/>
      <c r="J402" s="8"/>
      <c r="K402" s="8"/>
      <c r="L402" s="9"/>
    </row>
    <row r="403" customFormat="false" ht="15" hidden="false" customHeight="false" outlineLevel="0" collapsed="false">
      <c r="A403" s="6" t="s">
        <v>1353</v>
      </c>
      <c r="B403" s="6" t="s">
        <v>1354</v>
      </c>
      <c r="C403" s="6" t="s">
        <v>18</v>
      </c>
      <c r="D403" s="6" t="s">
        <v>49</v>
      </c>
      <c r="E403" s="6" t="s">
        <v>28</v>
      </c>
      <c r="F403" s="7" t="s">
        <v>1355</v>
      </c>
      <c r="G403" s="6" t="s">
        <v>279</v>
      </c>
      <c r="H403" s="6" t="s">
        <v>6</v>
      </c>
      <c r="I403" s="8"/>
      <c r="J403" s="8"/>
      <c r="K403" s="8"/>
      <c r="L403" s="9"/>
    </row>
    <row r="404" customFormat="false" ht="15" hidden="false" customHeight="false" outlineLevel="0" collapsed="false">
      <c r="A404" s="6" t="s">
        <v>1356</v>
      </c>
      <c r="B404" s="6" t="s">
        <v>1354</v>
      </c>
      <c r="C404" s="6" t="s">
        <v>18</v>
      </c>
      <c r="D404" s="6" t="s">
        <v>49</v>
      </c>
      <c r="E404" s="6" t="s">
        <v>28</v>
      </c>
      <c r="F404" s="7" t="s">
        <v>1357</v>
      </c>
      <c r="G404" s="6" t="s">
        <v>1358</v>
      </c>
      <c r="H404" s="6" t="s">
        <v>6</v>
      </c>
      <c r="I404" s="8"/>
      <c r="J404" s="8"/>
      <c r="K404" s="8"/>
      <c r="L404" s="9"/>
    </row>
    <row r="405" customFormat="false" ht="15" hidden="false" customHeight="false" outlineLevel="0" collapsed="false">
      <c r="A405" s="6" t="s">
        <v>1359</v>
      </c>
      <c r="B405" s="6" t="s">
        <v>1354</v>
      </c>
      <c r="C405" s="6" t="s">
        <v>18</v>
      </c>
      <c r="D405" s="6" t="s">
        <v>49</v>
      </c>
      <c r="E405" s="6" t="s">
        <v>28</v>
      </c>
      <c r="F405" s="7" t="s">
        <v>1360</v>
      </c>
      <c r="G405" s="6" t="s">
        <v>1361</v>
      </c>
      <c r="H405" s="6" t="s">
        <v>6</v>
      </c>
      <c r="I405" s="8"/>
      <c r="J405" s="8"/>
      <c r="K405" s="8"/>
      <c r="L405" s="9"/>
    </row>
    <row r="406" customFormat="false" ht="23.85" hidden="false" customHeight="false" outlineLevel="0" collapsed="false">
      <c r="A406" s="6" t="s">
        <v>1362</v>
      </c>
      <c r="B406" s="6" t="s">
        <v>1354</v>
      </c>
      <c r="C406" s="6" t="s">
        <v>18</v>
      </c>
      <c r="D406" s="6" t="s">
        <v>49</v>
      </c>
      <c r="E406" s="6" t="s">
        <v>28</v>
      </c>
      <c r="F406" s="7" t="s">
        <v>1363</v>
      </c>
      <c r="G406" s="6" t="s">
        <v>1364</v>
      </c>
      <c r="H406" s="6" t="s">
        <v>8</v>
      </c>
      <c r="I406" s="8"/>
      <c r="J406" s="8"/>
      <c r="K406" s="8"/>
      <c r="L406" s="9"/>
    </row>
    <row r="407" customFormat="false" ht="15" hidden="false" customHeight="false" outlineLevel="0" collapsed="false">
      <c r="A407" s="6" t="s">
        <v>1365</v>
      </c>
      <c r="B407" s="6" t="s">
        <v>1354</v>
      </c>
      <c r="C407" s="6" t="s">
        <v>18</v>
      </c>
      <c r="D407" s="6" t="s">
        <v>49</v>
      </c>
      <c r="E407" s="6" t="s">
        <v>28</v>
      </c>
      <c r="F407" s="7" t="s">
        <v>1366</v>
      </c>
      <c r="G407" s="6" t="s">
        <v>1367</v>
      </c>
      <c r="H407" s="6" t="s">
        <v>6</v>
      </c>
      <c r="I407" s="8"/>
      <c r="J407" s="8"/>
      <c r="K407" s="8"/>
      <c r="L407" s="9"/>
    </row>
    <row r="408" customFormat="false" ht="15" hidden="false" customHeight="false" outlineLevel="0" collapsed="false">
      <c r="A408" s="6" t="s">
        <v>1368</v>
      </c>
      <c r="B408" s="6" t="s">
        <v>1369</v>
      </c>
      <c r="C408" s="6" t="s">
        <v>18</v>
      </c>
      <c r="D408" s="6" t="s">
        <v>44</v>
      </c>
      <c r="E408" s="6" t="s">
        <v>694</v>
      </c>
      <c r="F408" s="7" t="s">
        <v>1370</v>
      </c>
      <c r="G408" s="6" t="s">
        <v>1371</v>
      </c>
      <c r="H408" s="6" t="s">
        <v>6</v>
      </c>
      <c r="I408" s="8"/>
      <c r="J408" s="8"/>
      <c r="K408" s="8"/>
      <c r="L408" s="9"/>
    </row>
    <row r="409" customFormat="false" ht="23.85" hidden="false" customHeight="false" outlineLevel="0" collapsed="false">
      <c r="A409" s="6" t="s">
        <v>1372</v>
      </c>
      <c r="B409" s="6" t="s">
        <v>1369</v>
      </c>
      <c r="C409" s="6" t="s">
        <v>18</v>
      </c>
      <c r="D409" s="6" t="s">
        <v>44</v>
      </c>
      <c r="E409" s="6" t="s">
        <v>694</v>
      </c>
      <c r="F409" s="7" t="s">
        <v>1373</v>
      </c>
      <c r="G409" s="6" t="s">
        <v>1374</v>
      </c>
      <c r="H409" s="6" t="s">
        <v>6</v>
      </c>
      <c r="I409" s="8"/>
      <c r="J409" s="8"/>
      <c r="K409" s="8"/>
      <c r="L409" s="9"/>
    </row>
    <row r="410" customFormat="false" ht="23.85" hidden="false" customHeight="false" outlineLevel="0" collapsed="false">
      <c r="A410" s="6" t="s">
        <v>1375</v>
      </c>
      <c r="B410" s="6" t="s">
        <v>1369</v>
      </c>
      <c r="C410" s="6" t="s">
        <v>18</v>
      </c>
      <c r="D410" s="6" t="s">
        <v>44</v>
      </c>
      <c r="E410" s="6" t="s">
        <v>694</v>
      </c>
      <c r="F410" s="7" t="s">
        <v>1376</v>
      </c>
      <c r="G410" s="6" t="s">
        <v>1377</v>
      </c>
      <c r="H410" s="6" t="s">
        <v>8</v>
      </c>
      <c r="I410" s="8"/>
      <c r="J410" s="8"/>
      <c r="K410" s="8"/>
      <c r="L410" s="9"/>
    </row>
    <row r="411" customFormat="false" ht="15" hidden="false" customHeight="false" outlineLevel="0" collapsed="false">
      <c r="A411" s="6" t="s">
        <v>1378</v>
      </c>
      <c r="B411" s="6" t="s">
        <v>1369</v>
      </c>
      <c r="C411" s="6" t="s">
        <v>18</v>
      </c>
      <c r="D411" s="6" t="s">
        <v>44</v>
      </c>
      <c r="E411" s="6" t="s">
        <v>694</v>
      </c>
      <c r="F411" s="7" t="s">
        <v>1379</v>
      </c>
      <c r="G411" s="6" t="s">
        <v>1380</v>
      </c>
      <c r="H411" s="6" t="s">
        <v>8</v>
      </c>
      <c r="I411" s="8"/>
      <c r="J411" s="8"/>
      <c r="K411" s="8"/>
      <c r="L411" s="9"/>
    </row>
    <row r="412" customFormat="false" ht="23.85" hidden="false" customHeight="false" outlineLevel="0" collapsed="false">
      <c r="A412" s="6" t="s">
        <v>1381</v>
      </c>
      <c r="B412" s="6" t="s">
        <v>1369</v>
      </c>
      <c r="C412" s="6" t="s">
        <v>18</v>
      </c>
      <c r="D412" s="6" t="s">
        <v>44</v>
      </c>
      <c r="E412" s="6" t="s">
        <v>694</v>
      </c>
      <c r="F412" s="7" t="s">
        <v>1382</v>
      </c>
      <c r="G412" s="6" t="s">
        <v>1383</v>
      </c>
      <c r="H412" s="6" t="s">
        <v>8</v>
      </c>
      <c r="I412" s="8"/>
      <c r="J412" s="8"/>
      <c r="K412" s="8"/>
      <c r="L412" s="9"/>
    </row>
    <row r="413" customFormat="false" ht="23.85" hidden="false" customHeight="false" outlineLevel="0" collapsed="false">
      <c r="A413" s="6" t="s">
        <v>1384</v>
      </c>
      <c r="B413" s="6" t="s">
        <v>1385</v>
      </c>
      <c r="C413" s="6" t="s">
        <v>18</v>
      </c>
      <c r="D413" s="6" t="s">
        <v>44</v>
      </c>
      <c r="E413" s="6" t="s">
        <v>28</v>
      </c>
      <c r="F413" s="7" t="s">
        <v>1386</v>
      </c>
      <c r="G413" s="6" t="s">
        <v>1387</v>
      </c>
      <c r="H413" s="6" t="s">
        <v>8</v>
      </c>
      <c r="I413" s="8"/>
      <c r="J413" s="8"/>
      <c r="K413" s="8"/>
      <c r="L413" s="9"/>
    </row>
    <row r="414" customFormat="false" ht="23.85" hidden="false" customHeight="false" outlineLevel="0" collapsed="false">
      <c r="A414" s="6" t="s">
        <v>1388</v>
      </c>
      <c r="B414" s="6" t="s">
        <v>1385</v>
      </c>
      <c r="C414" s="6" t="s">
        <v>18</v>
      </c>
      <c r="D414" s="6" t="s">
        <v>44</v>
      </c>
      <c r="E414" s="6" t="s">
        <v>28</v>
      </c>
      <c r="F414" s="7" t="s">
        <v>1389</v>
      </c>
      <c r="G414" s="6" t="s">
        <v>1390</v>
      </c>
      <c r="H414" s="6" t="s">
        <v>8</v>
      </c>
      <c r="I414" s="8"/>
      <c r="J414" s="8"/>
      <c r="K414" s="8"/>
      <c r="L414" s="9"/>
    </row>
    <row r="415" customFormat="false" ht="15" hidden="false" customHeight="false" outlineLevel="0" collapsed="false">
      <c r="A415" s="6" t="s">
        <v>1391</v>
      </c>
      <c r="B415" s="6" t="s">
        <v>1392</v>
      </c>
      <c r="C415" s="6" t="s">
        <v>18</v>
      </c>
      <c r="D415" s="6" t="s">
        <v>49</v>
      </c>
      <c r="E415" s="6" t="s">
        <v>28</v>
      </c>
      <c r="F415" s="7" t="s">
        <v>1393</v>
      </c>
      <c r="G415" s="6" t="s">
        <v>1394</v>
      </c>
      <c r="H415" s="6" t="s">
        <v>6</v>
      </c>
      <c r="I415" s="8"/>
      <c r="J415" s="8"/>
      <c r="K415" s="8"/>
      <c r="L415" s="9"/>
    </row>
    <row r="416" customFormat="false" ht="23.85" hidden="false" customHeight="false" outlineLevel="0" collapsed="false">
      <c r="A416" s="6" t="s">
        <v>1395</v>
      </c>
      <c r="B416" s="6" t="s">
        <v>1392</v>
      </c>
      <c r="C416" s="6" t="s">
        <v>18</v>
      </c>
      <c r="D416" s="6" t="s">
        <v>49</v>
      </c>
      <c r="E416" s="6" t="s">
        <v>28</v>
      </c>
      <c r="F416" s="7" t="s">
        <v>1396</v>
      </c>
      <c r="G416" s="6" t="s">
        <v>1397</v>
      </c>
      <c r="H416" s="6" t="s">
        <v>8</v>
      </c>
      <c r="I416" s="8"/>
      <c r="J416" s="8"/>
      <c r="K416" s="8"/>
      <c r="L416" s="9"/>
    </row>
    <row r="417" customFormat="false" ht="15" hidden="false" customHeight="false" outlineLevel="0" collapsed="false">
      <c r="A417" s="6" t="s">
        <v>1398</v>
      </c>
      <c r="B417" s="6" t="s">
        <v>1399</v>
      </c>
      <c r="C417" s="6" t="s">
        <v>18</v>
      </c>
      <c r="D417" s="6" t="s">
        <v>49</v>
      </c>
      <c r="E417" s="6" t="s">
        <v>714</v>
      </c>
      <c r="F417" s="7" t="s">
        <v>1400</v>
      </c>
      <c r="G417" s="6" t="s">
        <v>279</v>
      </c>
      <c r="H417" s="6" t="s">
        <v>6</v>
      </c>
      <c r="I417" s="8"/>
      <c r="J417" s="8"/>
      <c r="K417" s="8"/>
      <c r="L417" s="9"/>
    </row>
    <row r="418" customFormat="false" ht="15" hidden="false" customHeight="false" outlineLevel="0" collapsed="false">
      <c r="A418" s="6" t="s">
        <v>1401</v>
      </c>
      <c r="B418" s="6" t="s">
        <v>1399</v>
      </c>
      <c r="C418" s="6" t="s">
        <v>18</v>
      </c>
      <c r="D418" s="6" t="s">
        <v>49</v>
      </c>
      <c r="E418" s="6" t="s">
        <v>714</v>
      </c>
      <c r="F418" s="7" t="s">
        <v>1402</v>
      </c>
      <c r="G418" s="6" t="s">
        <v>1403</v>
      </c>
      <c r="H418" s="6" t="s">
        <v>6</v>
      </c>
      <c r="I418" s="8"/>
      <c r="J418" s="8"/>
      <c r="K418" s="8"/>
      <c r="L418" s="9"/>
    </row>
    <row r="419" customFormat="false" ht="23.85" hidden="false" customHeight="false" outlineLevel="0" collapsed="false">
      <c r="A419" s="6" t="s">
        <v>1404</v>
      </c>
      <c r="B419" s="6" t="s">
        <v>1399</v>
      </c>
      <c r="C419" s="6" t="s">
        <v>18</v>
      </c>
      <c r="D419" s="6" t="s">
        <v>49</v>
      </c>
      <c r="E419" s="6" t="s">
        <v>714</v>
      </c>
      <c r="F419" s="7" t="s">
        <v>1405</v>
      </c>
      <c r="G419" s="6" t="s">
        <v>1406</v>
      </c>
      <c r="H419" s="6" t="s">
        <v>8</v>
      </c>
      <c r="I419" s="8"/>
      <c r="J419" s="8"/>
      <c r="K419" s="8"/>
      <c r="L419" s="9"/>
    </row>
    <row r="420" customFormat="false" ht="15" hidden="false" customHeight="false" outlineLevel="0" collapsed="false">
      <c r="A420" s="6" t="s">
        <v>1407</v>
      </c>
      <c r="B420" s="6" t="s">
        <v>1408</v>
      </c>
      <c r="C420" s="6" t="s">
        <v>18</v>
      </c>
      <c r="D420" s="6" t="s">
        <v>274</v>
      </c>
      <c r="E420" s="6" t="s">
        <v>28</v>
      </c>
      <c r="F420" s="7" t="s">
        <v>1409</v>
      </c>
      <c r="G420" s="6" t="s">
        <v>1410</v>
      </c>
      <c r="H420" s="6" t="s">
        <v>6</v>
      </c>
      <c r="I420" s="8"/>
      <c r="J420" s="8"/>
      <c r="K420" s="8"/>
      <c r="L420" s="9"/>
    </row>
    <row r="421" customFormat="false" ht="23.85" hidden="false" customHeight="false" outlineLevel="0" collapsed="false">
      <c r="A421" s="6" t="s">
        <v>1411</v>
      </c>
      <c r="B421" s="6" t="s">
        <v>1408</v>
      </c>
      <c r="C421" s="6" t="s">
        <v>18</v>
      </c>
      <c r="D421" s="6" t="s">
        <v>274</v>
      </c>
      <c r="E421" s="6" t="s">
        <v>28</v>
      </c>
      <c r="F421" s="7" t="s">
        <v>1412</v>
      </c>
      <c r="G421" s="6" t="s">
        <v>1413</v>
      </c>
      <c r="H421" s="6" t="s">
        <v>8</v>
      </c>
      <c r="I421" s="8"/>
      <c r="J421" s="8"/>
      <c r="K421" s="8"/>
      <c r="L421" s="9"/>
    </row>
    <row r="422" customFormat="false" ht="23.85" hidden="false" customHeight="false" outlineLevel="0" collapsed="false">
      <c r="A422" s="6" t="s">
        <v>1414</v>
      </c>
      <c r="B422" s="6" t="s">
        <v>1408</v>
      </c>
      <c r="C422" s="6" t="s">
        <v>18</v>
      </c>
      <c r="D422" s="6" t="s">
        <v>274</v>
      </c>
      <c r="E422" s="6" t="s">
        <v>28</v>
      </c>
      <c r="F422" s="7" t="s">
        <v>1415</v>
      </c>
      <c r="G422" s="6" t="s">
        <v>1416</v>
      </c>
      <c r="H422" s="6" t="s">
        <v>8</v>
      </c>
      <c r="I422" s="8"/>
      <c r="J422" s="8"/>
      <c r="K422" s="8"/>
      <c r="L422" s="9"/>
    </row>
    <row r="423" customFormat="false" ht="15" hidden="false" customHeight="false" outlineLevel="0" collapsed="false">
      <c r="A423" s="6" t="s">
        <v>1417</v>
      </c>
      <c r="B423" s="6" t="s">
        <v>1408</v>
      </c>
      <c r="C423" s="6" t="s">
        <v>18</v>
      </c>
      <c r="D423" s="6" t="s">
        <v>274</v>
      </c>
      <c r="E423" s="6" t="s">
        <v>28</v>
      </c>
      <c r="F423" s="7" t="s">
        <v>1418</v>
      </c>
      <c r="G423" s="6" t="s">
        <v>1419</v>
      </c>
      <c r="H423" s="6" t="s">
        <v>6</v>
      </c>
      <c r="I423" s="8"/>
      <c r="J423" s="8"/>
      <c r="K423" s="8"/>
      <c r="L423" s="9"/>
    </row>
    <row r="424" customFormat="false" ht="23.85" hidden="false" customHeight="false" outlineLevel="0" collapsed="false">
      <c r="A424" s="6" t="s">
        <v>1420</v>
      </c>
      <c r="B424" s="6" t="s">
        <v>1408</v>
      </c>
      <c r="C424" s="6" t="s">
        <v>18</v>
      </c>
      <c r="D424" s="6" t="s">
        <v>274</v>
      </c>
      <c r="E424" s="6" t="s">
        <v>28</v>
      </c>
      <c r="F424" s="7" t="s">
        <v>1421</v>
      </c>
      <c r="G424" s="6" t="s">
        <v>1422</v>
      </c>
      <c r="H424" s="6" t="s">
        <v>8</v>
      </c>
      <c r="I424" s="8"/>
      <c r="J424" s="8"/>
      <c r="K424" s="8"/>
      <c r="L424" s="9"/>
    </row>
    <row r="425" customFormat="false" ht="23.85" hidden="false" customHeight="false" outlineLevel="0" collapsed="false">
      <c r="A425" s="6" t="s">
        <v>1423</v>
      </c>
      <c r="B425" s="6" t="s">
        <v>1408</v>
      </c>
      <c r="C425" s="6" t="s">
        <v>18</v>
      </c>
      <c r="D425" s="6" t="s">
        <v>274</v>
      </c>
      <c r="E425" s="6" t="s">
        <v>28</v>
      </c>
      <c r="F425" s="7" t="s">
        <v>1424</v>
      </c>
      <c r="G425" s="6" t="s">
        <v>1425</v>
      </c>
      <c r="H425" s="6" t="s">
        <v>6</v>
      </c>
      <c r="I425" s="8"/>
      <c r="J425" s="8"/>
      <c r="K425" s="8"/>
      <c r="L425" s="9"/>
    </row>
    <row r="426" customFormat="false" ht="35.05" hidden="false" customHeight="false" outlineLevel="0" collapsed="false">
      <c r="A426" s="6" t="s">
        <v>1426</v>
      </c>
      <c r="B426" s="6" t="s">
        <v>1408</v>
      </c>
      <c r="C426" s="6" t="s">
        <v>18</v>
      </c>
      <c r="D426" s="6" t="s">
        <v>274</v>
      </c>
      <c r="E426" s="6" t="s">
        <v>28</v>
      </c>
      <c r="F426" s="7" t="s">
        <v>1427</v>
      </c>
      <c r="G426" s="6" t="s">
        <v>1428</v>
      </c>
      <c r="H426" s="6" t="s">
        <v>10</v>
      </c>
      <c r="I426" s="8"/>
      <c r="J426" s="8"/>
      <c r="K426" s="8"/>
      <c r="L426" s="9"/>
    </row>
    <row r="427" customFormat="false" ht="15" hidden="false" customHeight="false" outlineLevel="0" collapsed="false">
      <c r="A427" s="6" t="s">
        <v>1429</v>
      </c>
      <c r="B427" s="6" t="s">
        <v>1430</v>
      </c>
      <c r="C427" s="6" t="s">
        <v>18</v>
      </c>
      <c r="D427" s="6" t="s">
        <v>44</v>
      </c>
      <c r="E427" s="6" t="s">
        <v>28</v>
      </c>
      <c r="F427" s="7" t="s">
        <v>1431</v>
      </c>
      <c r="G427" s="6" t="s">
        <v>711</v>
      </c>
      <c r="H427" s="6" t="s">
        <v>6</v>
      </c>
      <c r="I427" s="8"/>
      <c r="J427" s="8"/>
      <c r="K427" s="8"/>
      <c r="L427" s="9"/>
    </row>
    <row r="428" customFormat="false" ht="15" hidden="false" customHeight="false" outlineLevel="0" collapsed="false">
      <c r="A428" s="6" t="s">
        <v>1432</v>
      </c>
      <c r="B428" s="6" t="s">
        <v>1430</v>
      </c>
      <c r="C428" s="6" t="s">
        <v>18</v>
      </c>
      <c r="D428" s="6" t="s">
        <v>44</v>
      </c>
      <c r="E428" s="6" t="s">
        <v>28</v>
      </c>
      <c r="F428" s="7" t="s">
        <v>1433</v>
      </c>
      <c r="G428" s="6" t="s">
        <v>105</v>
      </c>
      <c r="H428" s="6" t="s">
        <v>8</v>
      </c>
      <c r="I428" s="8"/>
      <c r="J428" s="8"/>
      <c r="K428" s="8"/>
      <c r="L428" s="9"/>
    </row>
    <row r="429" customFormat="false" ht="15" hidden="false" customHeight="false" outlineLevel="0" collapsed="false">
      <c r="A429" s="6" t="s">
        <v>1434</v>
      </c>
      <c r="B429" s="6" t="s">
        <v>1430</v>
      </c>
      <c r="C429" s="6" t="s">
        <v>18</v>
      </c>
      <c r="D429" s="6" t="s">
        <v>44</v>
      </c>
      <c r="E429" s="6" t="s">
        <v>28</v>
      </c>
      <c r="F429" s="7" t="s">
        <v>1435</v>
      </c>
      <c r="G429" s="6" t="s">
        <v>1436</v>
      </c>
      <c r="H429" s="6" t="s">
        <v>8</v>
      </c>
      <c r="I429" s="8"/>
      <c r="J429" s="8"/>
      <c r="K429" s="8"/>
      <c r="L429" s="9"/>
    </row>
    <row r="430" customFormat="false" ht="15" hidden="false" customHeight="false" outlineLevel="0" collapsed="false">
      <c r="A430" s="6" t="s">
        <v>1437</v>
      </c>
      <c r="B430" s="6" t="s">
        <v>1438</v>
      </c>
      <c r="C430" s="6" t="s">
        <v>18</v>
      </c>
      <c r="D430" s="6" t="s">
        <v>49</v>
      </c>
      <c r="E430" s="6"/>
      <c r="F430" s="7" t="s">
        <v>1439</v>
      </c>
      <c r="G430" s="6" t="s">
        <v>1440</v>
      </c>
      <c r="H430" s="6" t="s">
        <v>9</v>
      </c>
      <c r="I430" s="8"/>
      <c r="J430" s="8"/>
      <c r="K430" s="8"/>
      <c r="L430" s="9"/>
    </row>
    <row r="431" customFormat="false" ht="15" hidden="false" customHeight="false" outlineLevel="0" collapsed="false">
      <c r="A431" s="6" t="s">
        <v>1441</v>
      </c>
      <c r="B431" s="6" t="s">
        <v>1438</v>
      </c>
      <c r="C431" s="6" t="s">
        <v>18</v>
      </c>
      <c r="D431" s="6" t="s">
        <v>49</v>
      </c>
      <c r="E431" s="6"/>
      <c r="F431" s="7" t="s">
        <v>1442</v>
      </c>
      <c r="G431" s="6" t="s">
        <v>1443</v>
      </c>
      <c r="H431" s="6" t="s">
        <v>9</v>
      </c>
      <c r="I431" s="8"/>
      <c r="J431" s="8"/>
      <c r="K431" s="8"/>
      <c r="L431" s="9"/>
    </row>
    <row r="432" customFormat="false" ht="23.85" hidden="false" customHeight="false" outlineLevel="0" collapsed="false">
      <c r="A432" s="6" t="s">
        <v>1444</v>
      </c>
      <c r="B432" s="6" t="s">
        <v>1438</v>
      </c>
      <c r="C432" s="6" t="s">
        <v>18</v>
      </c>
      <c r="D432" s="6" t="s">
        <v>49</v>
      </c>
      <c r="E432" s="6"/>
      <c r="F432" s="7" t="s">
        <v>1445</v>
      </c>
      <c r="G432" s="6" t="s">
        <v>1446</v>
      </c>
      <c r="H432" s="6" t="s">
        <v>9</v>
      </c>
      <c r="I432" s="8"/>
      <c r="J432" s="8"/>
      <c r="K432" s="8"/>
      <c r="L432" s="9"/>
    </row>
    <row r="433" customFormat="false" ht="15" hidden="false" customHeight="false" outlineLevel="0" collapsed="false">
      <c r="A433" s="6" t="s">
        <v>1447</v>
      </c>
      <c r="B433" s="6" t="s">
        <v>1438</v>
      </c>
      <c r="C433" s="6" t="s">
        <v>18</v>
      </c>
      <c r="D433" s="6" t="s">
        <v>49</v>
      </c>
      <c r="E433" s="6"/>
      <c r="F433" s="7" t="s">
        <v>1448</v>
      </c>
      <c r="G433" s="6" t="s">
        <v>1449</v>
      </c>
      <c r="H433" s="6" t="s">
        <v>9</v>
      </c>
      <c r="I433" s="8"/>
      <c r="J433" s="8"/>
      <c r="K433" s="8"/>
      <c r="L433" s="9"/>
    </row>
    <row r="434" customFormat="false" ht="15" hidden="false" customHeight="false" outlineLevel="0" collapsed="false">
      <c r="A434" s="6" t="s">
        <v>1450</v>
      </c>
      <c r="B434" s="6" t="s">
        <v>1451</v>
      </c>
      <c r="C434" s="6" t="s">
        <v>18</v>
      </c>
      <c r="D434" s="6" t="s">
        <v>44</v>
      </c>
      <c r="E434" s="6"/>
      <c r="F434" s="7" t="s">
        <v>1452</v>
      </c>
      <c r="G434" s="6" t="s">
        <v>1453</v>
      </c>
      <c r="H434" s="6" t="s">
        <v>11</v>
      </c>
      <c r="I434" s="8"/>
      <c r="J434" s="8"/>
      <c r="K434" s="8"/>
      <c r="L434" s="9"/>
    </row>
    <row r="435" customFormat="false" ht="23.85" hidden="false" customHeight="false" outlineLevel="0" collapsed="false">
      <c r="A435" s="6" t="s">
        <v>1454</v>
      </c>
      <c r="B435" s="6" t="s">
        <v>1451</v>
      </c>
      <c r="C435" s="6" t="s">
        <v>18</v>
      </c>
      <c r="D435" s="6" t="s">
        <v>44</v>
      </c>
      <c r="E435" s="6"/>
      <c r="F435" s="7" t="s">
        <v>1455</v>
      </c>
      <c r="G435" s="6" t="s">
        <v>1456</v>
      </c>
      <c r="H435" s="6" t="s">
        <v>11</v>
      </c>
      <c r="I435" s="8"/>
      <c r="J435" s="8"/>
      <c r="K435" s="8"/>
      <c r="L435" s="9"/>
    </row>
    <row r="436" customFormat="false" ht="23.85" hidden="false" customHeight="false" outlineLevel="0" collapsed="false">
      <c r="A436" s="6" t="s">
        <v>1457</v>
      </c>
      <c r="B436" s="6" t="s">
        <v>1451</v>
      </c>
      <c r="C436" s="6" t="s">
        <v>18</v>
      </c>
      <c r="D436" s="6" t="s">
        <v>44</v>
      </c>
      <c r="E436" s="6"/>
      <c r="F436" s="7" t="s">
        <v>1458</v>
      </c>
      <c r="G436" s="6" t="s">
        <v>1459</v>
      </c>
      <c r="H436" s="6" t="s">
        <v>10</v>
      </c>
      <c r="I436" s="8"/>
      <c r="J436" s="8"/>
      <c r="K436" s="8"/>
      <c r="L436" s="9"/>
    </row>
    <row r="437" customFormat="false" ht="23.85" hidden="false" customHeight="false" outlineLevel="0" collapsed="false">
      <c r="A437" s="6" t="s">
        <v>1460</v>
      </c>
      <c r="B437" s="6" t="s">
        <v>1461</v>
      </c>
      <c r="C437" s="6" t="s">
        <v>18</v>
      </c>
      <c r="D437" s="6" t="s">
        <v>44</v>
      </c>
      <c r="E437" s="6" t="s">
        <v>1462</v>
      </c>
      <c r="F437" s="7" t="s">
        <v>1463</v>
      </c>
      <c r="G437" s="6" t="s">
        <v>1464</v>
      </c>
      <c r="H437" s="6" t="s">
        <v>8</v>
      </c>
      <c r="I437" s="8"/>
      <c r="J437" s="8"/>
      <c r="K437" s="8"/>
      <c r="L437" s="9"/>
    </row>
    <row r="438" customFormat="false" ht="23.85" hidden="false" customHeight="false" outlineLevel="0" collapsed="false">
      <c r="A438" s="6" t="s">
        <v>1465</v>
      </c>
      <c r="B438" s="6" t="s">
        <v>1461</v>
      </c>
      <c r="C438" s="6" t="s">
        <v>18</v>
      </c>
      <c r="D438" s="6" t="s">
        <v>44</v>
      </c>
      <c r="E438" s="6" t="s">
        <v>1462</v>
      </c>
      <c r="F438" s="7" t="s">
        <v>1466</v>
      </c>
      <c r="G438" s="6" t="s">
        <v>1467</v>
      </c>
      <c r="H438" s="6" t="s">
        <v>6</v>
      </c>
      <c r="I438" s="8"/>
      <c r="J438" s="8"/>
      <c r="K438" s="8"/>
      <c r="L438" s="9"/>
    </row>
    <row r="439" customFormat="false" ht="15" hidden="false" customHeight="false" outlineLevel="0" collapsed="false">
      <c r="A439" s="6" t="s">
        <v>1468</v>
      </c>
      <c r="B439" s="6" t="s">
        <v>1461</v>
      </c>
      <c r="C439" s="6" t="s">
        <v>18</v>
      </c>
      <c r="D439" s="6" t="s">
        <v>44</v>
      </c>
      <c r="E439" s="6" t="s">
        <v>1462</v>
      </c>
      <c r="F439" s="7" t="s">
        <v>1469</v>
      </c>
      <c r="G439" s="6" t="s">
        <v>1470</v>
      </c>
      <c r="H439" s="6" t="s">
        <v>9</v>
      </c>
      <c r="I439" s="8"/>
      <c r="J439" s="8"/>
      <c r="K439" s="8"/>
      <c r="L439" s="9"/>
    </row>
    <row r="440" customFormat="false" ht="23.85" hidden="false" customHeight="false" outlineLevel="0" collapsed="false">
      <c r="A440" s="6" t="s">
        <v>1471</v>
      </c>
      <c r="B440" s="6" t="s">
        <v>1472</v>
      </c>
      <c r="C440" s="6" t="s">
        <v>18</v>
      </c>
      <c r="D440" s="6" t="s">
        <v>44</v>
      </c>
      <c r="E440" s="6" t="s">
        <v>356</v>
      </c>
      <c r="F440" s="7" t="s">
        <v>1473</v>
      </c>
      <c r="G440" s="6" t="s">
        <v>1474</v>
      </c>
      <c r="H440" s="6" t="s">
        <v>9</v>
      </c>
      <c r="I440" s="8"/>
      <c r="J440" s="8"/>
      <c r="K440" s="8"/>
      <c r="L440" s="9"/>
    </row>
    <row r="441" customFormat="false" ht="15" hidden="false" customHeight="false" outlineLevel="0" collapsed="false">
      <c r="A441" s="6" t="s">
        <v>1475</v>
      </c>
      <c r="B441" s="6" t="s">
        <v>1472</v>
      </c>
      <c r="C441" s="6" t="s">
        <v>18</v>
      </c>
      <c r="D441" s="6" t="s">
        <v>44</v>
      </c>
      <c r="E441" s="6" t="s">
        <v>356</v>
      </c>
      <c r="F441" s="7" t="s">
        <v>1476</v>
      </c>
      <c r="G441" s="6" t="s">
        <v>1477</v>
      </c>
      <c r="H441" s="6" t="s">
        <v>9</v>
      </c>
      <c r="I441" s="8"/>
      <c r="J441" s="8"/>
      <c r="K441" s="8"/>
      <c r="L441" s="9"/>
    </row>
    <row r="442" customFormat="false" ht="23.85" hidden="false" customHeight="false" outlineLevel="0" collapsed="false">
      <c r="A442" s="6" t="s">
        <v>1478</v>
      </c>
      <c r="B442" s="6" t="s">
        <v>1472</v>
      </c>
      <c r="C442" s="6" t="s">
        <v>18</v>
      </c>
      <c r="D442" s="6" t="s">
        <v>44</v>
      </c>
      <c r="E442" s="6" t="s">
        <v>356</v>
      </c>
      <c r="F442" s="7" t="s">
        <v>1479</v>
      </c>
      <c r="G442" s="6" t="s">
        <v>1480</v>
      </c>
      <c r="H442" s="6" t="s">
        <v>8</v>
      </c>
      <c r="I442" s="8"/>
      <c r="J442" s="8"/>
      <c r="K442" s="8"/>
      <c r="L442" s="9"/>
    </row>
    <row r="443" customFormat="false" ht="15" hidden="false" customHeight="false" outlineLevel="0" collapsed="false">
      <c r="A443" s="6" t="s">
        <v>1481</v>
      </c>
      <c r="B443" s="6" t="s">
        <v>1482</v>
      </c>
      <c r="C443" s="6" t="s">
        <v>18</v>
      </c>
      <c r="D443" s="6" t="s">
        <v>49</v>
      </c>
      <c r="E443" s="6" t="s">
        <v>27</v>
      </c>
      <c r="F443" s="7" t="s">
        <v>1483</v>
      </c>
      <c r="G443" s="6" t="s">
        <v>1428</v>
      </c>
      <c r="H443" s="6" t="s">
        <v>11</v>
      </c>
      <c r="I443" s="8"/>
      <c r="J443" s="8"/>
      <c r="K443" s="8"/>
      <c r="L443" s="9"/>
    </row>
    <row r="444" customFormat="false" ht="23.85" hidden="false" customHeight="false" outlineLevel="0" collapsed="false">
      <c r="A444" s="6" t="s">
        <v>1484</v>
      </c>
      <c r="B444" s="6" t="s">
        <v>1482</v>
      </c>
      <c r="C444" s="6" t="s">
        <v>18</v>
      </c>
      <c r="D444" s="6" t="s">
        <v>49</v>
      </c>
      <c r="E444" s="6" t="s">
        <v>27</v>
      </c>
      <c r="F444" s="7" t="s">
        <v>1485</v>
      </c>
      <c r="G444" s="6" t="s">
        <v>1486</v>
      </c>
      <c r="H444" s="6" t="s">
        <v>11</v>
      </c>
      <c r="I444" s="8"/>
      <c r="J444" s="8"/>
      <c r="K444" s="8"/>
      <c r="L444" s="9"/>
    </row>
    <row r="445" customFormat="false" ht="23.85" hidden="false" customHeight="false" outlineLevel="0" collapsed="false">
      <c r="A445" s="6" t="s">
        <v>1487</v>
      </c>
      <c r="B445" s="6" t="s">
        <v>1482</v>
      </c>
      <c r="C445" s="6" t="s">
        <v>18</v>
      </c>
      <c r="D445" s="6" t="s">
        <v>49</v>
      </c>
      <c r="E445" s="6" t="s">
        <v>27</v>
      </c>
      <c r="F445" s="7" t="s">
        <v>1488</v>
      </c>
      <c r="G445" s="6" t="s">
        <v>1489</v>
      </c>
      <c r="H445" s="6" t="s">
        <v>8</v>
      </c>
      <c r="I445" s="8"/>
      <c r="J445" s="8"/>
      <c r="K445" s="8"/>
      <c r="L445" s="9"/>
    </row>
    <row r="446" customFormat="false" ht="23.85" hidden="false" customHeight="false" outlineLevel="0" collapsed="false">
      <c r="A446" s="6" t="s">
        <v>1490</v>
      </c>
      <c r="B446" s="6" t="s">
        <v>1482</v>
      </c>
      <c r="C446" s="6" t="s">
        <v>18</v>
      </c>
      <c r="D446" s="6" t="s">
        <v>49</v>
      </c>
      <c r="E446" s="6" t="s">
        <v>27</v>
      </c>
      <c r="F446" s="7" t="s">
        <v>1491</v>
      </c>
      <c r="G446" s="6" t="s">
        <v>1492</v>
      </c>
      <c r="H446" s="6" t="s">
        <v>11</v>
      </c>
      <c r="I446" s="8"/>
      <c r="J446" s="8"/>
      <c r="K446" s="8"/>
      <c r="L446" s="9"/>
    </row>
    <row r="447" customFormat="false" ht="23.85" hidden="false" customHeight="false" outlineLevel="0" collapsed="false">
      <c r="A447" s="6" t="s">
        <v>1493</v>
      </c>
      <c r="B447" s="6" t="s">
        <v>1482</v>
      </c>
      <c r="C447" s="6" t="s">
        <v>18</v>
      </c>
      <c r="D447" s="6" t="s">
        <v>49</v>
      </c>
      <c r="E447" s="6" t="s">
        <v>27</v>
      </c>
      <c r="F447" s="7" t="s">
        <v>1494</v>
      </c>
      <c r="G447" s="6" t="s">
        <v>1495</v>
      </c>
      <c r="H447" s="6" t="s">
        <v>6</v>
      </c>
      <c r="I447" s="8"/>
      <c r="J447" s="8"/>
      <c r="K447" s="8"/>
      <c r="L447" s="9"/>
    </row>
    <row r="448" customFormat="false" ht="15" hidden="false" customHeight="false" outlineLevel="0" collapsed="false">
      <c r="A448" s="6" t="s">
        <v>1496</v>
      </c>
      <c r="B448" s="6" t="s">
        <v>1482</v>
      </c>
      <c r="C448" s="6" t="s">
        <v>18</v>
      </c>
      <c r="D448" s="6" t="s">
        <v>49</v>
      </c>
      <c r="E448" s="6" t="s">
        <v>27</v>
      </c>
      <c r="F448" s="7" t="s">
        <v>1497</v>
      </c>
      <c r="G448" s="6" t="s">
        <v>1498</v>
      </c>
      <c r="H448" s="6" t="s">
        <v>8</v>
      </c>
      <c r="I448" s="8"/>
      <c r="J448" s="8"/>
      <c r="K448" s="8"/>
      <c r="L448" s="9"/>
    </row>
    <row r="449" customFormat="false" ht="15" hidden="false" customHeight="false" outlineLevel="0" collapsed="false">
      <c r="A449" s="6" t="s">
        <v>1499</v>
      </c>
      <c r="B449" s="6" t="s">
        <v>1482</v>
      </c>
      <c r="C449" s="6" t="s">
        <v>18</v>
      </c>
      <c r="D449" s="6" t="s">
        <v>49</v>
      </c>
      <c r="E449" s="6" t="s">
        <v>27</v>
      </c>
      <c r="F449" s="7" t="s">
        <v>1500</v>
      </c>
      <c r="G449" s="6" t="s">
        <v>1501</v>
      </c>
      <c r="H449" s="6" t="s">
        <v>6</v>
      </c>
      <c r="I449" s="8"/>
      <c r="J449" s="8"/>
      <c r="K449" s="8"/>
      <c r="L449" s="9"/>
    </row>
    <row r="450" customFormat="false" ht="23.85" hidden="false" customHeight="false" outlineLevel="0" collapsed="false">
      <c r="A450" s="6" t="s">
        <v>1502</v>
      </c>
      <c r="B450" s="6" t="s">
        <v>1482</v>
      </c>
      <c r="C450" s="6" t="s">
        <v>18</v>
      </c>
      <c r="D450" s="6" t="s">
        <v>49</v>
      </c>
      <c r="E450" s="6" t="s">
        <v>27</v>
      </c>
      <c r="F450" s="7" t="s">
        <v>1503</v>
      </c>
      <c r="G450" s="6" t="s">
        <v>1504</v>
      </c>
      <c r="H450" s="6" t="s">
        <v>11</v>
      </c>
      <c r="I450" s="8"/>
      <c r="J450" s="8"/>
      <c r="K450" s="8"/>
      <c r="L450" s="9"/>
    </row>
    <row r="451" customFormat="false" ht="15" hidden="false" customHeight="false" outlineLevel="0" collapsed="false">
      <c r="A451" s="6" t="s">
        <v>1505</v>
      </c>
      <c r="B451" s="6" t="s">
        <v>1482</v>
      </c>
      <c r="C451" s="6" t="s">
        <v>18</v>
      </c>
      <c r="D451" s="6" t="s">
        <v>49</v>
      </c>
      <c r="E451" s="6" t="s">
        <v>27</v>
      </c>
      <c r="F451" s="7" t="s">
        <v>1506</v>
      </c>
      <c r="G451" s="6" t="s">
        <v>1507</v>
      </c>
      <c r="H451" s="6" t="s">
        <v>6</v>
      </c>
      <c r="I451" s="8"/>
      <c r="J451" s="8"/>
      <c r="K451" s="8"/>
      <c r="L451" s="9"/>
    </row>
    <row r="452" customFormat="false" ht="23.85" hidden="false" customHeight="false" outlineLevel="0" collapsed="false">
      <c r="A452" s="6" t="s">
        <v>1508</v>
      </c>
      <c r="B452" s="6" t="s">
        <v>1482</v>
      </c>
      <c r="C452" s="6" t="s">
        <v>18</v>
      </c>
      <c r="D452" s="6" t="s">
        <v>49</v>
      </c>
      <c r="E452" s="6" t="s">
        <v>27</v>
      </c>
      <c r="F452" s="7" t="s">
        <v>1509</v>
      </c>
      <c r="G452" s="6" t="s">
        <v>1510</v>
      </c>
      <c r="H452" s="6" t="s">
        <v>11</v>
      </c>
      <c r="I452" s="8"/>
      <c r="J452" s="8"/>
      <c r="K452" s="8"/>
      <c r="L452" s="9"/>
    </row>
    <row r="453" customFormat="false" ht="15" hidden="false" customHeight="false" outlineLevel="0" collapsed="false">
      <c r="A453" s="6" t="s">
        <v>1511</v>
      </c>
      <c r="B453" s="6" t="s">
        <v>1482</v>
      </c>
      <c r="C453" s="6" t="s">
        <v>18</v>
      </c>
      <c r="D453" s="6" t="s">
        <v>49</v>
      </c>
      <c r="E453" s="6" t="s">
        <v>27</v>
      </c>
      <c r="F453" s="7" t="s">
        <v>1512</v>
      </c>
      <c r="G453" s="6" t="s">
        <v>1513</v>
      </c>
      <c r="H453" s="6" t="s">
        <v>8</v>
      </c>
      <c r="I453" s="8"/>
      <c r="J453" s="8"/>
      <c r="K453" s="8"/>
      <c r="L453" s="9"/>
    </row>
    <row r="454" customFormat="false" ht="23.85" hidden="false" customHeight="false" outlineLevel="0" collapsed="false">
      <c r="A454" s="6" t="s">
        <v>1514</v>
      </c>
      <c r="B454" s="6" t="s">
        <v>1482</v>
      </c>
      <c r="C454" s="6" t="s">
        <v>18</v>
      </c>
      <c r="D454" s="6" t="s">
        <v>49</v>
      </c>
      <c r="E454" s="6" t="s">
        <v>27</v>
      </c>
      <c r="F454" s="7" t="s">
        <v>1515</v>
      </c>
      <c r="G454" s="6" t="s">
        <v>1516</v>
      </c>
      <c r="H454" s="6" t="s">
        <v>8</v>
      </c>
      <c r="I454" s="8"/>
      <c r="J454" s="8"/>
      <c r="K454" s="8"/>
      <c r="L454" s="9"/>
    </row>
    <row r="455" customFormat="false" ht="35.05" hidden="false" customHeight="false" outlineLevel="0" collapsed="false">
      <c r="A455" s="6" t="s">
        <v>1517</v>
      </c>
      <c r="B455" s="6" t="s">
        <v>1482</v>
      </c>
      <c r="C455" s="6" t="s">
        <v>18</v>
      </c>
      <c r="D455" s="6" t="s">
        <v>49</v>
      </c>
      <c r="E455" s="6" t="s">
        <v>27</v>
      </c>
      <c r="F455" s="7" t="s">
        <v>1518</v>
      </c>
      <c r="G455" s="6" t="s">
        <v>1519</v>
      </c>
      <c r="H455" s="6" t="s">
        <v>8</v>
      </c>
      <c r="I455" s="8"/>
      <c r="J455" s="8"/>
      <c r="K455" s="8"/>
      <c r="L455" s="9"/>
    </row>
    <row r="456" customFormat="false" ht="23.85" hidden="false" customHeight="false" outlineLevel="0" collapsed="false">
      <c r="A456" s="6" t="s">
        <v>1520</v>
      </c>
      <c r="B456" s="6" t="s">
        <v>1482</v>
      </c>
      <c r="C456" s="6" t="s">
        <v>18</v>
      </c>
      <c r="D456" s="6" t="s">
        <v>49</v>
      </c>
      <c r="E456" s="6" t="s">
        <v>27</v>
      </c>
      <c r="F456" s="7" t="s">
        <v>1521</v>
      </c>
      <c r="G456" s="6" t="s">
        <v>1522</v>
      </c>
      <c r="H456" s="6" t="s">
        <v>9</v>
      </c>
      <c r="I456" s="8"/>
      <c r="J456" s="8"/>
      <c r="K456" s="8"/>
      <c r="L456" s="9"/>
    </row>
    <row r="457" customFormat="false" ht="15" hidden="false" customHeight="false" outlineLevel="0" collapsed="false">
      <c r="A457" s="6" t="s">
        <v>1523</v>
      </c>
      <c r="B457" s="6" t="s">
        <v>1482</v>
      </c>
      <c r="C457" s="6" t="s">
        <v>18</v>
      </c>
      <c r="D457" s="6" t="s">
        <v>49</v>
      </c>
      <c r="E457" s="6" t="s">
        <v>27</v>
      </c>
      <c r="F457" s="7" t="s">
        <v>1524</v>
      </c>
      <c r="G457" s="6" t="s">
        <v>1525</v>
      </c>
      <c r="H457" s="6" t="s">
        <v>10</v>
      </c>
      <c r="I457" s="8"/>
      <c r="J457" s="8"/>
      <c r="K457" s="8"/>
      <c r="L457" s="9"/>
    </row>
    <row r="458" customFormat="false" ht="23.85" hidden="false" customHeight="false" outlineLevel="0" collapsed="false">
      <c r="A458" s="6" t="s">
        <v>1526</v>
      </c>
      <c r="B458" s="6" t="s">
        <v>1527</v>
      </c>
      <c r="C458" s="6" t="s">
        <v>18</v>
      </c>
      <c r="D458" s="6" t="s">
        <v>49</v>
      </c>
      <c r="E458" s="6"/>
      <c r="F458" s="7" t="s">
        <v>1528</v>
      </c>
      <c r="G458" s="6" t="s">
        <v>1529</v>
      </c>
      <c r="H458" s="6" t="s">
        <v>6</v>
      </c>
      <c r="I458" s="8"/>
      <c r="J458" s="8"/>
      <c r="K458" s="8"/>
      <c r="L458" s="9"/>
    </row>
    <row r="459" customFormat="false" ht="15" hidden="false" customHeight="false" outlineLevel="0" collapsed="false">
      <c r="A459" s="6" t="s">
        <v>1530</v>
      </c>
      <c r="B459" s="6" t="s">
        <v>1527</v>
      </c>
      <c r="C459" s="6" t="s">
        <v>18</v>
      </c>
      <c r="D459" s="6" t="s">
        <v>49</v>
      </c>
      <c r="E459" s="6"/>
      <c r="F459" s="7" t="s">
        <v>1531</v>
      </c>
      <c r="G459" s="6" t="s">
        <v>1532</v>
      </c>
      <c r="H459" s="6" t="s">
        <v>6</v>
      </c>
      <c r="I459" s="8"/>
      <c r="J459" s="8"/>
      <c r="K459" s="8"/>
      <c r="L459" s="9"/>
    </row>
    <row r="460" customFormat="false" ht="23.85" hidden="false" customHeight="false" outlineLevel="0" collapsed="false">
      <c r="A460" s="6" t="s">
        <v>1533</v>
      </c>
      <c r="B460" s="6" t="s">
        <v>1527</v>
      </c>
      <c r="C460" s="6" t="s">
        <v>18</v>
      </c>
      <c r="D460" s="6" t="s">
        <v>49</v>
      </c>
      <c r="E460" s="6"/>
      <c r="F460" s="7" t="s">
        <v>1534</v>
      </c>
      <c r="G460" s="6" t="s">
        <v>1535</v>
      </c>
      <c r="H460" s="6" t="s">
        <v>8</v>
      </c>
      <c r="I460" s="8"/>
      <c r="J460" s="8"/>
      <c r="K460" s="8"/>
      <c r="L460" s="9"/>
    </row>
    <row r="461" customFormat="false" ht="15" hidden="false" customHeight="false" outlineLevel="0" collapsed="false">
      <c r="A461" s="6" t="s">
        <v>1536</v>
      </c>
      <c r="B461" s="6" t="s">
        <v>1537</v>
      </c>
      <c r="C461" s="6" t="s">
        <v>18</v>
      </c>
      <c r="D461" s="6" t="s">
        <v>85</v>
      </c>
      <c r="E461" s="6" t="s">
        <v>50</v>
      </c>
      <c r="F461" s="7" t="s">
        <v>1538</v>
      </c>
      <c r="G461" s="6" t="s">
        <v>1539</v>
      </c>
      <c r="H461" s="6" t="s">
        <v>8</v>
      </c>
      <c r="I461" s="8"/>
      <c r="J461" s="8"/>
      <c r="K461" s="8"/>
      <c r="L461" s="9"/>
    </row>
    <row r="462" customFormat="false" ht="23.85" hidden="false" customHeight="false" outlineLevel="0" collapsed="false">
      <c r="A462" s="6" t="s">
        <v>1540</v>
      </c>
      <c r="B462" s="6" t="s">
        <v>1537</v>
      </c>
      <c r="C462" s="6" t="s">
        <v>18</v>
      </c>
      <c r="D462" s="6" t="s">
        <v>85</v>
      </c>
      <c r="E462" s="6" t="s">
        <v>50</v>
      </c>
      <c r="F462" s="7" t="s">
        <v>1541</v>
      </c>
      <c r="G462" s="6" t="s">
        <v>1542</v>
      </c>
      <c r="H462" s="6" t="s">
        <v>6</v>
      </c>
      <c r="I462" s="8"/>
      <c r="J462" s="8"/>
      <c r="K462" s="8"/>
      <c r="L462" s="9"/>
    </row>
    <row r="463" customFormat="false" ht="15" hidden="false" customHeight="false" outlineLevel="0" collapsed="false">
      <c r="A463" s="6" t="s">
        <v>1543</v>
      </c>
      <c r="B463" s="6" t="s">
        <v>1537</v>
      </c>
      <c r="C463" s="6" t="s">
        <v>18</v>
      </c>
      <c r="D463" s="6" t="s">
        <v>85</v>
      </c>
      <c r="E463" s="6" t="s">
        <v>50</v>
      </c>
      <c r="F463" s="7" t="s">
        <v>1544</v>
      </c>
      <c r="G463" s="6" t="s">
        <v>1545</v>
      </c>
      <c r="H463" s="6" t="s">
        <v>6</v>
      </c>
      <c r="I463" s="8"/>
      <c r="J463" s="8"/>
      <c r="K463" s="8"/>
      <c r="L463" s="9"/>
    </row>
    <row r="464" customFormat="false" ht="15" hidden="false" customHeight="false" outlineLevel="0" collapsed="false">
      <c r="A464" s="6" t="s">
        <v>1546</v>
      </c>
      <c r="B464" s="6" t="s">
        <v>1537</v>
      </c>
      <c r="C464" s="6" t="s">
        <v>18</v>
      </c>
      <c r="D464" s="6" t="s">
        <v>85</v>
      </c>
      <c r="E464" s="6" t="s">
        <v>50</v>
      </c>
      <c r="F464" s="7" t="s">
        <v>1547</v>
      </c>
      <c r="G464" s="6" t="s">
        <v>1548</v>
      </c>
      <c r="H464" s="6" t="s">
        <v>11</v>
      </c>
      <c r="I464" s="8"/>
      <c r="J464" s="8"/>
      <c r="K464" s="8"/>
      <c r="L464" s="9"/>
    </row>
    <row r="465" customFormat="false" ht="15" hidden="false" customHeight="false" outlineLevel="0" collapsed="false">
      <c r="A465" s="6" t="s">
        <v>1549</v>
      </c>
      <c r="B465" s="6" t="s">
        <v>1537</v>
      </c>
      <c r="C465" s="6" t="s">
        <v>18</v>
      </c>
      <c r="D465" s="6" t="s">
        <v>85</v>
      </c>
      <c r="E465" s="6" t="s">
        <v>50</v>
      </c>
      <c r="F465" s="7" t="s">
        <v>1550</v>
      </c>
      <c r="G465" s="6" t="s">
        <v>1551</v>
      </c>
      <c r="H465" s="6" t="s">
        <v>8</v>
      </c>
      <c r="I465" s="8"/>
      <c r="J465" s="8"/>
      <c r="K465" s="8"/>
      <c r="L465" s="9"/>
    </row>
    <row r="466" customFormat="false" ht="35.05" hidden="false" customHeight="false" outlineLevel="0" collapsed="false">
      <c r="A466" s="6" t="s">
        <v>1552</v>
      </c>
      <c r="B466" s="6" t="s">
        <v>1537</v>
      </c>
      <c r="C466" s="6" t="s">
        <v>18</v>
      </c>
      <c r="D466" s="6" t="s">
        <v>85</v>
      </c>
      <c r="E466" s="6" t="s">
        <v>50</v>
      </c>
      <c r="F466" s="7" t="s">
        <v>1553</v>
      </c>
      <c r="G466" s="6" t="s">
        <v>1554</v>
      </c>
      <c r="H466" s="6" t="s">
        <v>8</v>
      </c>
      <c r="I466" s="8"/>
      <c r="J466" s="8"/>
      <c r="K466" s="8"/>
      <c r="L466" s="9"/>
    </row>
    <row r="467" customFormat="false" ht="15" hidden="false" customHeight="false" outlineLevel="0" collapsed="false">
      <c r="A467" s="6" t="s">
        <v>1555</v>
      </c>
      <c r="B467" s="6" t="s">
        <v>1537</v>
      </c>
      <c r="C467" s="6" t="s">
        <v>18</v>
      </c>
      <c r="D467" s="6" t="s">
        <v>85</v>
      </c>
      <c r="E467" s="6" t="s">
        <v>50</v>
      </c>
      <c r="F467" s="7" t="s">
        <v>1556</v>
      </c>
      <c r="G467" s="6" t="s">
        <v>1557</v>
      </c>
      <c r="H467" s="6" t="s">
        <v>8</v>
      </c>
      <c r="I467" s="8"/>
      <c r="J467" s="8"/>
      <c r="K467" s="8"/>
      <c r="L467" s="9"/>
    </row>
    <row r="468" customFormat="false" ht="23.85" hidden="false" customHeight="false" outlineLevel="0" collapsed="false">
      <c r="A468" s="6" t="s">
        <v>1558</v>
      </c>
      <c r="B468" s="6" t="s">
        <v>1537</v>
      </c>
      <c r="C468" s="6" t="s">
        <v>18</v>
      </c>
      <c r="D468" s="6" t="s">
        <v>85</v>
      </c>
      <c r="E468" s="6" t="s">
        <v>50</v>
      </c>
      <c r="F468" s="7" t="s">
        <v>1559</v>
      </c>
      <c r="G468" s="6" t="s">
        <v>1560</v>
      </c>
      <c r="H468" s="6" t="s">
        <v>8</v>
      </c>
      <c r="I468" s="8"/>
      <c r="J468" s="8"/>
      <c r="K468" s="8"/>
      <c r="L468" s="9"/>
    </row>
    <row r="469" customFormat="false" ht="15" hidden="false" customHeight="false" outlineLevel="0" collapsed="false">
      <c r="A469" s="6" t="s">
        <v>1561</v>
      </c>
      <c r="B469" s="6" t="s">
        <v>1537</v>
      </c>
      <c r="C469" s="6" t="s">
        <v>18</v>
      </c>
      <c r="D469" s="6" t="s">
        <v>85</v>
      </c>
      <c r="E469" s="6" t="s">
        <v>50</v>
      </c>
      <c r="F469" s="7" t="s">
        <v>1562</v>
      </c>
      <c r="G469" s="6" t="s">
        <v>95</v>
      </c>
      <c r="H469" s="6" t="s">
        <v>9</v>
      </c>
      <c r="I469" s="8"/>
      <c r="J469" s="8"/>
      <c r="K469" s="8"/>
      <c r="L469" s="9"/>
    </row>
    <row r="470" customFormat="false" ht="23.85" hidden="false" customHeight="false" outlineLevel="0" collapsed="false">
      <c r="A470" s="6" t="s">
        <v>1563</v>
      </c>
      <c r="B470" s="6" t="s">
        <v>1564</v>
      </c>
      <c r="C470" s="6" t="s">
        <v>18</v>
      </c>
      <c r="D470" s="6" t="s">
        <v>230</v>
      </c>
      <c r="E470" s="6"/>
      <c r="F470" s="7" t="s">
        <v>1565</v>
      </c>
      <c r="G470" s="6" t="s">
        <v>1566</v>
      </c>
      <c r="H470" s="6" t="s">
        <v>6</v>
      </c>
      <c r="I470" s="8"/>
      <c r="J470" s="8"/>
      <c r="K470" s="8"/>
      <c r="L470" s="9"/>
    </row>
    <row r="471" customFormat="false" ht="15" hidden="false" customHeight="false" outlineLevel="0" collapsed="false">
      <c r="A471" s="6" t="s">
        <v>1567</v>
      </c>
      <c r="B471" s="6" t="s">
        <v>1564</v>
      </c>
      <c r="C471" s="6" t="s">
        <v>18</v>
      </c>
      <c r="D471" s="6" t="s">
        <v>230</v>
      </c>
      <c r="E471" s="6"/>
      <c r="F471" s="7" t="s">
        <v>1568</v>
      </c>
      <c r="G471" s="6" t="s">
        <v>1569</v>
      </c>
      <c r="H471" s="6" t="s">
        <v>8</v>
      </c>
      <c r="I471" s="8"/>
      <c r="J471" s="8"/>
      <c r="K471" s="8"/>
      <c r="L471" s="9"/>
    </row>
    <row r="472" customFormat="false" ht="15" hidden="false" customHeight="false" outlineLevel="0" collapsed="false">
      <c r="A472" s="6" t="s">
        <v>1570</v>
      </c>
      <c r="B472" s="6" t="s">
        <v>1564</v>
      </c>
      <c r="C472" s="6" t="s">
        <v>18</v>
      </c>
      <c r="D472" s="6" t="s">
        <v>230</v>
      </c>
      <c r="E472" s="6"/>
      <c r="F472" s="7" t="s">
        <v>1571</v>
      </c>
      <c r="G472" s="6" t="s">
        <v>1572</v>
      </c>
      <c r="H472" s="6" t="s">
        <v>8</v>
      </c>
      <c r="I472" s="8"/>
      <c r="J472" s="8"/>
      <c r="K472" s="8"/>
      <c r="L472" s="9"/>
    </row>
    <row r="473" customFormat="false" ht="15" hidden="false" customHeight="false" outlineLevel="0" collapsed="false">
      <c r="A473" s="6" t="s">
        <v>1573</v>
      </c>
      <c r="B473" s="6" t="s">
        <v>1564</v>
      </c>
      <c r="C473" s="6" t="s">
        <v>18</v>
      </c>
      <c r="D473" s="6" t="s">
        <v>230</v>
      </c>
      <c r="E473" s="6"/>
      <c r="F473" s="7" t="s">
        <v>1574</v>
      </c>
      <c r="G473" s="6" t="s">
        <v>152</v>
      </c>
      <c r="H473" s="6" t="s">
        <v>6</v>
      </c>
      <c r="I473" s="8"/>
      <c r="J473" s="8"/>
      <c r="K473" s="8"/>
      <c r="L473" s="9"/>
    </row>
    <row r="474" customFormat="false" ht="15" hidden="false" customHeight="false" outlineLevel="0" collapsed="false">
      <c r="A474" s="6" t="s">
        <v>1575</v>
      </c>
      <c r="B474" s="6" t="s">
        <v>1576</v>
      </c>
      <c r="C474" s="6" t="s">
        <v>18</v>
      </c>
      <c r="D474" s="6" t="s">
        <v>44</v>
      </c>
      <c r="E474" s="6"/>
      <c r="F474" s="7" t="s">
        <v>1577</v>
      </c>
      <c r="G474" s="6" t="s">
        <v>1578</v>
      </c>
      <c r="H474" s="6" t="s">
        <v>9</v>
      </c>
      <c r="I474" s="8"/>
      <c r="J474" s="8"/>
      <c r="K474" s="8"/>
      <c r="L474" s="9"/>
    </row>
    <row r="475" customFormat="false" ht="15" hidden="false" customHeight="false" outlineLevel="0" collapsed="false">
      <c r="A475" s="6" t="s">
        <v>1579</v>
      </c>
      <c r="B475" s="6" t="s">
        <v>1580</v>
      </c>
      <c r="C475" s="6" t="s">
        <v>18</v>
      </c>
      <c r="D475" s="6" t="s">
        <v>44</v>
      </c>
      <c r="E475" s="6"/>
      <c r="F475" s="7" t="s">
        <v>1581</v>
      </c>
      <c r="G475" s="6" t="s">
        <v>1578</v>
      </c>
      <c r="H475" s="6" t="s">
        <v>9</v>
      </c>
      <c r="I475" s="8"/>
      <c r="J475" s="8"/>
      <c r="K475" s="8"/>
      <c r="L475" s="9"/>
    </row>
    <row r="476" customFormat="false" ht="15" hidden="false" customHeight="false" outlineLevel="0" collapsed="false">
      <c r="A476" s="6" t="s">
        <v>1582</v>
      </c>
      <c r="B476" s="6" t="s">
        <v>1583</v>
      </c>
      <c r="C476" s="6" t="s">
        <v>18</v>
      </c>
      <c r="D476" s="6" t="s">
        <v>331</v>
      </c>
      <c r="E476" s="6" t="s">
        <v>1304</v>
      </c>
      <c r="F476" s="7" t="s">
        <v>1584</v>
      </c>
      <c r="G476" s="6" t="s">
        <v>1585</v>
      </c>
      <c r="H476" s="6" t="s">
        <v>8</v>
      </c>
      <c r="I476" s="8"/>
      <c r="J476" s="8"/>
      <c r="K476" s="8"/>
      <c r="L476" s="9"/>
    </row>
    <row r="477" customFormat="false" ht="15" hidden="false" customHeight="false" outlineLevel="0" collapsed="false">
      <c r="A477" s="6" t="s">
        <v>1586</v>
      </c>
      <c r="B477" s="6" t="s">
        <v>1583</v>
      </c>
      <c r="C477" s="6" t="s">
        <v>18</v>
      </c>
      <c r="D477" s="6" t="s">
        <v>331</v>
      </c>
      <c r="E477" s="6" t="s">
        <v>1304</v>
      </c>
      <c r="F477" s="7" t="s">
        <v>1587</v>
      </c>
      <c r="G477" s="6" t="s">
        <v>1588</v>
      </c>
      <c r="H477" s="6" t="s">
        <v>6</v>
      </c>
      <c r="I477" s="8"/>
      <c r="J477" s="8"/>
      <c r="K477" s="8"/>
      <c r="L477" s="9"/>
    </row>
    <row r="478" customFormat="false" ht="23.85" hidden="false" customHeight="false" outlineLevel="0" collapsed="false">
      <c r="A478" s="6" t="s">
        <v>1589</v>
      </c>
      <c r="B478" s="6" t="s">
        <v>1583</v>
      </c>
      <c r="C478" s="6" t="s">
        <v>18</v>
      </c>
      <c r="D478" s="6" t="s">
        <v>331</v>
      </c>
      <c r="E478" s="6" t="s">
        <v>1304</v>
      </c>
      <c r="F478" s="7" t="s">
        <v>1590</v>
      </c>
      <c r="G478" s="6" t="s">
        <v>1591</v>
      </c>
      <c r="H478" s="6" t="s">
        <v>6</v>
      </c>
      <c r="I478" s="8"/>
      <c r="J478" s="8"/>
      <c r="K478" s="8"/>
      <c r="L478" s="9"/>
    </row>
    <row r="479" customFormat="false" ht="23.85" hidden="false" customHeight="false" outlineLevel="0" collapsed="false">
      <c r="A479" s="6" t="s">
        <v>1592</v>
      </c>
      <c r="B479" s="6" t="s">
        <v>1583</v>
      </c>
      <c r="C479" s="6" t="s">
        <v>18</v>
      </c>
      <c r="D479" s="6" t="s">
        <v>331</v>
      </c>
      <c r="E479" s="6" t="s">
        <v>1304</v>
      </c>
      <c r="F479" s="7" t="s">
        <v>1593</v>
      </c>
      <c r="G479" s="6" t="s">
        <v>1594</v>
      </c>
      <c r="H479" s="6" t="s">
        <v>6</v>
      </c>
      <c r="I479" s="8"/>
      <c r="J479" s="8"/>
      <c r="K479" s="8"/>
      <c r="L479" s="9"/>
    </row>
    <row r="480" customFormat="false" ht="35.05" hidden="false" customHeight="false" outlineLevel="0" collapsed="false">
      <c r="A480" s="6" t="s">
        <v>1595</v>
      </c>
      <c r="B480" s="6" t="s">
        <v>1583</v>
      </c>
      <c r="C480" s="6" t="s">
        <v>18</v>
      </c>
      <c r="D480" s="6" t="s">
        <v>331</v>
      </c>
      <c r="E480" s="6" t="s">
        <v>1304</v>
      </c>
      <c r="F480" s="7" t="s">
        <v>1596</v>
      </c>
      <c r="G480" s="6" t="s">
        <v>1597</v>
      </c>
      <c r="H480" s="6" t="s">
        <v>8</v>
      </c>
      <c r="I480" s="8"/>
      <c r="J480" s="8"/>
      <c r="K480" s="8"/>
      <c r="L480" s="9"/>
    </row>
    <row r="481" customFormat="false" ht="15" hidden="false" customHeight="false" outlineLevel="0" collapsed="false">
      <c r="A481" s="6" t="s">
        <v>1598</v>
      </c>
      <c r="B481" s="6" t="s">
        <v>1583</v>
      </c>
      <c r="C481" s="6" t="s">
        <v>18</v>
      </c>
      <c r="D481" s="6" t="s">
        <v>331</v>
      </c>
      <c r="E481" s="6" t="s">
        <v>1304</v>
      </c>
      <c r="F481" s="7" t="s">
        <v>1599</v>
      </c>
      <c r="G481" s="6" t="s">
        <v>1600</v>
      </c>
      <c r="H481" s="6" t="s">
        <v>8</v>
      </c>
      <c r="I481" s="8"/>
      <c r="J481" s="8"/>
      <c r="K481" s="8"/>
      <c r="L481" s="9"/>
    </row>
    <row r="482" customFormat="false" ht="23.85" hidden="false" customHeight="false" outlineLevel="0" collapsed="false">
      <c r="A482" s="6" t="s">
        <v>1601</v>
      </c>
      <c r="B482" s="6" t="s">
        <v>1583</v>
      </c>
      <c r="C482" s="6" t="s">
        <v>18</v>
      </c>
      <c r="D482" s="6" t="s">
        <v>331</v>
      </c>
      <c r="E482" s="6" t="s">
        <v>1304</v>
      </c>
      <c r="F482" s="7" t="s">
        <v>1602</v>
      </c>
      <c r="G482" s="6" t="s">
        <v>1603</v>
      </c>
      <c r="H482" s="6" t="s">
        <v>8</v>
      </c>
      <c r="I482" s="8"/>
      <c r="J482" s="8"/>
      <c r="K482" s="8"/>
      <c r="L482" s="9"/>
    </row>
    <row r="483" customFormat="false" ht="23.85" hidden="false" customHeight="false" outlineLevel="0" collapsed="false">
      <c r="A483" s="6" t="s">
        <v>1604</v>
      </c>
      <c r="B483" s="6" t="s">
        <v>1583</v>
      </c>
      <c r="C483" s="6" t="s">
        <v>18</v>
      </c>
      <c r="D483" s="6" t="s">
        <v>331</v>
      </c>
      <c r="E483" s="6" t="s">
        <v>1304</v>
      </c>
      <c r="F483" s="7" t="s">
        <v>1605</v>
      </c>
      <c r="G483" s="6" t="s">
        <v>1606</v>
      </c>
      <c r="H483" s="6" t="s">
        <v>8</v>
      </c>
      <c r="I483" s="8"/>
      <c r="J483" s="8"/>
      <c r="K483" s="8"/>
      <c r="L483" s="9"/>
    </row>
    <row r="484" customFormat="false" ht="15" hidden="false" customHeight="false" outlineLevel="0" collapsed="false">
      <c r="A484" s="6" t="s">
        <v>1607</v>
      </c>
      <c r="B484" s="6" t="s">
        <v>1583</v>
      </c>
      <c r="C484" s="6" t="s">
        <v>18</v>
      </c>
      <c r="D484" s="6" t="s">
        <v>331</v>
      </c>
      <c r="E484" s="6" t="s">
        <v>1304</v>
      </c>
      <c r="F484" s="7" t="s">
        <v>1608</v>
      </c>
      <c r="G484" s="6" t="s">
        <v>1609</v>
      </c>
      <c r="H484" s="6" t="s">
        <v>6</v>
      </c>
      <c r="I484" s="8"/>
      <c r="J484" s="8"/>
      <c r="K484" s="8"/>
      <c r="L484" s="9"/>
    </row>
    <row r="485" customFormat="false" ht="23.85" hidden="false" customHeight="false" outlineLevel="0" collapsed="false">
      <c r="A485" s="6" t="s">
        <v>1610</v>
      </c>
      <c r="B485" s="6" t="s">
        <v>1583</v>
      </c>
      <c r="C485" s="6" t="s">
        <v>18</v>
      </c>
      <c r="D485" s="6" t="s">
        <v>331</v>
      </c>
      <c r="E485" s="6" t="s">
        <v>1304</v>
      </c>
      <c r="F485" s="7" t="s">
        <v>1611</v>
      </c>
      <c r="G485" s="6" t="s">
        <v>1612</v>
      </c>
      <c r="H485" s="6" t="s">
        <v>8</v>
      </c>
      <c r="I485" s="8"/>
      <c r="J485" s="8"/>
      <c r="K485" s="8"/>
      <c r="L485" s="9"/>
    </row>
    <row r="486" customFormat="false" ht="23.85" hidden="false" customHeight="false" outlineLevel="0" collapsed="false">
      <c r="A486" s="6" t="s">
        <v>1613</v>
      </c>
      <c r="B486" s="6" t="s">
        <v>1583</v>
      </c>
      <c r="C486" s="6" t="s">
        <v>18</v>
      </c>
      <c r="D486" s="6" t="s">
        <v>331</v>
      </c>
      <c r="E486" s="6" t="s">
        <v>1304</v>
      </c>
      <c r="F486" s="7" t="s">
        <v>1614</v>
      </c>
      <c r="G486" s="6" t="s">
        <v>1615</v>
      </c>
      <c r="H486" s="6" t="s">
        <v>6</v>
      </c>
      <c r="I486" s="8"/>
      <c r="J486" s="8"/>
      <c r="K486" s="8"/>
      <c r="L486" s="9"/>
    </row>
    <row r="487" customFormat="false" ht="23.85" hidden="false" customHeight="false" outlineLevel="0" collapsed="false">
      <c r="A487" s="6" t="s">
        <v>1616</v>
      </c>
      <c r="B487" s="6" t="s">
        <v>1583</v>
      </c>
      <c r="C487" s="6" t="s">
        <v>18</v>
      </c>
      <c r="D487" s="6" t="s">
        <v>331</v>
      </c>
      <c r="E487" s="6" t="s">
        <v>1304</v>
      </c>
      <c r="F487" s="7" t="s">
        <v>1617</v>
      </c>
      <c r="G487" s="6" t="s">
        <v>1618</v>
      </c>
      <c r="H487" s="6" t="s">
        <v>8</v>
      </c>
      <c r="I487" s="8"/>
      <c r="J487" s="8"/>
      <c r="K487" s="8"/>
      <c r="L487" s="9"/>
    </row>
    <row r="488" customFormat="false" ht="15" hidden="false" customHeight="false" outlineLevel="0" collapsed="false">
      <c r="A488" s="6" t="s">
        <v>1619</v>
      </c>
      <c r="B488" s="6" t="s">
        <v>1583</v>
      </c>
      <c r="C488" s="6" t="s">
        <v>18</v>
      </c>
      <c r="D488" s="6" t="s">
        <v>331</v>
      </c>
      <c r="E488" s="6" t="s">
        <v>1304</v>
      </c>
      <c r="F488" s="7" t="s">
        <v>1620</v>
      </c>
      <c r="G488" s="6" t="s">
        <v>1621</v>
      </c>
      <c r="H488" s="6" t="s">
        <v>6</v>
      </c>
      <c r="I488" s="8"/>
      <c r="J488" s="8"/>
      <c r="K488" s="8"/>
      <c r="L488" s="9"/>
    </row>
    <row r="489" customFormat="false" ht="23.85" hidden="false" customHeight="false" outlineLevel="0" collapsed="false">
      <c r="A489" s="6" t="s">
        <v>1622</v>
      </c>
      <c r="B489" s="6" t="s">
        <v>1583</v>
      </c>
      <c r="C489" s="6" t="s">
        <v>18</v>
      </c>
      <c r="D489" s="6" t="s">
        <v>331</v>
      </c>
      <c r="E489" s="6" t="s">
        <v>1304</v>
      </c>
      <c r="F489" s="7" t="s">
        <v>1623</v>
      </c>
      <c r="G489" s="6" t="s">
        <v>1624</v>
      </c>
      <c r="H489" s="6" t="s">
        <v>6</v>
      </c>
      <c r="I489" s="8"/>
      <c r="J489" s="8"/>
      <c r="K489" s="8"/>
      <c r="L489" s="9"/>
    </row>
    <row r="490" customFormat="false" ht="15" hidden="false" customHeight="false" outlineLevel="0" collapsed="false">
      <c r="A490" s="6" t="s">
        <v>1625</v>
      </c>
      <c r="B490" s="6" t="s">
        <v>1583</v>
      </c>
      <c r="C490" s="6" t="s">
        <v>18</v>
      </c>
      <c r="D490" s="6" t="s">
        <v>331</v>
      </c>
      <c r="E490" s="6" t="s">
        <v>1304</v>
      </c>
      <c r="F490" s="7" t="s">
        <v>1626</v>
      </c>
      <c r="G490" s="6" t="s">
        <v>1627</v>
      </c>
      <c r="H490" s="6" t="s">
        <v>6</v>
      </c>
      <c r="I490" s="8"/>
      <c r="J490" s="8"/>
      <c r="K490" s="8"/>
      <c r="L490" s="9"/>
    </row>
    <row r="491" customFormat="false" ht="23.85" hidden="false" customHeight="false" outlineLevel="0" collapsed="false">
      <c r="A491" s="6" t="s">
        <v>1628</v>
      </c>
      <c r="B491" s="6" t="s">
        <v>1583</v>
      </c>
      <c r="C491" s="6" t="s">
        <v>18</v>
      </c>
      <c r="D491" s="6" t="s">
        <v>331</v>
      </c>
      <c r="E491" s="6" t="s">
        <v>1304</v>
      </c>
      <c r="F491" s="7" t="s">
        <v>1629</v>
      </c>
      <c r="G491" s="6" t="s">
        <v>1630</v>
      </c>
      <c r="H491" s="6" t="s">
        <v>6</v>
      </c>
      <c r="I491" s="8"/>
      <c r="J491" s="8"/>
      <c r="K491" s="8"/>
      <c r="L491" s="9"/>
    </row>
    <row r="492" customFormat="false" ht="23.85" hidden="false" customHeight="false" outlineLevel="0" collapsed="false">
      <c r="A492" s="6" t="s">
        <v>1631</v>
      </c>
      <c r="B492" s="6" t="s">
        <v>1583</v>
      </c>
      <c r="C492" s="6" t="s">
        <v>18</v>
      </c>
      <c r="D492" s="6" t="s">
        <v>331</v>
      </c>
      <c r="E492" s="6" t="s">
        <v>1304</v>
      </c>
      <c r="F492" s="7" t="s">
        <v>1632</v>
      </c>
      <c r="G492" s="6" t="s">
        <v>1633</v>
      </c>
      <c r="H492" s="6" t="s">
        <v>8</v>
      </c>
      <c r="I492" s="8"/>
      <c r="J492" s="8"/>
      <c r="K492" s="8"/>
      <c r="L492" s="9"/>
    </row>
    <row r="493" customFormat="false" ht="23.85" hidden="false" customHeight="false" outlineLevel="0" collapsed="false">
      <c r="A493" s="6" t="s">
        <v>1634</v>
      </c>
      <c r="B493" s="6" t="s">
        <v>1583</v>
      </c>
      <c r="C493" s="6" t="s">
        <v>18</v>
      </c>
      <c r="D493" s="6" t="s">
        <v>331</v>
      </c>
      <c r="E493" s="6" t="s">
        <v>1304</v>
      </c>
      <c r="F493" s="7" t="s">
        <v>1635</v>
      </c>
      <c r="G493" s="6" t="s">
        <v>1636</v>
      </c>
      <c r="H493" s="6" t="s">
        <v>6</v>
      </c>
      <c r="I493" s="8"/>
      <c r="J493" s="8"/>
      <c r="K493" s="8"/>
      <c r="L493" s="9"/>
    </row>
    <row r="494" customFormat="false" ht="23.85" hidden="false" customHeight="false" outlineLevel="0" collapsed="false">
      <c r="A494" s="6" t="s">
        <v>1637</v>
      </c>
      <c r="B494" s="6" t="s">
        <v>1583</v>
      </c>
      <c r="C494" s="6" t="s">
        <v>18</v>
      </c>
      <c r="D494" s="6" t="s">
        <v>331</v>
      </c>
      <c r="E494" s="6" t="s">
        <v>1304</v>
      </c>
      <c r="F494" s="7" t="s">
        <v>1638</v>
      </c>
      <c r="G494" s="6" t="s">
        <v>1639</v>
      </c>
      <c r="H494" s="6" t="s">
        <v>6</v>
      </c>
      <c r="I494" s="8"/>
      <c r="J494" s="8"/>
      <c r="K494" s="8"/>
      <c r="L494" s="9"/>
    </row>
    <row r="495" customFormat="false" ht="23.85" hidden="false" customHeight="false" outlineLevel="0" collapsed="false">
      <c r="A495" s="6" t="s">
        <v>1640</v>
      </c>
      <c r="B495" s="6" t="s">
        <v>1583</v>
      </c>
      <c r="C495" s="6" t="s">
        <v>18</v>
      </c>
      <c r="D495" s="6" t="s">
        <v>331</v>
      </c>
      <c r="E495" s="6" t="s">
        <v>1304</v>
      </c>
      <c r="F495" s="7" t="s">
        <v>1641</v>
      </c>
      <c r="G495" s="6" t="s">
        <v>1642</v>
      </c>
      <c r="H495" s="6" t="s">
        <v>8</v>
      </c>
      <c r="I495" s="8"/>
      <c r="J495" s="8"/>
      <c r="K495" s="8"/>
      <c r="L495" s="9"/>
    </row>
    <row r="496" customFormat="false" ht="15" hidden="false" customHeight="false" outlineLevel="0" collapsed="false">
      <c r="A496" s="6" t="s">
        <v>1643</v>
      </c>
      <c r="B496" s="6" t="s">
        <v>1583</v>
      </c>
      <c r="C496" s="6" t="s">
        <v>18</v>
      </c>
      <c r="D496" s="6" t="s">
        <v>331</v>
      </c>
      <c r="E496" s="6" t="s">
        <v>1304</v>
      </c>
      <c r="F496" s="7" t="s">
        <v>1644</v>
      </c>
      <c r="G496" s="6" t="s">
        <v>1645</v>
      </c>
      <c r="H496" s="6" t="s">
        <v>6</v>
      </c>
      <c r="I496" s="8"/>
      <c r="J496" s="8"/>
      <c r="K496" s="8"/>
      <c r="L496" s="9"/>
    </row>
    <row r="497" customFormat="false" ht="15" hidden="false" customHeight="false" outlineLevel="0" collapsed="false">
      <c r="A497" s="6" t="s">
        <v>1646</v>
      </c>
      <c r="B497" s="6" t="s">
        <v>1583</v>
      </c>
      <c r="C497" s="6" t="s">
        <v>18</v>
      </c>
      <c r="D497" s="6" t="s">
        <v>331</v>
      </c>
      <c r="E497" s="6" t="s">
        <v>1304</v>
      </c>
      <c r="F497" s="7" t="s">
        <v>1647</v>
      </c>
      <c r="G497" s="6" t="s">
        <v>1648</v>
      </c>
      <c r="H497" s="6" t="s">
        <v>6</v>
      </c>
      <c r="I497" s="8"/>
      <c r="J497" s="8"/>
      <c r="K497" s="8"/>
      <c r="L497" s="9"/>
    </row>
    <row r="498" customFormat="false" ht="15" hidden="false" customHeight="false" outlineLevel="0" collapsed="false">
      <c r="A498" s="6" t="s">
        <v>1649</v>
      </c>
      <c r="B498" s="6" t="s">
        <v>1583</v>
      </c>
      <c r="C498" s="6" t="s">
        <v>18</v>
      </c>
      <c r="D498" s="6" t="s">
        <v>331</v>
      </c>
      <c r="E498" s="6" t="s">
        <v>1304</v>
      </c>
      <c r="F498" s="7" t="s">
        <v>1650</v>
      </c>
      <c r="G498" s="6" t="s">
        <v>1651</v>
      </c>
      <c r="H498" s="6" t="s">
        <v>8</v>
      </c>
      <c r="I498" s="8"/>
      <c r="J498" s="8"/>
      <c r="K498" s="8"/>
      <c r="L498" s="9"/>
    </row>
    <row r="499" customFormat="false" ht="23.85" hidden="false" customHeight="false" outlineLevel="0" collapsed="false">
      <c r="A499" s="6" t="s">
        <v>1652</v>
      </c>
      <c r="B499" s="6" t="s">
        <v>1583</v>
      </c>
      <c r="C499" s="6" t="s">
        <v>18</v>
      </c>
      <c r="D499" s="6" t="s">
        <v>331</v>
      </c>
      <c r="E499" s="6" t="s">
        <v>1304</v>
      </c>
      <c r="F499" s="7" t="s">
        <v>1653</v>
      </c>
      <c r="G499" s="6" t="s">
        <v>1654</v>
      </c>
      <c r="H499" s="6" t="s">
        <v>8</v>
      </c>
      <c r="I499" s="8"/>
      <c r="J499" s="8"/>
      <c r="K499" s="8"/>
      <c r="L499" s="9"/>
    </row>
    <row r="500" customFormat="false" ht="23.85" hidden="false" customHeight="false" outlineLevel="0" collapsed="false">
      <c r="A500" s="6" t="s">
        <v>1655</v>
      </c>
      <c r="B500" s="6" t="s">
        <v>1583</v>
      </c>
      <c r="C500" s="6" t="s">
        <v>18</v>
      </c>
      <c r="D500" s="6" t="s">
        <v>331</v>
      </c>
      <c r="E500" s="6" t="s">
        <v>1304</v>
      </c>
      <c r="F500" s="7" t="s">
        <v>1656</v>
      </c>
      <c r="G500" s="6" t="s">
        <v>1657</v>
      </c>
      <c r="H500" s="6" t="s">
        <v>8</v>
      </c>
      <c r="I500" s="8"/>
      <c r="J500" s="8"/>
      <c r="K500" s="8"/>
      <c r="L500" s="9"/>
    </row>
    <row r="501" customFormat="false" ht="46.25" hidden="false" customHeight="false" outlineLevel="0" collapsed="false">
      <c r="A501" s="6" t="s">
        <v>1658</v>
      </c>
      <c r="B501" s="6" t="s">
        <v>1583</v>
      </c>
      <c r="C501" s="6" t="s">
        <v>18</v>
      </c>
      <c r="D501" s="6" t="s">
        <v>331</v>
      </c>
      <c r="E501" s="6" t="s">
        <v>1304</v>
      </c>
      <c r="F501" s="7" t="s">
        <v>1659</v>
      </c>
      <c r="G501" s="6" t="s">
        <v>1660</v>
      </c>
      <c r="H501" s="6" t="s">
        <v>6</v>
      </c>
      <c r="I501" s="8"/>
      <c r="J501" s="8"/>
      <c r="K501" s="8"/>
      <c r="L501" s="9"/>
    </row>
    <row r="502" customFormat="false" ht="23.85" hidden="false" customHeight="false" outlineLevel="0" collapsed="false">
      <c r="A502" s="6" t="s">
        <v>1661</v>
      </c>
      <c r="B502" s="6" t="s">
        <v>1583</v>
      </c>
      <c r="C502" s="6" t="s">
        <v>18</v>
      </c>
      <c r="D502" s="6" t="s">
        <v>331</v>
      </c>
      <c r="E502" s="6" t="s">
        <v>1304</v>
      </c>
      <c r="F502" s="7" t="s">
        <v>1662</v>
      </c>
      <c r="G502" s="6" t="s">
        <v>1663</v>
      </c>
      <c r="H502" s="6" t="s">
        <v>8</v>
      </c>
      <c r="I502" s="8"/>
      <c r="J502" s="8"/>
      <c r="K502" s="8"/>
      <c r="L502" s="9"/>
    </row>
    <row r="503" customFormat="false" ht="23.85" hidden="false" customHeight="false" outlineLevel="0" collapsed="false">
      <c r="A503" s="6" t="s">
        <v>1664</v>
      </c>
      <c r="B503" s="6" t="s">
        <v>1583</v>
      </c>
      <c r="C503" s="6" t="s">
        <v>18</v>
      </c>
      <c r="D503" s="6" t="s">
        <v>331</v>
      </c>
      <c r="E503" s="6" t="s">
        <v>1304</v>
      </c>
      <c r="F503" s="7" t="s">
        <v>1665</v>
      </c>
      <c r="G503" s="6" t="s">
        <v>1666</v>
      </c>
      <c r="H503" s="6" t="s">
        <v>6</v>
      </c>
      <c r="I503" s="8"/>
      <c r="J503" s="8"/>
      <c r="K503" s="8"/>
      <c r="L503" s="9"/>
    </row>
    <row r="504" customFormat="false" ht="15" hidden="false" customHeight="false" outlineLevel="0" collapsed="false">
      <c r="A504" s="6" t="s">
        <v>1667</v>
      </c>
      <c r="B504" s="6" t="s">
        <v>1583</v>
      </c>
      <c r="C504" s="6" t="s">
        <v>18</v>
      </c>
      <c r="D504" s="6" t="s">
        <v>331</v>
      </c>
      <c r="E504" s="6" t="s">
        <v>1304</v>
      </c>
      <c r="F504" s="7" t="s">
        <v>1668</v>
      </c>
      <c r="G504" s="6" t="s">
        <v>1669</v>
      </c>
      <c r="H504" s="6" t="s">
        <v>7</v>
      </c>
      <c r="I504" s="8"/>
      <c r="J504" s="8"/>
      <c r="K504" s="8"/>
      <c r="L504" s="9"/>
    </row>
    <row r="505" customFormat="false" ht="15" hidden="false" customHeight="false" outlineLevel="0" collapsed="false">
      <c r="A505" s="6" t="s">
        <v>1670</v>
      </c>
      <c r="B505" s="6" t="s">
        <v>1583</v>
      </c>
      <c r="C505" s="6" t="s">
        <v>18</v>
      </c>
      <c r="D505" s="6" t="s">
        <v>331</v>
      </c>
      <c r="E505" s="6" t="s">
        <v>1304</v>
      </c>
      <c r="F505" s="7" t="s">
        <v>1671</v>
      </c>
      <c r="G505" s="6" t="s">
        <v>1672</v>
      </c>
      <c r="H505" s="6" t="s">
        <v>6</v>
      </c>
      <c r="I505" s="8"/>
      <c r="J505" s="8"/>
      <c r="K505" s="8"/>
      <c r="L505" s="9"/>
    </row>
    <row r="506" customFormat="false" ht="15" hidden="false" customHeight="false" outlineLevel="0" collapsed="false">
      <c r="A506" s="6" t="s">
        <v>1673</v>
      </c>
      <c r="B506" s="6" t="s">
        <v>1583</v>
      </c>
      <c r="C506" s="6" t="s">
        <v>18</v>
      </c>
      <c r="D506" s="6" t="s">
        <v>331</v>
      </c>
      <c r="E506" s="6" t="s">
        <v>1304</v>
      </c>
      <c r="F506" s="7" t="s">
        <v>1674</v>
      </c>
      <c r="G506" s="6" t="s">
        <v>1675</v>
      </c>
      <c r="H506" s="6" t="s">
        <v>6</v>
      </c>
      <c r="I506" s="8"/>
      <c r="J506" s="8"/>
      <c r="K506" s="8"/>
      <c r="L506" s="9"/>
    </row>
    <row r="507" customFormat="false" ht="15" hidden="false" customHeight="false" outlineLevel="0" collapsed="false">
      <c r="A507" s="6" t="s">
        <v>1676</v>
      </c>
      <c r="B507" s="6" t="s">
        <v>1583</v>
      </c>
      <c r="C507" s="6" t="s">
        <v>18</v>
      </c>
      <c r="D507" s="6" t="s">
        <v>331</v>
      </c>
      <c r="E507" s="6" t="s">
        <v>1304</v>
      </c>
      <c r="F507" s="7" t="s">
        <v>1677</v>
      </c>
      <c r="G507" s="6" t="s">
        <v>1678</v>
      </c>
      <c r="H507" s="6" t="s">
        <v>8</v>
      </c>
      <c r="I507" s="8"/>
      <c r="J507" s="8"/>
      <c r="K507" s="8"/>
      <c r="L507" s="9"/>
    </row>
    <row r="508" customFormat="false" ht="23.85" hidden="false" customHeight="false" outlineLevel="0" collapsed="false">
      <c r="A508" s="6" t="s">
        <v>1679</v>
      </c>
      <c r="B508" s="6" t="s">
        <v>1583</v>
      </c>
      <c r="C508" s="6" t="s">
        <v>18</v>
      </c>
      <c r="D508" s="6" t="s">
        <v>331</v>
      </c>
      <c r="E508" s="6" t="s">
        <v>1304</v>
      </c>
      <c r="F508" s="7" t="s">
        <v>1680</v>
      </c>
      <c r="G508" s="6" t="s">
        <v>1681</v>
      </c>
      <c r="H508" s="6" t="s">
        <v>6</v>
      </c>
      <c r="I508" s="8"/>
      <c r="J508" s="8"/>
      <c r="K508" s="8"/>
      <c r="L508" s="9"/>
    </row>
    <row r="509" customFormat="false" ht="23.85" hidden="false" customHeight="false" outlineLevel="0" collapsed="false">
      <c r="A509" s="6" t="s">
        <v>1682</v>
      </c>
      <c r="B509" s="6" t="s">
        <v>1583</v>
      </c>
      <c r="C509" s="6" t="s">
        <v>18</v>
      </c>
      <c r="D509" s="6" t="s">
        <v>331</v>
      </c>
      <c r="E509" s="6" t="s">
        <v>1304</v>
      </c>
      <c r="F509" s="7" t="s">
        <v>1683</v>
      </c>
      <c r="G509" s="6" t="s">
        <v>1684</v>
      </c>
      <c r="H509" s="6" t="s">
        <v>10</v>
      </c>
      <c r="I509" s="8"/>
      <c r="J509" s="8"/>
      <c r="K509" s="8"/>
      <c r="L509" s="9"/>
    </row>
    <row r="510" customFormat="false" ht="15" hidden="false" customHeight="false" outlineLevel="0" collapsed="false">
      <c r="A510" s="6" t="s">
        <v>1685</v>
      </c>
      <c r="B510" s="6" t="s">
        <v>1686</v>
      </c>
      <c r="C510" s="6" t="s">
        <v>18</v>
      </c>
      <c r="D510" s="6" t="s">
        <v>230</v>
      </c>
      <c r="E510" s="6" t="s">
        <v>1462</v>
      </c>
      <c r="F510" s="7" t="s">
        <v>1687</v>
      </c>
      <c r="G510" s="6" t="s">
        <v>1688</v>
      </c>
      <c r="H510" s="6" t="s">
        <v>8</v>
      </c>
      <c r="I510" s="8"/>
      <c r="J510" s="8"/>
      <c r="K510" s="8"/>
      <c r="L510" s="9"/>
    </row>
    <row r="511" customFormat="false" ht="23.85" hidden="false" customHeight="false" outlineLevel="0" collapsed="false">
      <c r="A511" s="6" t="s">
        <v>1689</v>
      </c>
      <c r="B511" s="6" t="s">
        <v>1686</v>
      </c>
      <c r="C511" s="6" t="s">
        <v>18</v>
      </c>
      <c r="D511" s="6" t="s">
        <v>230</v>
      </c>
      <c r="E511" s="6" t="s">
        <v>1462</v>
      </c>
      <c r="F511" s="7" t="s">
        <v>1690</v>
      </c>
      <c r="G511" s="6" t="s">
        <v>1691</v>
      </c>
      <c r="H511" s="6" t="s">
        <v>9</v>
      </c>
      <c r="I511" s="8"/>
      <c r="J511" s="8"/>
      <c r="K511" s="8"/>
      <c r="L511" s="9"/>
    </row>
    <row r="512" customFormat="false" ht="15" hidden="false" customHeight="false" outlineLevel="0" collapsed="false">
      <c r="A512" s="6" t="s">
        <v>1692</v>
      </c>
      <c r="B512" s="6" t="s">
        <v>1686</v>
      </c>
      <c r="C512" s="6" t="s">
        <v>18</v>
      </c>
      <c r="D512" s="6" t="s">
        <v>230</v>
      </c>
      <c r="E512" s="6" t="s">
        <v>1462</v>
      </c>
      <c r="F512" s="7" t="s">
        <v>1693</v>
      </c>
      <c r="G512" s="6" t="s">
        <v>1694</v>
      </c>
      <c r="H512" s="6" t="s">
        <v>9</v>
      </c>
      <c r="I512" s="8"/>
      <c r="J512" s="8"/>
      <c r="K512" s="8"/>
      <c r="L512" s="9"/>
    </row>
    <row r="513" customFormat="false" ht="15" hidden="false" customHeight="false" outlineLevel="0" collapsed="false">
      <c r="A513" s="6" t="s">
        <v>1695</v>
      </c>
      <c r="B513" s="6" t="s">
        <v>1696</v>
      </c>
      <c r="C513" s="6" t="s">
        <v>18</v>
      </c>
      <c r="D513" s="6" t="s">
        <v>230</v>
      </c>
      <c r="E513" s="6" t="s">
        <v>1462</v>
      </c>
      <c r="F513" s="7" t="s">
        <v>1697</v>
      </c>
      <c r="G513" s="6" t="s">
        <v>1698</v>
      </c>
      <c r="H513" s="6" t="s">
        <v>8</v>
      </c>
      <c r="I513" s="8"/>
      <c r="J513" s="8"/>
      <c r="K513" s="8"/>
      <c r="L513" s="9"/>
    </row>
    <row r="514" customFormat="false" ht="23.85" hidden="false" customHeight="false" outlineLevel="0" collapsed="false">
      <c r="A514" s="6" t="s">
        <v>1699</v>
      </c>
      <c r="B514" s="6" t="s">
        <v>1696</v>
      </c>
      <c r="C514" s="6" t="s">
        <v>18</v>
      </c>
      <c r="D514" s="6" t="s">
        <v>230</v>
      </c>
      <c r="E514" s="6" t="s">
        <v>1462</v>
      </c>
      <c r="F514" s="7" t="s">
        <v>1700</v>
      </c>
      <c r="G514" s="6" t="s">
        <v>1701</v>
      </c>
      <c r="H514" s="6" t="s">
        <v>8</v>
      </c>
      <c r="I514" s="8"/>
      <c r="J514" s="8"/>
      <c r="K514" s="8"/>
      <c r="L514" s="9"/>
    </row>
    <row r="515" customFormat="false" ht="15" hidden="false" customHeight="false" outlineLevel="0" collapsed="false">
      <c r="A515" s="6" t="s">
        <v>1702</v>
      </c>
      <c r="B515" s="6" t="s">
        <v>1696</v>
      </c>
      <c r="C515" s="6" t="s">
        <v>18</v>
      </c>
      <c r="D515" s="6" t="s">
        <v>230</v>
      </c>
      <c r="E515" s="6" t="s">
        <v>1462</v>
      </c>
      <c r="F515" s="7" t="s">
        <v>1703</v>
      </c>
      <c r="G515" s="6" t="s">
        <v>1704</v>
      </c>
      <c r="H515" s="6" t="s">
        <v>9</v>
      </c>
      <c r="I515" s="8"/>
      <c r="J515" s="8"/>
      <c r="K515" s="8"/>
      <c r="L515" s="9"/>
    </row>
    <row r="516" customFormat="false" ht="23.85" hidden="false" customHeight="false" outlineLevel="0" collapsed="false">
      <c r="A516" s="6" t="s">
        <v>1705</v>
      </c>
      <c r="B516" s="6" t="s">
        <v>1706</v>
      </c>
      <c r="C516" s="6" t="s">
        <v>18</v>
      </c>
      <c r="D516" s="6" t="s">
        <v>85</v>
      </c>
      <c r="E516" s="6" t="s">
        <v>26</v>
      </c>
      <c r="F516" s="7" t="s">
        <v>1707</v>
      </c>
      <c r="G516" s="6" t="s">
        <v>1708</v>
      </c>
      <c r="H516" s="6" t="s">
        <v>6</v>
      </c>
      <c r="I516" s="8"/>
      <c r="J516" s="8"/>
      <c r="K516" s="8"/>
      <c r="L516" s="9"/>
    </row>
    <row r="517" customFormat="false" ht="15" hidden="false" customHeight="false" outlineLevel="0" collapsed="false">
      <c r="A517" s="6" t="s">
        <v>1709</v>
      </c>
      <c r="B517" s="6" t="s">
        <v>1706</v>
      </c>
      <c r="C517" s="6" t="s">
        <v>18</v>
      </c>
      <c r="D517" s="6" t="s">
        <v>85</v>
      </c>
      <c r="E517" s="6" t="s">
        <v>26</v>
      </c>
      <c r="F517" s="7" t="s">
        <v>1710</v>
      </c>
      <c r="G517" s="6" t="s">
        <v>1711</v>
      </c>
      <c r="H517" s="6" t="s">
        <v>8</v>
      </c>
      <c r="I517" s="8"/>
      <c r="J517" s="8"/>
      <c r="K517" s="8"/>
      <c r="L517" s="9"/>
    </row>
    <row r="518" customFormat="false" ht="15" hidden="false" customHeight="false" outlineLevel="0" collapsed="false">
      <c r="A518" s="6" t="s">
        <v>1712</v>
      </c>
      <c r="B518" s="6" t="s">
        <v>1706</v>
      </c>
      <c r="C518" s="6" t="s">
        <v>18</v>
      </c>
      <c r="D518" s="6" t="s">
        <v>85</v>
      </c>
      <c r="E518" s="6" t="s">
        <v>26</v>
      </c>
      <c r="F518" s="7" t="s">
        <v>1713</v>
      </c>
      <c r="G518" s="6" t="s">
        <v>1714</v>
      </c>
      <c r="H518" s="6" t="s">
        <v>6</v>
      </c>
      <c r="I518" s="8"/>
      <c r="J518" s="8"/>
      <c r="K518" s="8"/>
      <c r="L518" s="9"/>
    </row>
    <row r="519" customFormat="false" ht="23.85" hidden="false" customHeight="false" outlineLevel="0" collapsed="false">
      <c r="A519" s="6" t="s">
        <v>1715</v>
      </c>
      <c r="B519" s="6" t="s">
        <v>1706</v>
      </c>
      <c r="C519" s="6" t="s">
        <v>18</v>
      </c>
      <c r="D519" s="6" t="s">
        <v>85</v>
      </c>
      <c r="E519" s="6" t="s">
        <v>26</v>
      </c>
      <c r="F519" s="7" t="s">
        <v>1716</v>
      </c>
      <c r="G519" s="6" t="s">
        <v>1717</v>
      </c>
      <c r="H519" s="6" t="s">
        <v>6</v>
      </c>
      <c r="I519" s="8"/>
      <c r="J519" s="8"/>
      <c r="K519" s="8"/>
      <c r="L519" s="9"/>
    </row>
    <row r="520" customFormat="false" ht="23.85" hidden="false" customHeight="false" outlineLevel="0" collapsed="false">
      <c r="A520" s="6" t="s">
        <v>1718</v>
      </c>
      <c r="B520" s="6" t="s">
        <v>1706</v>
      </c>
      <c r="C520" s="6" t="s">
        <v>18</v>
      </c>
      <c r="D520" s="6" t="s">
        <v>85</v>
      </c>
      <c r="E520" s="6" t="s">
        <v>26</v>
      </c>
      <c r="F520" s="7" t="s">
        <v>1719</v>
      </c>
      <c r="G520" s="6" t="s">
        <v>1720</v>
      </c>
      <c r="H520" s="6" t="s">
        <v>6</v>
      </c>
      <c r="I520" s="8"/>
      <c r="J520" s="8"/>
      <c r="K520" s="8"/>
      <c r="L520" s="9"/>
    </row>
    <row r="521" customFormat="false" ht="15" hidden="false" customHeight="false" outlineLevel="0" collapsed="false">
      <c r="A521" s="6" t="s">
        <v>1721</v>
      </c>
      <c r="B521" s="6" t="s">
        <v>1706</v>
      </c>
      <c r="C521" s="6" t="s">
        <v>18</v>
      </c>
      <c r="D521" s="6" t="s">
        <v>85</v>
      </c>
      <c r="E521" s="6" t="s">
        <v>26</v>
      </c>
      <c r="F521" s="7" t="s">
        <v>1722</v>
      </c>
      <c r="G521" s="6" t="s">
        <v>1548</v>
      </c>
      <c r="H521" s="6" t="s">
        <v>11</v>
      </c>
      <c r="I521" s="8"/>
      <c r="J521" s="8"/>
      <c r="K521" s="8"/>
      <c r="L521" s="9"/>
    </row>
    <row r="522" customFormat="false" ht="15" hidden="false" customHeight="false" outlineLevel="0" collapsed="false">
      <c r="A522" s="6" t="s">
        <v>1723</v>
      </c>
      <c r="B522" s="6" t="s">
        <v>1706</v>
      </c>
      <c r="C522" s="6" t="s">
        <v>18</v>
      </c>
      <c r="D522" s="6" t="s">
        <v>85</v>
      </c>
      <c r="E522" s="6" t="s">
        <v>26</v>
      </c>
      <c r="F522" s="7" t="s">
        <v>1724</v>
      </c>
      <c r="G522" s="6" t="s">
        <v>385</v>
      </c>
      <c r="H522" s="6" t="s">
        <v>8</v>
      </c>
      <c r="I522" s="8"/>
      <c r="J522" s="8"/>
      <c r="K522" s="8"/>
      <c r="L522" s="9"/>
    </row>
    <row r="523" customFormat="false" ht="15" hidden="false" customHeight="false" outlineLevel="0" collapsed="false">
      <c r="A523" s="6" t="s">
        <v>1725</v>
      </c>
      <c r="B523" s="6" t="s">
        <v>1706</v>
      </c>
      <c r="C523" s="6" t="s">
        <v>18</v>
      </c>
      <c r="D523" s="6" t="s">
        <v>85</v>
      </c>
      <c r="E523" s="6" t="s">
        <v>26</v>
      </c>
      <c r="F523" s="7" t="s">
        <v>1726</v>
      </c>
      <c r="G523" s="6" t="s">
        <v>1727</v>
      </c>
      <c r="H523" s="6" t="s">
        <v>11</v>
      </c>
      <c r="I523" s="8"/>
      <c r="J523" s="8"/>
      <c r="K523" s="8"/>
      <c r="L523" s="9"/>
    </row>
    <row r="524" customFormat="false" ht="15" hidden="false" customHeight="false" outlineLevel="0" collapsed="false">
      <c r="A524" s="6" t="s">
        <v>1728</v>
      </c>
      <c r="B524" s="6" t="s">
        <v>1706</v>
      </c>
      <c r="C524" s="6" t="s">
        <v>18</v>
      </c>
      <c r="D524" s="6" t="s">
        <v>85</v>
      </c>
      <c r="E524" s="6" t="s">
        <v>26</v>
      </c>
      <c r="F524" s="7" t="s">
        <v>1729</v>
      </c>
      <c r="G524" s="6" t="s">
        <v>1730</v>
      </c>
      <c r="H524" s="6" t="s">
        <v>9</v>
      </c>
      <c r="I524" s="8"/>
      <c r="J524" s="8"/>
      <c r="K524" s="8"/>
      <c r="L524" s="9"/>
    </row>
    <row r="525" customFormat="false" ht="15" hidden="false" customHeight="false" outlineLevel="0" collapsed="false">
      <c r="A525" s="6" t="s">
        <v>1731</v>
      </c>
      <c r="B525" s="6" t="s">
        <v>1732</v>
      </c>
      <c r="C525" s="6" t="s">
        <v>18</v>
      </c>
      <c r="D525" s="6" t="s">
        <v>85</v>
      </c>
      <c r="E525" s="6" t="s">
        <v>90</v>
      </c>
      <c r="F525" s="7" t="s">
        <v>1733</v>
      </c>
      <c r="G525" s="6" t="s">
        <v>1734</v>
      </c>
      <c r="H525" s="6" t="s">
        <v>8</v>
      </c>
      <c r="I525" s="8"/>
      <c r="J525" s="8"/>
      <c r="K525" s="8"/>
      <c r="L525" s="9"/>
    </row>
    <row r="526" customFormat="false" ht="15" hidden="false" customHeight="false" outlineLevel="0" collapsed="false">
      <c r="A526" s="6" t="s">
        <v>1735</v>
      </c>
      <c r="B526" s="6" t="s">
        <v>1732</v>
      </c>
      <c r="C526" s="6" t="s">
        <v>18</v>
      </c>
      <c r="D526" s="6" t="s">
        <v>85</v>
      </c>
      <c r="E526" s="6" t="s">
        <v>90</v>
      </c>
      <c r="F526" s="7" t="s">
        <v>1736</v>
      </c>
      <c r="G526" s="6" t="s">
        <v>1737</v>
      </c>
      <c r="H526" s="6" t="s">
        <v>8</v>
      </c>
      <c r="I526" s="8"/>
      <c r="J526" s="8"/>
      <c r="K526" s="8"/>
      <c r="L526" s="9"/>
    </row>
    <row r="527" customFormat="false" ht="15" hidden="false" customHeight="false" outlineLevel="0" collapsed="false">
      <c r="A527" s="6" t="s">
        <v>1738</v>
      </c>
      <c r="B527" s="6" t="s">
        <v>1732</v>
      </c>
      <c r="C527" s="6" t="s">
        <v>18</v>
      </c>
      <c r="D527" s="6" t="s">
        <v>85</v>
      </c>
      <c r="E527" s="6" t="s">
        <v>90</v>
      </c>
      <c r="F527" s="7" t="s">
        <v>1739</v>
      </c>
      <c r="G527" s="6" t="s">
        <v>1740</v>
      </c>
      <c r="H527" s="6" t="s">
        <v>8</v>
      </c>
      <c r="I527" s="8"/>
      <c r="J527" s="8"/>
      <c r="K527" s="8"/>
      <c r="L527" s="9"/>
    </row>
    <row r="528" customFormat="false" ht="15" hidden="false" customHeight="false" outlineLevel="0" collapsed="false">
      <c r="A528" s="6" t="s">
        <v>1741</v>
      </c>
      <c r="B528" s="6" t="s">
        <v>1732</v>
      </c>
      <c r="C528" s="6" t="s">
        <v>18</v>
      </c>
      <c r="D528" s="6" t="s">
        <v>85</v>
      </c>
      <c r="E528" s="6" t="s">
        <v>90</v>
      </c>
      <c r="F528" s="7" t="s">
        <v>1742</v>
      </c>
      <c r="G528" s="6" t="s">
        <v>1743</v>
      </c>
      <c r="H528" s="6" t="s">
        <v>11</v>
      </c>
      <c r="I528" s="8"/>
      <c r="J528" s="8"/>
      <c r="K528" s="8"/>
      <c r="L528" s="9"/>
    </row>
    <row r="529" customFormat="false" ht="15" hidden="false" customHeight="false" outlineLevel="0" collapsed="false">
      <c r="A529" s="6" t="s">
        <v>1744</v>
      </c>
      <c r="B529" s="6" t="s">
        <v>1732</v>
      </c>
      <c r="C529" s="6" t="s">
        <v>18</v>
      </c>
      <c r="D529" s="6" t="s">
        <v>85</v>
      </c>
      <c r="E529" s="6" t="s">
        <v>90</v>
      </c>
      <c r="F529" s="7" t="s">
        <v>1745</v>
      </c>
      <c r="G529" s="6" t="s">
        <v>1746</v>
      </c>
      <c r="H529" s="6" t="s">
        <v>6</v>
      </c>
      <c r="I529" s="8"/>
      <c r="J529" s="8"/>
      <c r="K529" s="8"/>
      <c r="L529" s="9"/>
    </row>
    <row r="530" customFormat="false" ht="15" hidden="false" customHeight="false" outlineLevel="0" collapsed="false">
      <c r="A530" s="6" t="s">
        <v>1747</v>
      </c>
      <c r="B530" s="6" t="s">
        <v>1732</v>
      </c>
      <c r="C530" s="6" t="s">
        <v>18</v>
      </c>
      <c r="D530" s="6" t="s">
        <v>85</v>
      </c>
      <c r="E530" s="6" t="s">
        <v>90</v>
      </c>
      <c r="F530" s="7" t="s">
        <v>1748</v>
      </c>
      <c r="G530" s="6" t="s">
        <v>1749</v>
      </c>
      <c r="H530" s="6" t="s">
        <v>11</v>
      </c>
      <c r="I530" s="8"/>
      <c r="J530" s="8"/>
      <c r="K530" s="8"/>
      <c r="L530" s="9"/>
    </row>
    <row r="531" customFormat="false" ht="23.85" hidden="false" customHeight="false" outlineLevel="0" collapsed="false">
      <c r="A531" s="6" t="s">
        <v>1750</v>
      </c>
      <c r="B531" s="6" t="s">
        <v>1751</v>
      </c>
      <c r="C531" s="6" t="s">
        <v>18</v>
      </c>
      <c r="D531" s="6" t="s">
        <v>230</v>
      </c>
      <c r="E531" s="6"/>
      <c r="F531" s="7" t="s">
        <v>1752</v>
      </c>
      <c r="G531" s="6" t="s">
        <v>1753</v>
      </c>
      <c r="H531" s="6" t="s">
        <v>8</v>
      </c>
      <c r="I531" s="8"/>
      <c r="J531" s="8"/>
      <c r="K531" s="8"/>
      <c r="L531" s="9"/>
    </row>
    <row r="532" customFormat="false" ht="15" hidden="false" customHeight="false" outlineLevel="0" collapsed="false">
      <c r="A532" s="6" t="s">
        <v>1754</v>
      </c>
      <c r="B532" s="6" t="s">
        <v>1751</v>
      </c>
      <c r="C532" s="6" t="s">
        <v>18</v>
      </c>
      <c r="D532" s="6" t="s">
        <v>230</v>
      </c>
      <c r="E532" s="6"/>
      <c r="F532" s="7" t="s">
        <v>1755</v>
      </c>
      <c r="G532" s="6" t="s">
        <v>1756</v>
      </c>
      <c r="H532" s="6" t="s">
        <v>9</v>
      </c>
      <c r="I532" s="8"/>
      <c r="J532" s="8"/>
      <c r="K532" s="8"/>
      <c r="L532" s="9"/>
    </row>
    <row r="533" customFormat="false" ht="23.85" hidden="false" customHeight="false" outlineLevel="0" collapsed="false">
      <c r="A533" s="6" t="s">
        <v>1757</v>
      </c>
      <c r="B533" s="6" t="s">
        <v>1758</v>
      </c>
      <c r="C533" s="6" t="s">
        <v>18</v>
      </c>
      <c r="D533" s="6" t="s">
        <v>85</v>
      </c>
      <c r="E533" s="6" t="s">
        <v>27</v>
      </c>
      <c r="F533" s="7" t="s">
        <v>1759</v>
      </c>
      <c r="G533" s="6" t="s">
        <v>1760</v>
      </c>
      <c r="H533" s="6" t="s">
        <v>6</v>
      </c>
      <c r="I533" s="8"/>
      <c r="J533" s="8"/>
      <c r="K533" s="8"/>
      <c r="L533" s="9"/>
    </row>
    <row r="534" customFormat="false" ht="23.85" hidden="false" customHeight="false" outlineLevel="0" collapsed="false">
      <c r="A534" s="6" t="s">
        <v>1761</v>
      </c>
      <c r="B534" s="6" t="s">
        <v>1758</v>
      </c>
      <c r="C534" s="6" t="s">
        <v>18</v>
      </c>
      <c r="D534" s="6" t="s">
        <v>85</v>
      </c>
      <c r="E534" s="6" t="s">
        <v>27</v>
      </c>
      <c r="F534" s="7" t="s">
        <v>1762</v>
      </c>
      <c r="G534" s="6" t="s">
        <v>1763</v>
      </c>
      <c r="H534" s="6" t="s">
        <v>6</v>
      </c>
      <c r="I534" s="8"/>
      <c r="J534" s="8"/>
      <c r="K534" s="8"/>
      <c r="L534" s="9"/>
    </row>
    <row r="535" customFormat="false" ht="15" hidden="false" customHeight="false" outlineLevel="0" collapsed="false">
      <c r="A535" s="6" t="s">
        <v>1764</v>
      </c>
      <c r="B535" s="6" t="s">
        <v>1758</v>
      </c>
      <c r="C535" s="6" t="s">
        <v>18</v>
      </c>
      <c r="D535" s="6" t="s">
        <v>85</v>
      </c>
      <c r="E535" s="6" t="s">
        <v>27</v>
      </c>
      <c r="F535" s="7" t="s">
        <v>1765</v>
      </c>
      <c r="G535" s="6" t="s">
        <v>1766</v>
      </c>
      <c r="H535" s="6" t="s">
        <v>6</v>
      </c>
      <c r="I535" s="8"/>
      <c r="J535" s="8"/>
      <c r="K535" s="8"/>
      <c r="L535" s="9"/>
    </row>
    <row r="536" customFormat="false" ht="15" hidden="false" customHeight="false" outlineLevel="0" collapsed="false">
      <c r="A536" s="6" t="s">
        <v>1767</v>
      </c>
      <c r="B536" s="6" t="s">
        <v>1758</v>
      </c>
      <c r="C536" s="6" t="s">
        <v>18</v>
      </c>
      <c r="D536" s="6" t="s">
        <v>85</v>
      </c>
      <c r="E536" s="6" t="s">
        <v>27</v>
      </c>
      <c r="F536" s="7" t="s">
        <v>1768</v>
      </c>
      <c r="G536" s="6" t="s">
        <v>1769</v>
      </c>
      <c r="H536" s="6" t="s">
        <v>6</v>
      </c>
      <c r="I536" s="8"/>
      <c r="J536" s="8"/>
      <c r="K536" s="8"/>
      <c r="L536" s="9"/>
    </row>
    <row r="537" customFormat="false" ht="23.85" hidden="false" customHeight="false" outlineLevel="0" collapsed="false">
      <c r="A537" s="6" t="s">
        <v>1770</v>
      </c>
      <c r="B537" s="6" t="s">
        <v>1758</v>
      </c>
      <c r="C537" s="6" t="s">
        <v>18</v>
      </c>
      <c r="D537" s="6" t="s">
        <v>85</v>
      </c>
      <c r="E537" s="6" t="s">
        <v>27</v>
      </c>
      <c r="F537" s="7" t="s">
        <v>1771</v>
      </c>
      <c r="G537" s="6" t="s">
        <v>1772</v>
      </c>
      <c r="H537" s="6" t="s">
        <v>8</v>
      </c>
      <c r="I537" s="8"/>
      <c r="J537" s="8"/>
      <c r="K537" s="8"/>
      <c r="L537" s="9"/>
    </row>
    <row r="538" customFormat="false" ht="15" hidden="false" customHeight="false" outlineLevel="0" collapsed="false">
      <c r="A538" s="6" t="s">
        <v>1773</v>
      </c>
      <c r="B538" s="6" t="s">
        <v>1758</v>
      </c>
      <c r="C538" s="6" t="s">
        <v>18</v>
      </c>
      <c r="D538" s="6" t="s">
        <v>85</v>
      </c>
      <c r="E538" s="6" t="s">
        <v>27</v>
      </c>
      <c r="F538" s="7" t="s">
        <v>1774</v>
      </c>
      <c r="G538" s="6" t="s">
        <v>1775</v>
      </c>
      <c r="H538" s="6" t="s">
        <v>9</v>
      </c>
      <c r="I538" s="8"/>
      <c r="J538" s="8"/>
      <c r="K538" s="8"/>
      <c r="L538" s="9"/>
    </row>
    <row r="539" customFormat="false" ht="15" hidden="false" customHeight="false" outlineLevel="0" collapsed="false">
      <c r="A539" s="6" t="s">
        <v>1776</v>
      </c>
      <c r="B539" s="6" t="s">
        <v>1758</v>
      </c>
      <c r="C539" s="6" t="s">
        <v>18</v>
      </c>
      <c r="D539" s="6" t="s">
        <v>85</v>
      </c>
      <c r="E539" s="6" t="s">
        <v>27</v>
      </c>
      <c r="F539" s="7" t="s">
        <v>1777</v>
      </c>
      <c r="G539" s="6" t="s">
        <v>1778</v>
      </c>
      <c r="H539" s="6" t="s">
        <v>6</v>
      </c>
      <c r="I539" s="8"/>
      <c r="J539" s="8"/>
      <c r="K539" s="8"/>
      <c r="L539" s="9"/>
    </row>
    <row r="540" customFormat="false" ht="15" hidden="false" customHeight="false" outlineLevel="0" collapsed="false">
      <c r="A540" s="6" t="s">
        <v>1779</v>
      </c>
      <c r="B540" s="6" t="s">
        <v>1780</v>
      </c>
      <c r="C540" s="6" t="s">
        <v>18</v>
      </c>
      <c r="D540" s="6" t="s">
        <v>331</v>
      </c>
      <c r="E540" s="6" t="s">
        <v>27</v>
      </c>
      <c r="F540" s="7" t="s">
        <v>1781</v>
      </c>
      <c r="G540" s="6" t="s">
        <v>1410</v>
      </c>
      <c r="H540" s="6" t="s">
        <v>8</v>
      </c>
      <c r="I540" s="8"/>
      <c r="J540" s="8"/>
      <c r="K540" s="8"/>
      <c r="L540" s="9"/>
    </row>
    <row r="541" customFormat="false" ht="15" hidden="false" customHeight="false" outlineLevel="0" collapsed="false">
      <c r="A541" s="6" t="s">
        <v>1782</v>
      </c>
      <c r="B541" s="6" t="s">
        <v>1780</v>
      </c>
      <c r="C541" s="6" t="s">
        <v>18</v>
      </c>
      <c r="D541" s="6" t="s">
        <v>331</v>
      </c>
      <c r="E541" s="6" t="s">
        <v>27</v>
      </c>
      <c r="F541" s="7" t="s">
        <v>1783</v>
      </c>
      <c r="G541" s="6" t="s">
        <v>1784</v>
      </c>
      <c r="H541" s="6" t="s">
        <v>8</v>
      </c>
      <c r="I541" s="8"/>
      <c r="J541" s="8"/>
      <c r="K541" s="8"/>
      <c r="L541" s="9"/>
    </row>
    <row r="542" customFormat="false" ht="15" hidden="false" customHeight="false" outlineLevel="0" collapsed="false">
      <c r="A542" s="6" t="s">
        <v>1785</v>
      </c>
      <c r="B542" s="6" t="s">
        <v>1780</v>
      </c>
      <c r="C542" s="6" t="s">
        <v>18</v>
      </c>
      <c r="D542" s="6" t="s">
        <v>331</v>
      </c>
      <c r="E542" s="6" t="s">
        <v>27</v>
      </c>
      <c r="F542" s="7" t="s">
        <v>1786</v>
      </c>
      <c r="G542" s="6" t="s">
        <v>1787</v>
      </c>
      <c r="H542" s="6" t="s">
        <v>8</v>
      </c>
      <c r="I542" s="8"/>
      <c r="J542" s="8"/>
      <c r="K542" s="8"/>
      <c r="L542" s="9"/>
    </row>
    <row r="543" customFormat="false" ht="23.85" hidden="false" customHeight="false" outlineLevel="0" collapsed="false">
      <c r="A543" s="6" t="s">
        <v>1788</v>
      </c>
      <c r="B543" s="6" t="s">
        <v>1780</v>
      </c>
      <c r="C543" s="6" t="s">
        <v>18</v>
      </c>
      <c r="D543" s="6" t="s">
        <v>331</v>
      </c>
      <c r="E543" s="6" t="s">
        <v>27</v>
      </c>
      <c r="F543" s="7" t="s">
        <v>1789</v>
      </c>
      <c r="G543" s="6" t="s">
        <v>1790</v>
      </c>
      <c r="H543" s="6" t="s">
        <v>6</v>
      </c>
      <c r="I543" s="8"/>
      <c r="J543" s="8"/>
      <c r="K543" s="8"/>
      <c r="L543" s="9"/>
    </row>
    <row r="544" customFormat="false" ht="15" hidden="false" customHeight="false" outlineLevel="0" collapsed="false">
      <c r="A544" s="6" t="s">
        <v>1791</v>
      </c>
      <c r="B544" s="6" t="s">
        <v>1780</v>
      </c>
      <c r="C544" s="6" t="s">
        <v>18</v>
      </c>
      <c r="D544" s="6" t="s">
        <v>331</v>
      </c>
      <c r="E544" s="6" t="s">
        <v>27</v>
      </c>
      <c r="F544" s="7" t="s">
        <v>1792</v>
      </c>
      <c r="G544" s="6" t="s">
        <v>1793</v>
      </c>
      <c r="H544" s="6" t="s">
        <v>6</v>
      </c>
      <c r="I544" s="8"/>
      <c r="J544" s="8"/>
      <c r="K544" s="8"/>
      <c r="L544" s="9"/>
    </row>
    <row r="545" customFormat="false" ht="15" hidden="false" customHeight="false" outlineLevel="0" collapsed="false">
      <c r="A545" s="6" t="s">
        <v>1794</v>
      </c>
      <c r="B545" s="6" t="s">
        <v>1780</v>
      </c>
      <c r="C545" s="6" t="s">
        <v>18</v>
      </c>
      <c r="D545" s="6" t="s">
        <v>331</v>
      </c>
      <c r="E545" s="6" t="s">
        <v>27</v>
      </c>
      <c r="F545" s="7" t="s">
        <v>1795</v>
      </c>
      <c r="G545" s="6" t="s">
        <v>1796</v>
      </c>
      <c r="H545" s="6" t="s">
        <v>8</v>
      </c>
      <c r="I545" s="8"/>
      <c r="J545" s="8"/>
      <c r="K545" s="8"/>
      <c r="L545" s="9"/>
    </row>
    <row r="546" customFormat="false" ht="35.05" hidden="false" customHeight="false" outlineLevel="0" collapsed="false">
      <c r="A546" s="6" t="s">
        <v>1797</v>
      </c>
      <c r="B546" s="6" t="s">
        <v>1780</v>
      </c>
      <c r="C546" s="6" t="s">
        <v>18</v>
      </c>
      <c r="D546" s="6" t="s">
        <v>331</v>
      </c>
      <c r="E546" s="6" t="s">
        <v>27</v>
      </c>
      <c r="F546" s="7" t="s">
        <v>1798</v>
      </c>
      <c r="G546" s="6" t="s">
        <v>1799</v>
      </c>
      <c r="H546" s="6" t="s">
        <v>8</v>
      </c>
      <c r="I546" s="8"/>
      <c r="J546" s="8"/>
      <c r="K546" s="8"/>
      <c r="L546" s="9"/>
    </row>
    <row r="547" customFormat="false" ht="15" hidden="false" customHeight="false" outlineLevel="0" collapsed="false">
      <c r="A547" s="6" t="s">
        <v>1800</v>
      </c>
      <c r="B547" s="6" t="s">
        <v>1780</v>
      </c>
      <c r="C547" s="6" t="s">
        <v>18</v>
      </c>
      <c r="D547" s="6" t="s">
        <v>331</v>
      </c>
      <c r="E547" s="6" t="s">
        <v>27</v>
      </c>
      <c r="F547" s="7" t="s">
        <v>1801</v>
      </c>
      <c r="G547" s="6" t="s">
        <v>1802</v>
      </c>
      <c r="H547" s="6" t="s">
        <v>8</v>
      </c>
      <c r="I547" s="8"/>
      <c r="J547" s="8"/>
      <c r="K547" s="8"/>
      <c r="L547" s="9"/>
    </row>
    <row r="548" customFormat="false" ht="23.85" hidden="false" customHeight="false" outlineLevel="0" collapsed="false">
      <c r="A548" s="6" t="s">
        <v>1803</v>
      </c>
      <c r="B548" s="6" t="s">
        <v>1780</v>
      </c>
      <c r="C548" s="6" t="s">
        <v>18</v>
      </c>
      <c r="D548" s="6" t="s">
        <v>331</v>
      </c>
      <c r="E548" s="6" t="s">
        <v>27</v>
      </c>
      <c r="F548" s="7" t="s">
        <v>1804</v>
      </c>
      <c r="G548" s="6" t="s">
        <v>1805</v>
      </c>
      <c r="H548" s="6" t="s">
        <v>8</v>
      </c>
      <c r="I548" s="8"/>
      <c r="J548" s="8"/>
      <c r="K548" s="8"/>
      <c r="L548" s="9"/>
    </row>
    <row r="549" customFormat="false" ht="15" hidden="false" customHeight="false" outlineLevel="0" collapsed="false">
      <c r="A549" s="6" t="s">
        <v>1806</v>
      </c>
      <c r="B549" s="6" t="s">
        <v>1780</v>
      </c>
      <c r="C549" s="6" t="s">
        <v>18</v>
      </c>
      <c r="D549" s="6" t="s">
        <v>331</v>
      </c>
      <c r="E549" s="6" t="s">
        <v>27</v>
      </c>
      <c r="F549" s="7" t="s">
        <v>1807</v>
      </c>
      <c r="G549" s="6" t="s">
        <v>1808</v>
      </c>
      <c r="H549" s="6" t="s">
        <v>6</v>
      </c>
      <c r="I549" s="8"/>
      <c r="J549" s="8"/>
      <c r="K549" s="8"/>
      <c r="L549" s="9"/>
    </row>
    <row r="550" customFormat="false" ht="15" hidden="false" customHeight="false" outlineLevel="0" collapsed="false">
      <c r="A550" s="6" t="s">
        <v>1809</v>
      </c>
      <c r="B550" s="6" t="s">
        <v>1780</v>
      </c>
      <c r="C550" s="6" t="s">
        <v>18</v>
      </c>
      <c r="D550" s="6" t="s">
        <v>331</v>
      </c>
      <c r="E550" s="6" t="s">
        <v>27</v>
      </c>
      <c r="F550" s="7" t="s">
        <v>1810</v>
      </c>
      <c r="G550" s="6" t="s">
        <v>1811</v>
      </c>
      <c r="H550" s="6" t="s">
        <v>6</v>
      </c>
      <c r="I550" s="8"/>
      <c r="J550" s="8"/>
      <c r="K550" s="8"/>
      <c r="L550" s="9"/>
    </row>
    <row r="551" customFormat="false" ht="23.85" hidden="false" customHeight="false" outlineLevel="0" collapsed="false">
      <c r="A551" s="6" t="s">
        <v>1812</v>
      </c>
      <c r="B551" s="6" t="s">
        <v>1780</v>
      </c>
      <c r="C551" s="6" t="s">
        <v>18</v>
      </c>
      <c r="D551" s="6" t="s">
        <v>331</v>
      </c>
      <c r="E551" s="6" t="s">
        <v>27</v>
      </c>
      <c r="F551" s="7" t="s">
        <v>1813</v>
      </c>
      <c r="G551" s="6" t="s">
        <v>1814</v>
      </c>
      <c r="H551" s="6" t="s">
        <v>6</v>
      </c>
      <c r="I551" s="8"/>
      <c r="J551" s="8"/>
      <c r="K551" s="8"/>
      <c r="L551" s="9"/>
    </row>
    <row r="552" customFormat="false" ht="15" hidden="false" customHeight="false" outlineLevel="0" collapsed="false">
      <c r="A552" s="6" t="s">
        <v>1815</v>
      </c>
      <c r="B552" s="6" t="s">
        <v>1780</v>
      </c>
      <c r="C552" s="6" t="s">
        <v>18</v>
      </c>
      <c r="D552" s="6" t="s">
        <v>331</v>
      </c>
      <c r="E552" s="6" t="s">
        <v>27</v>
      </c>
      <c r="F552" s="7" t="s">
        <v>1816</v>
      </c>
      <c r="G552" s="6" t="s">
        <v>1817</v>
      </c>
      <c r="H552" s="6" t="s">
        <v>11</v>
      </c>
      <c r="I552" s="8"/>
      <c r="J552" s="8"/>
      <c r="K552" s="8"/>
      <c r="L552" s="9"/>
    </row>
    <row r="553" customFormat="false" ht="23.85" hidden="false" customHeight="false" outlineLevel="0" collapsed="false">
      <c r="A553" s="6" t="s">
        <v>1818</v>
      </c>
      <c r="B553" s="6" t="s">
        <v>1780</v>
      </c>
      <c r="C553" s="6" t="s">
        <v>18</v>
      </c>
      <c r="D553" s="6" t="s">
        <v>331</v>
      </c>
      <c r="E553" s="6" t="s">
        <v>27</v>
      </c>
      <c r="F553" s="7" t="s">
        <v>1819</v>
      </c>
      <c r="G553" s="6" t="s">
        <v>1820</v>
      </c>
      <c r="H553" s="6" t="s">
        <v>8</v>
      </c>
      <c r="I553" s="8"/>
      <c r="J553" s="8"/>
      <c r="K553" s="8"/>
      <c r="L553" s="9"/>
    </row>
    <row r="554" customFormat="false" ht="15" hidden="false" customHeight="false" outlineLevel="0" collapsed="false">
      <c r="A554" s="6" t="s">
        <v>1821</v>
      </c>
      <c r="B554" s="6" t="s">
        <v>1780</v>
      </c>
      <c r="C554" s="6" t="s">
        <v>18</v>
      </c>
      <c r="D554" s="6" t="s">
        <v>331</v>
      </c>
      <c r="E554" s="6" t="s">
        <v>27</v>
      </c>
      <c r="F554" s="7" t="s">
        <v>1822</v>
      </c>
      <c r="G554" s="6" t="s">
        <v>1823</v>
      </c>
      <c r="H554" s="6" t="s">
        <v>7</v>
      </c>
      <c r="I554" s="8"/>
      <c r="J554" s="8"/>
      <c r="K554" s="8"/>
      <c r="L554" s="9"/>
    </row>
    <row r="555" customFormat="false" ht="15" hidden="false" customHeight="false" outlineLevel="0" collapsed="false">
      <c r="A555" s="6" t="s">
        <v>1824</v>
      </c>
      <c r="B555" s="6" t="s">
        <v>1780</v>
      </c>
      <c r="C555" s="6" t="s">
        <v>18</v>
      </c>
      <c r="D555" s="6" t="s">
        <v>331</v>
      </c>
      <c r="E555" s="6" t="s">
        <v>27</v>
      </c>
      <c r="F555" s="7" t="s">
        <v>1825</v>
      </c>
      <c r="G555" s="6" t="s">
        <v>1826</v>
      </c>
      <c r="H555" s="6" t="s">
        <v>9</v>
      </c>
      <c r="I555" s="8"/>
      <c r="J555" s="8"/>
      <c r="K555" s="8"/>
      <c r="L555" s="9"/>
    </row>
    <row r="556" customFormat="false" ht="15" hidden="false" customHeight="false" outlineLevel="0" collapsed="false">
      <c r="A556" s="6" t="s">
        <v>1827</v>
      </c>
      <c r="B556" s="6" t="s">
        <v>1828</v>
      </c>
      <c r="C556" s="6" t="s">
        <v>18</v>
      </c>
      <c r="D556" s="6" t="s">
        <v>230</v>
      </c>
      <c r="E556" s="6" t="s">
        <v>27</v>
      </c>
      <c r="F556" s="7" t="s">
        <v>1829</v>
      </c>
      <c r="G556" s="6" t="s">
        <v>1830</v>
      </c>
      <c r="H556" s="6" t="s">
        <v>8</v>
      </c>
      <c r="I556" s="8"/>
      <c r="J556" s="8"/>
      <c r="K556" s="8"/>
      <c r="L556" s="9"/>
    </row>
    <row r="557" customFormat="false" ht="15" hidden="false" customHeight="false" outlineLevel="0" collapsed="false">
      <c r="A557" s="6" t="s">
        <v>1831</v>
      </c>
      <c r="B557" s="6" t="s">
        <v>1828</v>
      </c>
      <c r="C557" s="6" t="s">
        <v>18</v>
      </c>
      <c r="D557" s="6" t="s">
        <v>230</v>
      </c>
      <c r="E557" s="6" t="s">
        <v>27</v>
      </c>
      <c r="F557" s="7" t="s">
        <v>1832</v>
      </c>
      <c r="G557" s="6" t="s">
        <v>1833</v>
      </c>
      <c r="H557" s="6" t="s">
        <v>6</v>
      </c>
      <c r="I557" s="8"/>
      <c r="J557" s="8"/>
      <c r="K557" s="8"/>
      <c r="L557" s="9"/>
    </row>
    <row r="558" customFormat="false" ht="15" hidden="false" customHeight="false" outlineLevel="0" collapsed="false">
      <c r="A558" s="6" t="s">
        <v>1834</v>
      </c>
      <c r="B558" s="6" t="s">
        <v>1828</v>
      </c>
      <c r="C558" s="6" t="s">
        <v>18</v>
      </c>
      <c r="D558" s="6" t="s">
        <v>230</v>
      </c>
      <c r="E558" s="6" t="s">
        <v>27</v>
      </c>
      <c r="F558" s="7" t="s">
        <v>1835</v>
      </c>
      <c r="G558" s="6" t="s">
        <v>731</v>
      </c>
      <c r="H558" s="6" t="s">
        <v>8</v>
      </c>
      <c r="I558" s="8"/>
      <c r="J558" s="8"/>
      <c r="K558" s="8"/>
      <c r="L558" s="9"/>
    </row>
    <row r="559" customFormat="false" ht="15" hidden="false" customHeight="false" outlineLevel="0" collapsed="false">
      <c r="A559" s="6" t="s">
        <v>1836</v>
      </c>
      <c r="B559" s="6" t="s">
        <v>1828</v>
      </c>
      <c r="C559" s="6" t="s">
        <v>18</v>
      </c>
      <c r="D559" s="6" t="s">
        <v>230</v>
      </c>
      <c r="E559" s="6" t="s">
        <v>27</v>
      </c>
      <c r="F559" s="7" t="s">
        <v>1837</v>
      </c>
      <c r="G559" s="6" t="s">
        <v>1838</v>
      </c>
      <c r="H559" s="6" t="s">
        <v>11</v>
      </c>
      <c r="I559" s="8"/>
      <c r="J559" s="8"/>
      <c r="K559" s="8"/>
      <c r="L559" s="9"/>
    </row>
    <row r="560" customFormat="false" ht="15" hidden="false" customHeight="false" outlineLevel="0" collapsed="false">
      <c r="A560" s="6" t="s">
        <v>1839</v>
      </c>
      <c r="B560" s="6" t="s">
        <v>1828</v>
      </c>
      <c r="C560" s="6" t="s">
        <v>18</v>
      </c>
      <c r="D560" s="6" t="s">
        <v>230</v>
      </c>
      <c r="E560" s="6" t="s">
        <v>27</v>
      </c>
      <c r="F560" s="7" t="s">
        <v>1840</v>
      </c>
      <c r="G560" s="6" t="s">
        <v>1841</v>
      </c>
      <c r="H560" s="6" t="s">
        <v>6</v>
      </c>
      <c r="I560" s="8"/>
      <c r="J560" s="8"/>
      <c r="K560" s="8"/>
      <c r="L560" s="9"/>
    </row>
    <row r="561" customFormat="false" ht="15" hidden="false" customHeight="false" outlineLevel="0" collapsed="false">
      <c r="A561" s="6" t="s">
        <v>1842</v>
      </c>
      <c r="B561" s="6" t="s">
        <v>1843</v>
      </c>
      <c r="C561" s="6" t="s">
        <v>18</v>
      </c>
      <c r="D561" s="6" t="s">
        <v>230</v>
      </c>
      <c r="E561" s="6"/>
      <c r="F561" s="7" t="s">
        <v>1844</v>
      </c>
      <c r="G561" s="6" t="s">
        <v>1845</v>
      </c>
      <c r="H561" s="6" t="s">
        <v>6</v>
      </c>
      <c r="I561" s="8"/>
      <c r="J561" s="8"/>
      <c r="K561" s="8"/>
      <c r="L561" s="9"/>
    </row>
    <row r="562" customFormat="false" ht="15" hidden="false" customHeight="false" outlineLevel="0" collapsed="false">
      <c r="A562" s="6" t="s">
        <v>1846</v>
      </c>
      <c r="B562" s="6" t="s">
        <v>1843</v>
      </c>
      <c r="C562" s="6" t="s">
        <v>18</v>
      </c>
      <c r="D562" s="6" t="s">
        <v>230</v>
      </c>
      <c r="E562" s="6"/>
      <c r="F562" s="7" t="s">
        <v>1847</v>
      </c>
      <c r="G562" s="6" t="s">
        <v>1848</v>
      </c>
      <c r="H562" s="6" t="s">
        <v>11</v>
      </c>
      <c r="I562" s="8"/>
      <c r="J562" s="8"/>
      <c r="K562" s="8"/>
      <c r="L562" s="9"/>
    </row>
    <row r="563" customFormat="false" ht="23.85" hidden="false" customHeight="false" outlineLevel="0" collapsed="false">
      <c r="A563" s="6" t="s">
        <v>1849</v>
      </c>
      <c r="B563" s="6" t="s">
        <v>1850</v>
      </c>
      <c r="C563" s="6" t="s">
        <v>18</v>
      </c>
      <c r="D563" s="6" t="s">
        <v>44</v>
      </c>
      <c r="E563" s="6"/>
      <c r="F563" s="7" t="s">
        <v>1851</v>
      </c>
      <c r="G563" s="6" t="s">
        <v>1852</v>
      </c>
      <c r="H563" s="6" t="s">
        <v>8</v>
      </c>
      <c r="I563" s="8"/>
      <c r="J563" s="8"/>
      <c r="K563" s="8"/>
      <c r="L563" s="9"/>
    </row>
    <row r="564" customFormat="false" ht="23.85" hidden="false" customHeight="false" outlineLevel="0" collapsed="false">
      <c r="A564" s="6" t="s">
        <v>1853</v>
      </c>
      <c r="B564" s="6" t="s">
        <v>1854</v>
      </c>
      <c r="C564" s="6" t="s">
        <v>18</v>
      </c>
      <c r="D564" s="6" t="s">
        <v>85</v>
      </c>
      <c r="E564" s="6" t="s">
        <v>27</v>
      </c>
      <c r="F564" s="7" t="s">
        <v>1855</v>
      </c>
      <c r="G564" s="6" t="s">
        <v>1856</v>
      </c>
      <c r="H564" s="6" t="s">
        <v>6</v>
      </c>
      <c r="I564" s="8"/>
      <c r="J564" s="8"/>
      <c r="K564" s="8"/>
      <c r="L564" s="9"/>
    </row>
    <row r="565" customFormat="false" ht="15" hidden="false" customHeight="false" outlineLevel="0" collapsed="false">
      <c r="A565" s="6" t="s">
        <v>1857</v>
      </c>
      <c r="B565" s="6" t="s">
        <v>1854</v>
      </c>
      <c r="C565" s="6" t="s">
        <v>18</v>
      </c>
      <c r="D565" s="6" t="s">
        <v>85</v>
      </c>
      <c r="E565" s="6" t="s">
        <v>27</v>
      </c>
      <c r="F565" s="7" t="s">
        <v>1858</v>
      </c>
      <c r="G565" s="6" t="s">
        <v>1859</v>
      </c>
      <c r="H565" s="6" t="s">
        <v>9</v>
      </c>
      <c r="I565" s="8"/>
      <c r="J565" s="8"/>
      <c r="K565" s="8"/>
      <c r="L565" s="9"/>
    </row>
    <row r="566" customFormat="false" ht="23.85" hidden="false" customHeight="false" outlineLevel="0" collapsed="false">
      <c r="A566" s="6" t="s">
        <v>1860</v>
      </c>
      <c r="B566" s="6" t="s">
        <v>1861</v>
      </c>
      <c r="C566" s="6" t="s">
        <v>18</v>
      </c>
      <c r="D566" s="6" t="s">
        <v>49</v>
      </c>
      <c r="E566" s="6" t="s">
        <v>1862</v>
      </c>
      <c r="F566" s="7" t="s">
        <v>1863</v>
      </c>
      <c r="G566" s="6" t="s">
        <v>1864</v>
      </c>
      <c r="H566" s="6" t="s">
        <v>8</v>
      </c>
      <c r="I566" s="8"/>
      <c r="J566" s="8"/>
      <c r="K566" s="8"/>
      <c r="L566" s="9"/>
    </row>
    <row r="567" customFormat="false" ht="15" hidden="false" customHeight="false" outlineLevel="0" collapsed="false">
      <c r="A567" s="6" t="s">
        <v>1865</v>
      </c>
      <c r="B567" s="6" t="s">
        <v>1861</v>
      </c>
      <c r="C567" s="6" t="s">
        <v>18</v>
      </c>
      <c r="D567" s="6" t="s">
        <v>49</v>
      </c>
      <c r="E567" s="6" t="s">
        <v>1862</v>
      </c>
      <c r="F567" s="7" t="s">
        <v>1866</v>
      </c>
      <c r="G567" s="6" t="s">
        <v>1867</v>
      </c>
      <c r="H567" s="6" t="s">
        <v>6</v>
      </c>
      <c r="I567" s="8"/>
      <c r="J567" s="8"/>
      <c r="K567" s="8"/>
      <c r="L567" s="9"/>
    </row>
    <row r="568" customFormat="false" ht="15" hidden="false" customHeight="false" outlineLevel="0" collapsed="false">
      <c r="A568" s="6" t="s">
        <v>1868</v>
      </c>
      <c r="B568" s="6" t="s">
        <v>1861</v>
      </c>
      <c r="C568" s="6" t="s">
        <v>18</v>
      </c>
      <c r="D568" s="6" t="s">
        <v>49</v>
      </c>
      <c r="E568" s="6" t="s">
        <v>1862</v>
      </c>
      <c r="F568" s="7" t="s">
        <v>1869</v>
      </c>
      <c r="G568" s="6" t="s">
        <v>1870</v>
      </c>
      <c r="H568" s="6" t="s">
        <v>6</v>
      </c>
      <c r="I568" s="8"/>
      <c r="J568" s="8"/>
      <c r="K568" s="8"/>
      <c r="L568" s="9"/>
    </row>
    <row r="569" customFormat="false" ht="23.85" hidden="false" customHeight="false" outlineLevel="0" collapsed="false">
      <c r="A569" s="6" t="s">
        <v>1871</v>
      </c>
      <c r="B569" s="6" t="s">
        <v>1861</v>
      </c>
      <c r="C569" s="6" t="s">
        <v>18</v>
      </c>
      <c r="D569" s="6" t="s">
        <v>49</v>
      </c>
      <c r="E569" s="6" t="s">
        <v>1862</v>
      </c>
      <c r="F569" s="7" t="s">
        <v>1872</v>
      </c>
      <c r="G569" s="6" t="s">
        <v>1873</v>
      </c>
      <c r="H569" s="6" t="s">
        <v>8</v>
      </c>
      <c r="I569" s="8"/>
      <c r="J569" s="8"/>
      <c r="K569" s="8"/>
      <c r="L569" s="9"/>
    </row>
    <row r="570" customFormat="false" ht="23.85" hidden="false" customHeight="false" outlineLevel="0" collapsed="false">
      <c r="A570" s="6" t="s">
        <v>1874</v>
      </c>
      <c r="B570" s="6" t="s">
        <v>1861</v>
      </c>
      <c r="C570" s="6" t="s">
        <v>18</v>
      </c>
      <c r="D570" s="6" t="s">
        <v>49</v>
      </c>
      <c r="E570" s="6" t="s">
        <v>1862</v>
      </c>
      <c r="F570" s="7" t="s">
        <v>1875</v>
      </c>
      <c r="G570" s="6" t="s">
        <v>1876</v>
      </c>
      <c r="H570" s="6" t="s">
        <v>8</v>
      </c>
      <c r="I570" s="8"/>
      <c r="J570" s="8"/>
      <c r="K570" s="8"/>
      <c r="L570" s="9"/>
    </row>
    <row r="571" customFormat="false" ht="23.85" hidden="false" customHeight="false" outlineLevel="0" collapsed="false">
      <c r="A571" s="6" t="s">
        <v>1877</v>
      </c>
      <c r="B571" s="6" t="s">
        <v>1861</v>
      </c>
      <c r="C571" s="6" t="s">
        <v>18</v>
      </c>
      <c r="D571" s="6" t="s">
        <v>49</v>
      </c>
      <c r="E571" s="6" t="s">
        <v>1862</v>
      </c>
      <c r="F571" s="7" t="s">
        <v>1878</v>
      </c>
      <c r="G571" s="6" t="s">
        <v>1879</v>
      </c>
      <c r="H571" s="6" t="s">
        <v>9</v>
      </c>
      <c r="I571" s="8"/>
      <c r="J571" s="8"/>
      <c r="K571" s="8"/>
      <c r="L571" s="9"/>
    </row>
    <row r="572" customFormat="false" ht="23.85" hidden="false" customHeight="false" outlineLevel="0" collapsed="false">
      <c r="A572" s="6" t="s">
        <v>1880</v>
      </c>
      <c r="B572" s="6" t="s">
        <v>1861</v>
      </c>
      <c r="C572" s="6" t="s">
        <v>18</v>
      </c>
      <c r="D572" s="6" t="s">
        <v>49</v>
      </c>
      <c r="E572" s="6" t="s">
        <v>1862</v>
      </c>
      <c r="F572" s="7" t="s">
        <v>1881</v>
      </c>
      <c r="G572" s="6" t="s">
        <v>1882</v>
      </c>
      <c r="H572" s="6" t="s">
        <v>6</v>
      </c>
      <c r="I572" s="8"/>
      <c r="J572" s="8"/>
      <c r="K572" s="8"/>
      <c r="L572" s="9"/>
    </row>
    <row r="573" customFormat="false" ht="23.85" hidden="false" customHeight="false" outlineLevel="0" collapsed="false">
      <c r="A573" s="6" t="s">
        <v>1883</v>
      </c>
      <c r="B573" s="6" t="s">
        <v>1861</v>
      </c>
      <c r="C573" s="6" t="s">
        <v>18</v>
      </c>
      <c r="D573" s="6" t="s">
        <v>49</v>
      </c>
      <c r="E573" s="6" t="s">
        <v>1862</v>
      </c>
      <c r="F573" s="7" t="s">
        <v>1884</v>
      </c>
      <c r="G573" s="6" t="s">
        <v>1885</v>
      </c>
      <c r="H573" s="6" t="s">
        <v>6</v>
      </c>
      <c r="I573" s="8"/>
      <c r="J573" s="8"/>
      <c r="K573" s="8"/>
      <c r="L573" s="9"/>
    </row>
    <row r="574" customFormat="false" ht="15" hidden="false" customHeight="false" outlineLevel="0" collapsed="false">
      <c r="A574" s="6" t="s">
        <v>1886</v>
      </c>
      <c r="B574" s="6" t="s">
        <v>1861</v>
      </c>
      <c r="C574" s="6" t="s">
        <v>18</v>
      </c>
      <c r="D574" s="6" t="s">
        <v>49</v>
      </c>
      <c r="E574" s="6" t="s">
        <v>1862</v>
      </c>
      <c r="F574" s="7" t="s">
        <v>1887</v>
      </c>
      <c r="G574" s="6" t="s">
        <v>1888</v>
      </c>
      <c r="H574" s="6" t="s">
        <v>6</v>
      </c>
      <c r="I574" s="8"/>
      <c r="J574" s="8"/>
      <c r="K574" s="8"/>
      <c r="L574" s="9"/>
    </row>
    <row r="575" customFormat="false" ht="15" hidden="false" customHeight="false" outlineLevel="0" collapsed="false">
      <c r="A575" s="6" t="s">
        <v>1889</v>
      </c>
      <c r="B575" s="6" t="s">
        <v>1861</v>
      </c>
      <c r="C575" s="6" t="s">
        <v>18</v>
      </c>
      <c r="D575" s="6" t="s">
        <v>49</v>
      </c>
      <c r="E575" s="6" t="s">
        <v>1862</v>
      </c>
      <c r="F575" s="7" t="s">
        <v>1890</v>
      </c>
      <c r="G575" s="6" t="s">
        <v>1891</v>
      </c>
      <c r="H575" s="6" t="s">
        <v>6</v>
      </c>
      <c r="I575" s="8"/>
      <c r="J575" s="8"/>
      <c r="K575" s="8"/>
      <c r="L575" s="9"/>
    </row>
    <row r="576" customFormat="false" ht="23.85" hidden="false" customHeight="false" outlineLevel="0" collapsed="false">
      <c r="A576" s="6" t="s">
        <v>1892</v>
      </c>
      <c r="B576" s="6" t="s">
        <v>1861</v>
      </c>
      <c r="C576" s="6" t="s">
        <v>18</v>
      </c>
      <c r="D576" s="6" t="s">
        <v>49</v>
      </c>
      <c r="E576" s="6" t="s">
        <v>1862</v>
      </c>
      <c r="F576" s="7" t="s">
        <v>1893</v>
      </c>
      <c r="G576" s="6" t="s">
        <v>1894</v>
      </c>
      <c r="H576" s="6" t="s">
        <v>6</v>
      </c>
      <c r="I576" s="8"/>
      <c r="J576" s="8"/>
      <c r="K576" s="8"/>
      <c r="L576" s="9"/>
    </row>
    <row r="577" customFormat="false" ht="23.85" hidden="false" customHeight="false" outlineLevel="0" collapsed="false">
      <c r="A577" s="6" t="s">
        <v>1895</v>
      </c>
      <c r="B577" s="6" t="s">
        <v>1861</v>
      </c>
      <c r="C577" s="6" t="s">
        <v>18</v>
      </c>
      <c r="D577" s="6" t="s">
        <v>49</v>
      </c>
      <c r="E577" s="6" t="s">
        <v>1862</v>
      </c>
      <c r="F577" s="7" t="s">
        <v>1896</v>
      </c>
      <c r="G577" s="6" t="s">
        <v>1897</v>
      </c>
      <c r="H577" s="6" t="s">
        <v>8</v>
      </c>
      <c r="I577" s="8"/>
      <c r="J577" s="8"/>
      <c r="K577" s="8"/>
      <c r="L577" s="9"/>
    </row>
    <row r="578" customFormat="false" ht="15" hidden="false" customHeight="false" outlineLevel="0" collapsed="false">
      <c r="A578" s="6" t="s">
        <v>1898</v>
      </c>
      <c r="B578" s="6" t="s">
        <v>1861</v>
      </c>
      <c r="C578" s="6" t="s">
        <v>18</v>
      </c>
      <c r="D578" s="6" t="s">
        <v>49</v>
      </c>
      <c r="E578" s="6" t="s">
        <v>1862</v>
      </c>
      <c r="F578" s="7" t="s">
        <v>1899</v>
      </c>
      <c r="G578" s="6" t="s">
        <v>1900</v>
      </c>
      <c r="H578" s="6" t="s">
        <v>6</v>
      </c>
      <c r="I578" s="8"/>
      <c r="J578" s="8"/>
      <c r="K578" s="8"/>
      <c r="L578" s="9"/>
    </row>
    <row r="579" customFormat="false" ht="35.05" hidden="false" customHeight="false" outlineLevel="0" collapsed="false">
      <c r="A579" s="6" t="s">
        <v>1901</v>
      </c>
      <c r="B579" s="6" t="s">
        <v>1861</v>
      </c>
      <c r="C579" s="6" t="s">
        <v>18</v>
      </c>
      <c r="D579" s="6" t="s">
        <v>49</v>
      </c>
      <c r="E579" s="6" t="s">
        <v>1862</v>
      </c>
      <c r="F579" s="7" t="s">
        <v>1902</v>
      </c>
      <c r="G579" s="6" t="s">
        <v>1903</v>
      </c>
      <c r="H579" s="6" t="s">
        <v>6</v>
      </c>
      <c r="I579" s="8"/>
      <c r="J579" s="8"/>
      <c r="K579" s="8"/>
      <c r="L579" s="9"/>
    </row>
    <row r="580" customFormat="false" ht="35.05" hidden="false" customHeight="false" outlineLevel="0" collapsed="false">
      <c r="A580" s="6" t="s">
        <v>1904</v>
      </c>
      <c r="B580" s="6" t="s">
        <v>1861</v>
      </c>
      <c r="C580" s="6" t="s">
        <v>18</v>
      </c>
      <c r="D580" s="6" t="s">
        <v>49</v>
      </c>
      <c r="E580" s="6" t="s">
        <v>1862</v>
      </c>
      <c r="F580" s="7" t="s">
        <v>1905</v>
      </c>
      <c r="G580" s="6" t="s">
        <v>1906</v>
      </c>
      <c r="H580" s="6" t="s">
        <v>6</v>
      </c>
      <c r="I580" s="8"/>
      <c r="J580" s="8"/>
      <c r="K580" s="8"/>
      <c r="L580" s="9"/>
    </row>
    <row r="581" customFormat="false" ht="15" hidden="false" customHeight="false" outlineLevel="0" collapsed="false">
      <c r="A581" s="6" t="s">
        <v>1907</v>
      </c>
      <c r="B581" s="6" t="s">
        <v>1861</v>
      </c>
      <c r="C581" s="6" t="s">
        <v>18</v>
      </c>
      <c r="D581" s="6" t="s">
        <v>49</v>
      </c>
      <c r="E581" s="6" t="s">
        <v>1862</v>
      </c>
      <c r="F581" s="7" t="s">
        <v>1908</v>
      </c>
      <c r="G581" s="6" t="s">
        <v>1909</v>
      </c>
      <c r="H581" s="6" t="s">
        <v>6</v>
      </c>
      <c r="I581" s="8"/>
      <c r="J581" s="8"/>
      <c r="K581" s="8"/>
      <c r="L581" s="9"/>
    </row>
    <row r="582" customFormat="false" ht="23.85" hidden="false" customHeight="false" outlineLevel="0" collapsed="false">
      <c r="A582" s="6" t="s">
        <v>1910</v>
      </c>
      <c r="B582" s="6" t="s">
        <v>1861</v>
      </c>
      <c r="C582" s="6" t="s">
        <v>18</v>
      </c>
      <c r="D582" s="6" t="s">
        <v>49</v>
      </c>
      <c r="E582" s="6" t="s">
        <v>1862</v>
      </c>
      <c r="F582" s="7" t="s">
        <v>1911</v>
      </c>
      <c r="G582" s="6" t="s">
        <v>1912</v>
      </c>
      <c r="H582" s="6" t="s">
        <v>8</v>
      </c>
      <c r="I582" s="8"/>
      <c r="J582" s="8"/>
      <c r="K582" s="8"/>
      <c r="L582" s="9"/>
    </row>
    <row r="583" customFormat="false" ht="15" hidden="false" customHeight="false" outlineLevel="0" collapsed="false">
      <c r="A583" s="6" t="s">
        <v>1913</v>
      </c>
      <c r="B583" s="6" t="s">
        <v>1861</v>
      </c>
      <c r="C583" s="6" t="s">
        <v>18</v>
      </c>
      <c r="D583" s="6" t="s">
        <v>49</v>
      </c>
      <c r="E583" s="6" t="s">
        <v>1862</v>
      </c>
      <c r="F583" s="7" t="s">
        <v>1914</v>
      </c>
      <c r="G583" s="6" t="s">
        <v>1915</v>
      </c>
      <c r="H583" s="6" t="s">
        <v>8</v>
      </c>
      <c r="I583" s="8"/>
      <c r="J583" s="8"/>
      <c r="K583" s="8"/>
      <c r="L583" s="9"/>
    </row>
    <row r="584" customFormat="false" ht="23.85" hidden="false" customHeight="false" outlineLevel="0" collapsed="false">
      <c r="A584" s="6" t="s">
        <v>1916</v>
      </c>
      <c r="B584" s="6" t="s">
        <v>1861</v>
      </c>
      <c r="C584" s="6" t="s">
        <v>18</v>
      </c>
      <c r="D584" s="6" t="s">
        <v>49</v>
      </c>
      <c r="E584" s="6" t="s">
        <v>1862</v>
      </c>
      <c r="F584" s="7" t="s">
        <v>1917</v>
      </c>
      <c r="G584" s="6" t="s">
        <v>1918</v>
      </c>
      <c r="H584" s="6" t="s">
        <v>8</v>
      </c>
      <c r="I584" s="8"/>
      <c r="J584" s="8"/>
      <c r="K584" s="8"/>
      <c r="L584" s="9"/>
    </row>
    <row r="585" customFormat="false" ht="23.85" hidden="false" customHeight="false" outlineLevel="0" collapsed="false">
      <c r="A585" s="6" t="s">
        <v>1919</v>
      </c>
      <c r="B585" s="6" t="s">
        <v>1861</v>
      </c>
      <c r="C585" s="6" t="s">
        <v>18</v>
      </c>
      <c r="D585" s="6" t="s">
        <v>49</v>
      </c>
      <c r="E585" s="6" t="s">
        <v>1862</v>
      </c>
      <c r="F585" s="7" t="s">
        <v>1920</v>
      </c>
      <c r="G585" s="6" t="s">
        <v>1921</v>
      </c>
      <c r="H585" s="6" t="s">
        <v>8</v>
      </c>
      <c r="I585" s="8"/>
      <c r="J585" s="8"/>
      <c r="K585" s="8"/>
      <c r="L585" s="9"/>
    </row>
    <row r="586" customFormat="false" ht="23.85" hidden="false" customHeight="false" outlineLevel="0" collapsed="false">
      <c r="A586" s="6" t="s">
        <v>1922</v>
      </c>
      <c r="B586" s="6" t="s">
        <v>1861</v>
      </c>
      <c r="C586" s="6" t="s">
        <v>18</v>
      </c>
      <c r="D586" s="6" t="s">
        <v>49</v>
      </c>
      <c r="E586" s="6" t="s">
        <v>1862</v>
      </c>
      <c r="F586" s="7" t="s">
        <v>1923</v>
      </c>
      <c r="G586" s="6" t="s">
        <v>1924</v>
      </c>
      <c r="H586" s="6" t="s">
        <v>6</v>
      </c>
      <c r="I586" s="8"/>
      <c r="J586" s="8"/>
      <c r="K586" s="8"/>
      <c r="L586" s="9"/>
    </row>
    <row r="587" customFormat="false" ht="15" hidden="false" customHeight="false" outlineLevel="0" collapsed="false">
      <c r="A587" s="6" t="s">
        <v>1925</v>
      </c>
      <c r="B587" s="6" t="s">
        <v>1861</v>
      </c>
      <c r="C587" s="6" t="s">
        <v>18</v>
      </c>
      <c r="D587" s="6" t="s">
        <v>49</v>
      </c>
      <c r="E587" s="6" t="s">
        <v>1862</v>
      </c>
      <c r="F587" s="7" t="s">
        <v>1926</v>
      </c>
      <c r="G587" s="6" t="s">
        <v>1927</v>
      </c>
      <c r="H587" s="6" t="s">
        <v>6</v>
      </c>
      <c r="I587" s="8"/>
      <c r="J587" s="8"/>
      <c r="K587" s="8"/>
      <c r="L587" s="9"/>
    </row>
    <row r="588" customFormat="false" ht="15" hidden="false" customHeight="false" outlineLevel="0" collapsed="false">
      <c r="A588" s="6" t="s">
        <v>1928</v>
      </c>
      <c r="B588" s="6" t="s">
        <v>1861</v>
      </c>
      <c r="C588" s="6" t="s">
        <v>18</v>
      </c>
      <c r="D588" s="6" t="s">
        <v>49</v>
      </c>
      <c r="E588" s="6" t="s">
        <v>1862</v>
      </c>
      <c r="F588" s="7" t="s">
        <v>1929</v>
      </c>
      <c r="G588" s="6" t="s">
        <v>1930</v>
      </c>
      <c r="H588" s="6" t="s">
        <v>6</v>
      </c>
      <c r="I588" s="8"/>
      <c r="J588" s="8"/>
      <c r="K588" s="8"/>
      <c r="L588" s="9"/>
    </row>
    <row r="589" customFormat="false" ht="15" hidden="false" customHeight="false" outlineLevel="0" collapsed="false">
      <c r="A589" s="6" t="s">
        <v>1931</v>
      </c>
      <c r="B589" s="6" t="s">
        <v>1861</v>
      </c>
      <c r="C589" s="6" t="s">
        <v>18</v>
      </c>
      <c r="D589" s="6" t="s">
        <v>49</v>
      </c>
      <c r="E589" s="6" t="s">
        <v>1862</v>
      </c>
      <c r="F589" s="7" t="s">
        <v>1932</v>
      </c>
      <c r="G589" s="6" t="s">
        <v>1933</v>
      </c>
      <c r="H589" s="6" t="s">
        <v>6</v>
      </c>
      <c r="I589" s="8"/>
      <c r="J589" s="8"/>
      <c r="K589" s="8"/>
      <c r="L589" s="9"/>
    </row>
    <row r="590" customFormat="false" ht="15" hidden="false" customHeight="false" outlineLevel="0" collapsed="false">
      <c r="A590" s="6" t="s">
        <v>1934</v>
      </c>
      <c r="B590" s="6" t="s">
        <v>1861</v>
      </c>
      <c r="C590" s="6" t="s">
        <v>18</v>
      </c>
      <c r="D590" s="6" t="s">
        <v>49</v>
      </c>
      <c r="E590" s="6" t="s">
        <v>1862</v>
      </c>
      <c r="F590" s="7" t="s">
        <v>1935</v>
      </c>
      <c r="G590" s="6" t="s">
        <v>1936</v>
      </c>
      <c r="H590" s="6" t="s">
        <v>7</v>
      </c>
      <c r="I590" s="8"/>
      <c r="J590" s="8"/>
      <c r="K590" s="8"/>
      <c r="L590" s="9"/>
    </row>
    <row r="591" customFormat="false" ht="15" hidden="false" customHeight="false" outlineLevel="0" collapsed="false">
      <c r="A591" s="6" t="s">
        <v>1937</v>
      </c>
      <c r="B591" s="6" t="s">
        <v>1861</v>
      </c>
      <c r="C591" s="6" t="s">
        <v>18</v>
      </c>
      <c r="D591" s="6" t="s">
        <v>49</v>
      </c>
      <c r="E591" s="6" t="s">
        <v>1862</v>
      </c>
      <c r="F591" s="7" t="s">
        <v>1938</v>
      </c>
      <c r="G591" s="6" t="s">
        <v>1939</v>
      </c>
      <c r="H591" s="6" t="s">
        <v>9</v>
      </c>
      <c r="I591" s="8"/>
      <c r="J591" s="8"/>
      <c r="K591" s="8"/>
      <c r="L591" s="9"/>
    </row>
    <row r="592" customFormat="false" ht="15" hidden="false" customHeight="false" outlineLevel="0" collapsed="false">
      <c r="A592" s="6" t="s">
        <v>1940</v>
      </c>
      <c r="B592" s="6" t="s">
        <v>1941</v>
      </c>
      <c r="C592" s="6" t="s">
        <v>18</v>
      </c>
      <c r="D592" s="6" t="s">
        <v>230</v>
      </c>
      <c r="E592" s="6" t="s">
        <v>29</v>
      </c>
      <c r="F592" s="7" t="s">
        <v>1942</v>
      </c>
      <c r="G592" s="6" t="s">
        <v>1943</v>
      </c>
      <c r="H592" s="6" t="s">
        <v>9</v>
      </c>
      <c r="I592" s="8"/>
      <c r="J592" s="8"/>
      <c r="K592" s="8"/>
      <c r="L592" s="9"/>
    </row>
    <row r="593" customFormat="false" ht="15" hidden="false" customHeight="false" outlineLevel="0" collapsed="false">
      <c r="A593" s="6" t="s">
        <v>1944</v>
      </c>
      <c r="B593" s="6" t="s">
        <v>1941</v>
      </c>
      <c r="C593" s="6" t="s">
        <v>18</v>
      </c>
      <c r="D593" s="6" t="s">
        <v>230</v>
      </c>
      <c r="E593" s="6" t="s">
        <v>29</v>
      </c>
      <c r="F593" s="7" t="s">
        <v>1945</v>
      </c>
      <c r="G593" s="6" t="s">
        <v>1946</v>
      </c>
      <c r="H593" s="6" t="s">
        <v>8</v>
      </c>
      <c r="I593" s="8"/>
      <c r="J593" s="8"/>
      <c r="K593" s="8"/>
      <c r="L593" s="9"/>
    </row>
    <row r="594" customFormat="false" ht="15" hidden="false" customHeight="false" outlineLevel="0" collapsed="false">
      <c r="A594" s="6" t="s">
        <v>1947</v>
      </c>
      <c r="B594" s="6" t="s">
        <v>1948</v>
      </c>
      <c r="C594" s="6" t="s">
        <v>18</v>
      </c>
      <c r="D594" s="6" t="s">
        <v>230</v>
      </c>
      <c r="E594" s="6" t="s">
        <v>29</v>
      </c>
      <c r="F594" s="7" t="s">
        <v>1949</v>
      </c>
      <c r="G594" s="6" t="s">
        <v>1950</v>
      </c>
      <c r="H594" s="6" t="s">
        <v>9</v>
      </c>
      <c r="I594" s="8"/>
      <c r="J594" s="8"/>
      <c r="K594" s="8"/>
      <c r="L594" s="9"/>
    </row>
    <row r="595" customFormat="false" ht="15" hidden="false" customHeight="false" outlineLevel="0" collapsed="false">
      <c r="A595" s="6" t="s">
        <v>1951</v>
      </c>
      <c r="B595" s="6" t="s">
        <v>1952</v>
      </c>
      <c r="C595" s="6" t="s">
        <v>18</v>
      </c>
      <c r="D595" s="6" t="s">
        <v>230</v>
      </c>
      <c r="E595" s="6" t="s">
        <v>29</v>
      </c>
      <c r="F595" s="7" t="s">
        <v>1953</v>
      </c>
      <c r="G595" s="6" t="s">
        <v>1954</v>
      </c>
      <c r="H595" s="6" t="s">
        <v>9</v>
      </c>
      <c r="I595" s="8"/>
      <c r="J595" s="8"/>
      <c r="K595" s="8"/>
      <c r="L595" s="9"/>
    </row>
    <row r="596" customFormat="false" ht="15" hidden="false" customHeight="false" outlineLevel="0" collapsed="false">
      <c r="A596" s="6" t="s">
        <v>1955</v>
      </c>
      <c r="B596" s="6" t="s">
        <v>1952</v>
      </c>
      <c r="C596" s="6" t="s">
        <v>18</v>
      </c>
      <c r="D596" s="6" t="s">
        <v>230</v>
      </c>
      <c r="E596" s="6" t="s">
        <v>29</v>
      </c>
      <c r="F596" s="7" t="s">
        <v>1956</v>
      </c>
      <c r="G596" s="6" t="s">
        <v>1957</v>
      </c>
      <c r="H596" s="6" t="s">
        <v>9</v>
      </c>
      <c r="I596" s="8"/>
      <c r="J596" s="8"/>
      <c r="K596" s="8"/>
      <c r="L596" s="9"/>
    </row>
    <row r="597" customFormat="false" ht="23.85" hidden="false" customHeight="false" outlineLevel="0" collapsed="false">
      <c r="A597" s="6" t="s">
        <v>1958</v>
      </c>
      <c r="B597" s="6" t="s">
        <v>1959</v>
      </c>
      <c r="C597" s="6" t="s">
        <v>18</v>
      </c>
      <c r="D597" s="6" t="s">
        <v>331</v>
      </c>
      <c r="E597" s="6" t="s">
        <v>550</v>
      </c>
      <c r="F597" s="7" t="s">
        <v>1960</v>
      </c>
      <c r="G597" s="6" t="s">
        <v>1961</v>
      </c>
      <c r="H597" s="6" t="s">
        <v>6</v>
      </c>
      <c r="I597" s="8"/>
      <c r="J597" s="8"/>
      <c r="K597" s="8"/>
      <c r="L597" s="9"/>
    </row>
    <row r="598" customFormat="false" ht="23.85" hidden="false" customHeight="false" outlineLevel="0" collapsed="false">
      <c r="A598" s="6" t="s">
        <v>1962</v>
      </c>
      <c r="B598" s="6" t="s">
        <v>1959</v>
      </c>
      <c r="C598" s="6" t="s">
        <v>18</v>
      </c>
      <c r="D598" s="6" t="s">
        <v>331</v>
      </c>
      <c r="E598" s="6" t="s">
        <v>550</v>
      </c>
      <c r="F598" s="7" t="s">
        <v>1963</v>
      </c>
      <c r="G598" s="6" t="s">
        <v>1964</v>
      </c>
      <c r="H598" s="6" t="s">
        <v>8</v>
      </c>
      <c r="I598" s="8"/>
      <c r="J598" s="8"/>
      <c r="K598" s="8"/>
      <c r="L598" s="9"/>
    </row>
    <row r="599" customFormat="false" ht="15" hidden="false" customHeight="false" outlineLevel="0" collapsed="false">
      <c r="A599" s="6" t="s">
        <v>1965</v>
      </c>
      <c r="B599" s="6" t="s">
        <v>1959</v>
      </c>
      <c r="C599" s="6" t="s">
        <v>18</v>
      </c>
      <c r="D599" s="6" t="s">
        <v>331</v>
      </c>
      <c r="E599" s="6" t="s">
        <v>550</v>
      </c>
      <c r="F599" s="7" t="s">
        <v>1966</v>
      </c>
      <c r="G599" s="6" t="s">
        <v>1967</v>
      </c>
      <c r="H599" s="6" t="s">
        <v>8</v>
      </c>
      <c r="I599" s="8"/>
      <c r="J599" s="8"/>
      <c r="K599" s="8"/>
      <c r="L599" s="9"/>
    </row>
    <row r="600" customFormat="false" ht="35.05" hidden="false" customHeight="false" outlineLevel="0" collapsed="false">
      <c r="A600" s="6" t="s">
        <v>1968</v>
      </c>
      <c r="B600" s="6" t="s">
        <v>1959</v>
      </c>
      <c r="C600" s="6" t="s">
        <v>18</v>
      </c>
      <c r="D600" s="6" t="s">
        <v>331</v>
      </c>
      <c r="E600" s="6" t="s">
        <v>550</v>
      </c>
      <c r="F600" s="7" t="s">
        <v>1969</v>
      </c>
      <c r="G600" s="6" t="s">
        <v>1970</v>
      </c>
      <c r="H600" s="6" t="s">
        <v>6</v>
      </c>
      <c r="I600" s="8"/>
      <c r="J600" s="8"/>
      <c r="K600" s="8"/>
      <c r="L600" s="9"/>
    </row>
    <row r="601" customFormat="false" ht="15" hidden="false" customHeight="false" outlineLevel="0" collapsed="false">
      <c r="A601" s="6" t="s">
        <v>1971</v>
      </c>
      <c r="B601" s="6" t="s">
        <v>1972</v>
      </c>
      <c r="C601" s="6" t="s">
        <v>18</v>
      </c>
      <c r="D601" s="6" t="s">
        <v>49</v>
      </c>
      <c r="E601" s="6" t="s">
        <v>1973</v>
      </c>
      <c r="F601" s="7" t="s">
        <v>1584</v>
      </c>
      <c r="G601" s="6" t="s">
        <v>1974</v>
      </c>
      <c r="H601" s="6" t="s">
        <v>8</v>
      </c>
      <c r="I601" s="8"/>
      <c r="J601" s="8"/>
      <c r="K601" s="8"/>
      <c r="L601" s="9"/>
    </row>
    <row r="602" customFormat="false" ht="23.85" hidden="false" customHeight="false" outlineLevel="0" collapsed="false">
      <c r="A602" s="6" t="s">
        <v>1975</v>
      </c>
      <c r="B602" s="6" t="s">
        <v>1972</v>
      </c>
      <c r="C602" s="6" t="s">
        <v>18</v>
      </c>
      <c r="D602" s="6" t="s">
        <v>49</v>
      </c>
      <c r="E602" s="6" t="s">
        <v>1973</v>
      </c>
      <c r="F602" s="7" t="s">
        <v>1976</v>
      </c>
      <c r="G602" s="6" t="s">
        <v>1977</v>
      </c>
      <c r="H602" s="6" t="s">
        <v>8</v>
      </c>
      <c r="I602" s="8"/>
      <c r="J602" s="8"/>
      <c r="K602" s="8"/>
      <c r="L602" s="9"/>
    </row>
    <row r="603" customFormat="false" ht="23.85" hidden="false" customHeight="false" outlineLevel="0" collapsed="false">
      <c r="A603" s="6" t="s">
        <v>1978</v>
      </c>
      <c r="B603" s="6" t="s">
        <v>1972</v>
      </c>
      <c r="C603" s="6" t="s">
        <v>18</v>
      </c>
      <c r="D603" s="6" t="s">
        <v>49</v>
      </c>
      <c r="E603" s="6" t="s">
        <v>1973</v>
      </c>
      <c r="F603" s="7" t="s">
        <v>1979</v>
      </c>
      <c r="G603" s="6" t="s">
        <v>1980</v>
      </c>
      <c r="H603" s="6" t="s">
        <v>8</v>
      </c>
      <c r="I603" s="8"/>
      <c r="J603" s="8"/>
      <c r="K603" s="8"/>
      <c r="L603" s="9"/>
    </row>
    <row r="604" customFormat="false" ht="15" hidden="false" customHeight="false" outlineLevel="0" collapsed="false">
      <c r="A604" s="6" t="s">
        <v>1981</v>
      </c>
      <c r="B604" s="6" t="s">
        <v>1972</v>
      </c>
      <c r="C604" s="6" t="s">
        <v>18</v>
      </c>
      <c r="D604" s="6" t="s">
        <v>49</v>
      </c>
      <c r="E604" s="6" t="s">
        <v>1973</v>
      </c>
      <c r="F604" s="7" t="s">
        <v>1982</v>
      </c>
      <c r="G604" s="6" t="s">
        <v>1983</v>
      </c>
      <c r="H604" s="6" t="s">
        <v>6</v>
      </c>
      <c r="I604" s="8"/>
      <c r="J604" s="8"/>
      <c r="K604" s="8"/>
      <c r="L604" s="9"/>
    </row>
    <row r="605" customFormat="false" ht="23.85" hidden="false" customHeight="false" outlineLevel="0" collapsed="false">
      <c r="A605" s="6" t="s">
        <v>1984</v>
      </c>
      <c r="B605" s="6" t="s">
        <v>1972</v>
      </c>
      <c r="C605" s="6" t="s">
        <v>18</v>
      </c>
      <c r="D605" s="6" t="s">
        <v>49</v>
      </c>
      <c r="E605" s="6" t="s">
        <v>1973</v>
      </c>
      <c r="F605" s="7" t="s">
        <v>1985</v>
      </c>
      <c r="G605" s="6" t="s">
        <v>1986</v>
      </c>
      <c r="H605" s="6" t="s">
        <v>6</v>
      </c>
      <c r="I605" s="8"/>
      <c r="J605" s="8"/>
      <c r="K605" s="8"/>
      <c r="L605" s="9"/>
    </row>
    <row r="606" customFormat="false" ht="15" hidden="false" customHeight="false" outlineLevel="0" collapsed="false">
      <c r="A606" s="6" t="s">
        <v>1987</v>
      </c>
      <c r="B606" s="6" t="s">
        <v>1972</v>
      </c>
      <c r="C606" s="6" t="s">
        <v>18</v>
      </c>
      <c r="D606" s="6" t="s">
        <v>49</v>
      </c>
      <c r="E606" s="6" t="s">
        <v>1973</v>
      </c>
      <c r="F606" s="7" t="s">
        <v>1988</v>
      </c>
      <c r="G606" s="6" t="s">
        <v>1989</v>
      </c>
      <c r="H606" s="6" t="s">
        <v>7</v>
      </c>
      <c r="I606" s="8"/>
      <c r="J606" s="8"/>
      <c r="K606" s="8"/>
      <c r="L606" s="9"/>
    </row>
    <row r="607" customFormat="false" ht="15" hidden="false" customHeight="false" outlineLevel="0" collapsed="false">
      <c r="A607" s="6" t="s">
        <v>1990</v>
      </c>
      <c r="B607" s="6" t="s">
        <v>1972</v>
      </c>
      <c r="C607" s="6" t="s">
        <v>18</v>
      </c>
      <c r="D607" s="6" t="s">
        <v>49</v>
      </c>
      <c r="E607" s="6" t="s">
        <v>1973</v>
      </c>
      <c r="F607" s="7" t="s">
        <v>1991</v>
      </c>
      <c r="G607" s="6" t="s">
        <v>1992</v>
      </c>
      <c r="H607" s="6" t="s">
        <v>6</v>
      </c>
      <c r="I607" s="8"/>
      <c r="J607" s="8"/>
      <c r="K607" s="8"/>
      <c r="L607" s="9"/>
    </row>
    <row r="608" customFormat="false" ht="23.85" hidden="false" customHeight="false" outlineLevel="0" collapsed="false">
      <c r="A608" s="6" t="s">
        <v>1993</v>
      </c>
      <c r="B608" s="6" t="s">
        <v>1972</v>
      </c>
      <c r="C608" s="6" t="s">
        <v>18</v>
      </c>
      <c r="D608" s="6" t="s">
        <v>49</v>
      </c>
      <c r="E608" s="6" t="s">
        <v>1973</v>
      </c>
      <c r="F608" s="7" t="s">
        <v>1994</v>
      </c>
      <c r="G608" s="6" t="s">
        <v>1995</v>
      </c>
      <c r="H608" s="6" t="s">
        <v>8</v>
      </c>
      <c r="I608" s="8"/>
      <c r="J608" s="8"/>
      <c r="K608" s="8"/>
      <c r="L608" s="9"/>
    </row>
    <row r="609" customFormat="false" ht="23.85" hidden="false" customHeight="false" outlineLevel="0" collapsed="false">
      <c r="A609" s="6" t="s">
        <v>1996</v>
      </c>
      <c r="B609" s="6" t="s">
        <v>1972</v>
      </c>
      <c r="C609" s="6" t="s">
        <v>18</v>
      </c>
      <c r="D609" s="6" t="s">
        <v>49</v>
      </c>
      <c r="E609" s="6" t="s">
        <v>1973</v>
      </c>
      <c r="F609" s="7" t="s">
        <v>1997</v>
      </c>
      <c r="G609" s="6" t="s">
        <v>1998</v>
      </c>
      <c r="H609" s="6" t="s">
        <v>6</v>
      </c>
      <c r="I609" s="8"/>
      <c r="J609" s="8"/>
      <c r="K609" s="8"/>
      <c r="L609" s="9"/>
    </row>
    <row r="610" customFormat="false" ht="23.85" hidden="false" customHeight="false" outlineLevel="0" collapsed="false">
      <c r="A610" s="6" t="s">
        <v>1999</v>
      </c>
      <c r="B610" s="6" t="s">
        <v>1972</v>
      </c>
      <c r="C610" s="6" t="s">
        <v>18</v>
      </c>
      <c r="D610" s="6" t="s">
        <v>49</v>
      </c>
      <c r="E610" s="6" t="s">
        <v>1973</v>
      </c>
      <c r="F610" s="7" t="s">
        <v>2000</v>
      </c>
      <c r="G610" s="6" t="s">
        <v>2001</v>
      </c>
      <c r="H610" s="6" t="s">
        <v>6</v>
      </c>
      <c r="I610" s="8"/>
      <c r="J610" s="8"/>
      <c r="K610" s="8"/>
      <c r="L610" s="9"/>
    </row>
    <row r="611" customFormat="false" ht="15" hidden="false" customHeight="false" outlineLevel="0" collapsed="false">
      <c r="A611" s="6" t="s">
        <v>2002</v>
      </c>
      <c r="B611" s="6" t="s">
        <v>1972</v>
      </c>
      <c r="C611" s="6" t="s">
        <v>18</v>
      </c>
      <c r="D611" s="6" t="s">
        <v>49</v>
      </c>
      <c r="E611" s="6" t="s">
        <v>1973</v>
      </c>
      <c r="F611" s="7" t="s">
        <v>2003</v>
      </c>
      <c r="G611" s="6" t="s">
        <v>2004</v>
      </c>
      <c r="H611" s="6" t="s">
        <v>8</v>
      </c>
      <c r="I611" s="8"/>
      <c r="J611" s="8"/>
      <c r="K611" s="8"/>
      <c r="L611" s="9"/>
    </row>
    <row r="612" customFormat="false" ht="23.85" hidden="false" customHeight="false" outlineLevel="0" collapsed="false">
      <c r="A612" s="6" t="s">
        <v>2005</v>
      </c>
      <c r="B612" s="6" t="s">
        <v>1972</v>
      </c>
      <c r="C612" s="6" t="s">
        <v>18</v>
      </c>
      <c r="D612" s="6" t="s">
        <v>49</v>
      </c>
      <c r="E612" s="6" t="s">
        <v>1973</v>
      </c>
      <c r="F612" s="7" t="s">
        <v>2006</v>
      </c>
      <c r="G612" s="6" t="s">
        <v>2007</v>
      </c>
      <c r="H612" s="6" t="s">
        <v>6</v>
      </c>
      <c r="I612" s="8"/>
      <c r="J612" s="8"/>
      <c r="K612" s="8"/>
      <c r="L612" s="9"/>
    </row>
    <row r="613" customFormat="false" ht="15" hidden="false" customHeight="false" outlineLevel="0" collapsed="false">
      <c r="A613" s="6" t="s">
        <v>2008</v>
      </c>
      <c r="B613" s="6" t="s">
        <v>1972</v>
      </c>
      <c r="C613" s="6" t="s">
        <v>18</v>
      </c>
      <c r="D613" s="6" t="s">
        <v>49</v>
      </c>
      <c r="E613" s="6" t="s">
        <v>1973</v>
      </c>
      <c r="F613" s="7" t="s">
        <v>2009</v>
      </c>
      <c r="G613" s="6" t="s">
        <v>2010</v>
      </c>
      <c r="H613" s="6" t="s">
        <v>8</v>
      </c>
      <c r="I613" s="8"/>
      <c r="J613" s="8"/>
      <c r="K613" s="8"/>
      <c r="L613" s="9"/>
    </row>
    <row r="614" customFormat="false" ht="23.85" hidden="false" customHeight="false" outlineLevel="0" collapsed="false">
      <c r="A614" s="6" t="s">
        <v>2011</v>
      </c>
      <c r="B614" s="6" t="s">
        <v>1972</v>
      </c>
      <c r="C614" s="6" t="s">
        <v>18</v>
      </c>
      <c r="D614" s="6" t="s">
        <v>49</v>
      </c>
      <c r="E614" s="6" t="s">
        <v>1973</v>
      </c>
      <c r="F614" s="7" t="s">
        <v>2012</v>
      </c>
      <c r="G614" s="6" t="s">
        <v>2013</v>
      </c>
      <c r="H614" s="6" t="s">
        <v>8</v>
      </c>
      <c r="I614" s="8"/>
      <c r="J614" s="8"/>
      <c r="K614" s="8"/>
      <c r="L614" s="9"/>
    </row>
    <row r="615" customFormat="false" ht="15" hidden="false" customHeight="false" outlineLevel="0" collapsed="false">
      <c r="A615" s="6" t="s">
        <v>2014</v>
      </c>
      <c r="B615" s="6" t="s">
        <v>1972</v>
      </c>
      <c r="C615" s="6" t="s">
        <v>18</v>
      </c>
      <c r="D615" s="6" t="s">
        <v>49</v>
      </c>
      <c r="E615" s="6" t="s">
        <v>1973</v>
      </c>
      <c r="F615" s="7" t="s">
        <v>2015</v>
      </c>
      <c r="G615" s="6" t="s">
        <v>2016</v>
      </c>
      <c r="H615" s="6" t="s">
        <v>8</v>
      </c>
      <c r="I615" s="8"/>
      <c r="J615" s="8"/>
      <c r="K615" s="8"/>
      <c r="L615" s="9"/>
    </row>
    <row r="616" customFormat="false" ht="15" hidden="false" customHeight="false" outlineLevel="0" collapsed="false">
      <c r="A616" s="6" t="s">
        <v>2017</v>
      </c>
      <c r="B616" s="6" t="s">
        <v>2018</v>
      </c>
      <c r="C616" s="6" t="s">
        <v>18</v>
      </c>
      <c r="D616" s="6" t="s">
        <v>230</v>
      </c>
      <c r="E616" s="6" t="s">
        <v>29</v>
      </c>
      <c r="F616" s="7" t="s">
        <v>2019</v>
      </c>
      <c r="G616" s="6" t="s">
        <v>2020</v>
      </c>
      <c r="H616" s="6" t="s">
        <v>9</v>
      </c>
      <c r="I616" s="8"/>
      <c r="J616" s="8"/>
      <c r="K616" s="8"/>
      <c r="L616" s="9"/>
    </row>
    <row r="617" customFormat="false" ht="23.85" hidden="false" customHeight="false" outlineLevel="0" collapsed="false">
      <c r="A617" s="6" t="s">
        <v>2021</v>
      </c>
      <c r="B617" s="6" t="s">
        <v>2022</v>
      </c>
      <c r="C617" s="6" t="s">
        <v>18</v>
      </c>
      <c r="D617" s="6" t="s">
        <v>79</v>
      </c>
      <c r="E617" s="6" t="s">
        <v>714</v>
      </c>
      <c r="F617" s="7" t="s">
        <v>2023</v>
      </c>
      <c r="G617" s="6" t="s">
        <v>2024</v>
      </c>
      <c r="H617" s="6" t="s">
        <v>8</v>
      </c>
      <c r="I617" s="8"/>
      <c r="J617" s="8"/>
      <c r="K617" s="8"/>
      <c r="L617" s="9"/>
    </row>
    <row r="618" customFormat="false" ht="15" hidden="false" customHeight="false" outlineLevel="0" collapsed="false">
      <c r="A618" s="6" t="s">
        <v>2025</v>
      </c>
      <c r="B618" s="6" t="s">
        <v>2022</v>
      </c>
      <c r="C618" s="6" t="s">
        <v>18</v>
      </c>
      <c r="D618" s="6" t="s">
        <v>79</v>
      </c>
      <c r="E618" s="6" t="s">
        <v>714</v>
      </c>
      <c r="F618" s="7" t="s">
        <v>2026</v>
      </c>
      <c r="G618" s="6" t="s">
        <v>2027</v>
      </c>
      <c r="H618" s="6" t="s">
        <v>6</v>
      </c>
      <c r="I618" s="8"/>
      <c r="J618" s="8"/>
      <c r="K618" s="8"/>
      <c r="L618" s="9"/>
    </row>
    <row r="619" customFormat="false" ht="15" hidden="false" customHeight="false" outlineLevel="0" collapsed="false">
      <c r="A619" s="6" t="s">
        <v>2028</v>
      </c>
      <c r="B619" s="6" t="s">
        <v>2022</v>
      </c>
      <c r="C619" s="6" t="s">
        <v>18</v>
      </c>
      <c r="D619" s="6" t="s">
        <v>79</v>
      </c>
      <c r="E619" s="6" t="s">
        <v>714</v>
      </c>
      <c r="F619" s="7" t="s">
        <v>2029</v>
      </c>
      <c r="G619" s="6" t="s">
        <v>2030</v>
      </c>
      <c r="H619" s="6" t="s">
        <v>6</v>
      </c>
      <c r="I619" s="8"/>
      <c r="J619" s="8"/>
      <c r="K619" s="8"/>
      <c r="L619" s="9"/>
    </row>
    <row r="620" customFormat="false" ht="15" hidden="false" customHeight="false" outlineLevel="0" collapsed="false">
      <c r="A620" s="6" t="s">
        <v>2031</v>
      </c>
      <c r="B620" s="6" t="s">
        <v>2022</v>
      </c>
      <c r="C620" s="6" t="s">
        <v>18</v>
      </c>
      <c r="D620" s="6" t="s">
        <v>79</v>
      </c>
      <c r="E620" s="6" t="s">
        <v>714</v>
      </c>
      <c r="F620" s="7" t="s">
        <v>2032</v>
      </c>
      <c r="G620" s="6" t="s">
        <v>2033</v>
      </c>
      <c r="H620" s="6" t="s">
        <v>8</v>
      </c>
      <c r="I620" s="8"/>
      <c r="J620" s="8"/>
      <c r="K620" s="8"/>
      <c r="L620" s="9"/>
    </row>
    <row r="621" customFormat="false" ht="23.85" hidden="false" customHeight="false" outlineLevel="0" collapsed="false">
      <c r="A621" s="6" t="s">
        <v>2034</v>
      </c>
      <c r="B621" s="6" t="s">
        <v>2022</v>
      </c>
      <c r="C621" s="6" t="s">
        <v>18</v>
      </c>
      <c r="D621" s="6" t="s">
        <v>79</v>
      </c>
      <c r="E621" s="6" t="s">
        <v>714</v>
      </c>
      <c r="F621" s="7" t="s">
        <v>2035</v>
      </c>
      <c r="G621" s="6" t="s">
        <v>2036</v>
      </c>
      <c r="H621" s="6" t="s">
        <v>9</v>
      </c>
      <c r="I621" s="8"/>
      <c r="J621" s="8"/>
      <c r="K621" s="8"/>
      <c r="L621" s="9"/>
    </row>
    <row r="622" customFormat="false" ht="23.85" hidden="false" customHeight="false" outlineLevel="0" collapsed="false">
      <c r="A622" s="6" t="s">
        <v>2037</v>
      </c>
      <c r="B622" s="6" t="s">
        <v>2022</v>
      </c>
      <c r="C622" s="6" t="s">
        <v>18</v>
      </c>
      <c r="D622" s="6" t="s">
        <v>79</v>
      </c>
      <c r="E622" s="6" t="s">
        <v>714</v>
      </c>
      <c r="F622" s="7" t="s">
        <v>2038</v>
      </c>
      <c r="G622" s="6" t="s">
        <v>2039</v>
      </c>
      <c r="H622" s="6" t="s">
        <v>7</v>
      </c>
      <c r="I622" s="8"/>
      <c r="J622" s="8"/>
      <c r="K622" s="8"/>
      <c r="L622" s="9"/>
    </row>
    <row r="623" customFormat="false" ht="15" hidden="false" customHeight="false" outlineLevel="0" collapsed="false">
      <c r="A623" s="6" t="s">
        <v>2040</v>
      </c>
      <c r="B623" s="6" t="s">
        <v>2041</v>
      </c>
      <c r="C623" s="6" t="s">
        <v>18</v>
      </c>
      <c r="D623" s="6" t="s">
        <v>49</v>
      </c>
      <c r="E623" s="6" t="s">
        <v>1862</v>
      </c>
      <c r="F623" s="7" t="s">
        <v>2042</v>
      </c>
      <c r="G623" s="6" t="s">
        <v>2043</v>
      </c>
      <c r="H623" s="6" t="s">
        <v>6</v>
      </c>
      <c r="I623" s="8"/>
      <c r="J623" s="8"/>
      <c r="K623" s="8"/>
      <c r="L623" s="9"/>
    </row>
    <row r="624" customFormat="false" ht="15" hidden="false" customHeight="false" outlineLevel="0" collapsed="false">
      <c r="A624" s="6" t="s">
        <v>2044</v>
      </c>
      <c r="B624" s="6" t="s">
        <v>2041</v>
      </c>
      <c r="C624" s="6" t="s">
        <v>18</v>
      </c>
      <c r="D624" s="6" t="s">
        <v>49</v>
      </c>
      <c r="E624" s="6" t="s">
        <v>1862</v>
      </c>
      <c r="F624" s="7" t="s">
        <v>2045</v>
      </c>
      <c r="G624" s="6" t="s">
        <v>2046</v>
      </c>
      <c r="H624" s="6" t="s">
        <v>6</v>
      </c>
      <c r="I624" s="8"/>
      <c r="J624" s="8"/>
      <c r="K624" s="8"/>
      <c r="L624" s="9"/>
    </row>
    <row r="625" customFormat="false" ht="15" hidden="false" customHeight="false" outlineLevel="0" collapsed="false">
      <c r="A625" s="6" t="s">
        <v>2047</v>
      </c>
      <c r="B625" s="6" t="s">
        <v>2041</v>
      </c>
      <c r="C625" s="6" t="s">
        <v>18</v>
      </c>
      <c r="D625" s="6" t="s">
        <v>49</v>
      </c>
      <c r="E625" s="6" t="s">
        <v>1862</v>
      </c>
      <c r="F625" s="7" t="s">
        <v>2048</v>
      </c>
      <c r="G625" s="6" t="s">
        <v>2049</v>
      </c>
      <c r="H625" s="6" t="s">
        <v>6</v>
      </c>
      <c r="I625" s="8"/>
      <c r="J625" s="8"/>
      <c r="K625" s="8"/>
      <c r="L625" s="9"/>
    </row>
    <row r="626" customFormat="false" ht="23.85" hidden="false" customHeight="false" outlineLevel="0" collapsed="false">
      <c r="A626" s="6" t="s">
        <v>2050</v>
      </c>
      <c r="B626" s="6" t="s">
        <v>2041</v>
      </c>
      <c r="C626" s="6" t="s">
        <v>18</v>
      </c>
      <c r="D626" s="6" t="s">
        <v>49</v>
      </c>
      <c r="E626" s="6" t="s">
        <v>1862</v>
      </c>
      <c r="F626" s="7" t="s">
        <v>2051</v>
      </c>
      <c r="G626" s="6" t="s">
        <v>2052</v>
      </c>
      <c r="H626" s="6" t="s">
        <v>8</v>
      </c>
      <c r="I626" s="8"/>
      <c r="J626" s="8"/>
      <c r="K626" s="8"/>
      <c r="L626" s="9"/>
    </row>
    <row r="627" customFormat="false" ht="23.85" hidden="false" customHeight="false" outlineLevel="0" collapsed="false">
      <c r="A627" s="6" t="s">
        <v>2053</v>
      </c>
      <c r="B627" s="6" t="s">
        <v>2041</v>
      </c>
      <c r="C627" s="6" t="s">
        <v>18</v>
      </c>
      <c r="D627" s="6" t="s">
        <v>49</v>
      </c>
      <c r="E627" s="6" t="s">
        <v>1862</v>
      </c>
      <c r="F627" s="7" t="s">
        <v>2054</v>
      </c>
      <c r="G627" s="6" t="s">
        <v>2055</v>
      </c>
      <c r="H627" s="6" t="s">
        <v>8</v>
      </c>
      <c r="I627" s="8"/>
      <c r="J627" s="8"/>
      <c r="K627" s="8"/>
      <c r="L627" s="9"/>
    </row>
    <row r="628" customFormat="false" ht="15" hidden="false" customHeight="false" outlineLevel="0" collapsed="false">
      <c r="A628" s="6" t="s">
        <v>2056</v>
      </c>
      <c r="B628" s="6" t="s">
        <v>2041</v>
      </c>
      <c r="C628" s="6" t="s">
        <v>18</v>
      </c>
      <c r="D628" s="6" t="s">
        <v>49</v>
      </c>
      <c r="E628" s="6" t="s">
        <v>1862</v>
      </c>
      <c r="F628" s="7" t="s">
        <v>2057</v>
      </c>
      <c r="G628" s="6" t="s">
        <v>2058</v>
      </c>
      <c r="H628" s="6" t="s">
        <v>6</v>
      </c>
      <c r="I628" s="8"/>
      <c r="J628" s="8"/>
      <c r="K628" s="8"/>
      <c r="L628" s="9"/>
    </row>
    <row r="629" customFormat="false" ht="23.85" hidden="false" customHeight="false" outlineLevel="0" collapsed="false">
      <c r="A629" s="6" t="s">
        <v>2059</v>
      </c>
      <c r="B629" s="6" t="s">
        <v>2041</v>
      </c>
      <c r="C629" s="6" t="s">
        <v>18</v>
      </c>
      <c r="D629" s="6" t="s">
        <v>49</v>
      </c>
      <c r="E629" s="6" t="s">
        <v>1862</v>
      </c>
      <c r="F629" s="7" t="s">
        <v>2060</v>
      </c>
      <c r="G629" s="6" t="s">
        <v>2061</v>
      </c>
      <c r="H629" s="6" t="s">
        <v>6</v>
      </c>
      <c r="I629" s="8"/>
      <c r="J629" s="8"/>
      <c r="K629" s="8"/>
      <c r="L629" s="9"/>
    </row>
    <row r="630" customFormat="false" ht="15" hidden="false" customHeight="false" outlineLevel="0" collapsed="false">
      <c r="A630" s="6" t="s">
        <v>2062</v>
      </c>
      <c r="B630" s="6" t="s">
        <v>2041</v>
      </c>
      <c r="C630" s="6" t="s">
        <v>18</v>
      </c>
      <c r="D630" s="6" t="s">
        <v>49</v>
      </c>
      <c r="E630" s="6" t="s">
        <v>1862</v>
      </c>
      <c r="F630" s="7" t="s">
        <v>2063</v>
      </c>
      <c r="G630" s="6" t="s">
        <v>2064</v>
      </c>
      <c r="H630" s="6" t="s">
        <v>6</v>
      </c>
      <c r="I630" s="8"/>
      <c r="J630" s="8"/>
      <c r="K630" s="8"/>
      <c r="L630" s="9"/>
    </row>
    <row r="631" customFormat="false" ht="15" hidden="false" customHeight="false" outlineLevel="0" collapsed="false">
      <c r="A631" s="6" t="s">
        <v>2065</v>
      </c>
      <c r="B631" s="6" t="s">
        <v>2041</v>
      </c>
      <c r="C631" s="6" t="s">
        <v>18</v>
      </c>
      <c r="D631" s="6" t="s">
        <v>49</v>
      </c>
      <c r="E631" s="6" t="s">
        <v>1862</v>
      </c>
      <c r="F631" s="7" t="s">
        <v>2066</v>
      </c>
      <c r="G631" s="6" t="s">
        <v>2067</v>
      </c>
      <c r="H631" s="6" t="s">
        <v>6</v>
      </c>
      <c r="I631" s="8"/>
      <c r="J631" s="8"/>
      <c r="K631" s="8"/>
      <c r="L631" s="9"/>
    </row>
    <row r="632" customFormat="false" ht="23.85" hidden="false" customHeight="false" outlineLevel="0" collapsed="false">
      <c r="A632" s="6" t="s">
        <v>2068</v>
      </c>
      <c r="B632" s="6" t="s">
        <v>2041</v>
      </c>
      <c r="C632" s="6" t="s">
        <v>18</v>
      </c>
      <c r="D632" s="6" t="s">
        <v>49</v>
      </c>
      <c r="E632" s="6" t="s">
        <v>1862</v>
      </c>
      <c r="F632" s="7" t="s">
        <v>2069</v>
      </c>
      <c r="G632" s="6" t="s">
        <v>2070</v>
      </c>
      <c r="H632" s="6" t="s">
        <v>6</v>
      </c>
      <c r="I632" s="8"/>
      <c r="J632" s="8"/>
      <c r="K632" s="8"/>
      <c r="L632" s="9"/>
    </row>
    <row r="633" customFormat="false" ht="23.85" hidden="false" customHeight="false" outlineLevel="0" collapsed="false">
      <c r="A633" s="6" t="s">
        <v>2071</v>
      </c>
      <c r="B633" s="6" t="s">
        <v>2041</v>
      </c>
      <c r="C633" s="6" t="s">
        <v>18</v>
      </c>
      <c r="D633" s="6" t="s">
        <v>49</v>
      </c>
      <c r="E633" s="6" t="s">
        <v>1862</v>
      </c>
      <c r="F633" s="7" t="s">
        <v>2072</v>
      </c>
      <c r="G633" s="6" t="s">
        <v>2073</v>
      </c>
      <c r="H633" s="6" t="s">
        <v>8</v>
      </c>
      <c r="I633" s="8"/>
      <c r="J633" s="8"/>
      <c r="K633" s="8"/>
      <c r="L633" s="9"/>
    </row>
    <row r="634" customFormat="false" ht="23.85" hidden="false" customHeight="false" outlineLevel="0" collapsed="false">
      <c r="A634" s="6" t="s">
        <v>2074</v>
      </c>
      <c r="B634" s="6" t="s">
        <v>2075</v>
      </c>
      <c r="C634" s="6" t="s">
        <v>18</v>
      </c>
      <c r="D634" s="6" t="s">
        <v>49</v>
      </c>
      <c r="E634" s="6" t="s">
        <v>1462</v>
      </c>
      <c r="F634" s="7" t="s">
        <v>2076</v>
      </c>
      <c r="G634" s="6" t="s">
        <v>2077</v>
      </c>
      <c r="H634" s="6" t="s">
        <v>6</v>
      </c>
      <c r="I634" s="8"/>
      <c r="J634" s="8"/>
      <c r="K634" s="8"/>
      <c r="L634" s="9"/>
    </row>
    <row r="635" customFormat="false" ht="15" hidden="false" customHeight="false" outlineLevel="0" collapsed="false">
      <c r="A635" s="6" t="s">
        <v>2078</v>
      </c>
      <c r="B635" s="6" t="s">
        <v>2075</v>
      </c>
      <c r="C635" s="6" t="s">
        <v>18</v>
      </c>
      <c r="D635" s="6" t="s">
        <v>49</v>
      </c>
      <c r="E635" s="6" t="s">
        <v>1462</v>
      </c>
      <c r="F635" s="7" t="s">
        <v>2079</v>
      </c>
      <c r="G635" s="6" t="s">
        <v>2080</v>
      </c>
      <c r="H635" s="6" t="s">
        <v>6</v>
      </c>
      <c r="I635" s="8"/>
      <c r="J635" s="8"/>
      <c r="K635" s="8"/>
      <c r="L635" s="9"/>
    </row>
    <row r="636" customFormat="false" ht="23.85" hidden="false" customHeight="false" outlineLevel="0" collapsed="false">
      <c r="A636" s="6" t="s">
        <v>2081</v>
      </c>
      <c r="B636" s="6" t="s">
        <v>2075</v>
      </c>
      <c r="C636" s="6" t="s">
        <v>18</v>
      </c>
      <c r="D636" s="6" t="s">
        <v>49</v>
      </c>
      <c r="E636" s="6" t="s">
        <v>1462</v>
      </c>
      <c r="F636" s="7" t="s">
        <v>2082</v>
      </c>
      <c r="G636" s="6" t="s">
        <v>2083</v>
      </c>
      <c r="H636" s="6" t="s">
        <v>6</v>
      </c>
      <c r="I636" s="8"/>
      <c r="J636" s="8"/>
      <c r="K636" s="8"/>
      <c r="L636" s="9"/>
    </row>
    <row r="637" customFormat="false" ht="15" hidden="false" customHeight="false" outlineLevel="0" collapsed="false">
      <c r="A637" s="6" t="s">
        <v>2084</v>
      </c>
      <c r="B637" s="6" t="s">
        <v>2075</v>
      </c>
      <c r="C637" s="6" t="s">
        <v>18</v>
      </c>
      <c r="D637" s="6" t="s">
        <v>49</v>
      </c>
      <c r="E637" s="6" t="s">
        <v>1462</v>
      </c>
      <c r="F637" s="7" t="s">
        <v>2085</v>
      </c>
      <c r="G637" s="6" t="s">
        <v>2086</v>
      </c>
      <c r="H637" s="6" t="s">
        <v>7</v>
      </c>
      <c r="I637" s="8"/>
      <c r="J637" s="8"/>
      <c r="K637" s="8"/>
      <c r="L637" s="9"/>
    </row>
    <row r="638" customFormat="false" ht="23.85" hidden="false" customHeight="false" outlineLevel="0" collapsed="false">
      <c r="A638" s="6" t="s">
        <v>2087</v>
      </c>
      <c r="B638" s="6" t="s">
        <v>2088</v>
      </c>
      <c r="C638" s="6" t="s">
        <v>18</v>
      </c>
      <c r="D638" s="6" t="s">
        <v>274</v>
      </c>
      <c r="E638" s="6" t="s">
        <v>714</v>
      </c>
      <c r="F638" s="7" t="s">
        <v>2089</v>
      </c>
      <c r="G638" s="6" t="s">
        <v>2090</v>
      </c>
      <c r="H638" s="6" t="s">
        <v>6</v>
      </c>
      <c r="I638" s="8"/>
      <c r="J638" s="8"/>
      <c r="K638" s="8"/>
      <c r="L638" s="9"/>
    </row>
    <row r="639" customFormat="false" ht="15" hidden="false" customHeight="false" outlineLevel="0" collapsed="false">
      <c r="A639" s="6" t="s">
        <v>2091</v>
      </c>
      <c r="B639" s="6" t="s">
        <v>2088</v>
      </c>
      <c r="C639" s="6" t="s">
        <v>18</v>
      </c>
      <c r="D639" s="6" t="s">
        <v>274</v>
      </c>
      <c r="E639" s="6" t="s">
        <v>714</v>
      </c>
      <c r="F639" s="7" t="s">
        <v>2092</v>
      </c>
      <c r="G639" s="6" t="s">
        <v>2093</v>
      </c>
      <c r="H639" s="6" t="s">
        <v>8</v>
      </c>
      <c r="I639" s="8"/>
      <c r="J639" s="8"/>
      <c r="K639" s="8"/>
      <c r="L639" s="9"/>
    </row>
    <row r="640" customFormat="false" ht="15" hidden="false" customHeight="false" outlineLevel="0" collapsed="false">
      <c r="A640" s="6" t="s">
        <v>2094</v>
      </c>
      <c r="B640" s="6" t="s">
        <v>2088</v>
      </c>
      <c r="C640" s="6" t="s">
        <v>18</v>
      </c>
      <c r="D640" s="6" t="s">
        <v>274</v>
      </c>
      <c r="E640" s="6" t="s">
        <v>714</v>
      </c>
      <c r="F640" s="7" t="s">
        <v>2095</v>
      </c>
      <c r="G640" s="6" t="s">
        <v>946</v>
      </c>
      <c r="H640" s="6" t="s">
        <v>10</v>
      </c>
      <c r="I640" s="8"/>
      <c r="J640" s="8"/>
      <c r="K640" s="8"/>
      <c r="L640" s="9"/>
    </row>
    <row r="641" customFormat="false" ht="23.85" hidden="false" customHeight="false" outlineLevel="0" collapsed="false">
      <c r="A641" s="6" t="s">
        <v>2096</v>
      </c>
      <c r="B641" s="6" t="s">
        <v>2088</v>
      </c>
      <c r="C641" s="6" t="s">
        <v>18</v>
      </c>
      <c r="D641" s="6" t="s">
        <v>274</v>
      </c>
      <c r="E641" s="6" t="s">
        <v>714</v>
      </c>
      <c r="F641" s="7" t="s">
        <v>2097</v>
      </c>
      <c r="G641" s="6" t="s">
        <v>2098</v>
      </c>
      <c r="H641" s="6" t="s">
        <v>9</v>
      </c>
      <c r="I641" s="8"/>
      <c r="J641" s="8"/>
      <c r="K641" s="8"/>
      <c r="L641" s="9"/>
    </row>
    <row r="642" customFormat="false" ht="15" hidden="false" customHeight="false" outlineLevel="0" collapsed="false">
      <c r="A642" s="6" t="s">
        <v>2099</v>
      </c>
      <c r="B642" s="6" t="s">
        <v>2100</v>
      </c>
      <c r="C642" s="6" t="s">
        <v>18</v>
      </c>
      <c r="D642" s="6" t="s">
        <v>230</v>
      </c>
      <c r="E642" s="6" t="s">
        <v>714</v>
      </c>
      <c r="F642" s="7" t="s">
        <v>2101</v>
      </c>
      <c r="G642" s="6" t="s">
        <v>2102</v>
      </c>
      <c r="H642" s="6" t="s">
        <v>8</v>
      </c>
      <c r="I642" s="8"/>
      <c r="J642" s="8"/>
      <c r="K642" s="8"/>
      <c r="L642" s="9"/>
    </row>
    <row r="643" customFormat="false" ht="15" hidden="false" customHeight="false" outlineLevel="0" collapsed="false">
      <c r="A643" s="6" t="s">
        <v>2103</v>
      </c>
      <c r="B643" s="6" t="s">
        <v>2100</v>
      </c>
      <c r="C643" s="6" t="s">
        <v>18</v>
      </c>
      <c r="D643" s="6" t="s">
        <v>230</v>
      </c>
      <c r="E643" s="6" t="s">
        <v>714</v>
      </c>
      <c r="F643" s="7" t="s">
        <v>2104</v>
      </c>
      <c r="G643" s="6" t="s">
        <v>2105</v>
      </c>
      <c r="H643" s="6" t="s">
        <v>10</v>
      </c>
      <c r="I643" s="8"/>
      <c r="J643" s="8"/>
      <c r="K643" s="8"/>
      <c r="L643" s="9"/>
    </row>
    <row r="644" customFormat="false" ht="15" hidden="false" customHeight="false" outlineLevel="0" collapsed="false">
      <c r="A644" s="6" t="s">
        <v>2106</v>
      </c>
      <c r="B644" s="6" t="s">
        <v>2107</v>
      </c>
      <c r="C644" s="6" t="s">
        <v>18</v>
      </c>
      <c r="D644" s="6" t="s">
        <v>274</v>
      </c>
      <c r="E644" s="6" t="s">
        <v>714</v>
      </c>
      <c r="F644" s="7" t="s">
        <v>2108</v>
      </c>
      <c r="G644" s="6" t="s">
        <v>2109</v>
      </c>
      <c r="H644" s="6" t="s">
        <v>6</v>
      </c>
      <c r="I644" s="8"/>
      <c r="J644" s="8"/>
      <c r="K644" s="8"/>
      <c r="L644" s="9"/>
    </row>
    <row r="645" customFormat="false" ht="15" hidden="false" customHeight="false" outlineLevel="0" collapsed="false">
      <c r="A645" s="6" t="s">
        <v>2110</v>
      </c>
      <c r="B645" s="6" t="s">
        <v>2107</v>
      </c>
      <c r="C645" s="6" t="s">
        <v>18</v>
      </c>
      <c r="D645" s="6" t="s">
        <v>274</v>
      </c>
      <c r="E645" s="6" t="s">
        <v>714</v>
      </c>
      <c r="F645" s="7" t="s">
        <v>2111</v>
      </c>
      <c r="G645" s="6" t="s">
        <v>2112</v>
      </c>
      <c r="H645" s="6" t="s">
        <v>6</v>
      </c>
      <c r="I645" s="8"/>
      <c r="J645" s="8"/>
      <c r="K645" s="8"/>
      <c r="L645" s="9"/>
    </row>
    <row r="646" customFormat="false" ht="15" hidden="false" customHeight="false" outlineLevel="0" collapsed="false">
      <c r="A646" s="6" t="s">
        <v>2113</v>
      </c>
      <c r="B646" s="6" t="s">
        <v>2107</v>
      </c>
      <c r="C646" s="6" t="s">
        <v>18</v>
      </c>
      <c r="D646" s="6" t="s">
        <v>274</v>
      </c>
      <c r="E646" s="6" t="s">
        <v>714</v>
      </c>
      <c r="F646" s="7" t="s">
        <v>2114</v>
      </c>
      <c r="G646" s="6" t="s">
        <v>2115</v>
      </c>
      <c r="H646" s="6" t="s">
        <v>6</v>
      </c>
      <c r="I646" s="8"/>
      <c r="J646" s="8"/>
      <c r="K646" s="8"/>
      <c r="L646" s="9"/>
    </row>
    <row r="647" customFormat="false" ht="15" hidden="false" customHeight="false" outlineLevel="0" collapsed="false">
      <c r="A647" s="6" t="s">
        <v>2116</v>
      </c>
      <c r="B647" s="6" t="s">
        <v>2107</v>
      </c>
      <c r="C647" s="6" t="s">
        <v>18</v>
      </c>
      <c r="D647" s="6" t="s">
        <v>274</v>
      </c>
      <c r="E647" s="6" t="s">
        <v>714</v>
      </c>
      <c r="F647" s="7" t="s">
        <v>2117</v>
      </c>
      <c r="G647" s="6" t="s">
        <v>2118</v>
      </c>
      <c r="H647" s="6" t="s">
        <v>10</v>
      </c>
      <c r="I647" s="8"/>
      <c r="J647" s="8"/>
      <c r="K647" s="8"/>
      <c r="L647" s="9"/>
    </row>
    <row r="648" customFormat="false" ht="15" hidden="false" customHeight="false" outlineLevel="0" collapsed="false">
      <c r="A648" s="6" t="s">
        <v>2119</v>
      </c>
      <c r="B648" s="6" t="s">
        <v>2107</v>
      </c>
      <c r="C648" s="6" t="s">
        <v>18</v>
      </c>
      <c r="D648" s="6" t="s">
        <v>274</v>
      </c>
      <c r="E648" s="6" t="s">
        <v>714</v>
      </c>
      <c r="F648" s="7" t="s">
        <v>2120</v>
      </c>
      <c r="G648" s="6" t="s">
        <v>2121</v>
      </c>
      <c r="H648" s="6" t="s">
        <v>7</v>
      </c>
      <c r="I648" s="8"/>
      <c r="J648" s="8"/>
      <c r="K648" s="8"/>
      <c r="L648" s="9"/>
    </row>
    <row r="649" customFormat="false" ht="23.85" hidden="false" customHeight="false" outlineLevel="0" collapsed="false">
      <c r="A649" s="6" t="s">
        <v>2122</v>
      </c>
      <c r="B649" s="6" t="s">
        <v>2107</v>
      </c>
      <c r="C649" s="6" t="s">
        <v>18</v>
      </c>
      <c r="D649" s="6" t="s">
        <v>274</v>
      </c>
      <c r="E649" s="6" t="s">
        <v>714</v>
      </c>
      <c r="F649" s="7" t="s">
        <v>2123</v>
      </c>
      <c r="G649" s="6" t="s">
        <v>634</v>
      </c>
      <c r="H649" s="6" t="s">
        <v>8</v>
      </c>
      <c r="I649" s="8"/>
      <c r="J649" s="8"/>
      <c r="K649" s="8"/>
      <c r="L649" s="9"/>
    </row>
    <row r="650" customFormat="false" ht="23.85" hidden="false" customHeight="false" outlineLevel="0" collapsed="false">
      <c r="A650" s="6" t="s">
        <v>2124</v>
      </c>
      <c r="B650" s="6" t="s">
        <v>2125</v>
      </c>
      <c r="C650" s="6" t="s">
        <v>18</v>
      </c>
      <c r="D650" s="6" t="s">
        <v>85</v>
      </c>
      <c r="E650" s="6" t="s">
        <v>28</v>
      </c>
      <c r="F650" s="7" t="s">
        <v>2126</v>
      </c>
      <c r="G650" s="6" t="s">
        <v>2127</v>
      </c>
      <c r="H650" s="6" t="s">
        <v>6</v>
      </c>
      <c r="I650" s="8"/>
      <c r="J650" s="8"/>
      <c r="K650" s="8"/>
      <c r="L650" s="9"/>
    </row>
    <row r="651" customFormat="false" ht="15" hidden="false" customHeight="false" outlineLevel="0" collapsed="false">
      <c r="A651" s="6" t="s">
        <v>2128</v>
      </c>
      <c r="B651" s="6" t="s">
        <v>2125</v>
      </c>
      <c r="C651" s="6" t="s">
        <v>18</v>
      </c>
      <c r="D651" s="6" t="s">
        <v>85</v>
      </c>
      <c r="E651" s="6" t="s">
        <v>28</v>
      </c>
      <c r="F651" s="7" t="s">
        <v>2129</v>
      </c>
      <c r="G651" s="6" t="s">
        <v>2130</v>
      </c>
      <c r="H651" s="6" t="s">
        <v>8</v>
      </c>
      <c r="I651" s="8"/>
      <c r="J651" s="8"/>
      <c r="K651" s="8"/>
      <c r="L651" s="9"/>
    </row>
    <row r="652" customFormat="false" ht="23.85" hidden="false" customHeight="false" outlineLevel="0" collapsed="false">
      <c r="A652" s="6" t="s">
        <v>2131</v>
      </c>
      <c r="B652" s="6" t="s">
        <v>2125</v>
      </c>
      <c r="C652" s="6" t="s">
        <v>18</v>
      </c>
      <c r="D652" s="6" t="s">
        <v>85</v>
      </c>
      <c r="E652" s="6" t="s">
        <v>28</v>
      </c>
      <c r="F652" s="7" t="s">
        <v>2132</v>
      </c>
      <c r="G652" s="6" t="s">
        <v>345</v>
      </c>
      <c r="H652" s="6" t="s">
        <v>6</v>
      </c>
      <c r="I652" s="8"/>
      <c r="J652" s="8"/>
      <c r="K652" s="8"/>
      <c r="L652" s="9"/>
    </row>
    <row r="653" customFormat="false" ht="23.85" hidden="false" customHeight="false" outlineLevel="0" collapsed="false">
      <c r="A653" s="6" t="s">
        <v>2133</v>
      </c>
      <c r="B653" s="6" t="s">
        <v>2125</v>
      </c>
      <c r="C653" s="6" t="s">
        <v>18</v>
      </c>
      <c r="D653" s="6" t="s">
        <v>85</v>
      </c>
      <c r="E653" s="6" t="s">
        <v>28</v>
      </c>
      <c r="F653" s="7" t="s">
        <v>2134</v>
      </c>
      <c r="G653" s="6" t="s">
        <v>2135</v>
      </c>
      <c r="H653" s="6" t="s">
        <v>6</v>
      </c>
      <c r="I653" s="8"/>
      <c r="J653" s="8"/>
      <c r="K653" s="8"/>
      <c r="L653" s="9"/>
    </row>
    <row r="654" customFormat="false" ht="15" hidden="false" customHeight="false" outlineLevel="0" collapsed="false">
      <c r="A654" s="6" t="s">
        <v>2136</v>
      </c>
      <c r="B654" s="6" t="s">
        <v>2125</v>
      </c>
      <c r="C654" s="6" t="s">
        <v>18</v>
      </c>
      <c r="D654" s="6" t="s">
        <v>85</v>
      </c>
      <c r="E654" s="6" t="s">
        <v>28</v>
      </c>
      <c r="F654" s="7" t="s">
        <v>2137</v>
      </c>
      <c r="G654" s="6" t="s">
        <v>556</v>
      </c>
      <c r="H654" s="6" t="s">
        <v>8</v>
      </c>
      <c r="I654" s="8"/>
      <c r="J654" s="8"/>
      <c r="K654" s="8"/>
      <c r="L654" s="9"/>
    </row>
    <row r="655" customFormat="false" ht="23.85" hidden="false" customHeight="false" outlineLevel="0" collapsed="false">
      <c r="A655" s="6" t="s">
        <v>2138</v>
      </c>
      <c r="B655" s="6" t="s">
        <v>2125</v>
      </c>
      <c r="C655" s="6" t="s">
        <v>18</v>
      </c>
      <c r="D655" s="6" t="s">
        <v>85</v>
      </c>
      <c r="E655" s="6" t="s">
        <v>28</v>
      </c>
      <c r="F655" s="7" t="s">
        <v>2139</v>
      </c>
      <c r="G655" s="6" t="s">
        <v>2140</v>
      </c>
      <c r="H655" s="6" t="s">
        <v>8</v>
      </c>
      <c r="I655" s="8"/>
      <c r="J655" s="8"/>
      <c r="K655" s="8"/>
      <c r="L655" s="9"/>
    </row>
    <row r="656" customFormat="false" ht="15" hidden="false" customHeight="false" outlineLevel="0" collapsed="false">
      <c r="A656" s="6" t="s">
        <v>2141</v>
      </c>
      <c r="B656" s="6" t="s">
        <v>2125</v>
      </c>
      <c r="C656" s="6" t="s">
        <v>18</v>
      </c>
      <c r="D656" s="6" t="s">
        <v>85</v>
      </c>
      <c r="E656" s="6" t="s">
        <v>28</v>
      </c>
      <c r="F656" s="7" t="s">
        <v>1722</v>
      </c>
      <c r="G656" s="6" t="s">
        <v>2142</v>
      </c>
      <c r="H656" s="6" t="s">
        <v>6</v>
      </c>
      <c r="I656" s="8"/>
      <c r="J656" s="8"/>
      <c r="K656" s="8"/>
      <c r="L656" s="9"/>
    </row>
    <row r="657" customFormat="false" ht="15" hidden="false" customHeight="false" outlineLevel="0" collapsed="false">
      <c r="A657" s="6" t="s">
        <v>2143</v>
      </c>
      <c r="B657" s="6" t="s">
        <v>2125</v>
      </c>
      <c r="C657" s="6" t="s">
        <v>18</v>
      </c>
      <c r="D657" s="6" t="s">
        <v>85</v>
      </c>
      <c r="E657" s="6" t="s">
        <v>28</v>
      </c>
      <c r="F657" s="7" t="s">
        <v>2144</v>
      </c>
      <c r="G657" s="6" t="s">
        <v>2145</v>
      </c>
      <c r="H657" s="6" t="s">
        <v>8</v>
      </c>
      <c r="I657" s="8"/>
      <c r="J657" s="8"/>
      <c r="K657" s="8"/>
      <c r="L657" s="9"/>
    </row>
    <row r="658" customFormat="false" ht="15" hidden="false" customHeight="false" outlineLevel="0" collapsed="false">
      <c r="A658" s="6" t="s">
        <v>2146</v>
      </c>
      <c r="B658" s="6" t="s">
        <v>2125</v>
      </c>
      <c r="C658" s="6" t="s">
        <v>18</v>
      </c>
      <c r="D658" s="6" t="s">
        <v>85</v>
      </c>
      <c r="E658" s="6" t="s">
        <v>28</v>
      </c>
      <c r="F658" s="7" t="s">
        <v>2147</v>
      </c>
      <c r="G658" s="6" t="s">
        <v>583</v>
      </c>
      <c r="H658" s="6" t="s">
        <v>8</v>
      </c>
      <c r="I658" s="8"/>
      <c r="J658" s="8"/>
      <c r="K658" s="8"/>
      <c r="L658" s="9"/>
    </row>
    <row r="659" customFormat="false" ht="15" hidden="false" customHeight="false" outlineLevel="0" collapsed="false">
      <c r="A659" s="6" t="s">
        <v>2148</v>
      </c>
      <c r="B659" s="6" t="s">
        <v>2149</v>
      </c>
      <c r="C659" s="6" t="s">
        <v>18</v>
      </c>
      <c r="D659" s="6" t="s">
        <v>85</v>
      </c>
      <c r="E659" s="6" t="s">
        <v>28</v>
      </c>
      <c r="F659" s="7" t="s">
        <v>2150</v>
      </c>
      <c r="G659" s="6" t="s">
        <v>2151</v>
      </c>
      <c r="H659" s="6" t="s">
        <v>6</v>
      </c>
      <c r="I659" s="8"/>
      <c r="J659" s="8"/>
      <c r="K659" s="8"/>
      <c r="L659" s="9"/>
    </row>
    <row r="660" customFormat="false" ht="15" hidden="false" customHeight="false" outlineLevel="0" collapsed="false">
      <c r="A660" s="6" t="s">
        <v>2152</v>
      </c>
      <c r="B660" s="6" t="s">
        <v>2149</v>
      </c>
      <c r="C660" s="6" t="s">
        <v>18</v>
      </c>
      <c r="D660" s="6" t="s">
        <v>85</v>
      </c>
      <c r="E660" s="6" t="s">
        <v>28</v>
      </c>
      <c r="F660" s="7" t="s">
        <v>2153</v>
      </c>
      <c r="G660" s="6" t="s">
        <v>2154</v>
      </c>
      <c r="H660" s="6" t="s">
        <v>6</v>
      </c>
      <c r="I660" s="8"/>
      <c r="J660" s="8"/>
      <c r="K660" s="8"/>
      <c r="L660" s="9"/>
    </row>
    <row r="661" customFormat="false" ht="23.85" hidden="false" customHeight="false" outlineLevel="0" collapsed="false">
      <c r="A661" s="6" t="s">
        <v>2155</v>
      </c>
      <c r="B661" s="6" t="s">
        <v>2149</v>
      </c>
      <c r="C661" s="6" t="s">
        <v>18</v>
      </c>
      <c r="D661" s="6" t="s">
        <v>85</v>
      </c>
      <c r="E661" s="6" t="s">
        <v>28</v>
      </c>
      <c r="F661" s="7" t="s">
        <v>2156</v>
      </c>
      <c r="G661" s="6" t="s">
        <v>2157</v>
      </c>
      <c r="H661" s="6" t="s">
        <v>6</v>
      </c>
      <c r="I661" s="8"/>
      <c r="J661" s="8"/>
      <c r="K661" s="8"/>
      <c r="L661" s="9"/>
    </row>
    <row r="662" customFormat="false" ht="15" hidden="false" customHeight="false" outlineLevel="0" collapsed="false">
      <c r="A662" s="6" t="s">
        <v>2158</v>
      </c>
      <c r="B662" s="6" t="s">
        <v>2149</v>
      </c>
      <c r="C662" s="6" t="s">
        <v>18</v>
      </c>
      <c r="D662" s="6" t="s">
        <v>85</v>
      </c>
      <c r="E662" s="6" t="s">
        <v>28</v>
      </c>
      <c r="F662" s="7" t="s">
        <v>2159</v>
      </c>
      <c r="G662" s="6" t="s">
        <v>2160</v>
      </c>
      <c r="H662" s="6" t="s">
        <v>6</v>
      </c>
      <c r="I662" s="8"/>
      <c r="J662" s="8"/>
      <c r="K662" s="8"/>
      <c r="L662" s="9"/>
    </row>
    <row r="663" customFormat="false" ht="15" hidden="false" customHeight="false" outlineLevel="0" collapsed="false">
      <c r="A663" s="6" t="s">
        <v>2161</v>
      </c>
      <c r="B663" s="6" t="s">
        <v>2149</v>
      </c>
      <c r="C663" s="6" t="s">
        <v>18</v>
      </c>
      <c r="D663" s="6" t="s">
        <v>85</v>
      </c>
      <c r="E663" s="6" t="s">
        <v>28</v>
      </c>
      <c r="F663" s="7" t="s">
        <v>2162</v>
      </c>
      <c r="G663" s="6" t="s">
        <v>2163</v>
      </c>
      <c r="H663" s="6" t="s">
        <v>8</v>
      </c>
      <c r="I663" s="8"/>
      <c r="J663" s="8"/>
      <c r="K663" s="8"/>
      <c r="L663" s="9"/>
    </row>
    <row r="664" customFormat="false" ht="15" hidden="false" customHeight="false" outlineLevel="0" collapsed="false">
      <c r="A664" s="6" t="s">
        <v>2164</v>
      </c>
      <c r="B664" s="6" t="s">
        <v>2149</v>
      </c>
      <c r="C664" s="6" t="s">
        <v>18</v>
      </c>
      <c r="D664" s="6" t="s">
        <v>85</v>
      </c>
      <c r="E664" s="6" t="s">
        <v>28</v>
      </c>
      <c r="F664" s="7" t="s">
        <v>2165</v>
      </c>
      <c r="G664" s="6" t="s">
        <v>105</v>
      </c>
      <c r="H664" s="6" t="s">
        <v>8</v>
      </c>
      <c r="I664" s="8"/>
      <c r="J664" s="8"/>
      <c r="K664" s="8"/>
      <c r="L664" s="9"/>
    </row>
    <row r="665" customFormat="false" ht="23.85" hidden="false" customHeight="false" outlineLevel="0" collapsed="false">
      <c r="A665" s="6" t="s">
        <v>2166</v>
      </c>
      <c r="B665" s="6" t="s">
        <v>2167</v>
      </c>
      <c r="C665" s="6" t="s">
        <v>18</v>
      </c>
      <c r="D665" s="6" t="s">
        <v>1303</v>
      </c>
      <c r="E665" s="6"/>
      <c r="F665" s="7" t="s">
        <v>2168</v>
      </c>
      <c r="G665" s="6" t="s">
        <v>2169</v>
      </c>
      <c r="H665" s="6" t="s">
        <v>10</v>
      </c>
      <c r="I665" s="8"/>
      <c r="J665" s="8"/>
      <c r="K665" s="8"/>
      <c r="L665" s="9"/>
    </row>
    <row r="666" customFormat="false" ht="15" hidden="false" customHeight="false" outlineLevel="0" collapsed="false">
      <c r="A666" s="6" t="s">
        <v>2170</v>
      </c>
      <c r="B666" s="6" t="s">
        <v>2167</v>
      </c>
      <c r="C666" s="6" t="s">
        <v>18</v>
      </c>
      <c r="D666" s="6" t="s">
        <v>1303</v>
      </c>
      <c r="E666" s="6"/>
      <c r="F666" s="7" t="s">
        <v>2171</v>
      </c>
      <c r="G666" s="6" t="s">
        <v>2172</v>
      </c>
      <c r="H666" s="6" t="s">
        <v>6</v>
      </c>
      <c r="I666" s="8"/>
      <c r="J666" s="8"/>
      <c r="K666" s="8"/>
      <c r="L666" s="9"/>
    </row>
    <row r="667" customFormat="false" ht="23.85" hidden="false" customHeight="false" outlineLevel="0" collapsed="false">
      <c r="A667" s="6" t="s">
        <v>2173</v>
      </c>
      <c r="B667" s="6" t="s">
        <v>2167</v>
      </c>
      <c r="C667" s="6" t="s">
        <v>18</v>
      </c>
      <c r="D667" s="6" t="s">
        <v>1303</v>
      </c>
      <c r="E667" s="6"/>
      <c r="F667" s="7" t="s">
        <v>2174</v>
      </c>
      <c r="G667" s="6" t="s">
        <v>2175</v>
      </c>
      <c r="H667" s="6" t="s">
        <v>6</v>
      </c>
      <c r="I667" s="8"/>
      <c r="J667" s="8"/>
      <c r="K667" s="8"/>
      <c r="L667" s="9"/>
    </row>
    <row r="668" customFormat="false" ht="23.85" hidden="false" customHeight="false" outlineLevel="0" collapsed="false">
      <c r="A668" s="6" t="s">
        <v>2176</v>
      </c>
      <c r="B668" s="6" t="s">
        <v>2167</v>
      </c>
      <c r="C668" s="6" t="s">
        <v>18</v>
      </c>
      <c r="D668" s="6" t="s">
        <v>1303</v>
      </c>
      <c r="E668" s="6"/>
      <c r="F668" s="7" t="s">
        <v>2177</v>
      </c>
      <c r="G668" s="6" t="s">
        <v>2178</v>
      </c>
      <c r="H668" s="6" t="s">
        <v>8</v>
      </c>
      <c r="I668" s="8"/>
      <c r="J668" s="8"/>
      <c r="K668" s="8"/>
      <c r="L668" s="9"/>
    </row>
    <row r="669" customFormat="false" ht="23.85" hidden="false" customHeight="false" outlineLevel="0" collapsed="false">
      <c r="A669" s="6" t="s">
        <v>2179</v>
      </c>
      <c r="B669" s="6" t="s">
        <v>2167</v>
      </c>
      <c r="C669" s="6" t="s">
        <v>18</v>
      </c>
      <c r="D669" s="6" t="s">
        <v>1303</v>
      </c>
      <c r="E669" s="6"/>
      <c r="F669" s="7" t="s">
        <v>2180</v>
      </c>
      <c r="G669" s="6" t="s">
        <v>2181</v>
      </c>
      <c r="H669" s="6" t="s">
        <v>8</v>
      </c>
      <c r="I669" s="8"/>
      <c r="J669" s="8"/>
      <c r="K669" s="8"/>
      <c r="L669" s="9"/>
    </row>
    <row r="670" customFormat="false" ht="23.85" hidden="false" customHeight="false" outlineLevel="0" collapsed="false">
      <c r="A670" s="6" t="s">
        <v>2182</v>
      </c>
      <c r="B670" s="6" t="s">
        <v>2183</v>
      </c>
      <c r="C670" s="6" t="s">
        <v>18</v>
      </c>
      <c r="D670" s="6" t="s">
        <v>1303</v>
      </c>
      <c r="E670" s="6"/>
      <c r="F670" s="7" t="s">
        <v>2184</v>
      </c>
      <c r="G670" s="6" t="s">
        <v>2185</v>
      </c>
      <c r="H670" s="6" t="s">
        <v>10</v>
      </c>
      <c r="I670" s="8"/>
      <c r="J670" s="8"/>
      <c r="K670" s="8"/>
      <c r="L670" s="9"/>
    </row>
    <row r="671" customFormat="false" ht="23.85" hidden="false" customHeight="false" outlineLevel="0" collapsed="false">
      <c r="A671" s="6" t="s">
        <v>2186</v>
      </c>
      <c r="B671" s="6" t="s">
        <v>2183</v>
      </c>
      <c r="C671" s="6" t="s">
        <v>18</v>
      </c>
      <c r="D671" s="6" t="s">
        <v>1303</v>
      </c>
      <c r="E671" s="6"/>
      <c r="F671" s="7" t="s">
        <v>2187</v>
      </c>
      <c r="G671" s="6" t="s">
        <v>615</v>
      </c>
      <c r="H671" s="6" t="s">
        <v>10</v>
      </c>
      <c r="I671" s="8"/>
      <c r="J671" s="8"/>
      <c r="K671" s="8"/>
      <c r="L671" s="9"/>
    </row>
    <row r="672" customFormat="false" ht="23.85" hidden="false" customHeight="false" outlineLevel="0" collapsed="false">
      <c r="A672" s="6" t="s">
        <v>2188</v>
      </c>
      <c r="B672" s="6" t="s">
        <v>2183</v>
      </c>
      <c r="C672" s="6" t="s">
        <v>18</v>
      </c>
      <c r="D672" s="6" t="s">
        <v>1303</v>
      </c>
      <c r="E672" s="6"/>
      <c r="F672" s="7" t="s">
        <v>2189</v>
      </c>
      <c r="G672" s="6" t="s">
        <v>2190</v>
      </c>
      <c r="H672" s="6" t="s">
        <v>8</v>
      </c>
      <c r="I672" s="8"/>
      <c r="J672" s="8"/>
      <c r="K672" s="8"/>
      <c r="L672" s="9"/>
    </row>
    <row r="673" customFormat="false" ht="23.85" hidden="false" customHeight="false" outlineLevel="0" collapsed="false">
      <c r="A673" s="6" t="s">
        <v>2191</v>
      </c>
      <c r="B673" s="6" t="s">
        <v>2183</v>
      </c>
      <c r="C673" s="6" t="s">
        <v>18</v>
      </c>
      <c r="D673" s="6" t="s">
        <v>1303</v>
      </c>
      <c r="E673" s="6"/>
      <c r="F673" s="7" t="s">
        <v>2192</v>
      </c>
      <c r="G673" s="6" t="s">
        <v>2193</v>
      </c>
      <c r="H673" s="6" t="s">
        <v>10</v>
      </c>
      <c r="I673" s="8"/>
      <c r="J673" s="8"/>
      <c r="K673" s="8"/>
      <c r="L673" s="9"/>
    </row>
    <row r="674" customFormat="false" ht="15" hidden="false" customHeight="false" outlineLevel="0" collapsed="false">
      <c r="A674" s="6" t="s">
        <v>2194</v>
      </c>
      <c r="B674" s="6" t="s">
        <v>2195</v>
      </c>
      <c r="C674" s="6" t="s">
        <v>18</v>
      </c>
      <c r="D674" s="6" t="s">
        <v>44</v>
      </c>
      <c r="E674" s="6"/>
      <c r="F674" s="7" t="s">
        <v>2196</v>
      </c>
      <c r="G674" s="6" t="s">
        <v>2197</v>
      </c>
      <c r="H674" s="6" t="s">
        <v>7</v>
      </c>
      <c r="I674" s="8"/>
      <c r="J674" s="8"/>
      <c r="K674" s="8"/>
      <c r="L674" s="9"/>
    </row>
    <row r="675" customFormat="false" ht="23.85" hidden="false" customHeight="false" outlineLevel="0" collapsed="false">
      <c r="A675" s="6" t="s">
        <v>2198</v>
      </c>
      <c r="B675" s="6" t="s">
        <v>2195</v>
      </c>
      <c r="C675" s="6" t="s">
        <v>18</v>
      </c>
      <c r="D675" s="6" t="s">
        <v>44</v>
      </c>
      <c r="E675" s="6"/>
      <c r="F675" s="7" t="s">
        <v>2199</v>
      </c>
      <c r="G675" s="6" t="s">
        <v>2200</v>
      </c>
      <c r="H675" s="6" t="s">
        <v>8</v>
      </c>
      <c r="I675" s="8"/>
      <c r="J675" s="8"/>
      <c r="K675" s="8"/>
      <c r="L675" s="9"/>
    </row>
    <row r="676" customFormat="false" ht="23.85" hidden="false" customHeight="false" outlineLevel="0" collapsed="false">
      <c r="A676" s="6" t="s">
        <v>2201</v>
      </c>
      <c r="B676" s="6" t="s">
        <v>2202</v>
      </c>
      <c r="C676" s="6" t="s">
        <v>18</v>
      </c>
      <c r="D676" s="6" t="s">
        <v>85</v>
      </c>
      <c r="E676" s="6" t="s">
        <v>28</v>
      </c>
      <c r="F676" s="7" t="s">
        <v>2203</v>
      </c>
      <c r="G676" s="6" t="s">
        <v>2204</v>
      </c>
      <c r="H676" s="6" t="s">
        <v>7</v>
      </c>
      <c r="I676" s="8"/>
      <c r="J676" s="8"/>
      <c r="K676" s="8"/>
      <c r="L676" s="9"/>
    </row>
    <row r="677" customFormat="false" ht="23.85" hidden="false" customHeight="false" outlineLevel="0" collapsed="false">
      <c r="A677" s="6" t="s">
        <v>2205</v>
      </c>
      <c r="B677" s="6" t="s">
        <v>2202</v>
      </c>
      <c r="C677" s="6" t="s">
        <v>18</v>
      </c>
      <c r="D677" s="6" t="s">
        <v>85</v>
      </c>
      <c r="E677" s="6" t="s">
        <v>28</v>
      </c>
      <c r="F677" s="7" t="s">
        <v>2206</v>
      </c>
      <c r="G677" s="6" t="s">
        <v>2207</v>
      </c>
      <c r="H677" s="6" t="s">
        <v>6</v>
      </c>
      <c r="I677" s="8"/>
      <c r="J677" s="8"/>
      <c r="K677" s="8"/>
      <c r="L677" s="9"/>
    </row>
    <row r="678" customFormat="false" ht="15" hidden="false" customHeight="false" outlineLevel="0" collapsed="false">
      <c r="A678" s="6" t="s">
        <v>2208</v>
      </c>
      <c r="B678" s="6" t="s">
        <v>2202</v>
      </c>
      <c r="C678" s="6" t="s">
        <v>18</v>
      </c>
      <c r="D678" s="6" t="s">
        <v>85</v>
      </c>
      <c r="E678" s="6" t="s">
        <v>28</v>
      </c>
      <c r="F678" s="7" t="s">
        <v>2165</v>
      </c>
      <c r="G678" s="6" t="s">
        <v>2209</v>
      </c>
      <c r="H678" s="6" t="s">
        <v>8</v>
      </c>
      <c r="I678" s="8"/>
      <c r="J678" s="8"/>
      <c r="K678" s="8"/>
      <c r="L678" s="9"/>
    </row>
    <row r="679" customFormat="false" ht="15" hidden="false" customHeight="false" outlineLevel="0" collapsed="false">
      <c r="A679" s="6" t="s">
        <v>2210</v>
      </c>
      <c r="B679" s="6" t="s">
        <v>2211</v>
      </c>
      <c r="C679" s="6" t="s">
        <v>18</v>
      </c>
      <c r="D679" s="6" t="s">
        <v>230</v>
      </c>
      <c r="E679" s="6" t="s">
        <v>28</v>
      </c>
      <c r="F679" s="7" t="s">
        <v>2212</v>
      </c>
      <c r="G679" s="6" t="s">
        <v>2213</v>
      </c>
      <c r="H679" s="6" t="s">
        <v>9</v>
      </c>
      <c r="I679" s="8"/>
      <c r="J679" s="8"/>
      <c r="K679" s="8"/>
      <c r="L679" s="9"/>
    </row>
    <row r="680" customFormat="false" ht="15" hidden="false" customHeight="false" outlineLevel="0" collapsed="false">
      <c r="A680" s="6" t="s">
        <v>2214</v>
      </c>
      <c r="B680" s="6" t="s">
        <v>2215</v>
      </c>
      <c r="C680" s="6" t="s">
        <v>18</v>
      </c>
      <c r="D680" s="6" t="s">
        <v>49</v>
      </c>
      <c r="E680" s="6" t="s">
        <v>28</v>
      </c>
      <c r="F680" s="7" t="s">
        <v>2216</v>
      </c>
      <c r="G680" s="6" t="s">
        <v>1578</v>
      </c>
      <c r="H680" s="6" t="s">
        <v>9</v>
      </c>
      <c r="I680" s="8"/>
      <c r="J680" s="8"/>
      <c r="K680" s="8"/>
      <c r="L680" s="9"/>
    </row>
    <row r="681" customFormat="false" ht="23.85" hidden="false" customHeight="false" outlineLevel="0" collapsed="false">
      <c r="A681" s="6" t="s">
        <v>2217</v>
      </c>
      <c r="B681" s="6" t="s">
        <v>2215</v>
      </c>
      <c r="C681" s="6" t="s">
        <v>18</v>
      </c>
      <c r="D681" s="6" t="s">
        <v>49</v>
      </c>
      <c r="E681" s="6" t="s">
        <v>28</v>
      </c>
      <c r="F681" s="7" t="s">
        <v>2218</v>
      </c>
      <c r="G681" s="6" t="s">
        <v>2219</v>
      </c>
      <c r="H681" s="6" t="s">
        <v>11</v>
      </c>
      <c r="I681" s="8"/>
      <c r="J681" s="8"/>
      <c r="K681" s="8"/>
      <c r="L681" s="9"/>
    </row>
    <row r="682" customFormat="false" ht="23.85" hidden="false" customHeight="false" outlineLevel="0" collapsed="false">
      <c r="A682" s="6" t="s">
        <v>2220</v>
      </c>
      <c r="B682" s="6" t="s">
        <v>2215</v>
      </c>
      <c r="C682" s="6" t="s">
        <v>18</v>
      </c>
      <c r="D682" s="6" t="s">
        <v>49</v>
      </c>
      <c r="E682" s="6" t="s">
        <v>28</v>
      </c>
      <c r="F682" s="7" t="s">
        <v>2221</v>
      </c>
      <c r="G682" s="6" t="s">
        <v>794</v>
      </c>
      <c r="H682" s="6" t="s">
        <v>11</v>
      </c>
      <c r="I682" s="8"/>
      <c r="J682" s="8"/>
      <c r="K682" s="8"/>
      <c r="L682" s="9"/>
    </row>
    <row r="683" customFormat="false" ht="23.85" hidden="false" customHeight="false" outlineLevel="0" collapsed="false">
      <c r="A683" s="6" t="s">
        <v>2222</v>
      </c>
      <c r="B683" s="6" t="s">
        <v>2215</v>
      </c>
      <c r="C683" s="6" t="s">
        <v>18</v>
      </c>
      <c r="D683" s="6" t="s">
        <v>49</v>
      </c>
      <c r="E683" s="6" t="s">
        <v>28</v>
      </c>
      <c r="F683" s="7" t="s">
        <v>2223</v>
      </c>
      <c r="G683" s="6" t="s">
        <v>218</v>
      </c>
      <c r="H683" s="6" t="s">
        <v>11</v>
      </c>
      <c r="I683" s="8"/>
      <c r="J683" s="8"/>
      <c r="K683" s="8"/>
      <c r="L683" s="9"/>
    </row>
    <row r="684" customFormat="false" ht="35.05" hidden="false" customHeight="false" outlineLevel="0" collapsed="false">
      <c r="A684" s="6" t="s">
        <v>2224</v>
      </c>
      <c r="B684" s="6" t="s">
        <v>2215</v>
      </c>
      <c r="C684" s="6" t="s">
        <v>18</v>
      </c>
      <c r="D684" s="6" t="s">
        <v>49</v>
      </c>
      <c r="E684" s="6" t="s">
        <v>28</v>
      </c>
      <c r="F684" s="7" t="s">
        <v>2225</v>
      </c>
      <c r="G684" s="6" t="s">
        <v>2226</v>
      </c>
      <c r="H684" s="6" t="s">
        <v>11</v>
      </c>
      <c r="I684" s="8"/>
      <c r="J684" s="8"/>
      <c r="K684" s="8"/>
      <c r="L684" s="9"/>
    </row>
    <row r="685" customFormat="false" ht="15" hidden="false" customHeight="false" outlineLevel="0" collapsed="false">
      <c r="A685" s="6" t="s">
        <v>2227</v>
      </c>
      <c r="B685" s="6" t="s">
        <v>2215</v>
      </c>
      <c r="C685" s="6" t="s">
        <v>18</v>
      </c>
      <c r="D685" s="6" t="s">
        <v>49</v>
      </c>
      <c r="E685" s="6" t="s">
        <v>28</v>
      </c>
      <c r="F685" s="7" t="s">
        <v>2228</v>
      </c>
      <c r="G685" s="6" t="s">
        <v>2229</v>
      </c>
      <c r="H685" s="6" t="s">
        <v>11</v>
      </c>
      <c r="I685" s="8"/>
      <c r="J685" s="8"/>
      <c r="K685" s="8"/>
      <c r="L685" s="9"/>
    </row>
    <row r="686" customFormat="false" ht="23.85" hidden="false" customHeight="false" outlineLevel="0" collapsed="false">
      <c r="A686" s="6" t="s">
        <v>2230</v>
      </c>
      <c r="B686" s="6" t="s">
        <v>2215</v>
      </c>
      <c r="C686" s="6" t="s">
        <v>18</v>
      </c>
      <c r="D686" s="6" t="s">
        <v>49</v>
      </c>
      <c r="E686" s="6" t="s">
        <v>28</v>
      </c>
      <c r="F686" s="7" t="s">
        <v>2231</v>
      </c>
      <c r="G686" s="6" t="s">
        <v>2232</v>
      </c>
      <c r="H686" s="6" t="s">
        <v>8</v>
      </c>
      <c r="I686" s="8"/>
      <c r="J686" s="8"/>
      <c r="K686" s="8"/>
      <c r="L686" s="9"/>
    </row>
    <row r="687" customFormat="false" ht="15" hidden="false" customHeight="false" outlineLevel="0" collapsed="false">
      <c r="A687" s="6" t="s">
        <v>2233</v>
      </c>
      <c r="B687" s="6" t="s">
        <v>2234</v>
      </c>
      <c r="C687" s="6" t="s">
        <v>18</v>
      </c>
      <c r="D687" s="6" t="s">
        <v>85</v>
      </c>
      <c r="E687" s="6"/>
      <c r="F687" s="7" t="s">
        <v>2235</v>
      </c>
      <c r="G687" s="6" t="s">
        <v>2236</v>
      </c>
      <c r="H687" s="6" t="s">
        <v>9</v>
      </c>
      <c r="I687" s="8"/>
      <c r="J687" s="8"/>
      <c r="K687" s="8"/>
      <c r="L687" s="9"/>
    </row>
    <row r="688" customFormat="false" ht="23.85" hidden="false" customHeight="false" outlineLevel="0" collapsed="false">
      <c r="A688" s="6" t="s">
        <v>2237</v>
      </c>
      <c r="B688" s="6" t="s">
        <v>2238</v>
      </c>
      <c r="C688" s="6" t="s">
        <v>18</v>
      </c>
      <c r="D688" s="6" t="s">
        <v>230</v>
      </c>
      <c r="E688" s="6"/>
      <c r="F688" s="7" t="s">
        <v>2239</v>
      </c>
      <c r="G688" s="6" t="s">
        <v>2240</v>
      </c>
      <c r="H688" s="6" t="s">
        <v>9</v>
      </c>
      <c r="I688" s="8"/>
      <c r="J688" s="8"/>
      <c r="K688" s="8"/>
      <c r="L688" s="9"/>
    </row>
    <row r="689" customFormat="false" ht="46.25" hidden="false" customHeight="false" outlineLevel="0" collapsed="false">
      <c r="A689" s="6" t="s">
        <v>2241</v>
      </c>
      <c r="B689" s="6" t="s">
        <v>2242</v>
      </c>
      <c r="C689" s="6" t="s">
        <v>18</v>
      </c>
      <c r="D689" s="6" t="s">
        <v>1303</v>
      </c>
      <c r="E689" s="6" t="s">
        <v>2243</v>
      </c>
      <c r="F689" s="7" t="s">
        <v>2244</v>
      </c>
      <c r="G689" s="6" t="s">
        <v>2245</v>
      </c>
      <c r="H689" s="6" t="s">
        <v>10</v>
      </c>
      <c r="I689" s="8"/>
      <c r="J689" s="8"/>
      <c r="K689" s="8"/>
      <c r="L689" s="9"/>
    </row>
    <row r="690" customFormat="false" ht="23.85" hidden="false" customHeight="false" outlineLevel="0" collapsed="false">
      <c r="A690" s="6" t="s">
        <v>2246</v>
      </c>
      <c r="B690" s="6" t="s">
        <v>2242</v>
      </c>
      <c r="C690" s="6" t="s">
        <v>18</v>
      </c>
      <c r="D690" s="6" t="s">
        <v>1303</v>
      </c>
      <c r="E690" s="6" t="s">
        <v>2243</v>
      </c>
      <c r="F690" s="7" t="s">
        <v>2247</v>
      </c>
      <c r="G690" s="6" t="s">
        <v>2248</v>
      </c>
      <c r="H690" s="6" t="s">
        <v>7</v>
      </c>
      <c r="I690" s="8"/>
      <c r="J690" s="8"/>
      <c r="K690" s="8"/>
      <c r="L690" s="9"/>
    </row>
    <row r="691" customFormat="false" ht="15" hidden="false" customHeight="false" outlineLevel="0" collapsed="false">
      <c r="A691" s="6" t="s">
        <v>2249</v>
      </c>
      <c r="B691" s="6" t="s">
        <v>2242</v>
      </c>
      <c r="C691" s="6" t="s">
        <v>18</v>
      </c>
      <c r="D691" s="6" t="s">
        <v>1303</v>
      </c>
      <c r="E691" s="6" t="s">
        <v>2243</v>
      </c>
      <c r="F691" s="7" t="s">
        <v>2250</v>
      </c>
      <c r="G691" s="6" t="s">
        <v>2251</v>
      </c>
      <c r="H691" s="6" t="s">
        <v>8</v>
      </c>
      <c r="I691" s="8"/>
      <c r="J691" s="8"/>
      <c r="K691" s="8"/>
      <c r="L691" s="9"/>
    </row>
    <row r="692" customFormat="false" ht="23.85" hidden="false" customHeight="false" outlineLevel="0" collapsed="false">
      <c r="A692" s="6" t="s">
        <v>2252</v>
      </c>
      <c r="B692" s="6" t="s">
        <v>2242</v>
      </c>
      <c r="C692" s="6" t="s">
        <v>18</v>
      </c>
      <c r="D692" s="6" t="s">
        <v>1303</v>
      </c>
      <c r="E692" s="6" t="s">
        <v>2243</v>
      </c>
      <c r="F692" s="7" t="s">
        <v>2253</v>
      </c>
      <c r="G692" s="6" t="s">
        <v>2254</v>
      </c>
      <c r="H692" s="6" t="s">
        <v>8</v>
      </c>
      <c r="I692" s="8"/>
      <c r="J692" s="8"/>
      <c r="K692" s="8"/>
      <c r="L692" s="9"/>
    </row>
    <row r="693" customFormat="false" ht="35.05" hidden="false" customHeight="false" outlineLevel="0" collapsed="false">
      <c r="A693" s="6" t="s">
        <v>2255</v>
      </c>
      <c r="B693" s="6" t="s">
        <v>2242</v>
      </c>
      <c r="C693" s="6" t="s">
        <v>18</v>
      </c>
      <c r="D693" s="6" t="s">
        <v>1303</v>
      </c>
      <c r="E693" s="6" t="s">
        <v>2243</v>
      </c>
      <c r="F693" s="7" t="s">
        <v>2256</v>
      </c>
      <c r="G693" s="6" t="s">
        <v>2257</v>
      </c>
      <c r="H693" s="6" t="s">
        <v>8</v>
      </c>
      <c r="I693" s="8"/>
      <c r="J693" s="8"/>
      <c r="K693" s="8"/>
      <c r="L693" s="9"/>
    </row>
    <row r="694" customFormat="false" ht="23.85" hidden="false" customHeight="false" outlineLevel="0" collapsed="false">
      <c r="A694" s="6" t="s">
        <v>2258</v>
      </c>
      <c r="B694" s="6" t="s">
        <v>2242</v>
      </c>
      <c r="C694" s="6" t="s">
        <v>18</v>
      </c>
      <c r="D694" s="6" t="s">
        <v>1303</v>
      </c>
      <c r="E694" s="6" t="s">
        <v>2243</v>
      </c>
      <c r="F694" s="7" t="s">
        <v>2259</v>
      </c>
      <c r="G694" s="6" t="s">
        <v>2260</v>
      </c>
      <c r="H694" s="6" t="s">
        <v>6</v>
      </c>
      <c r="I694" s="8"/>
      <c r="J694" s="8"/>
      <c r="K694" s="8"/>
      <c r="L694" s="9"/>
    </row>
    <row r="695" customFormat="false" ht="23.85" hidden="false" customHeight="false" outlineLevel="0" collapsed="false">
      <c r="A695" s="6" t="s">
        <v>2261</v>
      </c>
      <c r="B695" s="6" t="s">
        <v>2242</v>
      </c>
      <c r="C695" s="6" t="s">
        <v>18</v>
      </c>
      <c r="D695" s="6" t="s">
        <v>1303</v>
      </c>
      <c r="E695" s="6" t="s">
        <v>2243</v>
      </c>
      <c r="F695" s="7" t="s">
        <v>2262</v>
      </c>
      <c r="G695" s="6" t="s">
        <v>2263</v>
      </c>
      <c r="H695" s="6" t="s">
        <v>6</v>
      </c>
      <c r="I695" s="8"/>
      <c r="J695" s="8"/>
      <c r="K695" s="8"/>
      <c r="L695" s="9"/>
    </row>
    <row r="696" customFormat="false" ht="15" hidden="false" customHeight="false" outlineLevel="0" collapsed="false">
      <c r="A696" s="6" t="s">
        <v>2264</v>
      </c>
      <c r="B696" s="6" t="s">
        <v>2242</v>
      </c>
      <c r="C696" s="6" t="s">
        <v>18</v>
      </c>
      <c r="D696" s="6" t="s">
        <v>1303</v>
      </c>
      <c r="E696" s="6" t="s">
        <v>2243</v>
      </c>
      <c r="F696" s="7" t="s">
        <v>2265</v>
      </c>
      <c r="G696" s="6" t="s">
        <v>2266</v>
      </c>
      <c r="H696" s="6" t="s">
        <v>7</v>
      </c>
      <c r="I696" s="8"/>
      <c r="J696" s="8"/>
      <c r="K696" s="8"/>
      <c r="L696" s="9"/>
    </row>
    <row r="697" customFormat="false" ht="15" hidden="false" customHeight="false" outlineLevel="0" collapsed="false">
      <c r="A697" s="6" t="s">
        <v>2267</v>
      </c>
      <c r="B697" s="6" t="s">
        <v>2242</v>
      </c>
      <c r="C697" s="6" t="s">
        <v>18</v>
      </c>
      <c r="D697" s="6" t="s">
        <v>1303</v>
      </c>
      <c r="E697" s="6" t="s">
        <v>2243</v>
      </c>
      <c r="F697" s="7" t="s">
        <v>2268</v>
      </c>
      <c r="G697" s="6" t="s">
        <v>2269</v>
      </c>
      <c r="H697" s="6" t="s">
        <v>6</v>
      </c>
      <c r="I697" s="8"/>
      <c r="J697" s="8"/>
      <c r="K697" s="8"/>
      <c r="L697" s="9"/>
    </row>
    <row r="698" customFormat="false" ht="23.85" hidden="false" customHeight="false" outlineLevel="0" collapsed="false">
      <c r="A698" s="6" t="s">
        <v>2270</v>
      </c>
      <c r="B698" s="6" t="s">
        <v>2242</v>
      </c>
      <c r="C698" s="6" t="s">
        <v>18</v>
      </c>
      <c r="D698" s="6" t="s">
        <v>1303</v>
      </c>
      <c r="E698" s="6" t="s">
        <v>2243</v>
      </c>
      <c r="F698" s="7" t="s">
        <v>2271</v>
      </c>
      <c r="G698" s="6" t="s">
        <v>2272</v>
      </c>
      <c r="H698" s="6" t="s">
        <v>8</v>
      </c>
      <c r="I698" s="8"/>
      <c r="J698" s="8"/>
      <c r="K698" s="8"/>
      <c r="L698" s="9"/>
    </row>
    <row r="699" customFormat="false" ht="23.85" hidden="false" customHeight="false" outlineLevel="0" collapsed="false">
      <c r="A699" s="6" t="s">
        <v>2273</v>
      </c>
      <c r="B699" s="6" t="s">
        <v>2242</v>
      </c>
      <c r="C699" s="6" t="s">
        <v>18</v>
      </c>
      <c r="D699" s="6" t="s">
        <v>1303</v>
      </c>
      <c r="E699" s="6" t="s">
        <v>2243</v>
      </c>
      <c r="F699" s="7" t="s">
        <v>2274</v>
      </c>
      <c r="G699" s="6" t="s">
        <v>2275</v>
      </c>
      <c r="H699" s="6" t="s">
        <v>8</v>
      </c>
      <c r="I699" s="8"/>
      <c r="J699" s="8"/>
      <c r="K699" s="8"/>
      <c r="L699" s="9"/>
    </row>
    <row r="700" customFormat="false" ht="23.85" hidden="false" customHeight="false" outlineLevel="0" collapsed="false">
      <c r="A700" s="6" t="s">
        <v>2276</v>
      </c>
      <c r="B700" s="6" t="s">
        <v>2242</v>
      </c>
      <c r="C700" s="6" t="s">
        <v>18</v>
      </c>
      <c r="D700" s="6" t="s">
        <v>1303</v>
      </c>
      <c r="E700" s="6" t="s">
        <v>2243</v>
      </c>
      <c r="F700" s="7" t="s">
        <v>2277</v>
      </c>
      <c r="G700" s="6" t="s">
        <v>2278</v>
      </c>
      <c r="H700" s="6" t="s">
        <v>6</v>
      </c>
      <c r="I700" s="8"/>
      <c r="J700" s="8"/>
      <c r="K700" s="8"/>
      <c r="L700" s="9"/>
    </row>
    <row r="701" customFormat="false" ht="15" hidden="false" customHeight="false" outlineLevel="0" collapsed="false">
      <c r="A701" s="6" t="s">
        <v>2279</v>
      </c>
      <c r="B701" s="6" t="s">
        <v>2242</v>
      </c>
      <c r="C701" s="6" t="s">
        <v>18</v>
      </c>
      <c r="D701" s="6" t="s">
        <v>1303</v>
      </c>
      <c r="E701" s="6" t="s">
        <v>2243</v>
      </c>
      <c r="F701" s="7" t="s">
        <v>2280</v>
      </c>
      <c r="G701" s="6" t="s">
        <v>2281</v>
      </c>
      <c r="H701" s="6" t="s">
        <v>6</v>
      </c>
      <c r="I701" s="8"/>
      <c r="J701" s="8"/>
      <c r="K701" s="8"/>
      <c r="L701" s="9"/>
    </row>
    <row r="702" customFormat="false" ht="23.85" hidden="false" customHeight="false" outlineLevel="0" collapsed="false">
      <c r="A702" s="6" t="s">
        <v>2282</v>
      </c>
      <c r="B702" s="6" t="s">
        <v>2242</v>
      </c>
      <c r="C702" s="6" t="s">
        <v>18</v>
      </c>
      <c r="D702" s="6" t="s">
        <v>1303</v>
      </c>
      <c r="E702" s="6" t="s">
        <v>2243</v>
      </c>
      <c r="F702" s="7" t="s">
        <v>2283</v>
      </c>
      <c r="G702" s="6" t="s">
        <v>2284</v>
      </c>
      <c r="H702" s="6" t="s">
        <v>8</v>
      </c>
      <c r="I702" s="8"/>
      <c r="J702" s="8"/>
      <c r="K702" s="8"/>
      <c r="L702" s="9"/>
    </row>
    <row r="703" customFormat="false" ht="15" hidden="false" customHeight="false" outlineLevel="0" collapsed="false">
      <c r="A703" s="6" t="s">
        <v>2285</v>
      </c>
      <c r="B703" s="6" t="s">
        <v>2242</v>
      </c>
      <c r="C703" s="6" t="s">
        <v>18</v>
      </c>
      <c r="D703" s="6" t="s">
        <v>1303</v>
      </c>
      <c r="E703" s="6" t="s">
        <v>2243</v>
      </c>
      <c r="F703" s="7" t="s">
        <v>2286</v>
      </c>
      <c r="G703" s="6" t="s">
        <v>2287</v>
      </c>
      <c r="H703" s="6" t="s">
        <v>8</v>
      </c>
      <c r="I703" s="8"/>
      <c r="J703" s="8"/>
      <c r="K703" s="8"/>
      <c r="L703" s="9"/>
    </row>
    <row r="704" customFormat="false" ht="15" hidden="false" customHeight="false" outlineLevel="0" collapsed="false">
      <c r="A704" s="6" t="s">
        <v>2288</v>
      </c>
      <c r="B704" s="6" t="s">
        <v>2242</v>
      </c>
      <c r="C704" s="6" t="s">
        <v>18</v>
      </c>
      <c r="D704" s="6" t="s">
        <v>1303</v>
      </c>
      <c r="E704" s="6" t="s">
        <v>2243</v>
      </c>
      <c r="F704" s="7" t="s">
        <v>2289</v>
      </c>
      <c r="G704" s="6" t="s">
        <v>2290</v>
      </c>
      <c r="H704" s="6" t="s">
        <v>8</v>
      </c>
      <c r="I704" s="8"/>
      <c r="J704" s="8"/>
      <c r="K704" s="8"/>
      <c r="L704" s="9"/>
    </row>
    <row r="705" customFormat="false" ht="15" hidden="false" customHeight="false" outlineLevel="0" collapsed="false">
      <c r="A705" s="6" t="s">
        <v>2291</v>
      </c>
      <c r="B705" s="6" t="s">
        <v>2242</v>
      </c>
      <c r="C705" s="6" t="s">
        <v>18</v>
      </c>
      <c r="D705" s="6" t="s">
        <v>1303</v>
      </c>
      <c r="E705" s="6" t="s">
        <v>2243</v>
      </c>
      <c r="F705" s="7" t="s">
        <v>2292</v>
      </c>
      <c r="G705" s="6" t="s">
        <v>2293</v>
      </c>
      <c r="H705" s="6" t="s">
        <v>8</v>
      </c>
      <c r="I705" s="8"/>
      <c r="J705" s="8"/>
      <c r="K705" s="8"/>
      <c r="L705" s="9"/>
    </row>
    <row r="706" customFormat="false" ht="15" hidden="false" customHeight="false" outlineLevel="0" collapsed="false">
      <c r="A706" s="6" t="s">
        <v>2294</v>
      </c>
      <c r="B706" s="6" t="s">
        <v>2242</v>
      </c>
      <c r="C706" s="6" t="s">
        <v>18</v>
      </c>
      <c r="D706" s="6" t="s">
        <v>1303</v>
      </c>
      <c r="E706" s="6" t="s">
        <v>2243</v>
      </c>
      <c r="F706" s="7" t="s">
        <v>2295</v>
      </c>
      <c r="G706" s="6" t="s">
        <v>2296</v>
      </c>
      <c r="H706" s="6" t="s">
        <v>6</v>
      </c>
      <c r="I706" s="8"/>
      <c r="J706" s="8"/>
      <c r="K706" s="8"/>
      <c r="L706" s="9"/>
    </row>
    <row r="707" customFormat="false" ht="23.85" hidden="false" customHeight="false" outlineLevel="0" collapsed="false">
      <c r="A707" s="6" t="s">
        <v>2297</v>
      </c>
      <c r="B707" s="6" t="s">
        <v>2242</v>
      </c>
      <c r="C707" s="6" t="s">
        <v>18</v>
      </c>
      <c r="D707" s="6" t="s">
        <v>1303</v>
      </c>
      <c r="E707" s="6" t="s">
        <v>2243</v>
      </c>
      <c r="F707" s="7" t="s">
        <v>2298</v>
      </c>
      <c r="G707" s="6" t="s">
        <v>2299</v>
      </c>
      <c r="H707" s="6" t="s">
        <v>8</v>
      </c>
      <c r="I707" s="8"/>
      <c r="J707" s="8"/>
      <c r="K707" s="8"/>
      <c r="L707" s="9"/>
    </row>
    <row r="708" customFormat="false" ht="23.85" hidden="false" customHeight="false" outlineLevel="0" collapsed="false">
      <c r="A708" s="6" t="s">
        <v>2300</v>
      </c>
      <c r="B708" s="6" t="s">
        <v>2242</v>
      </c>
      <c r="C708" s="6" t="s">
        <v>18</v>
      </c>
      <c r="D708" s="6" t="s">
        <v>1303</v>
      </c>
      <c r="E708" s="6" t="s">
        <v>2243</v>
      </c>
      <c r="F708" s="7" t="s">
        <v>2301</v>
      </c>
      <c r="G708" s="6" t="s">
        <v>2302</v>
      </c>
      <c r="H708" s="6" t="s">
        <v>9</v>
      </c>
      <c r="I708" s="8"/>
      <c r="J708" s="8"/>
      <c r="K708" s="8"/>
      <c r="L708" s="9"/>
    </row>
    <row r="709" customFormat="false" ht="35.05" hidden="false" customHeight="false" outlineLevel="0" collapsed="false">
      <c r="A709" s="6" t="s">
        <v>2303</v>
      </c>
      <c r="B709" s="6" t="s">
        <v>2242</v>
      </c>
      <c r="C709" s="6" t="s">
        <v>18</v>
      </c>
      <c r="D709" s="6" t="s">
        <v>1303</v>
      </c>
      <c r="E709" s="6" t="s">
        <v>2243</v>
      </c>
      <c r="F709" s="7" t="s">
        <v>2304</v>
      </c>
      <c r="G709" s="6" t="s">
        <v>2305</v>
      </c>
      <c r="H709" s="6" t="s">
        <v>8</v>
      </c>
      <c r="I709" s="8"/>
      <c r="J709" s="8"/>
      <c r="K709" s="8"/>
      <c r="L709" s="9"/>
    </row>
    <row r="710" customFormat="false" ht="23.85" hidden="false" customHeight="false" outlineLevel="0" collapsed="false">
      <c r="A710" s="6" t="s">
        <v>2306</v>
      </c>
      <c r="B710" s="6" t="s">
        <v>2242</v>
      </c>
      <c r="C710" s="6" t="s">
        <v>18</v>
      </c>
      <c r="D710" s="6" t="s">
        <v>1303</v>
      </c>
      <c r="E710" s="6" t="s">
        <v>2243</v>
      </c>
      <c r="F710" s="7" t="s">
        <v>2307</v>
      </c>
      <c r="G710" s="6" t="s">
        <v>2308</v>
      </c>
      <c r="H710" s="6" t="s">
        <v>8</v>
      </c>
      <c r="I710" s="8"/>
      <c r="J710" s="8"/>
      <c r="K710" s="8"/>
      <c r="L710" s="9"/>
    </row>
    <row r="711" customFormat="false" ht="23.85" hidden="false" customHeight="false" outlineLevel="0" collapsed="false">
      <c r="A711" s="6" t="s">
        <v>2309</v>
      </c>
      <c r="B711" s="6" t="s">
        <v>2242</v>
      </c>
      <c r="C711" s="6" t="s">
        <v>18</v>
      </c>
      <c r="D711" s="6" t="s">
        <v>1303</v>
      </c>
      <c r="E711" s="6" t="s">
        <v>2243</v>
      </c>
      <c r="F711" s="7" t="s">
        <v>2310</v>
      </c>
      <c r="G711" s="6" t="s">
        <v>2311</v>
      </c>
      <c r="H711" s="6" t="s">
        <v>7</v>
      </c>
      <c r="I711" s="8"/>
      <c r="J711" s="8"/>
      <c r="K711" s="8"/>
      <c r="L711" s="9"/>
    </row>
    <row r="712" customFormat="false" ht="23.85" hidden="false" customHeight="false" outlineLevel="0" collapsed="false">
      <c r="A712" s="6" t="s">
        <v>2312</v>
      </c>
      <c r="B712" s="6" t="s">
        <v>2242</v>
      </c>
      <c r="C712" s="6" t="s">
        <v>18</v>
      </c>
      <c r="D712" s="6" t="s">
        <v>1303</v>
      </c>
      <c r="E712" s="6" t="s">
        <v>2243</v>
      </c>
      <c r="F712" s="7" t="s">
        <v>2313</v>
      </c>
      <c r="G712" s="6" t="s">
        <v>2314</v>
      </c>
      <c r="H712" s="6" t="s">
        <v>6</v>
      </c>
      <c r="I712" s="8"/>
      <c r="J712" s="8"/>
      <c r="K712" s="8"/>
      <c r="L712" s="9"/>
    </row>
    <row r="713" customFormat="false" ht="23.85" hidden="false" customHeight="false" outlineLevel="0" collapsed="false">
      <c r="A713" s="6" t="s">
        <v>2315</v>
      </c>
      <c r="B713" s="6" t="s">
        <v>2242</v>
      </c>
      <c r="C713" s="6" t="s">
        <v>18</v>
      </c>
      <c r="D713" s="6" t="s">
        <v>1303</v>
      </c>
      <c r="E713" s="6" t="s">
        <v>2243</v>
      </c>
      <c r="F713" s="7" t="s">
        <v>2316</v>
      </c>
      <c r="G713" s="6" t="s">
        <v>2317</v>
      </c>
      <c r="H713" s="6" t="s">
        <v>8</v>
      </c>
      <c r="I713" s="8"/>
      <c r="J713" s="8"/>
      <c r="K713" s="8"/>
      <c r="L713" s="9"/>
    </row>
    <row r="714" customFormat="false" ht="23.85" hidden="false" customHeight="false" outlineLevel="0" collapsed="false">
      <c r="A714" s="6" t="s">
        <v>2318</v>
      </c>
      <c r="B714" s="6" t="s">
        <v>2242</v>
      </c>
      <c r="C714" s="6" t="s">
        <v>18</v>
      </c>
      <c r="D714" s="6" t="s">
        <v>1303</v>
      </c>
      <c r="E714" s="6" t="s">
        <v>2243</v>
      </c>
      <c r="F714" s="7" t="s">
        <v>2319</v>
      </c>
      <c r="G714" s="6" t="s">
        <v>2320</v>
      </c>
      <c r="H714" s="6" t="s">
        <v>8</v>
      </c>
      <c r="I714" s="8"/>
      <c r="J714" s="8"/>
      <c r="K714" s="8"/>
      <c r="L714" s="9"/>
    </row>
    <row r="715" customFormat="false" ht="23.85" hidden="false" customHeight="false" outlineLevel="0" collapsed="false">
      <c r="A715" s="6" t="s">
        <v>2321</v>
      </c>
      <c r="B715" s="6" t="s">
        <v>2242</v>
      </c>
      <c r="C715" s="6" t="s">
        <v>18</v>
      </c>
      <c r="D715" s="6" t="s">
        <v>1303</v>
      </c>
      <c r="E715" s="6" t="s">
        <v>2243</v>
      </c>
      <c r="F715" s="7" t="s">
        <v>2322</v>
      </c>
      <c r="G715" s="6" t="s">
        <v>2323</v>
      </c>
      <c r="H715" s="6" t="s">
        <v>8</v>
      </c>
      <c r="I715" s="8"/>
      <c r="J715" s="8"/>
      <c r="K715" s="8"/>
      <c r="L715" s="9"/>
    </row>
    <row r="716" customFormat="false" ht="23.85" hidden="false" customHeight="false" outlineLevel="0" collapsed="false">
      <c r="A716" s="6" t="s">
        <v>2324</v>
      </c>
      <c r="B716" s="6" t="s">
        <v>2242</v>
      </c>
      <c r="C716" s="6" t="s">
        <v>18</v>
      </c>
      <c r="D716" s="6" t="s">
        <v>1303</v>
      </c>
      <c r="E716" s="6" t="s">
        <v>2243</v>
      </c>
      <c r="F716" s="7" t="s">
        <v>2325</v>
      </c>
      <c r="G716" s="6" t="s">
        <v>2326</v>
      </c>
      <c r="H716" s="6" t="s">
        <v>6</v>
      </c>
      <c r="I716" s="8"/>
      <c r="J716" s="8"/>
      <c r="K716" s="8"/>
      <c r="L716" s="9"/>
    </row>
    <row r="717" customFormat="false" ht="15" hidden="false" customHeight="false" outlineLevel="0" collapsed="false">
      <c r="A717" s="6" t="s">
        <v>2327</v>
      </c>
      <c r="B717" s="6" t="s">
        <v>2242</v>
      </c>
      <c r="C717" s="6" t="s">
        <v>18</v>
      </c>
      <c r="D717" s="6" t="s">
        <v>1303</v>
      </c>
      <c r="E717" s="6" t="s">
        <v>2243</v>
      </c>
      <c r="F717" s="7" t="s">
        <v>2328</v>
      </c>
      <c r="G717" s="6" t="s">
        <v>2329</v>
      </c>
      <c r="H717" s="6" t="s">
        <v>6</v>
      </c>
      <c r="I717" s="8"/>
      <c r="J717" s="8"/>
      <c r="K717" s="8"/>
      <c r="L717" s="9"/>
    </row>
    <row r="718" customFormat="false" ht="23.85" hidden="false" customHeight="false" outlineLevel="0" collapsed="false">
      <c r="A718" s="6" t="s">
        <v>2330</v>
      </c>
      <c r="B718" s="6" t="s">
        <v>2242</v>
      </c>
      <c r="C718" s="6" t="s">
        <v>18</v>
      </c>
      <c r="D718" s="6" t="s">
        <v>1303</v>
      </c>
      <c r="E718" s="6" t="s">
        <v>2243</v>
      </c>
      <c r="F718" s="7" t="s">
        <v>2331</v>
      </c>
      <c r="G718" s="6" t="s">
        <v>2332</v>
      </c>
      <c r="H718" s="6" t="s">
        <v>6</v>
      </c>
      <c r="I718" s="8"/>
      <c r="J718" s="8"/>
      <c r="K718" s="8"/>
      <c r="L718" s="9"/>
    </row>
    <row r="719" customFormat="false" ht="23.85" hidden="false" customHeight="false" outlineLevel="0" collapsed="false">
      <c r="A719" s="6" t="s">
        <v>2333</v>
      </c>
      <c r="B719" s="6" t="s">
        <v>2242</v>
      </c>
      <c r="C719" s="6" t="s">
        <v>18</v>
      </c>
      <c r="D719" s="6" t="s">
        <v>1303</v>
      </c>
      <c r="E719" s="6" t="s">
        <v>2243</v>
      </c>
      <c r="F719" s="7" t="s">
        <v>2334</v>
      </c>
      <c r="G719" s="6" t="s">
        <v>2335</v>
      </c>
      <c r="H719" s="6" t="s">
        <v>7</v>
      </c>
      <c r="I719" s="8"/>
      <c r="J719" s="8"/>
      <c r="K719" s="8"/>
      <c r="L719" s="9"/>
    </row>
    <row r="720" customFormat="false" ht="23.85" hidden="false" customHeight="false" outlineLevel="0" collapsed="false">
      <c r="A720" s="6" t="s">
        <v>2336</v>
      </c>
      <c r="B720" s="6" t="s">
        <v>2337</v>
      </c>
      <c r="C720" s="6" t="s">
        <v>18</v>
      </c>
      <c r="D720" s="6" t="s">
        <v>230</v>
      </c>
      <c r="E720" s="6" t="s">
        <v>264</v>
      </c>
      <c r="F720" s="7" t="s">
        <v>2338</v>
      </c>
      <c r="G720" s="6" t="s">
        <v>2339</v>
      </c>
      <c r="H720" s="6" t="s">
        <v>9</v>
      </c>
      <c r="I720" s="8"/>
      <c r="J720" s="8"/>
      <c r="K720" s="8"/>
      <c r="L720" s="9"/>
    </row>
    <row r="721" customFormat="false" ht="15" hidden="false" customHeight="false" outlineLevel="0" collapsed="false">
      <c r="A721" s="6" t="s">
        <v>2340</v>
      </c>
      <c r="B721" s="6" t="s">
        <v>2337</v>
      </c>
      <c r="C721" s="6" t="s">
        <v>18</v>
      </c>
      <c r="D721" s="6" t="s">
        <v>230</v>
      </c>
      <c r="E721" s="6" t="s">
        <v>264</v>
      </c>
      <c r="F721" s="7" t="s">
        <v>2341</v>
      </c>
      <c r="G721" s="6" t="s">
        <v>2342</v>
      </c>
      <c r="H721" s="6" t="s">
        <v>8</v>
      </c>
      <c r="I721" s="8"/>
      <c r="J721" s="8"/>
      <c r="K721" s="8"/>
      <c r="L721" s="9"/>
    </row>
    <row r="722" customFormat="false" ht="15" hidden="false" customHeight="false" outlineLevel="0" collapsed="false">
      <c r="A722" s="6" t="s">
        <v>2343</v>
      </c>
      <c r="B722" s="6" t="s">
        <v>2337</v>
      </c>
      <c r="C722" s="6" t="s">
        <v>18</v>
      </c>
      <c r="D722" s="6" t="s">
        <v>230</v>
      </c>
      <c r="E722" s="6" t="s">
        <v>264</v>
      </c>
      <c r="F722" s="7" t="s">
        <v>2344</v>
      </c>
      <c r="G722" s="6" t="s">
        <v>2345</v>
      </c>
      <c r="H722" s="6" t="s">
        <v>8</v>
      </c>
      <c r="I722" s="8"/>
      <c r="J722" s="8"/>
      <c r="K722" s="8"/>
      <c r="L722" s="9"/>
    </row>
    <row r="723" customFormat="false" ht="15" hidden="false" customHeight="false" outlineLevel="0" collapsed="false">
      <c r="A723" s="6" t="s">
        <v>2346</v>
      </c>
      <c r="B723" s="6" t="s">
        <v>2337</v>
      </c>
      <c r="C723" s="6" t="s">
        <v>18</v>
      </c>
      <c r="D723" s="6" t="s">
        <v>230</v>
      </c>
      <c r="E723" s="6" t="s">
        <v>264</v>
      </c>
      <c r="F723" s="7" t="s">
        <v>2347</v>
      </c>
      <c r="G723" s="6" t="s">
        <v>2348</v>
      </c>
      <c r="H723" s="6" t="s">
        <v>8</v>
      </c>
      <c r="I723" s="8"/>
      <c r="J723" s="8"/>
      <c r="K723" s="8"/>
      <c r="L723" s="9"/>
    </row>
    <row r="724" customFormat="false" ht="46.25" hidden="false" customHeight="false" outlineLevel="0" collapsed="false">
      <c r="A724" s="6" t="s">
        <v>2349</v>
      </c>
      <c r="B724" s="6" t="s">
        <v>2337</v>
      </c>
      <c r="C724" s="6" t="s">
        <v>18</v>
      </c>
      <c r="D724" s="6" t="s">
        <v>230</v>
      </c>
      <c r="E724" s="6" t="s">
        <v>264</v>
      </c>
      <c r="F724" s="7" t="s">
        <v>2350</v>
      </c>
      <c r="G724" s="6" t="s">
        <v>2351</v>
      </c>
      <c r="H724" s="6" t="s">
        <v>8</v>
      </c>
      <c r="I724" s="8"/>
      <c r="J724" s="8"/>
      <c r="K724" s="8"/>
      <c r="L724" s="9"/>
    </row>
    <row r="725" customFormat="false" ht="15" hidden="false" customHeight="false" outlineLevel="0" collapsed="false">
      <c r="A725" s="6" t="s">
        <v>2352</v>
      </c>
      <c r="B725" s="6" t="s">
        <v>2337</v>
      </c>
      <c r="C725" s="6" t="s">
        <v>18</v>
      </c>
      <c r="D725" s="6" t="s">
        <v>230</v>
      </c>
      <c r="E725" s="6" t="s">
        <v>264</v>
      </c>
      <c r="F725" s="7" t="s">
        <v>2353</v>
      </c>
      <c r="G725" s="6" t="s">
        <v>2354</v>
      </c>
      <c r="H725" s="6" t="s">
        <v>7</v>
      </c>
      <c r="I725" s="8"/>
      <c r="J725" s="8"/>
      <c r="K725" s="8"/>
      <c r="L725" s="9"/>
    </row>
    <row r="726" customFormat="false" ht="23.85" hidden="false" customHeight="false" outlineLevel="0" collapsed="false">
      <c r="A726" s="6" t="s">
        <v>2355</v>
      </c>
      <c r="B726" s="6" t="s">
        <v>2356</v>
      </c>
      <c r="C726" s="6" t="s">
        <v>18</v>
      </c>
      <c r="D726" s="6" t="s">
        <v>1303</v>
      </c>
      <c r="E726" s="6"/>
      <c r="F726" s="7" t="s">
        <v>2357</v>
      </c>
      <c r="G726" s="6" t="s">
        <v>2358</v>
      </c>
      <c r="H726" s="6" t="s">
        <v>10</v>
      </c>
      <c r="I726" s="8"/>
      <c r="J726" s="8"/>
      <c r="K726" s="8"/>
      <c r="L726" s="9"/>
    </row>
    <row r="727" customFormat="false" ht="15" hidden="false" customHeight="false" outlineLevel="0" collapsed="false">
      <c r="A727" s="6" t="s">
        <v>2359</v>
      </c>
      <c r="B727" s="6" t="s">
        <v>2356</v>
      </c>
      <c r="C727" s="6" t="s">
        <v>18</v>
      </c>
      <c r="D727" s="6" t="s">
        <v>1303</v>
      </c>
      <c r="E727" s="6"/>
      <c r="F727" s="7" t="s">
        <v>2360</v>
      </c>
      <c r="G727" s="6" t="s">
        <v>2172</v>
      </c>
      <c r="H727" s="6" t="s">
        <v>6</v>
      </c>
      <c r="I727" s="8"/>
      <c r="J727" s="8"/>
      <c r="K727" s="8"/>
      <c r="L727" s="9"/>
    </row>
    <row r="728" customFormat="false" ht="23.85" hidden="false" customHeight="false" outlineLevel="0" collapsed="false">
      <c r="A728" s="6" t="s">
        <v>2361</v>
      </c>
      <c r="B728" s="6" t="s">
        <v>2356</v>
      </c>
      <c r="C728" s="6" t="s">
        <v>18</v>
      </c>
      <c r="D728" s="6" t="s">
        <v>1303</v>
      </c>
      <c r="E728" s="6"/>
      <c r="F728" s="7" t="s">
        <v>2362</v>
      </c>
      <c r="G728" s="6" t="s">
        <v>2363</v>
      </c>
      <c r="H728" s="6" t="s">
        <v>6</v>
      </c>
      <c r="I728" s="8"/>
      <c r="J728" s="8"/>
      <c r="K728" s="8"/>
      <c r="L728" s="9"/>
    </row>
    <row r="729" customFormat="false" ht="23.85" hidden="false" customHeight="false" outlineLevel="0" collapsed="false">
      <c r="A729" s="6" t="s">
        <v>2364</v>
      </c>
      <c r="B729" s="6" t="s">
        <v>2356</v>
      </c>
      <c r="C729" s="6" t="s">
        <v>18</v>
      </c>
      <c r="D729" s="6" t="s">
        <v>1303</v>
      </c>
      <c r="E729" s="6"/>
      <c r="F729" s="7" t="s">
        <v>2365</v>
      </c>
      <c r="G729" s="6" t="s">
        <v>2366</v>
      </c>
      <c r="H729" s="6" t="s">
        <v>8</v>
      </c>
      <c r="I729" s="8"/>
      <c r="J729" s="8"/>
      <c r="K729" s="8"/>
      <c r="L729" s="9"/>
    </row>
    <row r="730" customFormat="false" ht="23.85" hidden="false" customHeight="false" outlineLevel="0" collapsed="false">
      <c r="A730" s="6" t="s">
        <v>2367</v>
      </c>
      <c r="B730" s="6" t="s">
        <v>2368</v>
      </c>
      <c r="C730" s="6" t="s">
        <v>18</v>
      </c>
      <c r="D730" s="6" t="s">
        <v>274</v>
      </c>
      <c r="E730" s="6" t="s">
        <v>27</v>
      </c>
      <c r="F730" s="7" t="s">
        <v>2369</v>
      </c>
      <c r="G730" s="6" t="s">
        <v>2370</v>
      </c>
      <c r="H730" s="6" t="s">
        <v>6</v>
      </c>
      <c r="I730" s="8"/>
      <c r="J730" s="8"/>
      <c r="K730" s="8"/>
      <c r="L730" s="9"/>
    </row>
    <row r="731" customFormat="false" ht="23.85" hidden="false" customHeight="false" outlineLevel="0" collapsed="false">
      <c r="A731" s="6" t="s">
        <v>2371</v>
      </c>
      <c r="B731" s="6" t="s">
        <v>2368</v>
      </c>
      <c r="C731" s="6" t="s">
        <v>18</v>
      </c>
      <c r="D731" s="6" t="s">
        <v>274</v>
      </c>
      <c r="E731" s="6" t="s">
        <v>27</v>
      </c>
      <c r="F731" s="7" t="s">
        <v>2372</v>
      </c>
      <c r="G731" s="6" t="s">
        <v>170</v>
      </c>
      <c r="H731" s="6" t="s">
        <v>8</v>
      </c>
      <c r="I731" s="8"/>
      <c r="J731" s="8"/>
      <c r="K731" s="8"/>
      <c r="L731" s="9"/>
    </row>
    <row r="732" customFormat="false" ht="15" hidden="false" customHeight="false" outlineLevel="0" collapsed="false">
      <c r="A732" s="6" t="s">
        <v>2373</v>
      </c>
      <c r="B732" s="6" t="s">
        <v>2368</v>
      </c>
      <c r="C732" s="6" t="s">
        <v>18</v>
      </c>
      <c r="D732" s="6" t="s">
        <v>274</v>
      </c>
      <c r="E732" s="6" t="s">
        <v>27</v>
      </c>
      <c r="F732" s="7" t="s">
        <v>2374</v>
      </c>
      <c r="G732" s="6" t="s">
        <v>2375</v>
      </c>
      <c r="H732" s="6" t="s">
        <v>8</v>
      </c>
      <c r="I732" s="8"/>
      <c r="J732" s="8"/>
      <c r="K732" s="8"/>
      <c r="L732" s="9"/>
    </row>
    <row r="733" customFormat="false" ht="15" hidden="false" customHeight="false" outlineLevel="0" collapsed="false">
      <c r="A733" s="6" t="s">
        <v>2376</v>
      </c>
      <c r="B733" s="6" t="s">
        <v>2368</v>
      </c>
      <c r="C733" s="6" t="s">
        <v>18</v>
      </c>
      <c r="D733" s="6" t="s">
        <v>274</v>
      </c>
      <c r="E733" s="6" t="s">
        <v>27</v>
      </c>
      <c r="F733" s="7" t="s">
        <v>2377</v>
      </c>
      <c r="G733" s="6" t="s">
        <v>884</v>
      </c>
      <c r="H733" s="6" t="s">
        <v>8</v>
      </c>
      <c r="I733" s="8"/>
      <c r="J733" s="8"/>
      <c r="K733" s="8"/>
      <c r="L733" s="9"/>
    </row>
    <row r="734" customFormat="false" ht="15" hidden="false" customHeight="false" outlineLevel="0" collapsed="false">
      <c r="A734" s="6" t="s">
        <v>2378</v>
      </c>
      <c r="B734" s="6" t="s">
        <v>2368</v>
      </c>
      <c r="C734" s="6" t="s">
        <v>18</v>
      </c>
      <c r="D734" s="6" t="s">
        <v>274</v>
      </c>
      <c r="E734" s="6" t="s">
        <v>27</v>
      </c>
      <c r="F734" s="7" t="s">
        <v>2379</v>
      </c>
      <c r="G734" s="6" t="s">
        <v>2380</v>
      </c>
      <c r="H734" s="6" t="s">
        <v>6</v>
      </c>
      <c r="I734" s="8"/>
      <c r="J734" s="8"/>
      <c r="K734" s="8"/>
      <c r="L734" s="9"/>
    </row>
    <row r="735" customFormat="false" ht="23.85" hidden="false" customHeight="false" outlineLevel="0" collapsed="false">
      <c r="A735" s="6" t="s">
        <v>2381</v>
      </c>
      <c r="B735" s="6" t="s">
        <v>2368</v>
      </c>
      <c r="C735" s="6" t="s">
        <v>18</v>
      </c>
      <c r="D735" s="6" t="s">
        <v>274</v>
      </c>
      <c r="E735" s="6" t="s">
        <v>27</v>
      </c>
      <c r="F735" s="7" t="s">
        <v>2382</v>
      </c>
      <c r="G735" s="6" t="s">
        <v>2383</v>
      </c>
      <c r="H735" s="6" t="s">
        <v>8</v>
      </c>
      <c r="I735" s="8"/>
      <c r="J735" s="8"/>
      <c r="K735" s="8"/>
      <c r="L735" s="9"/>
    </row>
    <row r="736" customFormat="false" ht="23.85" hidden="false" customHeight="false" outlineLevel="0" collapsed="false">
      <c r="A736" s="6" t="s">
        <v>2384</v>
      </c>
      <c r="B736" s="6" t="s">
        <v>2368</v>
      </c>
      <c r="C736" s="6" t="s">
        <v>18</v>
      </c>
      <c r="D736" s="6" t="s">
        <v>274</v>
      </c>
      <c r="E736" s="6" t="s">
        <v>27</v>
      </c>
      <c r="F736" s="7" t="s">
        <v>2385</v>
      </c>
      <c r="G736" s="6" t="s">
        <v>2386</v>
      </c>
      <c r="H736" s="6" t="s">
        <v>10</v>
      </c>
      <c r="I736" s="8"/>
      <c r="J736" s="8"/>
      <c r="K736" s="8"/>
      <c r="L736" s="9"/>
    </row>
    <row r="737" customFormat="false" ht="46.25" hidden="false" customHeight="false" outlineLevel="0" collapsed="false">
      <c r="A737" s="6" t="s">
        <v>2387</v>
      </c>
      <c r="B737" s="6" t="s">
        <v>2368</v>
      </c>
      <c r="C737" s="6" t="s">
        <v>18</v>
      </c>
      <c r="D737" s="6" t="s">
        <v>274</v>
      </c>
      <c r="E737" s="6" t="s">
        <v>27</v>
      </c>
      <c r="F737" s="7" t="s">
        <v>2388</v>
      </c>
      <c r="G737" s="6" t="s">
        <v>2389</v>
      </c>
      <c r="H737" s="6" t="s">
        <v>8</v>
      </c>
      <c r="I737" s="8"/>
      <c r="J737" s="8"/>
      <c r="K737" s="8"/>
      <c r="L737" s="9"/>
    </row>
    <row r="738" customFormat="false" ht="23.85" hidden="false" customHeight="false" outlineLevel="0" collapsed="false">
      <c r="A738" s="6" t="s">
        <v>2390</v>
      </c>
      <c r="B738" s="6" t="s">
        <v>2368</v>
      </c>
      <c r="C738" s="6" t="s">
        <v>18</v>
      </c>
      <c r="D738" s="6" t="s">
        <v>274</v>
      </c>
      <c r="E738" s="6" t="s">
        <v>27</v>
      </c>
      <c r="F738" s="7" t="s">
        <v>2391</v>
      </c>
      <c r="G738" s="6" t="s">
        <v>2392</v>
      </c>
      <c r="H738" s="6" t="s">
        <v>10</v>
      </c>
      <c r="I738" s="8"/>
      <c r="J738" s="8"/>
      <c r="K738" s="8"/>
      <c r="L738" s="9"/>
    </row>
    <row r="739" customFormat="false" ht="46.25" hidden="false" customHeight="false" outlineLevel="0" collapsed="false">
      <c r="A739" s="6" t="s">
        <v>2393</v>
      </c>
      <c r="B739" s="6" t="s">
        <v>2394</v>
      </c>
      <c r="C739" s="6" t="s">
        <v>18</v>
      </c>
      <c r="D739" s="6" t="s">
        <v>1303</v>
      </c>
      <c r="E739" s="6" t="s">
        <v>2243</v>
      </c>
      <c r="F739" s="7" t="s">
        <v>2395</v>
      </c>
      <c r="G739" s="6" t="s">
        <v>2396</v>
      </c>
      <c r="H739" s="6" t="s">
        <v>10</v>
      </c>
      <c r="I739" s="8"/>
      <c r="J739" s="8"/>
      <c r="K739" s="8"/>
      <c r="L739" s="9"/>
    </row>
    <row r="740" customFormat="false" ht="23.85" hidden="false" customHeight="false" outlineLevel="0" collapsed="false">
      <c r="A740" s="6" t="s">
        <v>2397</v>
      </c>
      <c r="B740" s="6" t="s">
        <v>2394</v>
      </c>
      <c r="C740" s="6" t="s">
        <v>18</v>
      </c>
      <c r="D740" s="6" t="s">
        <v>1303</v>
      </c>
      <c r="E740" s="6" t="s">
        <v>2243</v>
      </c>
      <c r="F740" s="7" t="s">
        <v>2398</v>
      </c>
      <c r="G740" s="6" t="s">
        <v>2399</v>
      </c>
      <c r="H740" s="6" t="s">
        <v>8</v>
      </c>
      <c r="I740" s="8"/>
      <c r="J740" s="8"/>
      <c r="K740" s="8"/>
      <c r="L740" s="9"/>
    </row>
    <row r="741" customFormat="false" ht="35.05" hidden="false" customHeight="false" outlineLevel="0" collapsed="false">
      <c r="A741" s="6" t="s">
        <v>2400</v>
      </c>
      <c r="B741" s="6" t="s">
        <v>2394</v>
      </c>
      <c r="C741" s="6" t="s">
        <v>18</v>
      </c>
      <c r="D741" s="6" t="s">
        <v>1303</v>
      </c>
      <c r="E741" s="6" t="s">
        <v>2243</v>
      </c>
      <c r="F741" s="7" t="s">
        <v>2401</v>
      </c>
      <c r="G741" s="6" t="s">
        <v>2402</v>
      </c>
      <c r="H741" s="6" t="s">
        <v>8</v>
      </c>
      <c r="I741" s="8"/>
      <c r="J741" s="8"/>
      <c r="K741" s="8"/>
      <c r="L741" s="9"/>
    </row>
    <row r="742" customFormat="false" ht="35.05" hidden="false" customHeight="false" outlineLevel="0" collapsed="false">
      <c r="A742" s="6" t="s">
        <v>2403</v>
      </c>
      <c r="B742" s="6" t="s">
        <v>2394</v>
      </c>
      <c r="C742" s="6" t="s">
        <v>18</v>
      </c>
      <c r="D742" s="6" t="s">
        <v>1303</v>
      </c>
      <c r="E742" s="6" t="s">
        <v>2243</v>
      </c>
      <c r="F742" s="7" t="s">
        <v>2404</v>
      </c>
      <c r="G742" s="6" t="s">
        <v>2405</v>
      </c>
      <c r="H742" s="6" t="s">
        <v>8</v>
      </c>
      <c r="I742" s="8"/>
      <c r="J742" s="8"/>
      <c r="K742" s="8"/>
      <c r="L742" s="9"/>
    </row>
    <row r="743" customFormat="false" ht="23.85" hidden="false" customHeight="false" outlineLevel="0" collapsed="false">
      <c r="A743" s="6" t="s">
        <v>2406</v>
      </c>
      <c r="B743" s="6" t="s">
        <v>2394</v>
      </c>
      <c r="C743" s="6" t="s">
        <v>18</v>
      </c>
      <c r="D743" s="6" t="s">
        <v>1303</v>
      </c>
      <c r="E743" s="6" t="s">
        <v>2243</v>
      </c>
      <c r="F743" s="7" t="s">
        <v>2407</v>
      </c>
      <c r="G743" s="6" t="s">
        <v>2408</v>
      </c>
      <c r="H743" s="6" t="s">
        <v>6</v>
      </c>
      <c r="I743" s="8"/>
      <c r="J743" s="8"/>
      <c r="K743" s="8"/>
      <c r="L743" s="9"/>
    </row>
    <row r="744" customFormat="false" ht="15" hidden="false" customHeight="false" outlineLevel="0" collapsed="false">
      <c r="A744" s="6" t="s">
        <v>2409</v>
      </c>
      <c r="B744" s="6" t="s">
        <v>2394</v>
      </c>
      <c r="C744" s="6" t="s">
        <v>18</v>
      </c>
      <c r="D744" s="6" t="s">
        <v>1303</v>
      </c>
      <c r="E744" s="6" t="s">
        <v>2243</v>
      </c>
      <c r="F744" s="7" t="s">
        <v>2410</v>
      </c>
      <c r="G744" s="6" t="s">
        <v>2411</v>
      </c>
      <c r="H744" s="6" t="s">
        <v>8</v>
      </c>
      <c r="I744" s="8"/>
      <c r="J744" s="8"/>
      <c r="K744" s="8"/>
      <c r="L744" s="9"/>
    </row>
    <row r="745" customFormat="false" ht="23.85" hidden="false" customHeight="false" outlineLevel="0" collapsed="false">
      <c r="A745" s="6" t="s">
        <v>2412</v>
      </c>
      <c r="B745" s="6" t="s">
        <v>2394</v>
      </c>
      <c r="C745" s="6" t="s">
        <v>18</v>
      </c>
      <c r="D745" s="6" t="s">
        <v>1303</v>
      </c>
      <c r="E745" s="6" t="s">
        <v>2243</v>
      </c>
      <c r="F745" s="7" t="s">
        <v>2413</v>
      </c>
      <c r="G745" s="6" t="s">
        <v>2414</v>
      </c>
      <c r="H745" s="6" t="s">
        <v>8</v>
      </c>
      <c r="I745" s="8"/>
      <c r="J745" s="8"/>
      <c r="K745" s="8"/>
      <c r="L745" s="9"/>
    </row>
    <row r="746" customFormat="false" ht="15" hidden="false" customHeight="false" outlineLevel="0" collapsed="false">
      <c r="A746" s="6" t="s">
        <v>2415</v>
      </c>
      <c r="B746" s="6" t="s">
        <v>2394</v>
      </c>
      <c r="C746" s="6" t="s">
        <v>18</v>
      </c>
      <c r="D746" s="6" t="s">
        <v>1303</v>
      </c>
      <c r="E746" s="6" t="s">
        <v>2243</v>
      </c>
      <c r="F746" s="7" t="s">
        <v>2416</v>
      </c>
      <c r="G746" s="6" t="s">
        <v>2417</v>
      </c>
      <c r="H746" s="6" t="s">
        <v>6</v>
      </c>
      <c r="I746" s="8"/>
      <c r="J746" s="8"/>
      <c r="K746" s="8"/>
      <c r="L746" s="9"/>
    </row>
    <row r="747" customFormat="false" ht="35.05" hidden="false" customHeight="false" outlineLevel="0" collapsed="false">
      <c r="A747" s="6" t="s">
        <v>2418</v>
      </c>
      <c r="B747" s="6" t="s">
        <v>2394</v>
      </c>
      <c r="C747" s="6" t="s">
        <v>18</v>
      </c>
      <c r="D747" s="6" t="s">
        <v>1303</v>
      </c>
      <c r="E747" s="6" t="s">
        <v>2243</v>
      </c>
      <c r="F747" s="7" t="s">
        <v>2419</v>
      </c>
      <c r="G747" s="6" t="s">
        <v>2420</v>
      </c>
      <c r="H747" s="6" t="s">
        <v>8</v>
      </c>
      <c r="I747" s="8"/>
      <c r="J747" s="8"/>
      <c r="K747" s="8"/>
      <c r="L747" s="9"/>
    </row>
    <row r="748" customFormat="false" ht="35.05" hidden="false" customHeight="false" outlineLevel="0" collapsed="false">
      <c r="A748" s="6" t="s">
        <v>2421</v>
      </c>
      <c r="B748" s="6" t="s">
        <v>2394</v>
      </c>
      <c r="C748" s="6" t="s">
        <v>18</v>
      </c>
      <c r="D748" s="6" t="s">
        <v>1303</v>
      </c>
      <c r="E748" s="6" t="s">
        <v>2243</v>
      </c>
      <c r="F748" s="7" t="s">
        <v>2422</v>
      </c>
      <c r="G748" s="6" t="s">
        <v>2423</v>
      </c>
      <c r="H748" s="6" t="s">
        <v>8</v>
      </c>
      <c r="I748" s="8"/>
      <c r="J748" s="8"/>
      <c r="K748" s="8"/>
      <c r="L748" s="9"/>
    </row>
    <row r="749" customFormat="false" ht="15" hidden="false" customHeight="false" outlineLevel="0" collapsed="false">
      <c r="A749" s="6" t="s">
        <v>2424</v>
      </c>
      <c r="B749" s="6" t="s">
        <v>2394</v>
      </c>
      <c r="C749" s="6" t="s">
        <v>18</v>
      </c>
      <c r="D749" s="6" t="s">
        <v>1303</v>
      </c>
      <c r="E749" s="6" t="s">
        <v>2243</v>
      </c>
      <c r="F749" s="7" t="s">
        <v>2425</v>
      </c>
      <c r="G749" s="6" t="s">
        <v>2426</v>
      </c>
      <c r="H749" s="6" t="s">
        <v>8</v>
      </c>
      <c r="I749" s="8"/>
      <c r="J749" s="8"/>
      <c r="K749" s="8"/>
      <c r="L749" s="9"/>
    </row>
    <row r="750" customFormat="false" ht="15" hidden="false" customHeight="false" outlineLevel="0" collapsed="false">
      <c r="A750" s="6" t="s">
        <v>2427</v>
      </c>
      <c r="B750" s="6" t="s">
        <v>2394</v>
      </c>
      <c r="C750" s="6" t="s">
        <v>18</v>
      </c>
      <c r="D750" s="6" t="s">
        <v>1303</v>
      </c>
      <c r="E750" s="6" t="s">
        <v>2243</v>
      </c>
      <c r="F750" s="7" t="s">
        <v>2428</v>
      </c>
      <c r="G750" s="6" t="s">
        <v>2429</v>
      </c>
      <c r="H750" s="6" t="s">
        <v>8</v>
      </c>
      <c r="I750" s="8"/>
      <c r="J750" s="8"/>
      <c r="K750" s="8"/>
      <c r="L750" s="9"/>
    </row>
    <row r="751" customFormat="false" ht="15" hidden="false" customHeight="false" outlineLevel="0" collapsed="false">
      <c r="A751" s="6" t="s">
        <v>2430</v>
      </c>
      <c r="B751" s="6" t="s">
        <v>2394</v>
      </c>
      <c r="C751" s="6" t="s">
        <v>18</v>
      </c>
      <c r="D751" s="6" t="s">
        <v>1303</v>
      </c>
      <c r="E751" s="6" t="s">
        <v>2243</v>
      </c>
      <c r="F751" s="7" t="s">
        <v>2431</v>
      </c>
      <c r="G751" s="6" t="s">
        <v>2432</v>
      </c>
      <c r="H751" s="6" t="s">
        <v>8</v>
      </c>
      <c r="I751" s="8"/>
      <c r="J751" s="8"/>
      <c r="K751" s="8"/>
      <c r="L751" s="9"/>
    </row>
    <row r="752" customFormat="false" ht="15" hidden="false" customHeight="false" outlineLevel="0" collapsed="false">
      <c r="A752" s="6" t="s">
        <v>2433</v>
      </c>
      <c r="B752" s="6" t="s">
        <v>2394</v>
      </c>
      <c r="C752" s="6" t="s">
        <v>18</v>
      </c>
      <c r="D752" s="6" t="s">
        <v>1303</v>
      </c>
      <c r="E752" s="6" t="s">
        <v>2243</v>
      </c>
      <c r="F752" s="7" t="s">
        <v>2434</v>
      </c>
      <c r="G752" s="6" t="s">
        <v>2435</v>
      </c>
      <c r="H752" s="6" t="s">
        <v>8</v>
      </c>
      <c r="I752" s="8"/>
      <c r="J752" s="8"/>
      <c r="K752" s="8"/>
      <c r="L752" s="9"/>
    </row>
    <row r="753" customFormat="false" ht="23.85" hidden="false" customHeight="false" outlineLevel="0" collapsed="false">
      <c r="A753" s="6" t="s">
        <v>2436</v>
      </c>
      <c r="B753" s="6" t="s">
        <v>2394</v>
      </c>
      <c r="C753" s="6" t="s">
        <v>18</v>
      </c>
      <c r="D753" s="6" t="s">
        <v>1303</v>
      </c>
      <c r="E753" s="6" t="s">
        <v>2243</v>
      </c>
      <c r="F753" s="7" t="s">
        <v>2437</v>
      </c>
      <c r="G753" s="6" t="s">
        <v>2438</v>
      </c>
      <c r="H753" s="6" t="s">
        <v>8</v>
      </c>
      <c r="I753" s="8"/>
      <c r="J753" s="8"/>
      <c r="K753" s="8"/>
      <c r="L753" s="9"/>
    </row>
    <row r="754" customFormat="false" ht="15" hidden="false" customHeight="false" outlineLevel="0" collapsed="false">
      <c r="A754" s="6" t="s">
        <v>2439</v>
      </c>
      <c r="B754" s="6" t="s">
        <v>2394</v>
      </c>
      <c r="C754" s="6" t="s">
        <v>18</v>
      </c>
      <c r="D754" s="6" t="s">
        <v>1303</v>
      </c>
      <c r="E754" s="6" t="s">
        <v>2243</v>
      </c>
      <c r="F754" s="7" t="s">
        <v>2440</v>
      </c>
      <c r="G754" s="6" t="s">
        <v>2441</v>
      </c>
      <c r="H754" s="6" t="s">
        <v>6</v>
      </c>
      <c r="I754" s="8"/>
      <c r="J754" s="8"/>
      <c r="K754" s="8"/>
      <c r="L754" s="9"/>
    </row>
    <row r="755" customFormat="false" ht="23.85" hidden="false" customHeight="false" outlineLevel="0" collapsed="false">
      <c r="A755" s="6" t="s">
        <v>2442</v>
      </c>
      <c r="B755" s="6" t="s">
        <v>2394</v>
      </c>
      <c r="C755" s="6" t="s">
        <v>18</v>
      </c>
      <c r="D755" s="6" t="s">
        <v>1303</v>
      </c>
      <c r="E755" s="6" t="s">
        <v>2243</v>
      </c>
      <c r="F755" s="7" t="s">
        <v>2443</v>
      </c>
      <c r="G755" s="6" t="s">
        <v>2444</v>
      </c>
      <c r="H755" s="6" t="s">
        <v>6</v>
      </c>
      <c r="I755" s="8"/>
      <c r="J755" s="8"/>
      <c r="K755" s="8"/>
      <c r="L755" s="9"/>
    </row>
    <row r="756" customFormat="false" ht="23.85" hidden="false" customHeight="false" outlineLevel="0" collapsed="false">
      <c r="A756" s="6" t="s">
        <v>2445</v>
      </c>
      <c r="B756" s="6" t="s">
        <v>2394</v>
      </c>
      <c r="C756" s="6" t="s">
        <v>18</v>
      </c>
      <c r="D756" s="6" t="s">
        <v>1303</v>
      </c>
      <c r="E756" s="6" t="s">
        <v>2243</v>
      </c>
      <c r="F756" s="7" t="s">
        <v>2446</v>
      </c>
      <c r="G756" s="6" t="s">
        <v>2447</v>
      </c>
      <c r="H756" s="6" t="s">
        <v>8</v>
      </c>
      <c r="I756" s="8"/>
      <c r="J756" s="8"/>
      <c r="K756" s="8"/>
      <c r="L756" s="9"/>
    </row>
    <row r="757" customFormat="false" ht="23.85" hidden="false" customHeight="false" outlineLevel="0" collapsed="false">
      <c r="A757" s="6" t="s">
        <v>2448</v>
      </c>
      <c r="B757" s="6" t="s">
        <v>2394</v>
      </c>
      <c r="C757" s="6" t="s">
        <v>18</v>
      </c>
      <c r="D757" s="6" t="s">
        <v>1303</v>
      </c>
      <c r="E757" s="6" t="s">
        <v>2243</v>
      </c>
      <c r="F757" s="7" t="s">
        <v>2449</v>
      </c>
      <c r="G757" s="6" t="s">
        <v>2450</v>
      </c>
      <c r="H757" s="6" t="s">
        <v>8</v>
      </c>
      <c r="I757" s="8"/>
      <c r="J757" s="8"/>
      <c r="K757" s="8"/>
      <c r="L757" s="9"/>
    </row>
    <row r="758" customFormat="false" ht="15" hidden="false" customHeight="false" outlineLevel="0" collapsed="false">
      <c r="A758" s="6" t="s">
        <v>2451</v>
      </c>
      <c r="B758" s="6" t="s">
        <v>2394</v>
      </c>
      <c r="C758" s="6" t="s">
        <v>18</v>
      </c>
      <c r="D758" s="6" t="s">
        <v>1303</v>
      </c>
      <c r="E758" s="6" t="s">
        <v>2243</v>
      </c>
      <c r="F758" s="7" t="s">
        <v>2452</v>
      </c>
      <c r="G758" s="6" t="s">
        <v>2453</v>
      </c>
      <c r="H758" s="6" t="s">
        <v>6</v>
      </c>
      <c r="I758" s="8"/>
      <c r="J758" s="8"/>
      <c r="K758" s="8"/>
      <c r="L758" s="9"/>
    </row>
    <row r="759" customFormat="false" ht="15" hidden="false" customHeight="false" outlineLevel="0" collapsed="false">
      <c r="A759" s="6" t="s">
        <v>2454</v>
      </c>
      <c r="B759" s="6" t="s">
        <v>2394</v>
      </c>
      <c r="C759" s="6" t="s">
        <v>18</v>
      </c>
      <c r="D759" s="6" t="s">
        <v>1303</v>
      </c>
      <c r="E759" s="6" t="s">
        <v>2243</v>
      </c>
      <c r="F759" s="7" t="s">
        <v>2455</v>
      </c>
      <c r="G759" s="6" t="s">
        <v>2456</v>
      </c>
      <c r="H759" s="6" t="s">
        <v>6</v>
      </c>
      <c r="I759" s="8"/>
      <c r="J759" s="8"/>
      <c r="K759" s="8"/>
      <c r="L759" s="9"/>
    </row>
    <row r="760" customFormat="false" ht="23.85" hidden="false" customHeight="false" outlineLevel="0" collapsed="false">
      <c r="A760" s="6" t="s">
        <v>2457</v>
      </c>
      <c r="B760" s="6" t="s">
        <v>2394</v>
      </c>
      <c r="C760" s="6" t="s">
        <v>18</v>
      </c>
      <c r="D760" s="6" t="s">
        <v>1303</v>
      </c>
      <c r="E760" s="6" t="s">
        <v>2243</v>
      </c>
      <c r="F760" s="7" t="s">
        <v>2458</v>
      </c>
      <c r="G760" s="6" t="s">
        <v>2459</v>
      </c>
      <c r="H760" s="6" t="s">
        <v>7</v>
      </c>
      <c r="I760" s="8"/>
      <c r="J760" s="8"/>
      <c r="K760" s="8"/>
      <c r="L760" s="9"/>
    </row>
    <row r="761" customFormat="false" ht="15" hidden="false" customHeight="false" outlineLevel="0" collapsed="false">
      <c r="A761" s="6" t="s">
        <v>2460</v>
      </c>
      <c r="B761" s="6" t="s">
        <v>2394</v>
      </c>
      <c r="C761" s="6" t="s">
        <v>18</v>
      </c>
      <c r="D761" s="6" t="s">
        <v>1303</v>
      </c>
      <c r="E761" s="6" t="s">
        <v>2243</v>
      </c>
      <c r="F761" s="7" t="s">
        <v>2461</v>
      </c>
      <c r="G761" s="6" t="s">
        <v>2462</v>
      </c>
      <c r="H761" s="6" t="s">
        <v>7</v>
      </c>
      <c r="I761" s="8"/>
      <c r="J761" s="8"/>
      <c r="K761" s="8"/>
      <c r="L761" s="9"/>
    </row>
    <row r="762" customFormat="false" ht="35.05" hidden="false" customHeight="false" outlineLevel="0" collapsed="false">
      <c r="A762" s="6" t="s">
        <v>2463</v>
      </c>
      <c r="B762" s="6" t="s">
        <v>2464</v>
      </c>
      <c r="C762" s="6" t="s">
        <v>19</v>
      </c>
      <c r="D762" s="6" t="s">
        <v>1303</v>
      </c>
      <c r="E762" s="6" t="s">
        <v>50</v>
      </c>
      <c r="F762" s="7" t="s">
        <v>2465</v>
      </c>
      <c r="G762" s="6" t="s">
        <v>2466</v>
      </c>
      <c r="H762" s="6" t="s">
        <v>10</v>
      </c>
      <c r="I762" s="8"/>
      <c r="J762" s="8"/>
      <c r="K762" s="8"/>
      <c r="L762" s="9"/>
    </row>
    <row r="763" customFormat="false" ht="15" hidden="false" customHeight="false" outlineLevel="0" collapsed="false">
      <c r="A763" s="6" t="s">
        <v>2467</v>
      </c>
      <c r="B763" s="6" t="s">
        <v>2464</v>
      </c>
      <c r="C763" s="6" t="s">
        <v>19</v>
      </c>
      <c r="D763" s="6" t="s">
        <v>1303</v>
      </c>
      <c r="E763" s="6" t="s">
        <v>50</v>
      </c>
      <c r="F763" s="7" t="s">
        <v>2468</v>
      </c>
      <c r="G763" s="6" t="s">
        <v>2469</v>
      </c>
      <c r="H763" s="6" t="s">
        <v>8</v>
      </c>
      <c r="I763" s="8"/>
      <c r="J763" s="8"/>
      <c r="K763" s="8"/>
      <c r="L763" s="9"/>
    </row>
    <row r="764" customFormat="false" ht="23.85" hidden="false" customHeight="false" outlineLevel="0" collapsed="false">
      <c r="A764" s="6" t="s">
        <v>2470</v>
      </c>
      <c r="B764" s="6" t="s">
        <v>2464</v>
      </c>
      <c r="C764" s="6" t="s">
        <v>19</v>
      </c>
      <c r="D764" s="6" t="s">
        <v>1303</v>
      </c>
      <c r="E764" s="6" t="s">
        <v>50</v>
      </c>
      <c r="F764" s="7" t="s">
        <v>2471</v>
      </c>
      <c r="G764" s="6" t="s">
        <v>2472</v>
      </c>
      <c r="H764" s="6" t="s">
        <v>6</v>
      </c>
      <c r="I764" s="8"/>
      <c r="J764" s="8"/>
      <c r="K764" s="8"/>
      <c r="L764" s="9"/>
    </row>
    <row r="765" customFormat="false" ht="23.85" hidden="false" customHeight="false" outlineLevel="0" collapsed="false">
      <c r="A765" s="6" t="s">
        <v>2473</v>
      </c>
      <c r="B765" s="6" t="s">
        <v>2464</v>
      </c>
      <c r="C765" s="6" t="s">
        <v>19</v>
      </c>
      <c r="D765" s="6" t="s">
        <v>1303</v>
      </c>
      <c r="E765" s="6" t="s">
        <v>50</v>
      </c>
      <c r="F765" s="7" t="s">
        <v>2474</v>
      </c>
      <c r="G765" s="6" t="s">
        <v>2475</v>
      </c>
      <c r="H765" s="6" t="s">
        <v>6</v>
      </c>
      <c r="I765" s="8"/>
      <c r="J765" s="8"/>
      <c r="K765" s="8"/>
      <c r="L765" s="9"/>
    </row>
    <row r="766" customFormat="false" ht="23.85" hidden="false" customHeight="false" outlineLevel="0" collapsed="false">
      <c r="A766" s="6" t="s">
        <v>2476</v>
      </c>
      <c r="B766" s="6" t="s">
        <v>2464</v>
      </c>
      <c r="C766" s="6" t="s">
        <v>19</v>
      </c>
      <c r="D766" s="6" t="s">
        <v>1303</v>
      </c>
      <c r="E766" s="6" t="s">
        <v>50</v>
      </c>
      <c r="F766" s="7" t="s">
        <v>2477</v>
      </c>
      <c r="G766" s="6" t="s">
        <v>2478</v>
      </c>
      <c r="H766" s="6" t="s">
        <v>8</v>
      </c>
      <c r="I766" s="8"/>
      <c r="J766" s="8"/>
      <c r="K766" s="8"/>
      <c r="L766" s="9"/>
    </row>
    <row r="767" customFormat="false" ht="23.85" hidden="false" customHeight="false" outlineLevel="0" collapsed="false">
      <c r="A767" s="6" t="s">
        <v>2479</v>
      </c>
      <c r="B767" s="6" t="s">
        <v>2464</v>
      </c>
      <c r="C767" s="6" t="s">
        <v>19</v>
      </c>
      <c r="D767" s="6" t="s">
        <v>1303</v>
      </c>
      <c r="E767" s="6" t="s">
        <v>50</v>
      </c>
      <c r="F767" s="7" t="s">
        <v>2480</v>
      </c>
      <c r="G767" s="6" t="s">
        <v>2481</v>
      </c>
      <c r="H767" s="6" t="s">
        <v>8</v>
      </c>
      <c r="I767" s="8"/>
      <c r="J767" s="8"/>
      <c r="K767" s="8"/>
      <c r="L767" s="9"/>
    </row>
    <row r="768" customFormat="false" ht="35.05" hidden="false" customHeight="false" outlineLevel="0" collapsed="false">
      <c r="A768" s="6" t="s">
        <v>2482</v>
      </c>
      <c r="B768" s="6" t="s">
        <v>2464</v>
      </c>
      <c r="C768" s="6" t="s">
        <v>19</v>
      </c>
      <c r="D768" s="6" t="s">
        <v>1303</v>
      </c>
      <c r="E768" s="6" t="s">
        <v>50</v>
      </c>
      <c r="F768" s="7" t="s">
        <v>2483</v>
      </c>
      <c r="G768" s="6" t="s">
        <v>2484</v>
      </c>
      <c r="H768" s="6" t="s">
        <v>8</v>
      </c>
      <c r="I768" s="8"/>
      <c r="J768" s="8"/>
      <c r="K768" s="8"/>
      <c r="L768" s="9"/>
    </row>
    <row r="769" customFormat="false" ht="23.85" hidden="false" customHeight="false" outlineLevel="0" collapsed="false">
      <c r="A769" s="6" t="s">
        <v>2485</v>
      </c>
      <c r="B769" s="6" t="s">
        <v>2464</v>
      </c>
      <c r="C769" s="6" t="s">
        <v>19</v>
      </c>
      <c r="D769" s="6" t="s">
        <v>1303</v>
      </c>
      <c r="E769" s="6" t="s">
        <v>50</v>
      </c>
      <c r="F769" s="7" t="s">
        <v>2486</v>
      </c>
      <c r="G769" s="6" t="s">
        <v>1796</v>
      </c>
      <c r="H769" s="6" t="s">
        <v>8</v>
      </c>
      <c r="I769" s="8"/>
      <c r="J769" s="8"/>
      <c r="K769" s="8"/>
      <c r="L769" s="9"/>
    </row>
    <row r="770" customFormat="false" ht="23.85" hidden="false" customHeight="false" outlineLevel="0" collapsed="false">
      <c r="A770" s="6" t="s">
        <v>2487</v>
      </c>
      <c r="B770" s="6" t="s">
        <v>2464</v>
      </c>
      <c r="C770" s="6" t="s">
        <v>19</v>
      </c>
      <c r="D770" s="6" t="s">
        <v>1303</v>
      </c>
      <c r="E770" s="6" t="s">
        <v>50</v>
      </c>
      <c r="F770" s="7" t="s">
        <v>2488</v>
      </c>
      <c r="G770" s="6" t="s">
        <v>2489</v>
      </c>
      <c r="H770" s="6" t="s">
        <v>6</v>
      </c>
      <c r="I770" s="8"/>
      <c r="J770" s="8"/>
      <c r="K770" s="8"/>
      <c r="L770" s="9"/>
    </row>
    <row r="771" customFormat="false" ht="23.85" hidden="false" customHeight="false" outlineLevel="0" collapsed="false">
      <c r="A771" s="6" t="s">
        <v>2490</v>
      </c>
      <c r="B771" s="6" t="s">
        <v>2464</v>
      </c>
      <c r="C771" s="6" t="s">
        <v>19</v>
      </c>
      <c r="D771" s="6" t="s">
        <v>1303</v>
      </c>
      <c r="E771" s="6" t="s">
        <v>50</v>
      </c>
      <c r="F771" s="7" t="s">
        <v>2491</v>
      </c>
      <c r="G771" s="6" t="s">
        <v>402</v>
      </c>
      <c r="H771" s="6" t="s">
        <v>8</v>
      </c>
      <c r="I771" s="8"/>
      <c r="J771" s="8"/>
      <c r="K771" s="8"/>
      <c r="L771" s="9"/>
    </row>
    <row r="772" customFormat="false" ht="23.85" hidden="false" customHeight="false" outlineLevel="0" collapsed="false">
      <c r="A772" s="6" t="s">
        <v>2492</v>
      </c>
      <c r="B772" s="6" t="s">
        <v>2464</v>
      </c>
      <c r="C772" s="6" t="s">
        <v>19</v>
      </c>
      <c r="D772" s="6" t="s">
        <v>1303</v>
      </c>
      <c r="E772" s="6" t="s">
        <v>50</v>
      </c>
      <c r="F772" s="7" t="s">
        <v>2493</v>
      </c>
      <c r="G772" s="6" t="s">
        <v>2494</v>
      </c>
      <c r="H772" s="6" t="s">
        <v>7</v>
      </c>
      <c r="I772" s="8"/>
      <c r="J772" s="8"/>
      <c r="K772" s="8"/>
      <c r="L772" s="9"/>
    </row>
    <row r="773" customFormat="false" ht="23.85" hidden="false" customHeight="false" outlineLevel="0" collapsed="false">
      <c r="A773" s="6" t="s">
        <v>2495</v>
      </c>
      <c r="B773" s="6" t="s">
        <v>2464</v>
      </c>
      <c r="C773" s="6" t="s">
        <v>19</v>
      </c>
      <c r="D773" s="6" t="s">
        <v>1303</v>
      </c>
      <c r="E773" s="6" t="s">
        <v>50</v>
      </c>
      <c r="F773" s="7" t="s">
        <v>2496</v>
      </c>
      <c r="G773" s="6" t="s">
        <v>2497</v>
      </c>
      <c r="H773" s="6" t="s">
        <v>6</v>
      </c>
      <c r="I773" s="8"/>
      <c r="J773" s="8"/>
      <c r="K773" s="8"/>
      <c r="L773" s="9"/>
    </row>
    <row r="774" customFormat="false" ht="15" hidden="false" customHeight="false" outlineLevel="0" collapsed="false">
      <c r="A774" s="6" t="s">
        <v>2498</v>
      </c>
      <c r="B774" s="6" t="s">
        <v>2464</v>
      </c>
      <c r="C774" s="6" t="s">
        <v>19</v>
      </c>
      <c r="D774" s="6" t="s">
        <v>1303</v>
      </c>
      <c r="E774" s="6" t="s">
        <v>50</v>
      </c>
      <c r="F774" s="7" t="s">
        <v>2499</v>
      </c>
      <c r="G774" s="6" t="s">
        <v>2500</v>
      </c>
      <c r="H774" s="6" t="s">
        <v>8</v>
      </c>
      <c r="I774" s="8"/>
      <c r="J774" s="8"/>
      <c r="K774" s="8"/>
      <c r="L774" s="9"/>
    </row>
    <row r="775" customFormat="false" ht="15" hidden="false" customHeight="false" outlineLevel="0" collapsed="false">
      <c r="A775" s="6" t="s">
        <v>2501</v>
      </c>
      <c r="B775" s="6" t="s">
        <v>2464</v>
      </c>
      <c r="C775" s="6" t="s">
        <v>19</v>
      </c>
      <c r="D775" s="6" t="s">
        <v>1303</v>
      </c>
      <c r="E775" s="6" t="s">
        <v>50</v>
      </c>
      <c r="F775" s="7" t="s">
        <v>2502</v>
      </c>
      <c r="G775" s="6" t="s">
        <v>2503</v>
      </c>
      <c r="H775" s="6" t="s">
        <v>10</v>
      </c>
      <c r="I775" s="8"/>
      <c r="J775" s="8"/>
      <c r="K775" s="8"/>
      <c r="L775" s="9"/>
    </row>
    <row r="776" customFormat="false" ht="35.05" hidden="false" customHeight="false" outlineLevel="0" collapsed="false">
      <c r="A776" s="6" t="s">
        <v>2504</v>
      </c>
      <c r="B776" s="6" t="s">
        <v>2505</v>
      </c>
      <c r="C776" s="6" t="s">
        <v>19</v>
      </c>
      <c r="D776" s="6" t="s">
        <v>230</v>
      </c>
      <c r="E776" s="6" t="s">
        <v>2506</v>
      </c>
      <c r="F776" s="7" t="s">
        <v>2507</v>
      </c>
      <c r="G776" s="6" t="s">
        <v>2508</v>
      </c>
      <c r="H776" s="6" t="s">
        <v>10</v>
      </c>
      <c r="I776" s="8"/>
      <c r="J776" s="8"/>
      <c r="K776" s="8"/>
      <c r="L776" s="9"/>
    </row>
    <row r="777" customFormat="false" ht="15" hidden="false" customHeight="false" outlineLevel="0" collapsed="false">
      <c r="A777" s="6" t="s">
        <v>2509</v>
      </c>
      <c r="B777" s="6" t="s">
        <v>2505</v>
      </c>
      <c r="C777" s="6" t="s">
        <v>19</v>
      </c>
      <c r="D777" s="6" t="s">
        <v>230</v>
      </c>
      <c r="E777" s="6" t="s">
        <v>2506</v>
      </c>
      <c r="F777" s="7" t="s">
        <v>2510</v>
      </c>
      <c r="G777" s="6" t="s">
        <v>896</v>
      </c>
      <c r="H777" s="6" t="s">
        <v>8</v>
      </c>
      <c r="I777" s="8"/>
      <c r="J777" s="8"/>
      <c r="K777" s="8"/>
      <c r="L777" s="9"/>
    </row>
    <row r="778" customFormat="false" ht="23.85" hidden="false" customHeight="false" outlineLevel="0" collapsed="false">
      <c r="A778" s="6" t="s">
        <v>2511</v>
      </c>
      <c r="B778" s="6" t="s">
        <v>2505</v>
      </c>
      <c r="C778" s="6" t="s">
        <v>19</v>
      </c>
      <c r="D778" s="6" t="s">
        <v>230</v>
      </c>
      <c r="E778" s="6" t="s">
        <v>2506</v>
      </c>
      <c r="F778" s="7" t="s">
        <v>2512</v>
      </c>
      <c r="G778" s="6" t="s">
        <v>2513</v>
      </c>
      <c r="H778" s="6" t="s">
        <v>7</v>
      </c>
      <c r="I778" s="8"/>
      <c r="J778" s="8"/>
      <c r="K778" s="8"/>
      <c r="L778" s="9"/>
    </row>
    <row r="779" customFormat="false" ht="23.85" hidden="false" customHeight="false" outlineLevel="0" collapsed="false">
      <c r="A779" s="6" t="s">
        <v>2514</v>
      </c>
      <c r="B779" s="6" t="s">
        <v>2505</v>
      </c>
      <c r="C779" s="6" t="s">
        <v>19</v>
      </c>
      <c r="D779" s="6" t="s">
        <v>230</v>
      </c>
      <c r="E779" s="6" t="s">
        <v>2506</v>
      </c>
      <c r="F779" s="7" t="s">
        <v>2515</v>
      </c>
      <c r="G779" s="6" t="s">
        <v>2516</v>
      </c>
      <c r="H779" s="6" t="s">
        <v>8</v>
      </c>
      <c r="I779" s="8"/>
      <c r="J779" s="8"/>
      <c r="K779" s="8"/>
      <c r="L779" s="9"/>
    </row>
    <row r="780" customFormat="false" ht="23.85" hidden="false" customHeight="false" outlineLevel="0" collapsed="false">
      <c r="A780" s="6" t="s">
        <v>2517</v>
      </c>
      <c r="B780" s="6" t="s">
        <v>2505</v>
      </c>
      <c r="C780" s="6" t="s">
        <v>19</v>
      </c>
      <c r="D780" s="6" t="s">
        <v>230</v>
      </c>
      <c r="E780" s="6" t="s">
        <v>2506</v>
      </c>
      <c r="F780" s="7" t="s">
        <v>2518</v>
      </c>
      <c r="G780" s="6" t="s">
        <v>1038</v>
      </c>
      <c r="H780" s="6" t="s">
        <v>8</v>
      </c>
      <c r="I780" s="8"/>
      <c r="J780" s="8"/>
      <c r="K780" s="8"/>
      <c r="L780" s="9"/>
    </row>
    <row r="781" customFormat="false" ht="15" hidden="false" customHeight="false" outlineLevel="0" collapsed="false">
      <c r="A781" s="6" t="s">
        <v>2519</v>
      </c>
      <c r="B781" s="6" t="s">
        <v>2505</v>
      </c>
      <c r="C781" s="6" t="s">
        <v>19</v>
      </c>
      <c r="D781" s="6" t="s">
        <v>230</v>
      </c>
      <c r="E781" s="6" t="s">
        <v>2506</v>
      </c>
      <c r="F781" s="7" t="s">
        <v>2520</v>
      </c>
      <c r="G781" s="6" t="s">
        <v>2521</v>
      </c>
      <c r="H781" s="6" t="s">
        <v>6</v>
      </c>
      <c r="I781" s="8"/>
      <c r="J781" s="8"/>
      <c r="K781" s="8"/>
      <c r="L781" s="9"/>
    </row>
    <row r="782" customFormat="false" ht="15" hidden="false" customHeight="false" outlineLevel="0" collapsed="false">
      <c r="A782" s="6" t="s">
        <v>2522</v>
      </c>
      <c r="B782" s="6" t="s">
        <v>2505</v>
      </c>
      <c r="C782" s="6" t="s">
        <v>19</v>
      </c>
      <c r="D782" s="6" t="s">
        <v>230</v>
      </c>
      <c r="E782" s="6" t="s">
        <v>2506</v>
      </c>
      <c r="F782" s="7" t="s">
        <v>2523</v>
      </c>
      <c r="G782" s="6" t="s">
        <v>2524</v>
      </c>
      <c r="H782" s="6" t="s">
        <v>6</v>
      </c>
      <c r="I782" s="8"/>
      <c r="J782" s="8"/>
      <c r="K782" s="8"/>
      <c r="L782" s="9"/>
    </row>
    <row r="783" customFormat="false" ht="23.85" hidden="false" customHeight="false" outlineLevel="0" collapsed="false">
      <c r="A783" s="6" t="s">
        <v>2525</v>
      </c>
      <c r="B783" s="6" t="s">
        <v>2505</v>
      </c>
      <c r="C783" s="6" t="s">
        <v>19</v>
      </c>
      <c r="D783" s="6" t="s">
        <v>230</v>
      </c>
      <c r="E783" s="6" t="s">
        <v>2506</v>
      </c>
      <c r="F783" s="7" t="s">
        <v>2480</v>
      </c>
      <c r="G783" s="6" t="s">
        <v>2526</v>
      </c>
      <c r="H783" s="6" t="s">
        <v>8</v>
      </c>
      <c r="I783" s="8"/>
      <c r="J783" s="8"/>
      <c r="K783" s="8"/>
      <c r="L783" s="9"/>
    </row>
    <row r="784" customFormat="false" ht="35.05" hidden="false" customHeight="false" outlineLevel="0" collapsed="false">
      <c r="A784" s="6" t="s">
        <v>2527</v>
      </c>
      <c r="B784" s="6" t="s">
        <v>2505</v>
      </c>
      <c r="C784" s="6" t="s">
        <v>19</v>
      </c>
      <c r="D784" s="6" t="s">
        <v>230</v>
      </c>
      <c r="E784" s="6" t="s">
        <v>2506</v>
      </c>
      <c r="F784" s="7" t="s">
        <v>2528</v>
      </c>
      <c r="G784" s="6" t="s">
        <v>2529</v>
      </c>
      <c r="H784" s="6" t="s">
        <v>8</v>
      </c>
      <c r="I784" s="8"/>
      <c r="J784" s="8"/>
      <c r="K784" s="8"/>
      <c r="L784" s="9"/>
    </row>
    <row r="785" customFormat="false" ht="23.85" hidden="false" customHeight="false" outlineLevel="0" collapsed="false">
      <c r="A785" s="6" t="s">
        <v>2530</v>
      </c>
      <c r="B785" s="6" t="s">
        <v>2505</v>
      </c>
      <c r="C785" s="6" t="s">
        <v>19</v>
      </c>
      <c r="D785" s="6" t="s">
        <v>230</v>
      </c>
      <c r="E785" s="6" t="s">
        <v>2506</v>
      </c>
      <c r="F785" s="7" t="s">
        <v>2531</v>
      </c>
      <c r="G785" s="6" t="s">
        <v>2532</v>
      </c>
      <c r="H785" s="6" t="s">
        <v>8</v>
      </c>
      <c r="I785" s="8"/>
      <c r="J785" s="8"/>
      <c r="K785" s="8"/>
      <c r="L785" s="9"/>
    </row>
    <row r="786" customFormat="false" ht="23.85" hidden="false" customHeight="false" outlineLevel="0" collapsed="false">
      <c r="A786" s="6" t="s">
        <v>2533</v>
      </c>
      <c r="B786" s="6" t="s">
        <v>2505</v>
      </c>
      <c r="C786" s="6" t="s">
        <v>19</v>
      </c>
      <c r="D786" s="6" t="s">
        <v>230</v>
      </c>
      <c r="E786" s="6" t="s">
        <v>2506</v>
      </c>
      <c r="F786" s="7" t="s">
        <v>2534</v>
      </c>
      <c r="G786" s="6" t="s">
        <v>2535</v>
      </c>
      <c r="H786" s="6" t="s">
        <v>8</v>
      </c>
      <c r="I786" s="8"/>
      <c r="J786" s="8"/>
      <c r="K786" s="8"/>
      <c r="L786" s="9"/>
    </row>
    <row r="787" customFormat="false" ht="23.85" hidden="false" customHeight="false" outlineLevel="0" collapsed="false">
      <c r="A787" s="6" t="s">
        <v>2536</v>
      </c>
      <c r="B787" s="6" t="s">
        <v>2505</v>
      </c>
      <c r="C787" s="6" t="s">
        <v>19</v>
      </c>
      <c r="D787" s="6" t="s">
        <v>230</v>
      </c>
      <c r="E787" s="6" t="s">
        <v>2506</v>
      </c>
      <c r="F787" s="7" t="s">
        <v>2537</v>
      </c>
      <c r="G787" s="6" t="s">
        <v>2538</v>
      </c>
      <c r="H787" s="6" t="s">
        <v>6</v>
      </c>
      <c r="I787" s="8"/>
      <c r="J787" s="8"/>
      <c r="K787" s="8"/>
      <c r="L787" s="9"/>
    </row>
    <row r="788" customFormat="false" ht="23.85" hidden="false" customHeight="false" outlineLevel="0" collapsed="false">
      <c r="A788" s="6" t="s">
        <v>2539</v>
      </c>
      <c r="B788" s="6" t="s">
        <v>2505</v>
      </c>
      <c r="C788" s="6" t="s">
        <v>19</v>
      </c>
      <c r="D788" s="6" t="s">
        <v>230</v>
      </c>
      <c r="E788" s="6" t="s">
        <v>2506</v>
      </c>
      <c r="F788" s="7" t="s">
        <v>2540</v>
      </c>
      <c r="G788" s="6" t="s">
        <v>2541</v>
      </c>
      <c r="H788" s="6" t="s">
        <v>8</v>
      </c>
      <c r="I788" s="8"/>
      <c r="J788" s="8"/>
      <c r="K788" s="8"/>
      <c r="L788" s="9"/>
    </row>
    <row r="789" customFormat="false" ht="23.85" hidden="false" customHeight="false" outlineLevel="0" collapsed="false">
      <c r="A789" s="6" t="s">
        <v>2542</v>
      </c>
      <c r="B789" s="6" t="s">
        <v>2505</v>
      </c>
      <c r="C789" s="6" t="s">
        <v>19</v>
      </c>
      <c r="D789" s="6" t="s">
        <v>230</v>
      </c>
      <c r="E789" s="6" t="s">
        <v>2506</v>
      </c>
      <c r="F789" s="7" t="s">
        <v>2543</v>
      </c>
      <c r="G789" s="6" t="s">
        <v>2544</v>
      </c>
      <c r="H789" s="6" t="s">
        <v>6</v>
      </c>
      <c r="I789" s="8"/>
      <c r="J789" s="8"/>
      <c r="K789" s="8"/>
      <c r="L789" s="9"/>
    </row>
    <row r="790" customFormat="false" ht="35.05" hidden="false" customHeight="false" outlineLevel="0" collapsed="false">
      <c r="A790" s="6" t="s">
        <v>2545</v>
      </c>
      <c r="B790" s="6" t="s">
        <v>2505</v>
      </c>
      <c r="C790" s="6" t="s">
        <v>19</v>
      </c>
      <c r="D790" s="6" t="s">
        <v>230</v>
      </c>
      <c r="E790" s="6" t="s">
        <v>2506</v>
      </c>
      <c r="F790" s="7" t="s">
        <v>2546</v>
      </c>
      <c r="G790" s="6" t="s">
        <v>2547</v>
      </c>
      <c r="H790" s="6" t="s">
        <v>6</v>
      </c>
      <c r="I790" s="8"/>
      <c r="J790" s="8"/>
      <c r="K790" s="8"/>
      <c r="L790" s="9"/>
    </row>
    <row r="791" customFormat="false" ht="23.85" hidden="false" customHeight="false" outlineLevel="0" collapsed="false">
      <c r="A791" s="6" t="s">
        <v>2548</v>
      </c>
      <c r="B791" s="6" t="s">
        <v>2505</v>
      </c>
      <c r="C791" s="6" t="s">
        <v>19</v>
      </c>
      <c r="D791" s="6" t="s">
        <v>230</v>
      </c>
      <c r="E791" s="6" t="s">
        <v>2506</v>
      </c>
      <c r="F791" s="7" t="s">
        <v>2549</v>
      </c>
      <c r="G791" s="6" t="s">
        <v>2550</v>
      </c>
      <c r="H791" s="6" t="s">
        <v>8</v>
      </c>
      <c r="I791" s="8"/>
      <c r="J791" s="8"/>
      <c r="K791" s="8"/>
      <c r="L791" s="9"/>
    </row>
    <row r="792" customFormat="false" ht="35.05" hidden="false" customHeight="false" outlineLevel="0" collapsed="false">
      <c r="A792" s="6" t="s">
        <v>2551</v>
      </c>
      <c r="B792" s="6" t="s">
        <v>2505</v>
      </c>
      <c r="C792" s="6" t="s">
        <v>19</v>
      </c>
      <c r="D792" s="6" t="s">
        <v>230</v>
      </c>
      <c r="E792" s="6" t="s">
        <v>2506</v>
      </c>
      <c r="F792" s="7" t="s">
        <v>2552</v>
      </c>
      <c r="G792" s="6" t="s">
        <v>2553</v>
      </c>
      <c r="H792" s="6" t="s">
        <v>8</v>
      </c>
      <c r="I792" s="8"/>
      <c r="J792" s="8"/>
      <c r="K792" s="8"/>
      <c r="L792" s="9"/>
    </row>
    <row r="793" customFormat="false" ht="23.85" hidden="false" customHeight="false" outlineLevel="0" collapsed="false">
      <c r="A793" s="6" t="s">
        <v>2554</v>
      </c>
      <c r="B793" s="6" t="s">
        <v>2505</v>
      </c>
      <c r="C793" s="6" t="s">
        <v>19</v>
      </c>
      <c r="D793" s="6" t="s">
        <v>230</v>
      </c>
      <c r="E793" s="6" t="s">
        <v>2506</v>
      </c>
      <c r="F793" s="7" t="s">
        <v>2555</v>
      </c>
      <c r="G793" s="6" t="s">
        <v>2556</v>
      </c>
      <c r="H793" s="6" t="s">
        <v>8</v>
      </c>
      <c r="I793" s="8"/>
      <c r="J793" s="8"/>
      <c r="K793" s="8"/>
      <c r="L793" s="9"/>
    </row>
    <row r="794" customFormat="false" ht="23.85" hidden="false" customHeight="false" outlineLevel="0" collapsed="false">
      <c r="A794" s="6" t="s">
        <v>2557</v>
      </c>
      <c r="B794" s="6" t="s">
        <v>2505</v>
      </c>
      <c r="C794" s="6" t="s">
        <v>19</v>
      </c>
      <c r="D794" s="6" t="s">
        <v>230</v>
      </c>
      <c r="E794" s="6" t="s">
        <v>2506</v>
      </c>
      <c r="F794" s="7" t="s">
        <v>2558</v>
      </c>
      <c r="G794" s="6" t="s">
        <v>2559</v>
      </c>
      <c r="H794" s="6" t="s">
        <v>7</v>
      </c>
      <c r="I794" s="8"/>
      <c r="J794" s="8"/>
      <c r="K794" s="8"/>
      <c r="L794" s="9"/>
    </row>
    <row r="795" customFormat="false" ht="23.85" hidden="false" customHeight="false" outlineLevel="0" collapsed="false">
      <c r="A795" s="6" t="s">
        <v>2560</v>
      </c>
      <c r="B795" s="6" t="s">
        <v>2505</v>
      </c>
      <c r="C795" s="6" t="s">
        <v>19</v>
      </c>
      <c r="D795" s="6" t="s">
        <v>230</v>
      </c>
      <c r="E795" s="6" t="s">
        <v>2506</v>
      </c>
      <c r="F795" s="7" t="s">
        <v>2561</v>
      </c>
      <c r="G795" s="6" t="s">
        <v>2562</v>
      </c>
      <c r="H795" s="6" t="s">
        <v>8</v>
      </c>
      <c r="I795" s="8"/>
      <c r="J795" s="8"/>
      <c r="K795" s="8"/>
      <c r="L795" s="9"/>
    </row>
    <row r="796" customFormat="false" ht="35.05" hidden="false" customHeight="false" outlineLevel="0" collapsed="false">
      <c r="A796" s="6" t="s">
        <v>2563</v>
      </c>
      <c r="B796" s="6" t="s">
        <v>2505</v>
      </c>
      <c r="C796" s="6" t="s">
        <v>19</v>
      </c>
      <c r="D796" s="6" t="s">
        <v>230</v>
      </c>
      <c r="E796" s="6" t="s">
        <v>2506</v>
      </c>
      <c r="F796" s="7" t="s">
        <v>2564</v>
      </c>
      <c r="G796" s="6" t="s">
        <v>2565</v>
      </c>
      <c r="H796" s="6" t="s">
        <v>6</v>
      </c>
      <c r="I796" s="8"/>
      <c r="J796" s="8"/>
      <c r="K796" s="8"/>
      <c r="L796" s="9"/>
    </row>
    <row r="797" customFormat="false" ht="23.85" hidden="false" customHeight="false" outlineLevel="0" collapsed="false">
      <c r="A797" s="6" t="s">
        <v>2566</v>
      </c>
      <c r="B797" s="6" t="s">
        <v>2505</v>
      </c>
      <c r="C797" s="6" t="s">
        <v>19</v>
      </c>
      <c r="D797" s="6" t="s">
        <v>230</v>
      </c>
      <c r="E797" s="6" t="s">
        <v>2506</v>
      </c>
      <c r="F797" s="7" t="s">
        <v>2567</v>
      </c>
      <c r="G797" s="6" t="s">
        <v>2568</v>
      </c>
      <c r="H797" s="6" t="s">
        <v>8</v>
      </c>
      <c r="I797" s="8"/>
      <c r="J797" s="8"/>
      <c r="K797" s="8"/>
      <c r="L797" s="9"/>
    </row>
    <row r="798" customFormat="false" ht="15" hidden="false" customHeight="false" outlineLevel="0" collapsed="false">
      <c r="A798" s="6" t="s">
        <v>2569</v>
      </c>
      <c r="B798" s="6" t="s">
        <v>2505</v>
      </c>
      <c r="C798" s="6" t="s">
        <v>19</v>
      </c>
      <c r="D798" s="6" t="s">
        <v>230</v>
      </c>
      <c r="E798" s="6" t="s">
        <v>2506</v>
      </c>
      <c r="F798" s="7" t="s">
        <v>2570</v>
      </c>
      <c r="G798" s="6" t="s">
        <v>2571</v>
      </c>
      <c r="H798" s="6" t="s">
        <v>10</v>
      </c>
      <c r="I798" s="8"/>
      <c r="J798" s="8"/>
      <c r="K798" s="8"/>
      <c r="L798" s="9"/>
    </row>
    <row r="799" customFormat="false" ht="35.05" hidden="false" customHeight="false" outlineLevel="0" collapsed="false">
      <c r="A799" s="6" t="s">
        <v>2572</v>
      </c>
      <c r="B799" s="6" t="s">
        <v>2573</v>
      </c>
      <c r="C799" s="6" t="s">
        <v>19</v>
      </c>
      <c r="D799" s="6" t="s">
        <v>1303</v>
      </c>
      <c r="E799" s="6" t="s">
        <v>2506</v>
      </c>
      <c r="F799" s="7" t="s">
        <v>2574</v>
      </c>
      <c r="G799" s="6" t="s">
        <v>2575</v>
      </c>
      <c r="H799" s="6" t="s">
        <v>10</v>
      </c>
      <c r="I799" s="8"/>
      <c r="J799" s="8"/>
      <c r="K799" s="8"/>
      <c r="L799" s="9"/>
    </row>
    <row r="800" customFormat="false" ht="15" hidden="false" customHeight="false" outlineLevel="0" collapsed="false">
      <c r="A800" s="6" t="s">
        <v>2576</v>
      </c>
      <c r="B800" s="6" t="s">
        <v>2573</v>
      </c>
      <c r="C800" s="6" t="s">
        <v>19</v>
      </c>
      <c r="D800" s="6" t="s">
        <v>1303</v>
      </c>
      <c r="E800" s="6" t="s">
        <v>2506</v>
      </c>
      <c r="F800" s="7" t="s">
        <v>2577</v>
      </c>
      <c r="G800" s="6" t="s">
        <v>2578</v>
      </c>
      <c r="H800" s="6" t="s">
        <v>8</v>
      </c>
      <c r="I800" s="8"/>
      <c r="J800" s="8"/>
      <c r="K800" s="8"/>
      <c r="L800" s="9"/>
    </row>
    <row r="801" customFormat="false" ht="23.85" hidden="false" customHeight="false" outlineLevel="0" collapsed="false">
      <c r="A801" s="6" t="s">
        <v>2579</v>
      </c>
      <c r="B801" s="6" t="s">
        <v>2573</v>
      </c>
      <c r="C801" s="6" t="s">
        <v>19</v>
      </c>
      <c r="D801" s="6" t="s">
        <v>1303</v>
      </c>
      <c r="E801" s="6" t="s">
        <v>2506</v>
      </c>
      <c r="F801" s="7" t="s">
        <v>2580</v>
      </c>
      <c r="G801" s="6" t="s">
        <v>2581</v>
      </c>
      <c r="H801" s="6" t="s">
        <v>7</v>
      </c>
      <c r="I801" s="8"/>
      <c r="J801" s="8"/>
      <c r="K801" s="8"/>
      <c r="L801" s="9"/>
    </row>
    <row r="802" customFormat="false" ht="35.05" hidden="false" customHeight="false" outlineLevel="0" collapsed="false">
      <c r="A802" s="6" t="s">
        <v>2582</v>
      </c>
      <c r="B802" s="6" t="s">
        <v>2573</v>
      </c>
      <c r="C802" s="6" t="s">
        <v>19</v>
      </c>
      <c r="D802" s="6" t="s">
        <v>1303</v>
      </c>
      <c r="E802" s="6" t="s">
        <v>2506</v>
      </c>
      <c r="F802" s="7" t="s">
        <v>2583</v>
      </c>
      <c r="G802" s="6" t="s">
        <v>2584</v>
      </c>
      <c r="H802" s="6" t="s">
        <v>8</v>
      </c>
      <c r="I802" s="8"/>
      <c r="J802" s="8"/>
      <c r="K802" s="8"/>
      <c r="L802" s="9"/>
    </row>
    <row r="803" customFormat="false" ht="15" hidden="false" customHeight="false" outlineLevel="0" collapsed="false">
      <c r="A803" s="6" t="s">
        <v>2585</v>
      </c>
      <c r="B803" s="6" t="s">
        <v>2573</v>
      </c>
      <c r="C803" s="6" t="s">
        <v>19</v>
      </c>
      <c r="D803" s="6" t="s">
        <v>1303</v>
      </c>
      <c r="E803" s="6" t="s">
        <v>2506</v>
      </c>
      <c r="F803" s="7" t="s">
        <v>2586</v>
      </c>
      <c r="G803" s="6" t="s">
        <v>2587</v>
      </c>
      <c r="H803" s="6" t="s">
        <v>9</v>
      </c>
      <c r="I803" s="8"/>
      <c r="J803" s="8"/>
      <c r="K803" s="8"/>
      <c r="L803" s="9"/>
    </row>
    <row r="804" customFormat="false" ht="23.85" hidden="false" customHeight="false" outlineLevel="0" collapsed="false">
      <c r="A804" s="6" t="s">
        <v>2588</v>
      </c>
      <c r="B804" s="6" t="s">
        <v>2573</v>
      </c>
      <c r="C804" s="6" t="s">
        <v>19</v>
      </c>
      <c r="D804" s="6" t="s">
        <v>1303</v>
      </c>
      <c r="E804" s="6" t="s">
        <v>2506</v>
      </c>
      <c r="F804" s="7" t="s">
        <v>2589</v>
      </c>
      <c r="G804" s="6" t="s">
        <v>2590</v>
      </c>
      <c r="H804" s="6" t="s">
        <v>6</v>
      </c>
      <c r="I804" s="8"/>
      <c r="J804" s="8"/>
      <c r="K804" s="8"/>
      <c r="L804" s="9"/>
    </row>
    <row r="805" customFormat="false" ht="15" hidden="false" customHeight="false" outlineLevel="0" collapsed="false">
      <c r="A805" s="6" t="s">
        <v>2591</v>
      </c>
      <c r="B805" s="6" t="s">
        <v>2573</v>
      </c>
      <c r="C805" s="6" t="s">
        <v>19</v>
      </c>
      <c r="D805" s="6" t="s">
        <v>1303</v>
      </c>
      <c r="E805" s="6" t="s">
        <v>2506</v>
      </c>
      <c r="F805" s="7" t="s">
        <v>2592</v>
      </c>
      <c r="G805" s="6" t="s">
        <v>2593</v>
      </c>
      <c r="H805" s="6" t="s">
        <v>6</v>
      </c>
      <c r="I805" s="8"/>
      <c r="J805" s="8"/>
      <c r="K805" s="8"/>
      <c r="L805" s="9"/>
    </row>
    <row r="806" customFormat="false" ht="15" hidden="false" customHeight="false" outlineLevel="0" collapsed="false">
      <c r="A806" s="6" t="s">
        <v>2594</v>
      </c>
      <c r="B806" s="6" t="s">
        <v>2573</v>
      </c>
      <c r="C806" s="6" t="s">
        <v>19</v>
      </c>
      <c r="D806" s="6" t="s">
        <v>1303</v>
      </c>
      <c r="E806" s="6" t="s">
        <v>2506</v>
      </c>
      <c r="F806" s="7" t="s">
        <v>2595</v>
      </c>
      <c r="G806" s="6" t="s">
        <v>2596</v>
      </c>
      <c r="H806" s="6" t="s">
        <v>6</v>
      </c>
      <c r="I806" s="8"/>
      <c r="J806" s="8"/>
      <c r="K806" s="8"/>
      <c r="L806" s="9"/>
    </row>
    <row r="807" customFormat="false" ht="23.85" hidden="false" customHeight="false" outlineLevel="0" collapsed="false">
      <c r="A807" s="6" t="s">
        <v>2597</v>
      </c>
      <c r="B807" s="6" t="s">
        <v>2573</v>
      </c>
      <c r="C807" s="6" t="s">
        <v>19</v>
      </c>
      <c r="D807" s="6" t="s">
        <v>1303</v>
      </c>
      <c r="E807" s="6" t="s">
        <v>2506</v>
      </c>
      <c r="F807" s="7" t="s">
        <v>2598</v>
      </c>
      <c r="G807" s="6" t="s">
        <v>2599</v>
      </c>
      <c r="H807" s="6" t="s">
        <v>6</v>
      </c>
      <c r="I807" s="8"/>
      <c r="J807" s="8"/>
      <c r="K807" s="8"/>
      <c r="L807" s="9"/>
    </row>
    <row r="808" customFormat="false" ht="23.85" hidden="false" customHeight="false" outlineLevel="0" collapsed="false">
      <c r="A808" s="6" t="s">
        <v>2600</v>
      </c>
      <c r="B808" s="6" t="s">
        <v>2573</v>
      </c>
      <c r="C808" s="6" t="s">
        <v>19</v>
      </c>
      <c r="D808" s="6" t="s">
        <v>1303</v>
      </c>
      <c r="E808" s="6" t="s">
        <v>2506</v>
      </c>
      <c r="F808" s="7" t="s">
        <v>2601</v>
      </c>
      <c r="G808" s="6" t="s">
        <v>2602</v>
      </c>
      <c r="H808" s="6" t="s">
        <v>6</v>
      </c>
      <c r="I808" s="8"/>
      <c r="J808" s="8"/>
      <c r="K808" s="8"/>
      <c r="L808" s="9"/>
    </row>
    <row r="809" customFormat="false" ht="15" hidden="false" customHeight="false" outlineLevel="0" collapsed="false">
      <c r="A809" s="6" t="s">
        <v>2603</v>
      </c>
      <c r="B809" s="6" t="s">
        <v>2573</v>
      </c>
      <c r="C809" s="6" t="s">
        <v>19</v>
      </c>
      <c r="D809" s="6" t="s">
        <v>1303</v>
      </c>
      <c r="E809" s="6" t="s">
        <v>2506</v>
      </c>
      <c r="F809" s="7" t="s">
        <v>2604</v>
      </c>
      <c r="G809" s="6" t="s">
        <v>2605</v>
      </c>
      <c r="H809" s="6" t="s">
        <v>6</v>
      </c>
      <c r="I809" s="8"/>
      <c r="J809" s="8"/>
      <c r="K809" s="8"/>
      <c r="L809" s="9"/>
    </row>
    <row r="810" customFormat="false" ht="15" hidden="false" customHeight="false" outlineLevel="0" collapsed="false">
      <c r="A810" s="6" t="s">
        <v>2606</v>
      </c>
      <c r="B810" s="6" t="s">
        <v>2573</v>
      </c>
      <c r="C810" s="6" t="s">
        <v>19</v>
      </c>
      <c r="D810" s="6" t="s">
        <v>1303</v>
      </c>
      <c r="E810" s="6" t="s">
        <v>2506</v>
      </c>
      <c r="F810" s="7" t="s">
        <v>2607</v>
      </c>
      <c r="G810" s="6" t="s">
        <v>2608</v>
      </c>
      <c r="H810" s="6" t="s">
        <v>6</v>
      </c>
      <c r="I810" s="8"/>
      <c r="J810" s="8"/>
      <c r="K810" s="8"/>
      <c r="L810" s="9"/>
    </row>
    <row r="811" customFormat="false" ht="15" hidden="false" customHeight="false" outlineLevel="0" collapsed="false">
      <c r="A811" s="6" t="s">
        <v>2609</v>
      </c>
      <c r="B811" s="6" t="s">
        <v>2573</v>
      </c>
      <c r="C811" s="6" t="s">
        <v>19</v>
      </c>
      <c r="D811" s="6" t="s">
        <v>1303</v>
      </c>
      <c r="E811" s="6" t="s">
        <v>2506</v>
      </c>
      <c r="F811" s="7" t="s">
        <v>2610</v>
      </c>
      <c r="G811" s="6" t="s">
        <v>2611</v>
      </c>
      <c r="H811" s="6" t="s">
        <v>6</v>
      </c>
      <c r="I811" s="8"/>
      <c r="J811" s="8"/>
      <c r="K811" s="8"/>
      <c r="L811" s="9"/>
    </row>
    <row r="812" customFormat="false" ht="23.85" hidden="false" customHeight="false" outlineLevel="0" collapsed="false">
      <c r="A812" s="6" t="s">
        <v>2612</v>
      </c>
      <c r="B812" s="6" t="s">
        <v>2573</v>
      </c>
      <c r="C812" s="6" t="s">
        <v>19</v>
      </c>
      <c r="D812" s="6" t="s">
        <v>1303</v>
      </c>
      <c r="E812" s="6" t="s">
        <v>2506</v>
      </c>
      <c r="F812" s="7" t="s">
        <v>2613</v>
      </c>
      <c r="G812" s="6" t="s">
        <v>2614</v>
      </c>
      <c r="H812" s="6" t="s">
        <v>8</v>
      </c>
      <c r="I812" s="8"/>
      <c r="J812" s="8"/>
      <c r="K812" s="8"/>
      <c r="L812" s="9"/>
    </row>
    <row r="813" customFormat="false" ht="23.85" hidden="false" customHeight="false" outlineLevel="0" collapsed="false">
      <c r="A813" s="6" t="s">
        <v>2615</v>
      </c>
      <c r="B813" s="6" t="s">
        <v>2573</v>
      </c>
      <c r="C813" s="6" t="s">
        <v>19</v>
      </c>
      <c r="D813" s="6" t="s">
        <v>1303</v>
      </c>
      <c r="E813" s="6" t="s">
        <v>2506</v>
      </c>
      <c r="F813" s="7" t="s">
        <v>2616</v>
      </c>
      <c r="G813" s="6" t="s">
        <v>2617</v>
      </c>
      <c r="H813" s="6" t="s">
        <v>8</v>
      </c>
      <c r="I813" s="8"/>
      <c r="J813" s="8"/>
      <c r="K813" s="8"/>
      <c r="L813" s="9"/>
    </row>
    <row r="814" customFormat="false" ht="23.85" hidden="false" customHeight="false" outlineLevel="0" collapsed="false">
      <c r="A814" s="6" t="s">
        <v>2618</v>
      </c>
      <c r="B814" s="6" t="s">
        <v>2573</v>
      </c>
      <c r="C814" s="6" t="s">
        <v>19</v>
      </c>
      <c r="D814" s="6" t="s">
        <v>1303</v>
      </c>
      <c r="E814" s="6" t="s">
        <v>2506</v>
      </c>
      <c r="F814" s="7" t="s">
        <v>2619</v>
      </c>
      <c r="G814" s="6" t="s">
        <v>2620</v>
      </c>
      <c r="H814" s="6" t="s">
        <v>6</v>
      </c>
      <c r="I814" s="8"/>
      <c r="J814" s="8"/>
      <c r="K814" s="8"/>
      <c r="L814" s="9"/>
    </row>
    <row r="815" customFormat="false" ht="15" hidden="false" customHeight="false" outlineLevel="0" collapsed="false">
      <c r="A815" s="6" t="s">
        <v>2621</v>
      </c>
      <c r="B815" s="6" t="s">
        <v>2573</v>
      </c>
      <c r="C815" s="6" t="s">
        <v>19</v>
      </c>
      <c r="D815" s="6" t="s">
        <v>1303</v>
      </c>
      <c r="E815" s="6" t="s">
        <v>2506</v>
      </c>
      <c r="F815" s="7" t="s">
        <v>2622</v>
      </c>
      <c r="G815" s="6" t="s">
        <v>2623</v>
      </c>
      <c r="H815" s="6" t="s">
        <v>8</v>
      </c>
      <c r="I815" s="8"/>
      <c r="J815" s="8"/>
      <c r="K815" s="8"/>
      <c r="L815" s="9"/>
    </row>
    <row r="816" customFormat="false" ht="23.85" hidden="false" customHeight="false" outlineLevel="0" collapsed="false">
      <c r="A816" s="6" t="s">
        <v>2624</v>
      </c>
      <c r="B816" s="6" t="s">
        <v>2573</v>
      </c>
      <c r="C816" s="6" t="s">
        <v>19</v>
      </c>
      <c r="D816" s="6" t="s">
        <v>1303</v>
      </c>
      <c r="E816" s="6" t="s">
        <v>2506</v>
      </c>
      <c r="F816" s="7" t="s">
        <v>2625</v>
      </c>
      <c r="G816" s="6" t="s">
        <v>2626</v>
      </c>
      <c r="H816" s="6" t="s">
        <v>8</v>
      </c>
      <c r="I816" s="8"/>
      <c r="J816" s="8"/>
      <c r="K816" s="8"/>
      <c r="L816" s="9"/>
    </row>
    <row r="817" customFormat="false" ht="23.85" hidden="false" customHeight="false" outlineLevel="0" collapsed="false">
      <c r="A817" s="6" t="s">
        <v>2627</v>
      </c>
      <c r="B817" s="6" t="s">
        <v>2573</v>
      </c>
      <c r="C817" s="6" t="s">
        <v>19</v>
      </c>
      <c r="D817" s="6" t="s">
        <v>1303</v>
      </c>
      <c r="E817" s="6" t="s">
        <v>2506</v>
      </c>
      <c r="F817" s="7" t="s">
        <v>2628</v>
      </c>
      <c r="G817" s="6" t="s">
        <v>2345</v>
      </c>
      <c r="H817" s="6" t="s">
        <v>6</v>
      </c>
      <c r="I817" s="8"/>
      <c r="J817" s="8"/>
      <c r="K817" s="8"/>
      <c r="L817" s="9"/>
    </row>
    <row r="818" customFormat="false" ht="23.85" hidden="false" customHeight="false" outlineLevel="0" collapsed="false">
      <c r="A818" s="6" t="s">
        <v>2629</v>
      </c>
      <c r="B818" s="6" t="s">
        <v>2573</v>
      </c>
      <c r="C818" s="6" t="s">
        <v>19</v>
      </c>
      <c r="D818" s="6" t="s">
        <v>1303</v>
      </c>
      <c r="E818" s="6" t="s">
        <v>2506</v>
      </c>
      <c r="F818" s="7" t="s">
        <v>2630</v>
      </c>
      <c r="G818" s="6" t="s">
        <v>2631</v>
      </c>
      <c r="H818" s="6" t="s">
        <v>8</v>
      </c>
      <c r="I818" s="8"/>
      <c r="J818" s="8"/>
      <c r="K818" s="8"/>
      <c r="L818" s="9"/>
    </row>
    <row r="819" customFormat="false" ht="23.85" hidden="false" customHeight="false" outlineLevel="0" collapsed="false">
      <c r="A819" s="6" t="s">
        <v>2632</v>
      </c>
      <c r="B819" s="6" t="s">
        <v>2573</v>
      </c>
      <c r="C819" s="6" t="s">
        <v>19</v>
      </c>
      <c r="D819" s="6" t="s">
        <v>1303</v>
      </c>
      <c r="E819" s="6" t="s">
        <v>2506</v>
      </c>
      <c r="F819" s="7" t="s">
        <v>2633</v>
      </c>
      <c r="G819" s="6" t="s">
        <v>2634</v>
      </c>
      <c r="H819" s="6" t="s">
        <v>6</v>
      </c>
      <c r="I819" s="8"/>
      <c r="J819" s="8"/>
      <c r="K819" s="8"/>
      <c r="L819" s="9"/>
    </row>
    <row r="820" customFormat="false" ht="35.05" hidden="false" customHeight="false" outlineLevel="0" collapsed="false">
      <c r="A820" s="6" t="s">
        <v>2635</v>
      </c>
      <c r="B820" s="6" t="s">
        <v>2573</v>
      </c>
      <c r="C820" s="6" t="s">
        <v>19</v>
      </c>
      <c r="D820" s="6" t="s">
        <v>1303</v>
      </c>
      <c r="E820" s="6" t="s">
        <v>2506</v>
      </c>
      <c r="F820" s="7" t="s">
        <v>2636</v>
      </c>
      <c r="G820" s="6" t="s">
        <v>2637</v>
      </c>
      <c r="H820" s="6" t="s">
        <v>6</v>
      </c>
      <c r="I820" s="8"/>
      <c r="J820" s="8"/>
      <c r="K820" s="8"/>
      <c r="L820" s="9"/>
    </row>
    <row r="821" customFormat="false" ht="15" hidden="false" customHeight="false" outlineLevel="0" collapsed="false">
      <c r="A821" s="6" t="s">
        <v>2638</v>
      </c>
      <c r="B821" s="6" t="s">
        <v>2573</v>
      </c>
      <c r="C821" s="6" t="s">
        <v>19</v>
      </c>
      <c r="D821" s="6" t="s">
        <v>1303</v>
      </c>
      <c r="E821" s="6" t="s">
        <v>2506</v>
      </c>
      <c r="F821" s="7" t="s">
        <v>2639</v>
      </c>
      <c r="G821" s="6" t="s">
        <v>2640</v>
      </c>
      <c r="H821" s="6" t="s">
        <v>8</v>
      </c>
      <c r="I821" s="8"/>
      <c r="J821" s="8"/>
      <c r="K821" s="8"/>
      <c r="L821" s="9"/>
    </row>
    <row r="822" customFormat="false" ht="35.05" hidden="false" customHeight="false" outlineLevel="0" collapsed="false">
      <c r="A822" s="6" t="s">
        <v>2641</v>
      </c>
      <c r="B822" s="6" t="s">
        <v>2573</v>
      </c>
      <c r="C822" s="6" t="s">
        <v>19</v>
      </c>
      <c r="D822" s="6" t="s">
        <v>1303</v>
      </c>
      <c r="E822" s="6" t="s">
        <v>2506</v>
      </c>
      <c r="F822" s="7" t="s">
        <v>2642</v>
      </c>
      <c r="G822" s="6" t="s">
        <v>2643</v>
      </c>
      <c r="H822" s="6" t="s">
        <v>8</v>
      </c>
      <c r="I822" s="8"/>
      <c r="J822" s="8"/>
      <c r="K822" s="8"/>
      <c r="L822" s="9"/>
    </row>
    <row r="823" customFormat="false" ht="15" hidden="false" customHeight="false" outlineLevel="0" collapsed="false">
      <c r="A823" s="6" t="s">
        <v>2644</v>
      </c>
      <c r="B823" s="6" t="s">
        <v>2573</v>
      </c>
      <c r="C823" s="6" t="s">
        <v>19</v>
      </c>
      <c r="D823" s="6" t="s">
        <v>1303</v>
      </c>
      <c r="E823" s="6" t="s">
        <v>2506</v>
      </c>
      <c r="F823" s="7" t="s">
        <v>2645</v>
      </c>
      <c r="G823" s="6" t="s">
        <v>2646</v>
      </c>
      <c r="H823" s="6" t="s">
        <v>8</v>
      </c>
      <c r="I823" s="8"/>
      <c r="J823" s="8"/>
      <c r="K823" s="8"/>
      <c r="L823" s="9"/>
    </row>
    <row r="824" customFormat="false" ht="23.85" hidden="false" customHeight="false" outlineLevel="0" collapsed="false">
      <c r="A824" s="6" t="s">
        <v>2647</v>
      </c>
      <c r="B824" s="6" t="s">
        <v>2573</v>
      </c>
      <c r="C824" s="6" t="s">
        <v>19</v>
      </c>
      <c r="D824" s="6" t="s">
        <v>1303</v>
      </c>
      <c r="E824" s="6" t="s">
        <v>2506</v>
      </c>
      <c r="F824" s="7" t="s">
        <v>2648</v>
      </c>
      <c r="G824" s="6" t="s">
        <v>2649</v>
      </c>
      <c r="H824" s="6" t="s">
        <v>7</v>
      </c>
      <c r="I824" s="8"/>
      <c r="J824" s="8"/>
      <c r="K824" s="8"/>
      <c r="L824" s="9"/>
    </row>
    <row r="825" customFormat="false" ht="23.85" hidden="false" customHeight="false" outlineLevel="0" collapsed="false">
      <c r="A825" s="6" t="s">
        <v>2650</v>
      </c>
      <c r="B825" s="6" t="s">
        <v>2573</v>
      </c>
      <c r="C825" s="6" t="s">
        <v>19</v>
      </c>
      <c r="D825" s="6" t="s">
        <v>1303</v>
      </c>
      <c r="E825" s="6" t="s">
        <v>2506</v>
      </c>
      <c r="F825" s="7" t="s">
        <v>2651</v>
      </c>
      <c r="G825" s="6" t="s">
        <v>2652</v>
      </c>
      <c r="H825" s="6" t="s">
        <v>8</v>
      </c>
      <c r="I825" s="8"/>
      <c r="J825" s="8"/>
      <c r="K825" s="8"/>
      <c r="L825" s="9"/>
    </row>
    <row r="826" customFormat="false" ht="23.85" hidden="false" customHeight="false" outlineLevel="0" collapsed="false">
      <c r="A826" s="6" t="s">
        <v>2653</v>
      </c>
      <c r="B826" s="6" t="s">
        <v>2573</v>
      </c>
      <c r="C826" s="6" t="s">
        <v>19</v>
      </c>
      <c r="D826" s="6" t="s">
        <v>1303</v>
      </c>
      <c r="E826" s="6" t="s">
        <v>2506</v>
      </c>
      <c r="F826" s="7" t="s">
        <v>2654</v>
      </c>
      <c r="G826" s="6" t="s">
        <v>2655</v>
      </c>
      <c r="H826" s="6" t="s">
        <v>7</v>
      </c>
      <c r="I826" s="8"/>
      <c r="J826" s="8"/>
      <c r="K826" s="8"/>
      <c r="L826" s="9"/>
    </row>
    <row r="827" customFormat="false" ht="23.85" hidden="false" customHeight="false" outlineLevel="0" collapsed="false">
      <c r="A827" s="6" t="s">
        <v>2656</v>
      </c>
      <c r="B827" s="6" t="s">
        <v>2573</v>
      </c>
      <c r="C827" s="6" t="s">
        <v>19</v>
      </c>
      <c r="D827" s="6" t="s">
        <v>1303</v>
      </c>
      <c r="E827" s="6" t="s">
        <v>2506</v>
      </c>
      <c r="F827" s="7" t="s">
        <v>2657</v>
      </c>
      <c r="G827" s="6" t="s">
        <v>1989</v>
      </c>
      <c r="H827" s="6" t="s">
        <v>6</v>
      </c>
      <c r="I827" s="8"/>
      <c r="J827" s="8"/>
      <c r="K827" s="8"/>
      <c r="L827" s="9"/>
    </row>
    <row r="828" customFormat="false" ht="15" hidden="false" customHeight="false" outlineLevel="0" collapsed="false">
      <c r="A828" s="6" t="s">
        <v>2658</v>
      </c>
      <c r="B828" s="6" t="s">
        <v>2573</v>
      </c>
      <c r="C828" s="6" t="s">
        <v>19</v>
      </c>
      <c r="D828" s="6" t="s">
        <v>1303</v>
      </c>
      <c r="E828" s="6" t="s">
        <v>2506</v>
      </c>
      <c r="F828" s="7" t="s">
        <v>2659</v>
      </c>
      <c r="G828" s="6" t="s">
        <v>2660</v>
      </c>
      <c r="H828" s="6" t="s">
        <v>8</v>
      </c>
      <c r="I828" s="8"/>
      <c r="J828" s="8"/>
      <c r="K828" s="8"/>
      <c r="L828" s="9"/>
    </row>
    <row r="829" customFormat="false" ht="23.85" hidden="false" customHeight="false" outlineLevel="0" collapsed="false">
      <c r="A829" s="6" t="s">
        <v>2661</v>
      </c>
      <c r="B829" s="6" t="s">
        <v>2662</v>
      </c>
      <c r="C829" s="6" t="s">
        <v>19</v>
      </c>
      <c r="D829" s="6" t="s">
        <v>274</v>
      </c>
      <c r="E829" s="6" t="s">
        <v>26</v>
      </c>
      <c r="F829" s="7" t="s">
        <v>2663</v>
      </c>
      <c r="G829" s="6" t="s">
        <v>2664</v>
      </c>
      <c r="H829" s="6" t="s">
        <v>8</v>
      </c>
      <c r="I829" s="8"/>
      <c r="J829" s="8"/>
      <c r="K829" s="8"/>
      <c r="L829" s="9"/>
    </row>
    <row r="830" customFormat="false" ht="15" hidden="false" customHeight="false" outlineLevel="0" collapsed="false">
      <c r="A830" s="6" t="s">
        <v>2665</v>
      </c>
      <c r="B830" s="6" t="s">
        <v>2662</v>
      </c>
      <c r="C830" s="6" t="s">
        <v>19</v>
      </c>
      <c r="D830" s="6" t="s">
        <v>274</v>
      </c>
      <c r="E830" s="6" t="s">
        <v>26</v>
      </c>
      <c r="F830" s="7" t="s">
        <v>2666</v>
      </c>
      <c r="G830" s="6" t="s">
        <v>2667</v>
      </c>
      <c r="H830" s="6" t="s">
        <v>6</v>
      </c>
      <c r="I830" s="8"/>
      <c r="J830" s="8"/>
      <c r="K830" s="8"/>
      <c r="L830" s="9"/>
    </row>
    <row r="831" customFormat="false" ht="23.85" hidden="false" customHeight="false" outlineLevel="0" collapsed="false">
      <c r="A831" s="6" t="s">
        <v>2668</v>
      </c>
      <c r="B831" s="6" t="s">
        <v>2662</v>
      </c>
      <c r="C831" s="6" t="s">
        <v>19</v>
      </c>
      <c r="D831" s="6" t="s">
        <v>274</v>
      </c>
      <c r="E831" s="6" t="s">
        <v>26</v>
      </c>
      <c r="F831" s="7" t="s">
        <v>2669</v>
      </c>
      <c r="G831" s="6" t="s">
        <v>2670</v>
      </c>
      <c r="H831" s="6" t="s">
        <v>8</v>
      </c>
      <c r="I831" s="8"/>
      <c r="J831" s="8"/>
      <c r="K831" s="8"/>
      <c r="L831" s="9"/>
    </row>
    <row r="832" customFormat="false" ht="15" hidden="false" customHeight="false" outlineLevel="0" collapsed="false">
      <c r="A832" s="6" t="s">
        <v>2671</v>
      </c>
      <c r="B832" s="6" t="s">
        <v>2662</v>
      </c>
      <c r="C832" s="6" t="s">
        <v>19</v>
      </c>
      <c r="D832" s="6" t="s">
        <v>274</v>
      </c>
      <c r="E832" s="6" t="s">
        <v>26</v>
      </c>
      <c r="F832" s="7" t="s">
        <v>2672</v>
      </c>
      <c r="G832" s="6" t="s">
        <v>2673</v>
      </c>
      <c r="H832" s="6" t="s">
        <v>6</v>
      </c>
      <c r="I832" s="8"/>
      <c r="J832" s="8"/>
      <c r="K832" s="8"/>
      <c r="L832" s="9"/>
    </row>
    <row r="833" customFormat="false" ht="15" hidden="false" customHeight="false" outlineLevel="0" collapsed="false">
      <c r="A833" s="6" t="s">
        <v>2674</v>
      </c>
      <c r="B833" s="6" t="s">
        <v>2662</v>
      </c>
      <c r="C833" s="6" t="s">
        <v>19</v>
      </c>
      <c r="D833" s="6" t="s">
        <v>274</v>
      </c>
      <c r="E833" s="6" t="s">
        <v>26</v>
      </c>
      <c r="F833" s="7" t="s">
        <v>2675</v>
      </c>
      <c r="G833" s="6" t="s">
        <v>2676</v>
      </c>
      <c r="H833" s="6" t="s">
        <v>10</v>
      </c>
      <c r="I833" s="8"/>
      <c r="J833" s="8"/>
      <c r="K833" s="8"/>
      <c r="L833" s="9"/>
    </row>
    <row r="834" customFormat="false" ht="23.85" hidden="false" customHeight="false" outlineLevel="0" collapsed="false">
      <c r="A834" s="6" t="s">
        <v>2677</v>
      </c>
      <c r="B834" s="6" t="s">
        <v>2678</v>
      </c>
      <c r="C834" s="6" t="s">
        <v>19</v>
      </c>
      <c r="D834" s="6" t="s">
        <v>274</v>
      </c>
      <c r="E834" s="6" t="s">
        <v>50</v>
      </c>
      <c r="F834" s="7" t="s">
        <v>2679</v>
      </c>
      <c r="G834" s="6" t="s">
        <v>2680</v>
      </c>
      <c r="H834" s="6" t="s">
        <v>6</v>
      </c>
      <c r="I834" s="8"/>
      <c r="J834" s="8"/>
      <c r="K834" s="8"/>
      <c r="L834" s="9"/>
    </row>
    <row r="835" customFormat="false" ht="15" hidden="false" customHeight="false" outlineLevel="0" collapsed="false">
      <c r="A835" s="6" t="s">
        <v>2681</v>
      </c>
      <c r="B835" s="6" t="s">
        <v>2678</v>
      </c>
      <c r="C835" s="6" t="s">
        <v>19</v>
      </c>
      <c r="D835" s="6" t="s">
        <v>274</v>
      </c>
      <c r="E835" s="6" t="s">
        <v>50</v>
      </c>
      <c r="F835" s="7" t="s">
        <v>2682</v>
      </c>
      <c r="G835" s="6" t="s">
        <v>2683</v>
      </c>
      <c r="H835" s="6" t="s">
        <v>8</v>
      </c>
      <c r="I835" s="8"/>
      <c r="J835" s="8"/>
      <c r="K835" s="8"/>
      <c r="L835" s="9"/>
    </row>
    <row r="836" customFormat="false" ht="23.85" hidden="false" customHeight="false" outlineLevel="0" collapsed="false">
      <c r="A836" s="6" t="s">
        <v>2684</v>
      </c>
      <c r="B836" s="6" t="s">
        <v>2678</v>
      </c>
      <c r="C836" s="6" t="s">
        <v>19</v>
      </c>
      <c r="D836" s="6" t="s">
        <v>274</v>
      </c>
      <c r="E836" s="6" t="s">
        <v>50</v>
      </c>
      <c r="F836" s="7" t="s">
        <v>2685</v>
      </c>
      <c r="G836" s="6" t="s">
        <v>2686</v>
      </c>
      <c r="H836" s="6" t="s">
        <v>6</v>
      </c>
      <c r="I836" s="8"/>
      <c r="J836" s="8"/>
      <c r="K836" s="8"/>
      <c r="L836" s="9"/>
    </row>
    <row r="837" customFormat="false" ht="23.85" hidden="false" customHeight="false" outlineLevel="0" collapsed="false">
      <c r="A837" s="6" t="s">
        <v>2687</v>
      </c>
      <c r="B837" s="6" t="s">
        <v>2678</v>
      </c>
      <c r="C837" s="6" t="s">
        <v>19</v>
      </c>
      <c r="D837" s="6" t="s">
        <v>274</v>
      </c>
      <c r="E837" s="6" t="s">
        <v>50</v>
      </c>
      <c r="F837" s="7" t="s">
        <v>2688</v>
      </c>
      <c r="G837" s="6" t="s">
        <v>2689</v>
      </c>
      <c r="H837" s="6" t="s">
        <v>6</v>
      </c>
      <c r="I837" s="8"/>
      <c r="J837" s="8"/>
      <c r="K837" s="8"/>
      <c r="L837" s="9"/>
    </row>
    <row r="838" customFormat="false" ht="23.85" hidden="false" customHeight="false" outlineLevel="0" collapsed="false">
      <c r="A838" s="6" t="s">
        <v>2690</v>
      </c>
      <c r="B838" s="6" t="s">
        <v>2678</v>
      </c>
      <c r="C838" s="6" t="s">
        <v>19</v>
      </c>
      <c r="D838" s="6" t="s">
        <v>274</v>
      </c>
      <c r="E838" s="6" t="s">
        <v>50</v>
      </c>
      <c r="F838" s="7" t="s">
        <v>2691</v>
      </c>
      <c r="G838" s="6" t="s">
        <v>2692</v>
      </c>
      <c r="H838" s="6" t="s">
        <v>10</v>
      </c>
      <c r="I838" s="8"/>
      <c r="J838" s="8"/>
      <c r="K838" s="8"/>
      <c r="L838" s="9"/>
    </row>
    <row r="839" customFormat="false" ht="23.85" hidden="false" customHeight="false" outlineLevel="0" collapsed="false">
      <c r="A839" s="6" t="s">
        <v>2693</v>
      </c>
      <c r="B839" s="6" t="s">
        <v>2694</v>
      </c>
      <c r="C839" s="6" t="s">
        <v>19</v>
      </c>
      <c r="D839" s="6" t="s">
        <v>85</v>
      </c>
      <c r="E839" s="6" t="s">
        <v>50</v>
      </c>
      <c r="F839" s="7" t="s">
        <v>2695</v>
      </c>
      <c r="G839" s="6" t="s">
        <v>2696</v>
      </c>
      <c r="H839" s="6" t="s">
        <v>6</v>
      </c>
      <c r="I839" s="8"/>
      <c r="J839" s="8"/>
      <c r="K839" s="8"/>
      <c r="L839" s="9"/>
    </row>
    <row r="840" customFormat="false" ht="15" hidden="false" customHeight="false" outlineLevel="0" collapsed="false">
      <c r="A840" s="6" t="s">
        <v>2697</v>
      </c>
      <c r="B840" s="6" t="s">
        <v>2694</v>
      </c>
      <c r="C840" s="6" t="s">
        <v>19</v>
      </c>
      <c r="D840" s="6" t="s">
        <v>85</v>
      </c>
      <c r="E840" s="6" t="s">
        <v>50</v>
      </c>
      <c r="F840" s="7" t="s">
        <v>2698</v>
      </c>
      <c r="G840" s="6" t="s">
        <v>379</v>
      </c>
      <c r="H840" s="6" t="s">
        <v>6</v>
      </c>
      <c r="I840" s="8"/>
      <c r="J840" s="8"/>
      <c r="K840" s="8"/>
      <c r="L840" s="9"/>
    </row>
    <row r="841" customFormat="false" ht="23.85" hidden="false" customHeight="false" outlineLevel="0" collapsed="false">
      <c r="A841" s="6" t="s">
        <v>2699</v>
      </c>
      <c r="B841" s="6" t="s">
        <v>2694</v>
      </c>
      <c r="C841" s="6" t="s">
        <v>19</v>
      </c>
      <c r="D841" s="6" t="s">
        <v>85</v>
      </c>
      <c r="E841" s="6" t="s">
        <v>50</v>
      </c>
      <c r="F841" s="7" t="s">
        <v>2700</v>
      </c>
      <c r="G841" s="6" t="s">
        <v>2701</v>
      </c>
      <c r="H841" s="6" t="s">
        <v>8</v>
      </c>
      <c r="I841" s="8"/>
      <c r="J841" s="8"/>
      <c r="K841" s="8"/>
      <c r="L841" s="9"/>
    </row>
    <row r="842" customFormat="false" ht="15" hidden="false" customHeight="false" outlineLevel="0" collapsed="false">
      <c r="A842" s="6" t="s">
        <v>2702</v>
      </c>
      <c r="B842" s="6" t="s">
        <v>2703</v>
      </c>
      <c r="C842" s="6" t="s">
        <v>19</v>
      </c>
      <c r="D842" s="6" t="s">
        <v>85</v>
      </c>
      <c r="E842" s="6" t="s">
        <v>50</v>
      </c>
      <c r="F842" s="7" t="s">
        <v>2704</v>
      </c>
      <c r="G842" s="6" t="s">
        <v>2705</v>
      </c>
      <c r="H842" s="6" t="s">
        <v>6</v>
      </c>
      <c r="I842" s="8"/>
      <c r="J842" s="8"/>
      <c r="K842" s="8"/>
      <c r="L842" s="9"/>
    </row>
    <row r="843" customFormat="false" ht="23.85" hidden="false" customHeight="false" outlineLevel="0" collapsed="false">
      <c r="A843" s="6" t="s">
        <v>2706</v>
      </c>
      <c r="B843" s="6" t="s">
        <v>2707</v>
      </c>
      <c r="C843" s="6" t="s">
        <v>19</v>
      </c>
      <c r="D843" s="6" t="s">
        <v>44</v>
      </c>
      <c r="E843" s="6" t="s">
        <v>26</v>
      </c>
      <c r="F843" s="7" t="s">
        <v>2708</v>
      </c>
      <c r="G843" s="6" t="s">
        <v>333</v>
      </c>
      <c r="H843" s="6" t="s">
        <v>9</v>
      </c>
      <c r="I843" s="8"/>
      <c r="J843" s="8"/>
      <c r="K843" s="8"/>
      <c r="L843" s="9"/>
    </row>
    <row r="844" customFormat="false" ht="15" hidden="false" customHeight="false" outlineLevel="0" collapsed="false">
      <c r="A844" s="6" t="s">
        <v>2709</v>
      </c>
      <c r="B844" s="6" t="s">
        <v>2710</v>
      </c>
      <c r="C844" s="6" t="s">
        <v>19</v>
      </c>
      <c r="D844" s="6" t="s">
        <v>1303</v>
      </c>
      <c r="E844" s="6" t="s">
        <v>2506</v>
      </c>
      <c r="F844" s="7" t="s">
        <v>2711</v>
      </c>
      <c r="G844" s="6" t="s">
        <v>2712</v>
      </c>
      <c r="H844" s="6" t="s">
        <v>6</v>
      </c>
      <c r="I844" s="8"/>
      <c r="J844" s="8"/>
      <c r="K844" s="8"/>
      <c r="L844" s="9"/>
    </row>
    <row r="845" customFormat="false" ht="23.85" hidden="false" customHeight="false" outlineLevel="0" collapsed="false">
      <c r="A845" s="6" t="s">
        <v>2713</v>
      </c>
      <c r="B845" s="6" t="s">
        <v>2710</v>
      </c>
      <c r="C845" s="6" t="s">
        <v>19</v>
      </c>
      <c r="D845" s="6" t="s">
        <v>1303</v>
      </c>
      <c r="E845" s="6" t="s">
        <v>2506</v>
      </c>
      <c r="F845" s="7" t="s">
        <v>2714</v>
      </c>
      <c r="G845" s="6" t="s">
        <v>2715</v>
      </c>
      <c r="H845" s="6" t="s">
        <v>7</v>
      </c>
      <c r="I845" s="8"/>
      <c r="J845" s="8"/>
      <c r="K845" s="8"/>
      <c r="L845" s="9"/>
    </row>
    <row r="846" customFormat="false" ht="35.05" hidden="false" customHeight="false" outlineLevel="0" collapsed="false">
      <c r="A846" s="6" t="s">
        <v>2716</v>
      </c>
      <c r="B846" s="6" t="s">
        <v>2710</v>
      </c>
      <c r="C846" s="6" t="s">
        <v>19</v>
      </c>
      <c r="D846" s="6" t="s">
        <v>1303</v>
      </c>
      <c r="E846" s="6" t="s">
        <v>2506</v>
      </c>
      <c r="F846" s="7" t="s">
        <v>2717</v>
      </c>
      <c r="G846" s="6" t="s">
        <v>2718</v>
      </c>
      <c r="H846" s="6" t="s">
        <v>8</v>
      </c>
      <c r="I846" s="8"/>
      <c r="J846" s="8"/>
      <c r="K846" s="8"/>
      <c r="L846" s="9"/>
    </row>
    <row r="847" customFormat="false" ht="46.25" hidden="false" customHeight="false" outlineLevel="0" collapsed="false">
      <c r="A847" s="6" t="s">
        <v>2719</v>
      </c>
      <c r="B847" s="6" t="s">
        <v>2710</v>
      </c>
      <c r="C847" s="6" t="s">
        <v>19</v>
      </c>
      <c r="D847" s="6" t="s">
        <v>1303</v>
      </c>
      <c r="E847" s="6" t="s">
        <v>2506</v>
      </c>
      <c r="F847" s="7" t="s">
        <v>2720</v>
      </c>
      <c r="G847" s="6" t="s">
        <v>2721</v>
      </c>
      <c r="H847" s="6" t="s">
        <v>10</v>
      </c>
      <c r="I847" s="8"/>
      <c r="J847" s="8"/>
      <c r="K847" s="8"/>
      <c r="L847" s="9"/>
    </row>
    <row r="848" customFormat="false" ht="23.85" hidden="false" customHeight="false" outlineLevel="0" collapsed="false">
      <c r="A848" s="6" t="s">
        <v>2722</v>
      </c>
      <c r="B848" s="6" t="s">
        <v>2710</v>
      </c>
      <c r="C848" s="6" t="s">
        <v>19</v>
      </c>
      <c r="D848" s="6" t="s">
        <v>1303</v>
      </c>
      <c r="E848" s="6" t="s">
        <v>2506</v>
      </c>
      <c r="F848" s="7" t="s">
        <v>2723</v>
      </c>
      <c r="G848" s="6" t="s">
        <v>2724</v>
      </c>
      <c r="H848" s="6" t="s">
        <v>8</v>
      </c>
      <c r="I848" s="8"/>
      <c r="J848" s="8"/>
      <c r="K848" s="8"/>
      <c r="L848" s="9"/>
    </row>
    <row r="849" customFormat="false" ht="23.85" hidden="false" customHeight="false" outlineLevel="0" collapsed="false">
      <c r="A849" s="6" t="s">
        <v>2725</v>
      </c>
      <c r="B849" s="6" t="s">
        <v>2710</v>
      </c>
      <c r="C849" s="6" t="s">
        <v>19</v>
      </c>
      <c r="D849" s="6" t="s">
        <v>1303</v>
      </c>
      <c r="E849" s="6" t="s">
        <v>2506</v>
      </c>
      <c r="F849" s="7" t="s">
        <v>2726</v>
      </c>
      <c r="G849" s="6" t="s">
        <v>2727</v>
      </c>
      <c r="H849" s="6" t="s">
        <v>6</v>
      </c>
      <c r="I849" s="8"/>
      <c r="J849" s="8"/>
      <c r="K849" s="8"/>
      <c r="L849" s="9"/>
    </row>
    <row r="850" customFormat="false" ht="35.05" hidden="false" customHeight="false" outlineLevel="0" collapsed="false">
      <c r="A850" s="6" t="s">
        <v>2728</v>
      </c>
      <c r="B850" s="6" t="s">
        <v>2710</v>
      </c>
      <c r="C850" s="6" t="s">
        <v>19</v>
      </c>
      <c r="D850" s="6" t="s">
        <v>1303</v>
      </c>
      <c r="E850" s="6" t="s">
        <v>2506</v>
      </c>
      <c r="F850" s="7" t="s">
        <v>2729</v>
      </c>
      <c r="G850" s="6" t="s">
        <v>2730</v>
      </c>
      <c r="H850" s="6" t="s">
        <v>8</v>
      </c>
      <c r="I850" s="8"/>
      <c r="J850" s="8"/>
      <c r="K850" s="8"/>
      <c r="L850" s="9"/>
    </row>
    <row r="851" customFormat="false" ht="35.05" hidden="false" customHeight="false" outlineLevel="0" collapsed="false">
      <c r="A851" s="6" t="s">
        <v>2731</v>
      </c>
      <c r="B851" s="6" t="s">
        <v>2710</v>
      </c>
      <c r="C851" s="6" t="s">
        <v>19</v>
      </c>
      <c r="D851" s="6" t="s">
        <v>1303</v>
      </c>
      <c r="E851" s="6" t="s">
        <v>2506</v>
      </c>
      <c r="F851" s="7" t="s">
        <v>2732</v>
      </c>
      <c r="G851" s="6" t="s">
        <v>2733</v>
      </c>
      <c r="H851" s="6" t="s">
        <v>8</v>
      </c>
      <c r="I851" s="8"/>
      <c r="J851" s="8"/>
      <c r="K851" s="8"/>
      <c r="L851" s="9"/>
    </row>
    <row r="852" customFormat="false" ht="35.05" hidden="false" customHeight="false" outlineLevel="0" collapsed="false">
      <c r="A852" s="6" t="s">
        <v>2734</v>
      </c>
      <c r="B852" s="6" t="s">
        <v>2710</v>
      </c>
      <c r="C852" s="6" t="s">
        <v>19</v>
      </c>
      <c r="D852" s="6" t="s">
        <v>1303</v>
      </c>
      <c r="E852" s="6" t="s">
        <v>2506</v>
      </c>
      <c r="F852" s="7" t="s">
        <v>2735</v>
      </c>
      <c r="G852" s="6" t="s">
        <v>2736</v>
      </c>
      <c r="H852" s="6" t="s">
        <v>8</v>
      </c>
      <c r="I852" s="8"/>
      <c r="J852" s="8"/>
      <c r="K852" s="8"/>
      <c r="L852" s="9"/>
    </row>
    <row r="853" customFormat="false" ht="23.85" hidden="false" customHeight="false" outlineLevel="0" collapsed="false">
      <c r="A853" s="6" t="s">
        <v>2737</v>
      </c>
      <c r="B853" s="6" t="s">
        <v>2710</v>
      </c>
      <c r="C853" s="6" t="s">
        <v>19</v>
      </c>
      <c r="D853" s="6" t="s">
        <v>1303</v>
      </c>
      <c r="E853" s="6" t="s">
        <v>2506</v>
      </c>
      <c r="F853" s="7" t="s">
        <v>2738</v>
      </c>
      <c r="G853" s="6" t="s">
        <v>2739</v>
      </c>
      <c r="H853" s="6" t="s">
        <v>6</v>
      </c>
      <c r="I853" s="8"/>
      <c r="J853" s="8"/>
      <c r="K853" s="8"/>
      <c r="L853" s="9"/>
    </row>
    <row r="854" customFormat="false" ht="23.85" hidden="false" customHeight="false" outlineLevel="0" collapsed="false">
      <c r="A854" s="6" t="s">
        <v>2740</v>
      </c>
      <c r="B854" s="6" t="s">
        <v>2710</v>
      </c>
      <c r="C854" s="6" t="s">
        <v>19</v>
      </c>
      <c r="D854" s="6" t="s">
        <v>1303</v>
      </c>
      <c r="E854" s="6" t="s">
        <v>2506</v>
      </c>
      <c r="F854" s="7" t="s">
        <v>2741</v>
      </c>
      <c r="G854" s="6" t="s">
        <v>2742</v>
      </c>
      <c r="H854" s="6" t="s">
        <v>8</v>
      </c>
      <c r="I854" s="8"/>
      <c r="J854" s="8"/>
      <c r="K854" s="8"/>
      <c r="L854" s="9"/>
    </row>
    <row r="855" customFormat="false" ht="46.25" hidden="false" customHeight="false" outlineLevel="0" collapsed="false">
      <c r="A855" s="6" t="s">
        <v>2743</v>
      </c>
      <c r="B855" s="6" t="s">
        <v>2710</v>
      </c>
      <c r="C855" s="6" t="s">
        <v>19</v>
      </c>
      <c r="D855" s="6" t="s">
        <v>1303</v>
      </c>
      <c r="E855" s="6" t="s">
        <v>2506</v>
      </c>
      <c r="F855" s="7" t="s">
        <v>2744</v>
      </c>
      <c r="G855" s="6" t="s">
        <v>2745</v>
      </c>
      <c r="H855" s="6" t="s">
        <v>8</v>
      </c>
      <c r="I855" s="8"/>
      <c r="J855" s="8"/>
      <c r="K855" s="8"/>
      <c r="L855" s="9"/>
    </row>
    <row r="856" customFormat="false" ht="35.05" hidden="false" customHeight="false" outlineLevel="0" collapsed="false">
      <c r="A856" s="6" t="s">
        <v>2746</v>
      </c>
      <c r="B856" s="6" t="s">
        <v>2710</v>
      </c>
      <c r="C856" s="6" t="s">
        <v>19</v>
      </c>
      <c r="D856" s="6" t="s">
        <v>1303</v>
      </c>
      <c r="E856" s="6" t="s">
        <v>2506</v>
      </c>
      <c r="F856" s="7" t="s">
        <v>2747</v>
      </c>
      <c r="G856" s="6" t="s">
        <v>861</v>
      </c>
      <c r="H856" s="6" t="s">
        <v>8</v>
      </c>
      <c r="I856" s="8"/>
      <c r="J856" s="8"/>
      <c r="K856" s="8"/>
      <c r="L856" s="9"/>
    </row>
    <row r="857" customFormat="false" ht="35.05" hidden="false" customHeight="false" outlineLevel="0" collapsed="false">
      <c r="A857" s="6" t="s">
        <v>2748</v>
      </c>
      <c r="B857" s="6" t="s">
        <v>2710</v>
      </c>
      <c r="C857" s="6" t="s">
        <v>19</v>
      </c>
      <c r="D857" s="6" t="s">
        <v>1303</v>
      </c>
      <c r="E857" s="6" t="s">
        <v>2506</v>
      </c>
      <c r="F857" s="7" t="s">
        <v>2749</v>
      </c>
      <c r="G857" s="6" t="s">
        <v>2750</v>
      </c>
      <c r="H857" s="6" t="s">
        <v>8</v>
      </c>
      <c r="I857" s="8"/>
      <c r="J857" s="8"/>
      <c r="K857" s="8"/>
      <c r="L857" s="9"/>
    </row>
    <row r="858" customFormat="false" ht="35.05" hidden="false" customHeight="false" outlineLevel="0" collapsed="false">
      <c r="A858" s="6" t="s">
        <v>2751</v>
      </c>
      <c r="B858" s="6" t="s">
        <v>2710</v>
      </c>
      <c r="C858" s="6" t="s">
        <v>19</v>
      </c>
      <c r="D858" s="6" t="s">
        <v>1303</v>
      </c>
      <c r="E858" s="6" t="s">
        <v>2506</v>
      </c>
      <c r="F858" s="7" t="s">
        <v>2752</v>
      </c>
      <c r="G858" s="6" t="s">
        <v>2753</v>
      </c>
      <c r="H858" s="6" t="s">
        <v>8</v>
      </c>
      <c r="I858" s="8"/>
      <c r="J858" s="8"/>
      <c r="K858" s="8"/>
      <c r="L858" s="9"/>
    </row>
    <row r="859" customFormat="false" ht="23.85" hidden="false" customHeight="false" outlineLevel="0" collapsed="false">
      <c r="A859" s="6" t="s">
        <v>2754</v>
      </c>
      <c r="B859" s="6" t="s">
        <v>2710</v>
      </c>
      <c r="C859" s="6" t="s">
        <v>19</v>
      </c>
      <c r="D859" s="6" t="s">
        <v>1303</v>
      </c>
      <c r="E859" s="6" t="s">
        <v>2506</v>
      </c>
      <c r="F859" s="7" t="s">
        <v>2755</v>
      </c>
      <c r="G859" s="6" t="s">
        <v>2756</v>
      </c>
      <c r="H859" s="6" t="s">
        <v>8</v>
      </c>
      <c r="I859" s="8"/>
      <c r="J859" s="8"/>
      <c r="K859" s="8"/>
      <c r="L859" s="9"/>
    </row>
    <row r="860" customFormat="false" ht="15" hidden="false" customHeight="false" outlineLevel="0" collapsed="false">
      <c r="A860" s="6" t="s">
        <v>2757</v>
      </c>
      <c r="B860" s="6" t="s">
        <v>2710</v>
      </c>
      <c r="C860" s="6" t="s">
        <v>19</v>
      </c>
      <c r="D860" s="6" t="s">
        <v>1303</v>
      </c>
      <c r="E860" s="6" t="s">
        <v>2506</v>
      </c>
      <c r="F860" s="7" t="s">
        <v>2758</v>
      </c>
      <c r="G860" s="6" t="s">
        <v>2756</v>
      </c>
      <c r="H860" s="6" t="s">
        <v>8</v>
      </c>
      <c r="I860" s="8"/>
      <c r="J860" s="8"/>
      <c r="K860" s="8"/>
      <c r="L860" s="9"/>
    </row>
    <row r="861" customFormat="false" ht="15" hidden="false" customHeight="false" outlineLevel="0" collapsed="false">
      <c r="A861" s="6" t="s">
        <v>2759</v>
      </c>
      <c r="B861" s="6" t="s">
        <v>2710</v>
      </c>
      <c r="C861" s="6" t="s">
        <v>19</v>
      </c>
      <c r="D861" s="6" t="s">
        <v>1303</v>
      </c>
      <c r="E861" s="6" t="s">
        <v>2506</v>
      </c>
      <c r="F861" s="7" t="s">
        <v>2760</v>
      </c>
      <c r="G861" s="6" t="s">
        <v>2761</v>
      </c>
      <c r="H861" s="6" t="s">
        <v>8</v>
      </c>
      <c r="I861" s="8"/>
      <c r="J861" s="8"/>
      <c r="K861" s="8"/>
      <c r="L861" s="9"/>
    </row>
    <row r="862" customFormat="false" ht="23.85" hidden="false" customHeight="false" outlineLevel="0" collapsed="false">
      <c r="A862" s="6" t="s">
        <v>2762</v>
      </c>
      <c r="B862" s="6" t="s">
        <v>2710</v>
      </c>
      <c r="C862" s="6" t="s">
        <v>19</v>
      </c>
      <c r="D862" s="6" t="s">
        <v>1303</v>
      </c>
      <c r="E862" s="6" t="s">
        <v>2506</v>
      </c>
      <c r="F862" s="7" t="s">
        <v>2763</v>
      </c>
      <c r="G862" s="6" t="s">
        <v>2764</v>
      </c>
      <c r="H862" s="6" t="s">
        <v>6</v>
      </c>
      <c r="I862" s="8"/>
      <c r="J862" s="8"/>
      <c r="K862" s="8"/>
      <c r="L862" s="9"/>
    </row>
    <row r="863" customFormat="false" ht="35.05" hidden="false" customHeight="false" outlineLevel="0" collapsed="false">
      <c r="A863" s="6" t="s">
        <v>2765</v>
      </c>
      <c r="B863" s="6" t="s">
        <v>2710</v>
      </c>
      <c r="C863" s="6" t="s">
        <v>19</v>
      </c>
      <c r="D863" s="6" t="s">
        <v>1303</v>
      </c>
      <c r="E863" s="6" t="s">
        <v>2506</v>
      </c>
      <c r="F863" s="7" t="s">
        <v>2766</v>
      </c>
      <c r="G863" s="6" t="s">
        <v>2767</v>
      </c>
      <c r="H863" s="6" t="s">
        <v>8</v>
      </c>
      <c r="I863" s="8"/>
      <c r="J863" s="8"/>
      <c r="K863" s="8"/>
      <c r="L863" s="9"/>
    </row>
    <row r="864" customFormat="false" ht="15" hidden="false" customHeight="false" outlineLevel="0" collapsed="false">
      <c r="A864" s="6" t="s">
        <v>2768</v>
      </c>
      <c r="B864" s="6" t="s">
        <v>2710</v>
      </c>
      <c r="C864" s="6" t="s">
        <v>19</v>
      </c>
      <c r="D864" s="6" t="s">
        <v>1303</v>
      </c>
      <c r="E864" s="6" t="s">
        <v>2506</v>
      </c>
      <c r="F864" s="7" t="s">
        <v>2769</v>
      </c>
      <c r="G864" s="6" t="s">
        <v>2770</v>
      </c>
      <c r="H864" s="6" t="s">
        <v>8</v>
      </c>
      <c r="I864" s="8"/>
      <c r="J864" s="8"/>
      <c r="K864" s="8"/>
      <c r="L864" s="9"/>
    </row>
    <row r="865" customFormat="false" ht="23.85" hidden="false" customHeight="false" outlineLevel="0" collapsed="false">
      <c r="A865" s="6" t="s">
        <v>2771</v>
      </c>
      <c r="B865" s="6" t="s">
        <v>2710</v>
      </c>
      <c r="C865" s="6" t="s">
        <v>19</v>
      </c>
      <c r="D865" s="6" t="s">
        <v>1303</v>
      </c>
      <c r="E865" s="6" t="s">
        <v>2506</v>
      </c>
      <c r="F865" s="7" t="s">
        <v>2772</v>
      </c>
      <c r="G865" s="6" t="s">
        <v>2773</v>
      </c>
      <c r="H865" s="6" t="s">
        <v>6</v>
      </c>
      <c r="I865" s="8"/>
      <c r="J865" s="8"/>
      <c r="K865" s="8"/>
      <c r="L865" s="9"/>
    </row>
    <row r="866" customFormat="false" ht="35.05" hidden="false" customHeight="false" outlineLevel="0" collapsed="false">
      <c r="A866" s="6" t="s">
        <v>2774</v>
      </c>
      <c r="B866" s="6" t="s">
        <v>2710</v>
      </c>
      <c r="C866" s="6" t="s">
        <v>19</v>
      </c>
      <c r="D866" s="6" t="s">
        <v>1303</v>
      </c>
      <c r="E866" s="6" t="s">
        <v>2506</v>
      </c>
      <c r="F866" s="7" t="s">
        <v>2775</v>
      </c>
      <c r="G866" s="6" t="s">
        <v>2776</v>
      </c>
      <c r="H866" s="6" t="s">
        <v>6</v>
      </c>
      <c r="I866" s="8"/>
      <c r="J866" s="8"/>
      <c r="K866" s="8"/>
      <c r="L866" s="9"/>
    </row>
    <row r="867" customFormat="false" ht="23.85" hidden="false" customHeight="false" outlineLevel="0" collapsed="false">
      <c r="A867" s="6" t="s">
        <v>2777</v>
      </c>
      <c r="B867" s="6" t="s">
        <v>2710</v>
      </c>
      <c r="C867" s="6" t="s">
        <v>19</v>
      </c>
      <c r="D867" s="6" t="s">
        <v>1303</v>
      </c>
      <c r="E867" s="6" t="s">
        <v>2506</v>
      </c>
      <c r="F867" s="7" t="s">
        <v>2778</v>
      </c>
      <c r="G867" s="6" t="s">
        <v>2779</v>
      </c>
      <c r="H867" s="6" t="s">
        <v>8</v>
      </c>
      <c r="I867" s="8"/>
      <c r="J867" s="8"/>
      <c r="K867" s="8"/>
      <c r="L867" s="9"/>
    </row>
    <row r="868" customFormat="false" ht="15" hidden="false" customHeight="false" outlineLevel="0" collapsed="false">
      <c r="A868" s="6" t="s">
        <v>2780</v>
      </c>
      <c r="B868" s="6" t="s">
        <v>2710</v>
      </c>
      <c r="C868" s="6" t="s">
        <v>19</v>
      </c>
      <c r="D868" s="6" t="s">
        <v>1303</v>
      </c>
      <c r="E868" s="6" t="s">
        <v>2506</v>
      </c>
      <c r="F868" s="7" t="s">
        <v>2781</v>
      </c>
      <c r="G868" s="6" t="s">
        <v>2782</v>
      </c>
      <c r="H868" s="6" t="s">
        <v>8</v>
      </c>
      <c r="I868" s="8"/>
      <c r="J868" s="8"/>
      <c r="K868" s="8"/>
      <c r="L868" s="9"/>
    </row>
    <row r="869" customFormat="false" ht="35.05" hidden="false" customHeight="false" outlineLevel="0" collapsed="false">
      <c r="A869" s="6" t="s">
        <v>2783</v>
      </c>
      <c r="B869" s="6" t="s">
        <v>2710</v>
      </c>
      <c r="C869" s="6" t="s">
        <v>19</v>
      </c>
      <c r="D869" s="6" t="s">
        <v>1303</v>
      </c>
      <c r="E869" s="6" t="s">
        <v>2506</v>
      </c>
      <c r="F869" s="7" t="s">
        <v>2784</v>
      </c>
      <c r="G869" s="6" t="s">
        <v>2785</v>
      </c>
      <c r="H869" s="6" t="s">
        <v>8</v>
      </c>
      <c r="I869" s="8"/>
      <c r="J869" s="8"/>
      <c r="K869" s="8"/>
      <c r="L869" s="9"/>
    </row>
    <row r="870" customFormat="false" ht="15" hidden="false" customHeight="false" outlineLevel="0" collapsed="false">
      <c r="A870" s="6" t="s">
        <v>2786</v>
      </c>
      <c r="B870" s="6" t="s">
        <v>2710</v>
      </c>
      <c r="C870" s="6" t="s">
        <v>19</v>
      </c>
      <c r="D870" s="6" t="s">
        <v>1303</v>
      </c>
      <c r="E870" s="6" t="s">
        <v>2506</v>
      </c>
      <c r="F870" s="7" t="s">
        <v>2787</v>
      </c>
      <c r="G870" s="6" t="s">
        <v>2788</v>
      </c>
      <c r="H870" s="6" t="s">
        <v>7</v>
      </c>
      <c r="I870" s="8"/>
      <c r="J870" s="8"/>
      <c r="K870" s="8"/>
      <c r="L870" s="9"/>
    </row>
    <row r="871" customFormat="false" ht="23.85" hidden="false" customHeight="false" outlineLevel="0" collapsed="false">
      <c r="A871" s="6" t="s">
        <v>2789</v>
      </c>
      <c r="B871" s="6" t="s">
        <v>2790</v>
      </c>
      <c r="C871" s="6" t="s">
        <v>20</v>
      </c>
      <c r="D871" s="6" t="s">
        <v>44</v>
      </c>
      <c r="E871" s="6"/>
      <c r="F871" s="7" t="s">
        <v>2791</v>
      </c>
      <c r="G871" s="6" t="s">
        <v>2792</v>
      </c>
      <c r="H871" s="6" t="s">
        <v>8</v>
      </c>
      <c r="I871" s="8"/>
      <c r="J871" s="8"/>
      <c r="K871" s="8"/>
      <c r="L871" s="9"/>
    </row>
    <row r="872" customFormat="false" ht="15" hidden="false" customHeight="false" outlineLevel="0" collapsed="false">
      <c r="A872" s="6" t="s">
        <v>2793</v>
      </c>
      <c r="B872" s="6" t="s">
        <v>2794</v>
      </c>
      <c r="C872" s="6" t="s">
        <v>20</v>
      </c>
      <c r="D872" s="6" t="s">
        <v>49</v>
      </c>
      <c r="E872" s="6"/>
      <c r="F872" s="7" t="s">
        <v>2795</v>
      </c>
      <c r="G872" s="6" t="s">
        <v>2796</v>
      </c>
      <c r="H872" s="6" t="s">
        <v>6</v>
      </c>
      <c r="I872" s="8"/>
      <c r="J872" s="8"/>
      <c r="K872" s="8"/>
      <c r="L872" s="9"/>
    </row>
    <row r="873" customFormat="false" ht="23.85" hidden="false" customHeight="false" outlineLevel="0" collapsed="false">
      <c r="A873" s="6" t="s">
        <v>2797</v>
      </c>
      <c r="B873" s="6" t="s">
        <v>2794</v>
      </c>
      <c r="C873" s="6" t="s">
        <v>20</v>
      </c>
      <c r="D873" s="6" t="s">
        <v>49</v>
      </c>
      <c r="E873" s="6"/>
      <c r="F873" s="7" t="s">
        <v>2798</v>
      </c>
      <c r="G873" s="6" t="s">
        <v>2799</v>
      </c>
      <c r="H873" s="6" t="s">
        <v>6</v>
      </c>
      <c r="I873" s="8"/>
      <c r="J873" s="8"/>
      <c r="K873" s="8"/>
      <c r="L873" s="9"/>
    </row>
    <row r="874" customFormat="false" ht="23.85" hidden="false" customHeight="false" outlineLevel="0" collapsed="false">
      <c r="A874" s="6" t="s">
        <v>2800</v>
      </c>
      <c r="B874" s="6" t="s">
        <v>2794</v>
      </c>
      <c r="C874" s="6" t="s">
        <v>20</v>
      </c>
      <c r="D874" s="6" t="s">
        <v>49</v>
      </c>
      <c r="E874" s="6"/>
      <c r="F874" s="7" t="s">
        <v>2801</v>
      </c>
      <c r="G874" s="6" t="s">
        <v>2802</v>
      </c>
      <c r="H874" s="6" t="s">
        <v>6</v>
      </c>
      <c r="I874" s="8"/>
      <c r="J874" s="8"/>
      <c r="K874" s="8"/>
      <c r="L874" s="9"/>
    </row>
    <row r="875" customFormat="false" ht="15" hidden="false" customHeight="false" outlineLevel="0" collapsed="false">
      <c r="A875" s="6" t="s">
        <v>2803</v>
      </c>
      <c r="B875" s="6" t="s">
        <v>2794</v>
      </c>
      <c r="C875" s="6" t="s">
        <v>20</v>
      </c>
      <c r="D875" s="6" t="s">
        <v>49</v>
      </c>
      <c r="E875" s="6"/>
      <c r="F875" s="7" t="s">
        <v>2804</v>
      </c>
      <c r="G875" s="6" t="s">
        <v>2805</v>
      </c>
      <c r="H875" s="6" t="s">
        <v>9</v>
      </c>
      <c r="I875" s="8"/>
      <c r="J875" s="8"/>
      <c r="K875" s="8"/>
      <c r="L875" s="9"/>
    </row>
    <row r="876" customFormat="false" ht="15" hidden="false" customHeight="false" outlineLevel="0" collapsed="false">
      <c r="A876" s="6" t="s">
        <v>2806</v>
      </c>
      <c r="B876" s="6" t="s">
        <v>2794</v>
      </c>
      <c r="C876" s="6" t="s">
        <v>20</v>
      </c>
      <c r="D876" s="6" t="s">
        <v>49</v>
      </c>
      <c r="E876" s="6"/>
      <c r="F876" s="7" t="s">
        <v>2807</v>
      </c>
      <c r="G876" s="6" t="s">
        <v>2808</v>
      </c>
      <c r="H876" s="6" t="s">
        <v>6</v>
      </c>
      <c r="I876" s="8"/>
      <c r="J876" s="8"/>
      <c r="K876" s="8"/>
      <c r="L876" s="9"/>
    </row>
    <row r="877" customFormat="false" ht="23.85" hidden="false" customHeight="false" outlineLevel="0" collapsed="false">
      <c r="A877" s="6" t="s">
        <v>2809</v>
      </c>
      <c r="B877" s="6" t="s">
        <v>2794</v>
      </c>
      <c r="C877" s="6" t="s">
        <v>20</v>
      </c>
      <c r="D877" s="6" t="s">
        <v>49</v>
      </c>
      <c r="E877" s="6"/>
      <c r="F877" s="7" t="s">
        <v>2810</v>
      </c>
      <c r="G877" s="6" t="s">
        <v>2811</v>
      </c>
      <c r="H877" s="6" t="s">
        <v>8</v>
      </c>
      <c r="I877" s="8"/>
      <c r="J877" s="8"/>
      <c r="K877" s="8"/>
      <c r="L877" s="9"/>
    </row>
    <row r="878" customFormat="false" ht="15" hidden="false" customHeight="false" outlineLevel="0" collapsed="false">
      <c r="A878" s="6" t="s">
        <v>2812</v>
      </c>
      <c r="B878" s="6" t="s">
        <v>2794</v>
      </c>
      <c r="C878" s="6" t="s">
        <v>20</v>
      </c>
      <c r="D878" s="6" t="s">
        <v>49</v>
      </c>
      <c r="E878" s="6"/>
      <c r="F878" s="7" t="s">
        <v>2813</v>
      </c>
      <c r="G878" s="6" t="s">
        <v>2814</v>
      </c>
      <c r="H878" s="6" t="s">
        <v>6</v>
      </c>
      <c r="I878" s="8"/>
      <c r="J878" s="8"/>
      <c r="K878" s="8"/>
      <c r="L878" s="9"/>
    </row>
    <row r="879" customFormat="false" ht="15" hidden="false" customHeight="false" outlineLevel="0" collapsed="false">
      <c r="A879" s="6" t="s">
        <v>2815</v>
      </c>
      <c r="B879" s="6" t="s">
        <v>2794</v>
      </c>
      <c r="C879" s="6" t="s">
        <v>20</v>
      </c>
      <c r="D879" s="6" t="s">
        <v>49</v>
      </c>
      <c r="E879" s="6"/>
      <c r="F879" s="7" t="s">
        <v>2816</v>
      </c>
      <c r="G879" s="6" t="s">
        <v>2817</v>
      </c>
      <c r="H879" s="6" t="s">
        <v>6</v>
      </c>
      <c r="I879" s="8"/>
      <c r="J879" s="8"/>
      <c r="K879" s="8"/>
      <c r="L879" s="9"/>
    </row>
    <row r="880" customFormat="false" ht="15" hidden="false" customHeight="false" outlineLevel="0" collapsed="false">
      <c r="A880" s="6" t="s">
        <v>2818</v>
      </c>
      <c r="B880" s="6" t="s">
        <v>2794</v>
      </c>
      <c r="C880" s="6" t="s">
        <v>20</v>
      </c>
      <c r="D880" s="6" t="s">
        <v>49</v>
      </c>
      <c r="E880" s="6"/>
      <c r="F880" s="7" t="s">
        <v>2819</v>
      </c>
      <c r="G880" s="6" t="s">
        <v>2820</v>
      </c>
      <c r="H880" s="6" t="s">
        <v>7</v>
      </c>
      <c r="I880" s="8"/>
      <c r="J880" s="8"/>
      <c r="K880" s="8"/>
      <c r="L880" s="9"/>
    </row>
    <row r="881" customFormat="false" ht="15" hidden="false" customHeight="false" outlineLevel="0" collapsed="false">
      <c r="A881" s="6" t="s">
        <v>2821</v>
      </c>
      <c r="B881" s="6" t="s">
        <v>2794</v>
      </c>
      <c r="C881" s="6" t="s">
        <v>20</v>
      </c>
      <c r="D881" s="6" t="s">
        <v>49</v>
      </c>
      <c r="E881" s="6"/>
      <c r="F881" s="7" t="s">
        <v>2822</v>
      </c>
      <c r="G881" s="6" t="s">
        <v>2823</v>
      </c>
      <c r="H881" s="6" t="s">
        <v>8</v>
      </c>
      <c r="I881" s="8"/>
      <c r="J881" s="8"/>
      <c r="K881" s="8"/>
      <c r="L881" s="9"/>
    </row>
    <row r="882" customFormat="false" ht="15" hidden="false" customHeight="false" outlineLevel="0" collapsed="false">
      <c r="A882" s="6" t="s">
        <v>2824</v>
      </c>
      <c r="B882" s="6" t="s">
        <v>2794</v>
      </c>
      <c r="C882" s="6" t="s">
        <v>20</v>
      </c>
      <c r="D882" s="6" t="s">
        <v>49</v>
      </c>
      <c r="E882" s="6"/>
      <c r="F882" s="7" t="s">
        <v>2825</v>
      </c>
      <c r="G882" s="6" t="s">
        <v>2826</v>
      </c>
      <c r="H882" s="6" t="s">
        <v>6</v>
      </c>
      <c r="I882" s="8"/>
      <c r="J882" s="8"/>
      <c r="K882" s="8"/>
      <c r="L882" s="9"/>
    </row>
    <row r="883" customFormat="false" ht="23.85" hidden="false" customHeight="false" outlineLevel="0" collapsed="false">
      <c r="A883" s="6" t="s">
        <v>2827</v>
      </c>
      <c r="B883" s="6" t="s">
        <v>2828</v>
      </c>
      <c r="C883" s="6" t="s">
        <v>20</v>
      </c>
      <c r="D883" s="6" t="s">
        <v>49</v>
      </c>
      <c r="E883" s="6"/>
      <c r="F883" s="7" t="s">
        <v>2829</v>
      </c>
      <c r="G883" s="6" t="s">
        <v>2830</v>
      </c>
      <c r="H883" s="6" t="s">
        <v>8</v>
      </c>
      <c r="I883" s="8"/>
      <c r="J883" s="8"/>
      <c r="K883" s="8"/>
      <c r="L883" s="9"/>
    </row>
    <row r="884" customFormat="false" ht="15" hidden="false" customHeight="false" outlineLevel="0" collapsed="false">
      <c r="A884" s="6" t="s">
        <v>2831</v>
      </c>
      <c r="B884" s="6" t="s">
        <v>2828</v>
      </c>
      <c r="C884" s="6" t="s">
        <v>20</v>
      </c>
      <c r="D884" s="6" t="s">
        <v>49</v>
      </c>
      <c r="E884" s="6"/>
      <c r="F884" s="7" t="s">
        <v>2832</v>
      </c>
      <c r="G884" s="6" t="s">
        <v>2833</v>
      </c>
      <c r="H884" s="6" t="s">
        <v>6</v>
      </c>
      <c r="I884" s="8"/>
      <c r="J884" s="8"/>
      <c r="K884" s="8"/>
      <c r="L884" s="9"/>
    </row>
    <row r="885" customFormat="false" ht="15" hidden="false" customHeight="false" outlineLevel="0" collapsed="false">
      <c r="A885" s="6" t="s">
        <v>2834</v>
      </c>
      <c r="B885" s="6" t="s">
        <v>2828</v>
      </c>
      <c r="C885" s="6" t="s">
        <v>20</v>
      </c>
      <c r="D885" s="6" t="s">
        <v>49</v>
      </c>
      <c r="E885" s="6"/>
      <c r="F885" s="7" t="s">
        <v>2835</v>
      </c>
      <c r="G885" s="6" t="s">
        <v>2836</v>
      </c>
      <c r="H885" s="6" t="s">
        <v>6</v>
      </c>
      <c r="I885" s="8"/>
      <c r="J885" s="8"/>
      <c r="K885" s="8"/>
      <c r="L885" s="9"/>
    </row>
    <row r="886" customFormat="false" ht="15" hidden="false" customHeight="false" outlineLevel="0" collapsed="false">
      <c r="A886" s="6" t="s">
        <v>2837</v>
      </c>
      <c r="B886" s="6" t="s">
        <v>2828</v>
      </c>
      <c r="C886" s="6" t="s">
        <v>20</v>
      </c>
      <c r="D886" s="6" t="s">
        <v>49</v>
      </c>
      <c r="E886" s="6"/>
      <c r="F886" s="7" t="s">
        <v>2838</v>
      </c>
      <c r="G886" s="6" t="s">
        <v>2375</v>
      </c>
      <c r="H886" s="6" t="s">
        <v>8</v>
      </c>
      <c r="I886" s="8"/>
      <c r="J886" s="8"/>
      <c r="K886" s="8"/>
      <c r="L886" s="9"/>
    </row>
    <row r="887" customFormat="false" ht="23.85" hidden="false" customHeight="false" outlineLevel="0" collapsed="false">
      <c r="A887" s="6" t="s">
        <v>2839</v>
      </c>
      <c r="B887" s="6" t="s">
        <v>2828</v>
      </c>
      <c r="C887" s="6" t="s">
        <v>20</v>
      </c>
      <c r="D887" s="6" t="s">
        <v>49</v>
      </c>
      <c r="E887" s="6"/>
      <c r="F887" s="7" t="s">
        <v>2840</v>
      </c>
      <c r="G887" s="6" t="s">
        <v>2841</v>
      </c>
      <c r="H887" s="6" t="s">
        <v>8</v>
      </c>
      <c r="I887" s="8"/>
      <c r="J887" s="8"/>
      <c r="K887" s="8"/>
      <c r="L887" s="9"/>
    </row>
    <row r="888" customFormat="false" ht="15" hidden="false" customHeight="false" outlineLevel="0" collapsed="false">
      <c r="A888" s="6" t="s">
        <v>2842</v>
      </c>
      <c r="B888" s="6" t="s">
        <v>2828</v>
      </c>
      <c r="C888" s="6" t="s">
        <v>20</v>
      </c>
      <c r="D888" s="6" t="s">
        <v>49</v>
      </c>
      <c r="E888" s="6"/>
      <c r="F888" s="7" t="s">
        <v>2843</v>
      </c>
      <c r="G888" s="6" t="s">
        <v>2844</v>
      </c>
      <c r="H888" s="6" t="s">
        <v>6</v>
      </c>
      <c r="I888" s="8"/>
      <c r="J888" s="8"/>
      <c r="K888" s="8"/>
      <c r="L888" s="9"/>
    </row>
    <row r="889" customFormat="false" ht="15" hidden="false" customHeight="false" outlineLevel="0" collapsed="false">
      <c r="A889" s="6" t="s">
        <v>2845</v>
      </c>
      <c r="B889" s="6" t="s">
        <v>2828</v>
      </c>
      <c r="C889" s="6" t="s">
        <v>20</v>
      </c>
      <c r="D889" s="6" t="s">
        <v>49</v>
      </c>
      <c r="E889" s="6"/>
      <c r="F889" s="7" t="s">
        <v>2846</v>
      </c>
      <c r="G889" s="6" t="s">
        <v>1017</v>
      </c>
      <c r="H889" s="6" t="s">
        <v>7</v>
      </c>
      <c r="I889" s="8"/>
      <c r="J889" s="8"/>
      <c r="K889" s="8"/>
      <c r="L889" s="9"/>
    </row>
    <row r="890" customFormat="false" ht="23.85" hidden="false" customHeight="false" outlineLevel="0" collapsed="false">
      <c r="A890" s="6" t="s">
        <v>2847</v>
      </c>
      <c r="B890" s="6" t="s">
        <v>2828</v>
      </c>
      <c r="C890" s="6" t="s">
        <v>20</v>
      </c>
      <c r="D890" s="6" t="s">
        <v>49</v>
      </c>
      <c r="E890" s="6"/>
      <c r="F890" s="7" t="s">
        <v>2848</v>
      </c>
      <c r="G890" s="6" t="s">
        <v>2849</v>
      </c>
      <c r="H890" s="6" t="s">
        <v>8</v>
      </c>
      <c r="I890" s="8"/>
      <c r="J890" s="8"/>
      <c r="K890" s="8"/>
      <c r="L890" s="9"/>
    </row>
    <row r="891" customFormat="false" ht="15" hidden="false" customHeight="false" outlineLevel="0" collapsed="false">
      <c r="A891" s="6" t="s">
        <v>2850</v>
      </c>
      <c r="B891" s="6" t="s">
        <v>2828</v>
      </c>
      <c r="C891" s="6" t="s">
        <v>20</v>
      </c>
      <c r="D891" s="6" t="s">
        <v>49</v>
      </c>
      <c r="E891" s="6"/>
      <c r="F891" s="7" t="s">
        <v>2851</v>
      </c>
      <c r="G891" s="6" t="s">
        <v>2852</v>
      </c>
      <c r="H891" s="6" t="s">
        <v>8</v>
      </c>
      <c r="I891" s="8"/>
      <c r="J891" s="8"/>
      <c r="K891" s="8"/>
      <c r="L891" s="9"/>
    </row>
    <row r="892" customFormat="false" ht="15" hidden="false" customHeight="false" outlineLevel="0" collapsed="false">
      <c r="A892" s="6" t="s">
        <v>2853</v>
      </c>
      <c r="B892" s="6" t="s">
        <v>2828</v>
      </c>
      <c r="C892" s="6" t="s">
        <v>20</v>
      </c>
      <c r="D892" s="6" t="s">
        <v>49</v>
      </c>
      <c r="E892" s="6"/>
      <c r="F892" s="7" t="s">
        <v>2854</v>
      </c>
      <c r="G892" s="6" t="s">
        <v>2855</v>
      </c>
      <c r="H892" s="6" t="s">
        <v>6</v>
      </c>
      <c r="I892" s="8"/>
      <c r="J892" s="8"/>
      <c r="K892" s="8"/>
      <c r="L892" s="9"/>
    </row>
    <row r="893" customFormat="false" ht="15" hidden="false" customHeight="false" outlineLevel="0" collapsed="false">
      <c r="A893" s="6" t="s">
        <v>2856</v>
      </c>
      <c r="B893" s="6" t="s">
        <v>2828</v>
      </c>
      <c r="C893" s="6" t="s">
        <v>20</v>
      </c>
      <c r="D893" s="6" t="s">
        <v>49</v>
      </c>
      <c r="E893" s="6"/>
      <c r="F893" s="7" t="s">
        <v>2857</v>
      </c>
      <c r="G893" s="6" t="s">
        <v>2858</v>
      </c>
      <c r="H893" s="6" t="s">
        <v>6</v>
      </c>
      <c r="I893" s="8"/>
      <c r="J893" s="8"/>
      <c r="K893" s="8"/>
      <c r="L893" s="9"/>
    </row>
    <row r="894" customFormat="false" ht="15" hidden="false" customHeight="false" outlineLevel="0" collapsed="false">
      <c r="A894" s="6" t="s">
        <v>2859</v>
      </c>
      <c r="B894" s="6" t="s">
        <v>2860</v>
      </c>
      <c r="C894" s="6" t="s">
        <v>20</v>
      </c>
      <c r="D894" s="6" t="s">
        <v>85</v>
      </c>
      <c r="E894" s="6"/>
      <c r="F894" s="7" t="s">
        <v>2861</v>
      </c>
      <c r="G894" s="6" t="s">
        <v>266</v>
      </c>
      <c r="H894" s="6" t="s">
        <v>9</v>
      </c>
      <c r="I894" s="8"/>
      <c r="J894" s="8"/>
      <c r="K894" s="8"/>
      <c r="L894" s="9"/>
    </row>
    <row r="895" customFormat="false" ht="23.85" hidden="false" customHeight="false" outlineLevel="0" collapsed="false">
      <c r="A895" s="6" t="s">
        <v>2862</v>
      </c>
      <c r="B895" s="6" t="s">
        <v>2860</v>
      </c>
      <c r="C895" s="6" t="s">
        <v>20</v>
      </c>
      <c r="D895" s="6" t="s">
        <v>85</v>
      </c>
      <c r="E895" s="6"/>
      <c r="F895" s="7" t="s">
        <v>2863</v>
      </c>
      <c r="G895" s="6" t="s">
        <v>2864</v>
      </c>
      <c r="H895" s="6" t="s">
        <v>8</v>
      </c>
      <c r="I895" s="8"/>
      <c r="J895" s="8"/>
      <c r="K895" s="8"/>
      <c r="L895" s="9"/>
    </row>
    <row r="896" customFormat="false" ht="15" hidden="false" customHeight="false" outlineLevel="0" collapsed="false">
      <c r="A896" s="6" t="s">
        <v>2865</v>
      </c>
      <c r="B896" s="6" t="s">
        <v>2860</v>
      </c>
      <c r="C896" s="6" t="s">
        <v>20</v>
      </c>
      <c r="D896" s="6" t="s">
        <v>85</v>
      </c>
      <c r="E896" s="6"/>
      <c r="F896" s="7" t="s">
        <v>2866</v>
      </c>
      <c r="G896" s="6" t="s">
        <v>989</v>
      </c>
      <c r="H896" s="6" t="s">
        <v>8</v>
      </c>
      <c r="I896" s="8"/>
      <c r="J896" s="8"/>
      <c r="K896" s="8"/>
      <c r="L896" s="9"/>
    </row>
    <row r="897" customFormat="false" ht="15" hidden="false" customHeight="false" outlineLevel="0" collapsed="false">
      <c r="A897" s="6" t="s">
        <v>2867</v>
      </c>
      <c r="B897" s="6" t="s">
        <v>2860</v>
      </c>
      <c r="C897" s="6" t="s">
        <v>20</v>
      </c>
      <c r="D897" s="6" t="s">
        <v>85</v>
      </c>
      <c r="E897" s="6"/>
      <c r="F897" s="7" t="s">
        <v>2868</v>
      </c>
      <c r="G897" s="6" t="s">
        <v>174</v>
      </c>
      <c r="H897" s="6" t="s">
        <v>9</v>
      </c>
      <c r="I897" s="8"/>
      <c r="J897" s="8"/>
      <c r="K897" s="8"/>
      <c r="L897" s="9"/>
    </row>
    <row r="898" customFormat="false" ht="23.85" hidden="false" customHeight="false" outlineLevel="0" collapsed="false">
      <c r="A898" s="6" t="s">
        <v>2869</v>
      </c>
      <c r="B898" s="6" t="s">
        <v>2870</v>
      </c>
      <c r="C898" s="6" t="s">
        <v>20</v>
      </c>
      <c r="D898" s="6" t="s">
        <v>44</v>
      </c>
      <c r="E898" s="6"/>
      <c r="F898" s="7" t="s">
        <v>2871</v>
      </c>
      <c r="G898" s="6" t="s">
        <v>2872</v>
      </c>
      <c r="H898" s="6" t="s">
        <v>8</v>
      </c>
      <c r="I898" s="8"/>
      <c r="J898" s="8"/>
      <c r="K898" s="8"/>
      <c r="L898" s="9"/>
    </row>
    <row r="899" customFormat="false" ht="23.85" hidden="false" customHeight="false" outlineLevel="0" collapsed="false">
      <c r="A899" s="6" t="s">
        <v>2873</v>
      </c>
      <c r="B899" s="6" t="s">
        <v>2874</v>
      </c>
      <c r="C899" s="6" t="s">
        <v>20</v>
      </c>
      <c r="D899" s="6" t="s">
        <v>44</v>
      </c>
      <c r="E899" s="6"/>
      <c r="F899" s="7" t="s">
        <v>2875</v>
      </c>
      <c r="G899" s="6" t="s">
        <v>2876</v>
      </c>
      <c r="H899" s="6" t="s">
        <v>8</v>
      </c>
      <c r="I899" s="8"/>
      <c r="J899" s="8"/>
      <c r="K899" s="8"/>
      <c r="L899" s="9"/>
    </row>
    <row r="900" customFormat="false" ht="23.85" hidden="false" customHeight="false" outlineLevel="0" collapsed="false">
      <c r="A900" s="6" t="s">
        <v>2877</v>
      </c>
      <c r="B900" s="6" t="s">
        <v>2878</v>
      </c>
      <c r="C900" s="6" t="s">
        <v>20</v>
      </c>
      <c r="D900" s="6" t="s">
        <v>49</v>
      </c>
      <c r="E900" s="6"/>
      <c r="F900" s="7" t="s">
        <v>2879</v>
      </c>
      <c r="G900" s="6" t="s">
        <v>2880</v>
      </c>
      <c r="H900" s="6" t="s">
        <v>6</v>
      </c>
      <c r="I900" s="8"/>
      <c r="J900" s="8"/>
      <c r="K900" s="8"/>
      <c r="L900" s="9"/>
    </row>
    <row r="901" customFormat="false" ht="23.85" hidden="false" customHeight="false" outlineLevel="0" collapsed="false">
      <c r="A901" s="6" t="s">
        <v>2881</v>
      </c>
      <c r="B901" s="6" t="s">
        <v>2878</v>
      </c>
      <c r="C901" s="6" t="s">
        <v>20</v>
      </c>
      <c r="D901" s="6" t="s">
        <v>49</v>
      </c>
      <c r="E901" s="6"/>
      <c r="F901" s="7" t="s">
        <v>2882</v>
      </c>
      <c r="G901" s="6" t="s">
        <v>2883</v>
      </c>
      <c r="H901" s="6" t="s">
        <v>8</v>
      </c>
      <c r="I901" s="8"/>
      <c r="J901" s="8"/>
      <c r="K901" s="8"/>
      <c r="L901" s="9"/>
    </row>
    <row r="902" customFormat="false" ht="15" hidden="false" customHeight="false" outlineLevel="0" collapsed="false">
      <c r="A902" s="6" t="s">
        <v>2884</v>
      </c>
      <c r="B902" s="6" t="s">
        <v>2885</v>
      </c>
      <c r="C902" s="6" t="s">
        <v>20</v>
      </c>
      <c r="D902" s="6" t="s">
        <v>49</v>
      </c>
      <c r="E902" s="6" t="s">
        <v>26</v>
      </c>
      <c r="F902" s="7" t="s">
        <v>2886</v>
      </c>
      <c r="G902" s="6" t="s">
        <v>2887</v>
      </c>
      <c r="H902" s="6" t="s">
        <v>6</v>
      </c>
      <c r="I902" s="8"/>
      <c r="J902" s="8"/>
      <c r="K902" s="8"/>
      <c r="L902" s="9"/>
    </row>
    <row r="903" customFormat="false" ht="23.85" hidden="false" customHeight="false" outlineLevel="0" collapsed="false">
      <c r="A903" s="6" t="s">
        <v>2888</v>
      </c>
      <c r="B903" s="6" t="s">
        <v>2885</v>
      </c>
      <c r="C903" s="6" t="s">
        <v>20</v>
      </c>
      <c r="D903" s="6" t="s">
        <v>49</v>
      </c>
      <c r="E903" s="6" t="s">
        <v>26</v>
      </c>
      <c r="F903" s="7" t="s">
        <v>2889</v>
      </c>
      <c r="G903" s="6" t="s">
        <v>2890</v>
      </c>
      <c r="H903" s="6" t="s">
        <v>8</v>
      </c>
      <c r="I903" s="8"/>
      <c r="J903" s="8"/>
      <c r="K903" s="8"/>
      <c r="L903" s="9"/>
    </row>
    <row r="904" customFormat="false" ht="15" hidden="false" customHeight="false" outlineLevel="0" collapsed="false">
      <c r="A904" s="6" t="s">
        <v>2891</v>
      </c>
      <c r="B904" s="6" t="s">
        <v>2885</v>
      </c>
      <c r="C904" s="6" t="s">
        <v>20</v>
      </c>
      <c r="D904" s="6" t="s">
        <v>49</v>
      </c>
      <c r="E904" s="6" t="s">
        <v>26</v>
      </c>
      <c r="F904" s="7" t="s">
        <v>2892</v>
      </c>
      <c r="G904" s="6" t="s">
        <v>884</v>
      </c>
      <c r="H904" s="6" t="s">
        <v>6</v>
      </c>
      <c r="I904" s="8"/>
      <c r="J904" s="8"/>
      <c r="K904" s="8"/>
      <c r="L904" s="9"/>
    </row>
    <row r="905" customFormat="false" ht="23.85" hidden="false" customHeight="false" outlineLevel="0" collapsed="false">
      <c r="A905" s="6" t="s">
        <v>2893</v>
      </c>
      <c r="B905" s="6" t="s">
        <v>2885</v>
      </c>
      <c r="C905" s="6" t="s">
        <v>20</v>
      </c>
      <c r="D905" s="6" t="s">
        <v>49</v>
      </c>
      <c r="E905" s="6" t="s">
        <v>26</v>
      </c>
      <c r="F905" s="7" t="s">
        <v>2894</v>
      </c>
      <c r="G905" s="6" t="s">
        <v>2895</v>
      </c>
      <c r="H905" s="6" t="s">
        <v>6</v>
      </c>
      <c r="I905" s="8"/>
      <c r="J905" s="8"/>
      <c r="K905" s="8"/>
      <c r="L905" s="9"/>
    </row>
    <row r="906" customFormat="false" ht="15" hidden="false" customHeight="false" outlineLevel="0" collapsed="false">
      <c r="A906" s="6" t="s">
        <v>2896</v>
      </c>
      <c r="B906" s="6" t="s">
        <v>2897</v>
      </c>
      <c r="C906" s="6" t="s">
        <v>20</v>
      </c>
      <c r="D906" s="6" t="s">
        <v>49</v>
      </c>
      <c r="E906" s="6" t="s">
        <v>80</v>
      </c>
      <c r="F906" s="7" t="s">
        <v>2898</v>
      </c>
      <c r="G906" s="6" t="s">
        <v>2899</v>
      </c>
      <c r="H906" s="6" t="s">
        <v>6</v>
      </c>
      <c r="I906" s="8"/>
      <c r="J906" s="8"/>
      <c r="K906" s="8"/>
      <c r="L906" s="9"/>
    </row>
    <row r="907" customFormat="false" ht="23.85" hidden="false" customHeight="false" outlineLevel="0" collapsed="false">
      <c r="A907" s="6" t="s">
        <v>2900</v>
      </c>
      <c r="B907" s="6" t="s">
        <v>2897</v>
      </c>
      <c r="C907" s="6" t="s">
        <v>20</v>
      </c>
      <c r="D907" s="6" t="s">
        <v>49</v>
      </c>
      <c r="E907" s="6" t="s">
        <v>80</v>
      </c>
      <c r="F907" s="7" t="s">
        <v>2901</v>
      </c>
      <c r="G907" s="6" t="s">
        <v>2902</v>
      </c>
      <c r="H907" s="6" t="s">
        <v>6</v>
      </c>
      <c r="I907" s="8"/>
      <c r="J907" s="8"/>
      <c r="K907" s="8"/>
      <c r="L907" s="9"/>
    </row>
    <row r="908" customFormat="false" ht="23.85" hidden="false" customHeight="false" outlineLevel="0" collapsed="false">
      <c r="A908" s="6" t="s">
        <v>2903</v>
      </c>
      <c r="B908" s="6" t="s">
        <v>2897</v>
      </c>
      <c r="C908" s="6" t="s">
        <v>20</v>
      </c>
      <c r="D908" s="6" t="s">
        <v>49</v>
      </c>
      <c r="E908" s="6" t="s">
        <v>80</v>
      </c>
      <c r="F908" s="7" t="s">
        <v>2904</v>
      </c>
      <c r="G908" s="6" t="s">
        <v>2905</v>
      </c>
      <c r="H908" s="6" t="s">
        <v>6</v>
      </c>
      <c r="I908" s="8"/>
      <c r="J908" s="8"/>
      <c r="K908" s="8"/>
      <c r="L908" s="9"/>
    </row>
    <row r="909" customFormat="false" ht="15" hidden="false" customHeight="false" outlineLevel="0" collapsed="false">
      <c r="A909" s="6" t="s">
        <v>2906</v>
      </c>
      <c r="B909" s="6" t="s">
        <v>2897</v>
      </c>
      <c r="C909" s="6" t="s">
        <v>20</v>
      </c>
      <c r="D909" s="6" t="s">
        <v>49</v>
      </c>
      <c r="E909" s="6" t="s">
        <v>80</v>
      </c>
      <c r="F909" s="7" t="s">
        <v>2907</v>
      </c>
      <c r="G909" s="6" t="s">
        <v>2908</v>
      </c>
      <c r="H909" s="6" t="s">
        <v>6</v>
      </c>
      <c r="I909" s="8"/>
      <c r="J909" s="8"/>
      <c r="K909" s="8"/>
      <c r="L909" s="9"/>
    </row>
    <row r="910" customFormat="false" ht="15" hidden="false" customHeight="false" outlineLevel="0" collapsed="false">
      <c r="A910" s="6" t="s">
        <v>2909</v>
      </c>
      <c r="B910" s="6" t="s">
        <v>2897</v>
      </c>
      <c r="C910" s="6" t="s">
        <v>20</v>
      </c>
      <c r="D910" s="6" t="s">
        <v>49</v>
      </c>
      <c r="E910" s="6" t="s">
        <v>80</v>
      </c>
      <c r="F910" s="7" t="s">
        <v>2910</v>
      </c>
      <c r="G910" s="6" t="s">
        <v>2911</v>
      </c>
      <c r="H910" s="6" t="s">
        <v>6</v>
      </c>
      <c r="I910" s="8"/>
      <c r="J910" s="8"/>
      <c r="K910" s="8"/>
      <c r="L910" s="9"/>
    </row>
    <row r="911" customFormat="false" ht="23.85" hidden="false" customHeight="false" outlineLevel="0" collapsed="false">
      <c r="A911" s="6" t="s">
        <v>2912</v>
      </c>
      <c r="B911" s="6" t="s">
        <v>2897</v>
      </c>
      <c r="C911" s="6" t="s">
        <v>20</v>
      </c>
      <c r="D911" s="6" t="s">
        <v>49</v>
      </c>
      <c r="E911" s="6" t="s">
        <v>80</v>
      </c>
      <c r="F911" s="7" t="s">
        <v>2913</v>
      </c>
      <c r="G911" s="6" t="s">
        <v>2914</v>
      </c>
      <c r="H911" s="6" t="s">
        <v>6</v>
      </c>
      <c r="I911" s="8"/>
      <c r="J911" s="8"/>
      <c r="K911" s="8"/>
      <c r="L911" s="9"/>
    </row>
    <row r="912" customFormat="false" ht="15" hidden="false" customHeight="false" outlineLevel="0" collapsed="false">
      <c r="A912" s="6" t="s">
        <v>2915</v>
      </c>
      <c r="B912" s="6" t="s">
        <v>2916</v>
      </c>
      <c r="C912" s="6" t="s">
        <v>20</v>
      </c>
      <c r="D912" s="6" t="s">
        <v>49</v>
      </c>
      <c r="E912" s="6"/>
      <c r="F912" s="7" t="s">
        <v>2917</v>
      </c>
      <c r="G912" s="6" t="s">
        <v>2918</v>
      </c>
      <c r="H912" s="6" t="s">
        <v>8</v>
      </c>
      <c r="I912" s="8"/>
      <c r="J912" s="8"/>
      <c r="K912" s="8"/>
      <c r="L912" s="9"/>
    </row>
    <row r="913" customFormat="false" ht="15" hidden="false" customHeight="false" outlineLevel="0" collapsed="false">
      <c r="A913" s="6" t="s">
        <v>2919</v>
      </c>
      <c r="B913" s="6" t="s">
        <v>2916</v>
      </c>
      <c r="C913" s="6" t="s">
        <v>20</v>
      </c>
      <c r="D913" s="6" t="s">
        <v>49</v>
      </c>
      <c r="E913" s="6"/>
      <c r="F913" s="7" t="s">
        <v>2920</v>
      </c>
      <c r="G913" s="6" t="s">
        <v>2921</v>
      </c>
      <c r="H913" s="6" t="s">
        <v>6</v>
      </c>
      <c r="I913" s="8"/>
      <c r="J913" s="8"/>
      <c r="K913" s="8"/>
      <c r="L913" s="9"/>
    </row>
    <row r="914" customFormat="false" ht="15" hidden="false" customHeight="false" outlineLevel="0" collapsed="false">
      <c r="A914" s="6" t="s">
        <v>2922</v>
      </c>
      <c r="B914" s="6" t="s">
        <v>2916</v>
      </c>
      <c r="C914" s="6" t="s">
        <v>20</v>
      </c>
      <c r="D914" s="6" t="s">
        <v>49</v>
      </c>
      <c r="E914" s="6"/>
      <c r="F914" s="7" t="s">
        <v>2923</v>
      </c>
      <c r="G914" s="6" t="s">
        <v>2924</v>
      </c>
      <c r="H914" s="6" t="s">
        <v>8</v>
      </c>
      <c r="I914" s="8"/>
      <c r="J914" s="8"/>
      <c r="K914" s="8"/>
      <c r="L914" s="9"/>
    </row>
    <row r="915" customFormat="false" ht="15" hidden="false" customHeight="false" outlineLevel="0" collapsed="false">
      <c r="A915" s="6" t="s">
        <v>2925</v>
      </c>
      <c r="B915" s="6" t="s">
        <v>2916</v>
      </c>
      <c r="C915" s="6" t="s">
        <v>20</v>
      </c>
      <c r="D915" s="6" t="s">
        <v>49</v>
      </c>
      <c r="E915" s="6"/>
      <c r="F915" s="7" t="s">
        <v>2926</v>
      </c>
      <c r="G915" s="6" t="s">
        <v>2927</v>
      </c>
      <c r="H915" s="6" t="s">
        <v>6</v>
      </c>
      <c r="I915" s="8"/>
      <c r="J915" s="8"/>
      <c r="K915" s="8"/>
      <c r="L915" s="9"/>
    </row>
    <row r="916" customFormat="false" ht="15" hidden="false" customHeight="false" outlineLevel="0" collapsed="false">
      <c r="A916" s="6" t="s">
        <v>2928</v>
      </c>
      <c r="B916" s="6" t="s">
        <v>2929</v>
      </c>
      <c r="C916" s="6" t="s">
        <v>20</v>
      </c>
      <c r="D916" s="6" t="s">
        <v>49</v>
      </c>
      <c r="E916" s="6"/>
      <c r="F916" s="7" t="s">
        <v>2930</v>
      </c>
      <c r="G916" s="6" t="s">
        <v>2931</v>
      </c>
      <c r="H916" s="6" t="s">
        <v>8</v>
      </c>
      <c r="I916" s="8"/>
      <c r="J916" s="8"/>
      <c r="K916" s="8"/>
      <c r="L916" s="9"/>
    </row>
    <row r="917" customFormat="false" ht="15" hidden="false" customHeight="false" outlineLevel="0" collapsed="false">
      <c r="A917" s="6" t="s">
        <v>2932</v>
      </c>
      <c r="B917" s="6" t="s">
        <v>2929</v>
      </c>
      <c r="C917" s="6" t="s">
        <v>20</v>
      </c>
      <c r="D917" s="6" t="s">
        <v>49</v>
      </c>
      <c r="E917" s="6"/>
      <c r="F917" s="7" t="s">
        <v>2933</v>
      </c>
      <c r="G917" s="6" t="s">
        <v>2154</v>
      </c>
      <c r="H917" s="6" t="s">
        <v>6</v>
      </c>
      <c r="I917" s="8"/>
      <c r="J917" s="8"/>
      <c r="K917" s="8"/>
      <c r="L917" s="9"/>
    </row>
    <row r="918" customFormat="false" ht="15" hidden="false" customHeight="false" outlineLevel="0" collapsed="false">
      <c r="A918" s="6" t="s">
        <v>2934</v>
      </c>
      <c r="B918" s="6" t="s">
        <v>2929</v>
      </c>
      <c r="C918" s="6" t="s">
        <v>20</v>
      </c>
      <c r="D918" s="6" t="s">
        <v>49</v>
      </c>
      <c r="E918" s="6"/>
      <c r="F918" s="7" t="s">
        <v>2935</v>
      </c>
      <c r="G918" s="6" t="s">
        <v>2936</v>
      </c>
      <c r="H918" s="6" t="s">
        <v>6</v>
      </c>
      <c r="I918" s="8"/>
      <c r="J918" s="8"/>
      <c r="K918" s="8"/>
      <c r="L918" s="9"/>
    </row>
    <row r="919" customFormat="false" ht="15" hidden="false" customHeight="false" outlineLevel="0" collapsed="false">
      <c r="A919" s="6" t="s">
        <v>2937</v>
      </c>
      <c r="B919" s="6" t="s">
        <v>2929</v>
      </c>
      <c r="C919" s="6" t="s">
        <v>20</v>
      </c>
      <c r="D919" s="6" t="s">
        <v>49</v>
      </c>
      <c r="E919" s="6"/>
      <c r="F919" s="7" t="s">
        <v>2938</v>
      </c>
      <c r="G919" s="6" t="s">
        <v>2939</v>
      </c>
      <c r="H919" s="6" t="s">
        <v>6</v>
      </c>
      <c r="I919" s="8"/>
      <c r="J919" s="8"/>
      <c r="K919" s="8"/>
      <c r="L919" s="9"/>
    </row>
    <row r="920" customFormat="false" ht="15" hidden="false" customHeight="false" outlineLevel="0" collapsed="false">
      <c r="A920" s="6" t="s">
        <v>2940</v>
      </c>
      <c r="B920" s="6" t="s">
        <v>2929</v>
      </c>
      <c r="C920" s="6" t="s">
        <v>20</v>
      </c>
      <c r="D920" s="6" t="s">
        <v>49</v>
      </c>
      <c r="E920" s="6"/>
      <c r="F920" s="7" t="s">
        <v>2941</v>
      </c>
      <c r="G920" s="6" t="s">
        <v>2942</v>
      </c>
      <c r="H920" s="6" t="s">
        <v>8</v>
      </c>
      <c r="I920" s="8"/>
      <c r="J920" s="8"/>
      <c r="K920" s="8"/>
      <c r="L920" s="9"/>
    </row>
    <row r="921" customFormat="false" ht="15" hidden="false" customHeight="false" outlineLevel="0" collapsed="false">
      <c r="A921" s="6" t="s">
        <v>2943</v>
      </c>
      <c r="B921" s="6" t="s">
        <v>2929</v>
      </c>
      <c r="C921" s="6" t="s">
        <v>20</v>
      </c>
      <c r="D921" s="6" t="s">
        <v>49</v>
      </c>
      <c r="E921" s="6"/>
      <c r="F921" s="7" t="s">
        <v>2944</v>
      </c>
      <c r="G921" s="6" t="s">
        <v>2945</v>
      </c>
      <c r="H921" s="6" t="s">
        <v>8</v>
      </c>
      <c r="I921" s="8"/>
      <c r="J921" s="8"/>
      <c r="K921" s="8"/>
      <c r="L921" s="9"/>
    </row>
    <row r="922" customFormat="false" ht="23.85" hidden="false" customHeight="false" outlineLevel="0" collapsed="false">
      <c r="A922" s="6" t="s">
        <v>2946</v>
      </c>
      <c r="B922" s="6" t="s">
        <v>2947</v>
      </c>
      <c r="C922" s="6" t="s">
        <v>20</v>
      </c>
      <c r="D922" s="6" t="s">
        <v>49</v>
      </c>
      <c r="E922" s="6"/>
      <c r="F922" s="7" t="s">
        <v>2948</v>
      </c>
      <c r="G922" s="6" t="s">
        <v>2949</v>
      </c>
      <c r="H922" s="6" t="s">
        <v>6</v>
      </c>
      <c r="I922" s="8"/>
      <c r="J922" s="8"/>
      <c r="K922" s="8"/>
      <c r="L922" s="9"/>
    </row>
    <row r="923" customFormat="false" ht="15" hidden="false" customHeight="false" outlineLevel="0" collapsed="false">
      <c r="A923" s="6" t="s">
        <v>2950</v>
      </c>
      <c r="B923" s="6" t="s">
        <v>2947</v>
      </c>
      <c r="C923" s="6" t="s">
        <v>20</v>
      </c>
      <c r="D923" s="6" t="s">
        <v>49</v>
      </c>
      <c r="E923" s="6"/>
      <c r="F923" s="7" t="s">
        <v>2951</v>
      </c>
      <c r="G923" s="6" t="s">
        <v>2952</v>
      </c>
      <c r="H923" s="6" t="s">
        <v>8</v>
      </c>
      <c r="I923" s="8"/>
      <c r="J923" s="8"/>
      <c r="K923" s="8"/>
      <c r="L923" s="9"/>
    </row>
    <row r="924" customFormat="false" ht="23.85" hidden="false" customHeight="false" outlineLevel="0" collapsed="false">
      <c r="A924" s="6" t="s">
        <v>2953</v>
      </c>
      <c r="B924" s="6" t="s">
        <v>2954</v>
      </c>
      <c r="C924" s="6" t="s">
        <v>20</v>
      </c>
      <c r="D924" s="6" t="s">
        <v>44</v>
      </c>
      <c r="E924" s="6" t="s">
        <v>26</v>
      </c>
      <c r="F924" s="7" t="s">
        <v>2955</v>
      </c>
      <c r="G924" s="6" t="s">
        <v>333</v>
      </c>
      <c r="H924" s="6" t="s">
        <v>9</v>
      </c>
      <c r="I924" s="8"/>
      <c r="J924" s="8"/>
      <c r="K924" s="8"/>
      <c r="L924" s="9"/>
    </row>
    <row r="925" customFormat="false" ht="15" hidden="false" customHeight="false" outlineLevel="0" collapsed="false">
      <c r="A925" s="6" t="s">
        <v>2956</v>
      </c>
      <c r="B925" s="6" t="s">
        <v>2957</v>
      </c>
      <c r="C925" s="6" t="s">
        <v>20</v>
      </c>
      <c r="D925" s="6" t="s">
        <v>331</v>
      </c>
      <c r="E925" s="6" t="s">
        <v>27</v>
      </c>
      <c r="F925" s="7" t="s">
        <v>2958</v>
      </c>
      <c r="G925" s="6" t="s">
        <v>2959</v>
      </c>
      <c r="H925" s="6" t="s">
        <v>6</v>
      </c>
      <c r="I925" s="8"/>
      <c r="J925" s="8"/>
      <c r="K925" s="8"/>
      <c r="L925" s="9"/>
    </row>
    <row r="926" customFormat="false" ht="23.85" hidden="false" customHeight="false" outlineLevel="0" collapsed="false">
      <c r="A926" s="6" t="s">
        <v>2960</v>
      </c>
      <c r="B926" s="6" t="s">
        <v>2957</v>
      </c>
      <c r="C926" s="6" t="s">
        <v>20</v>
      </c>
      <c r="D926" s="6" t="s">
        <v>331</v>
      </c>
      <c r="E926" s="6" t="s">
        <v>27</v>
      </c>
      <c r="F926" s="7" t="s">
        <v>2961</v>
      </c>
      <c r="G926" s="6" t="s">
        <v>2962</v>
      </c>
      <c r="H926" s="6" t="s">
        <v>8</v>
      </c>
      <c r="I926" s="8"/>
      <c r="J926" s="8"/>
      <c r="K926" s="8"/>
      <c r="L926" s="9"/>
    </row>
    <row r="927" customFormat="false" ht="15" hidden="false" customHeight="false" outlineLevel="0" collapsed="false">
      <c r="A927" s="6" t="s">
        <v>2963</v>
      </c>
      <c r="B927" s="6" t="s">
        <v>2957</v>
      </c>
      <c r="C927" s="6" t="s">
        <v>20</v>
      </c>
      <c r="D927" s="6" t="s">
        <v>331</v>
      </c>
      <c r="E927" s="6" t="s">
        <v>27</v>
      </c>
      <c r="F927" s="7" t="s">
        <v>2964</v>
      </c>
      <c r="G927" s="6" t="s">
        <v>2965</v>
      </c>
      <c r="H927" s="6" t="s">
        <v>6</v>
      </c>
      <c r="I927" s="8"/>
      <c r="J927" s="8"/>
      <c r="K927" s="8"/>
      <c r="L927" s="9"/>
    </row>
    <row r="928" customFormat="false" ht="23.85" hidden="false" customHeight="false" outlineLevel="0" collapsed="false">
      <c r="A928" s="6" t="s">
        <v>2966</v>
      </c>
      <c r="B928" s="6" t="s">
        <v>2957</v>
      </c>
      <c r="C928" s="6" t="s">
        <v>20</v>
      </c>
      <c r="D928" s="6" t="s">
        <v>331</v>
      </c>
      <c r="E928" s="6" t="s">
        <v>27</v>
      </c>
      <c r="F928" s="7" t="s">
        <v>2967</v>
      </c>
      <c r="G928" s="6" t="s">
        <v>2968</v>
      </c>
      <c r="H928" s="6" t="s">
        <v>8</v>
      </c>
      <c r="I928" s="8"/>
      <c r="J928" s="8"/>
      <c r="K928" s="8"/>
      <c r="L928" s="9"/>
    </row>
    <row r="929" customFormat="false" ht="15" hidden="false" customHeight="false" outlineLevel="0" collapsed="false">
      <c r="A929" s="6" t="s">
        <v>2969</v>
      </c>
      <c r="B929" s="6" t="s">
        <v>2957</v>
      </c>
      <c r="C929" s="6" t="s">
        <v>20</v>
      </c>
      <c r="D929" s="6" t="s">
        <v>331</v>
      </c>
      <c r="E929" s="6" t="s">
        <v>27</v>
      </c>
      <c r="F929" s="7" t="s">
        <v>2970</v>
      </c>
      <c r="G929" s="6" t="s">
        <v>2971</v>
      </c>
      <c r="H929" s="6" t="s">
        <v>6</v>
      </c>
      <c r="I929" s="8"/>
      <c r="J929" s="8"/>
      <c r="K929" s="8"/>
      <c r="L929" s="9"/>
    </row>
    <row r="930" customFormat="false" ht="23.85" hidden="false" customHeight="false" outlineLevel="0" collapsed="false">
      <c r="A930" s="6" t="s">
        <v>2972</v>
      </c>
      <c r="B930" s="6" t="s">
        <v>2957</v>
      </c>
      <c r="C930" s="6" t="s">
        <v>20</v>
      </c>
      <c r="D930" s="6" t="s">
        <v>331</v>
      </c>
      <c r="E930" s="6" t="s">
        <v>27</v>
      </c>
      <c r="F930" s="7" t="s">
        <v>2973</v>
      </c>
      <c r="G930" s="6" t="s">
        <v>2974</v>
      </c>
      <c r="H930" s="6" t="s">
        <v>8</v>
      </c>
      <c r="I930" s="8"/>
      <c r="J930" s="8"/>
      <c r="K930" s="8"/>
      <c r="L930" s="9"/>
    </row>
    <row r="931" customFormat="false" ht="23.85" hidden="false" customHeight="false" outlineLevel="0" collapsed="false">
      <c r="A931" s="6" t="s">
        <v>2975</v>
      </c>
      <c r="B931" s="6" t="s">
        <v>2957</v>
      </c>
      <c r="C931" s="6" t="s">
        <v>20</v>
      </c>
      <c r="D931" s="6" t="s">
        <v>331</v>
      </c>
      <c r="E931" s="6" t="s">
        <v>27</v>
      </c>
      <c r="F931" s="7" t="s">
        <v>2976</v>
      </c>
      <c r="G931" s="6" t="s">
        <v>2977</v>
      </c>
      <c r="H931" s="6" t="s">
        <v>6</v>
      </c>
      <c r="I931" s="8"/>
      <c r="J931" s="8"/>
      <c r="K931" s="8"/>
      <c r="L931" s="9"/>
    </row>
    <row r="932" customFormat="false" ht="15" hidden="false" customHeight="false" outlineLevel="0" collapsed="false">
      <c r="A932" s="6" t="s">
        <v>2978</v>
      </c>
      <c r="B932" s="6" t="s">
        <v>2957</v>
      </c>
      <c r="C932" s="6" t="s">
        <v>20</v>
      </c>
      <c r="D932" s="6" t="s">
        <v>331</v>
      </c>
      <c r="E932" s="6" t="s">
        <v>27</v>
      </c>
      <c r="F932" s="7" t="s">
        <v>2979</v>
      </c>
      <c r="G932" s="6" t="s">
        <v>2980</v>
      </c>
      <c r="H932" s="6" t="s">
        <v>6</v>
      </c>
      <c r="I932" s="8"/>
      <c r="J932" s="8"/>
      <c r="K932" s="8"/>
      <c r="L932" s="9"/>
    </row>
    <row r="933" customFormat="false" ht="15" hidden="false" customHeight="false" outlineLevel="0" collapsed="false">
      <c r="A933" s="6" t="s">
        <v>2981</v>
      </c>
      <c r="B933" s="6" t="s">
        <v>2957</v>
      </c>
      <c r="C933" s="6" t="s">
        <v>20</v>
      </c>
      <c r="D933" s="6" t="s">
        <v>331</v>
      </c>
      <c r="E933" s="6" t="s">
        <v>27</v>
      </c>
      <c r="F933" s="7" t="s">
        <v>2982</v>
      </c>
      <c r="G933" s="6" t="s">
        <v>2983</v>
      </c>
      <c r="H933" s="6" t="s">
        <v>10</v>
      </c>
      <c r="I933" s="8"/>
      <c r="J933" s="8"/>
      <c r="K933" s="8"/>
      <c r="L933" s="9"/>
    </row>
    <row r="934" customFormat="false" ht="23.85" hidden="false" customHeight="false" outlineLevel="0" collapsed="false">
      <c r="A934" s="6" t="s">
        <v>2984</v>
      </c>
      <c r="B934" s="6" t="s">
        <v>2957</v>
      </c>
      <c r="C934" s="6" t="s">
        <v>20</v>
      </c>
      <c r="D934" s="6" t="s">
        <v>331</v>
      </c>
      <c r="E934" s="6" t="s">
        <v>27</v>
      </c>
      <c r="F934" s="7" t="s">
        <v>2985</v>
      </c>
      <c r="G934" s="6" t="s">
        <v>2986</v>
      </c>
      <c r="H934" s="6" t="s">
        <v>8</v>
      </c>
      <c r="I934" s="8"/>
      <c r="J934" s="8"/>
      <c r="K934" s="8"/>
      <c r="L934" s="9"/>
    </row>
    <row r="935" customFormat="false" ht="15" hidden="false" customHeight="false" outlineLevel="0" collapsed="false">
      <c r="A935" s="6" t="s">
        <v>2987</v>
      </c>
      <c r="B935" s="6" t="s">
        <v>2957</v>
      </c>
      <c r="C935" s="6" t="s">
        <v>20</v>
      </c>
      <c r="D935" s="6" t="s">
        <v>331</v>
      </c>
      <c r="E935" s="6" t="s">
        <v>27</v>
      </c>
      <c r="F935" s="7" t="s">
        <v>2988</v>
      </c>
      <c r="G935" s="6" t="s">
        <v>2989</v>
      </c>
      <c r="H935" s="6" t="s">
        <v>6</v>
      </c>
      <c r="I935" s="8"/>
      <c r="J935" s="8"/>
      <c r="K935" s="8"/>
      <c r="L935" s="9"/>
    </row>
    <row r="936" customFormat="false" ht="15" hidden="false" customHeight="false" outlineLevel="0" collapsed="false">
      <c r="A936" s="6" t="s">
        <v>2990</v>
      </c>
      <c r="B936" s="6" t="s">
        <v>2991</v>
      </c>
      <c r="C936" s="6" t="s">
        <v>20</v>
      </c>
      <c r="D936" s="6" t="s">
        <v>44</v>
      </c>
      <c r="E936" s="6" t="s">
        <v>27</v>
      </c>
      <c r="F936" s="7" t="s">
        <v>2992</v>
      </c>
      <c r="G936" s="6" t="s">
        <v>2993</v>
      </c>
      <c r="H936" s="6" t="s">
        <v>8</v>
      </c>
      <c r="I936" s="8"/>
      <c r="J936" s="8"/>
      <c r="K936" s="8"/>
      <c r="L936" s="9"/>
    </row>
    <row r="937" customFormat="false" ht="23.85" hidden="false" customHeight="false" outlineLevel="0" collapsed="false">
      <c r="A937" s="6" t="s">
        <v>2994</v>
      </c>
      <c r="B937" s="6" t="s">
        <v>2991</v>
      </c>
      <c r="C937" s="6" t="s">
        <v>20</v>
      </c>
      <c r="D937" s="6" t="s">
        <v>44</v>
      </c>
      <c r="E937" s="6" t="s">
        <v>27</v>
      </c>
      <c r="F937" s="7" t="s">
        <v>2995</v>
      </c>
      <c r="G937" s="6" t="s">
        <v>2996</v>
      </c>
      <c r="H937" s="6" t="s">
        <v>8</v>
      </c>
      <c r="I937" s="8"/>
      <c r="J937" s="8"/>
      <c r="K937" s="8"/>
      <c r="L937" s="9"/>
    </row>
    <row r="938" customFormat="false" ht="23.85" hidden="false" customHeight="false" outlineLevel="0" collapsed="false">
      <c r="A938" s="6" t="s">
        <v>2997</v>
      </c>
      <c r="B938" s="6" t="s">
        <v>2991</v>
      </c>
      <c r="C938" s="6" t="s">
        <v>20</v>
      </c>
      <c r="D938" s="6" t="s">
        <v>44</v>
      </c>
      <c r="E938" s="6" t="s">
        <v>27</v>
      </c>
      <c r="F938" s="7" t="s">
        <v>2998</v>
      </c>
      <c r="G938" s="6" t="s">
        <v>2999</v>
      </c>
      <c r="H938" s="6" t="s">
        <v>8</v>
      </c>
      <c r="I938" s="8"/>
      <c r="J938" s="8"/>
      <c r="K938" s="8"/>
      <c r="L938" s="9"/>
    </row>
    <row r="939" customFormat="false" ht="15" hidden="false" customHeight="false" outlineLevel="0" collapsed="false">
      <c r="A939" s="6" t="s">
        <v>3000</v>
      </c>
      <c r="B939" s="6" t="s">
        <v>2991</v>
      </c>
      <c r="C939" s="6" t="s">
        <v>20</v>
      </c>
      <c r="D939" s="6" t="s">
        <v>44</v>
      </c>
      <c r="E939" s="6" t="s">
        <v>27</v>
      </c>
      <c r="F939" s="7" t="s">
        <v>3001</v>
      </c>
      <c r="G939" s="6" t="s">
        <v>1859</v>
      </c>
      <c r="H939" s="6" t="s">
        <v>8</v>
      </c>
      <c r="I939" s="8"/>
      <c r="J939" s="8"/>
      <c r="K939" s="8"/>
      <c r="L939" s="9"/>
    </row>
    <row r="940" customFormat="false" ht="15" hidden="false" customHeight="false" outlineLevel="0" collapsed="false">
      <c r="A940" s="6" t="s">
        <v>3002</v>
      </c>
      <c r="B940" s="6" t="s">
        <v>2991</v>
      </c>
      <c r="C940" s="6" t="s">
        <v>20</v>
      </c>
      <c r="D940" s="6" t="s">
        <v>44</v>
      </c>
      <c r="E940" s="6" t="s">
        <v>27</v>
      </c>
      <c r="F940" s="7" t="s">
        <v>3003</v>
      </c>
      <c r="G940" s="6" t="s">
        <v>2469</v>
      </c>
      <c r="H940" s="6" t="s">
        <v>6</v>
      </c>
      <c r="I940" s="8"/>
      <c r="J940" s="8"/>
      <c r="K940" s="8"/>
      <c r="L940" s="9"/>
    </row>
    <row r="941" customFormat="false" ht="15" hidden="false" customHeight="false" outlineLevel="0" collapsed="false">
      <c r="A941" s="6" t="s">
        <v>3004</v>
      </c>
      <c r="B941" s="6" t="s">
        <v>3005</v>
      </c>
      <c r="C941" s="6" t="s">
        <v>20</v>
      </c>
      <c r="D941" s="6" t="s">
        <v>230</v>
      </c>
      <c r="E941" s="6" t="s">
        <v>27</v>
      </c>
      <c r="F941" s="7" t="s">
        <v>3006</v>
      </c>
      <c r="G941" s="6" t="s">
        <v>2993</v>
      </c>
      <c r="H941" s="6" t="s">
        <v>9</v>
      </c>
      <c r="I941" s="8"/>
      <c r="J941" s="8"/>
      <c r="K941" s="8"/>
      <c r="L941" s="9"/>
    </row>
    <row r="942" customFormat="false" ht="15" hidden="false" customHeight="false" outlineLevel="0" collapsed="false">
      <c r="A942" s="6" t="s">
        <v>3007</v>
      </c>
      <c r="B942" s="6" t="s">
        <v>3008</v>
      </c>
      <c r="C942" s="6" t="s">
        <v>20</v>
      </c>
      <c r="D942" s="6" t="s">
        <v>44</v>
      </c>
      <c r="E942" s="6"/>
      <c r="F942" s="7" t="s">
        <v>3009</v>
      </c>
      <c r="G942" s="6" t="s">
        <v>634</v>
      </c>
      <c r="H942" s="6" t="s">
        <v>9</v>
      </c>
      <c r="I942" s="8"/>
      <c r="J942" s="8"/>
      <c r="K942" s="8"/>
      <c r="L942" s="9"/>
    </row>
    <row r="943" customFormat="false" ht="23.85" hidden="false" customHeight="false" outlineLevel="0" collapsed="false">
      <c r="A943" s="6" t="s">
        <v>3010</v>
      </c>
      <c r="B943" s="6" t="s">
        <v>3011</v>
      </c>
      <c r="C943" s="6" t="s">
        <v>20</v>
      </c>
      <c r="D943" s="6" t="s">
        <v>85</v>
      </c>
      <c r="E943" s="6"/>
      <c r="F943" s="7" t="s">
        <v>3012</v>
      </c>
      <c r="G943" s="6" t="s">
        <v>3013</v>
      </c>
      <c r="H943" s="6" t="s">
        <v>6</v>
      </c>
      <c r="I943" s="8"/>
      <c r="J943" s="8"/>
      <c r="K943" s="8"/>
      <c r="L943" s="9"/>
    </row>
    <row r="944" customFormat="false" ht="15" hidden="false" customHeight="false" outlineLevel="0" collapsed="false">
      <c r="A944" s="6" t="s">
        <v>3014</v>
      </c>
      <c r="B944" s="6" t="s">
        <v>3015</v>
      </c>
      <c r="C944" s="6" t="s">
        <v>20</v>
      </c>
      <c r="D944" s="6" t="s">
        <v>85</v>
      </c>
      <c r="E944" s="6"/>
      <c r="F944" s="7" t="s">
        <v>3016</v>
      </c>
      <c r="G944" s="6" t="s">
        <v>1268</v>
      </c>
      <c r="H944" s="6" t="s">
        <v>9</v>
      </c>
      <c r="I944" s="8"/>
      <c r="J944" s="8"/>
      <c r="K944" s="8"/>
      <c r="L944" s="9"/>
    </row>
    <row r="945" customFormat="false" ht="15" hidden="false" customHeight="false" outlineLevel="0" collapsed="false">
      <c r="A945" s="6" t="s">
        <v>3017</v>
      </c>
      <c r="B945" s="6" t="s">
        <v>3018</v>
      </c>
      <c r="C945" s="6" t="s">
        <v>20</v>
      </c>
      <c r="D945" s="6" t="s">
        <v>49</v>
      </c>
      <c r="E945" s="6"/>
      <c r="F945" s="7" t="s">
        <v>3019</v>
      </c>
      <c r="G945" s="6" t="s">
        <v>2673</v>
      </c>
      <c r="H945" s="6" t="s">
        <v>6</v>
      </c>
      <c r="I945" s="8"/>
      <c r="J945" s="8"/>
      <c r="K945" s="8"/>
      <c r="L945" s="9"/>
    </row>
    <row r="946" customFormat="false" ht="15" hidden="false" customHeight="false" outlineLevel="0" collapsed="false">
      <c r="A946" s="6" t="s">
        <v>3020</v>
      </c>
      <c r="B946" s="6" t="s">
        <v>3018</v>
      </c>
      <c r="C946" s="6" t="s">
        <v>20</v>
      </c>
      <c r="D946" s="6" t="s">
        <v>49</v>
      </c>
      <c r="E946" s="6"/>
      <c r="F946" s="7" t="s">
        <v>3021</v>
      </c>
      <c r="G946" s="6" t="s">
        <v>3022</v>
      </c>
      <c r="H946" s="6" t="s">
        <v>8</v>
      </c>
      <c r="I946" s="8"/>
      <c r="J946" s="8"/>
      <c r="K946" s="8"/>
      <c r="L946" s="9"/>
    </row>
    <row r="947" customFormat="false" ht="23.85" hidden="false" customHeight="false" outlineLevel="0" collapsed="false">
      <c r="A947" s="6" t="s">
        <v>3023</v>
      </c>
      <c r="B947" s="6" t="s">
        <v>3024</v>
      </c>
      <c r="C947" s="6" t="s">
        <v>20</v>
      </c>
      <c r="D947" s="6" t="s">
        <v>49</v>
      </c>
      <c r="E947" s="6" t="s">
        <v>264</v>
      </c>
      <c r="F947" s="7" t="s">
        <v>3025</v>
      </c>
      <c r="G947" s="6" t="s">
        <v>3026</v>
      </c>
      <c r="H947" s="6" t="s">
        <v>6</v>
      </c>
      <c r="I947" s="8"/>
      <c r="J947" s="8"/>
      <c r="K947" s="8"/>
      <c r="L947" s="9"/>
    </row>
    <row r="948" customFormat="false" ht="15" hidden="false" customHeight="false" outlineLevel="0" collapsed="false">
      <c r="A948" s="6" t="s">
        <v>3027</v>
      </c>
      <c r="B948" s="6" t="s">
        <v>3024</v>
      </c>
      <c r="C948" s="6" t="s">
        <v>20</v>
      </c>
      <c r="D948" s="6" t="s">
        <v>49</v>
      </c>
      <c r="E948" s="6" t="s">
        <v>264</v>
      </c>
      <c r="F948" s="7" t="s">
        <v>3028</v>
      </c>
      <c r="G948" s="6" t="s">
        <v>279</v>
      </c>
      <c r="H948" s="6" t="s">
        <v>6</v>
      </c>
      <c r="I948" s="8"/>
      <c r="J948" s="8"/>
      <c r="K948" s="8"/>
      <c r="L948" s="9"/>
    </row>
    <row r="949" customFormat="false" ht="15" hidden="false" customHeight="false" outlineLevel="0" collapsed="false">
      <c r="A949" s="6" t="s">
        <v>3029</v>
      </c>
      <c r="B949" s="6" t="s">
        <v>3024</v>
      </c>
      <c r="C949" s="6" t="s">
        <v>20</v>
      </c>
      <c r="D949" s="6" t="s">
        <v>49</v>
      </c>
      <c r="E949" s="6" t="s">
        <v>264</v>
      </c>
      <c r="F949" s="7" t="s">
        <v>3030</v>
      </c>
      <c r="G949" s="6" t="s">
        <v>3031</v>
      </c>
      <c r="H949" s="6" t="s">
        <v>6</v>
      </c>
      <c r="I949" s="8"/>
      <c r="J949" s="8"/>
      <c r="K949" s="8"/>
      <c r="L949" s="9"/>
    </row>
    <row r="950" customFormat="false" ht="23.85" hidden="false" customHeight="false" outlineLevel="0" collapsed="false">
      <c r="A950" s="6" t="s">
        <v>3032</v>
      </c>
      <c r="B950" s="6" t="s">
        <v>3024</v>
      </c>
      <c r="C950" s="6" t="s">
        <v>20</v>
      </c>
      <c r="D950" s="6" t="s">
        <v>49</v>
      </c>
      <c r="E950" s="6" t="s">
        <v>264</v>
      </c>
      <c r="F950" s="7" t="s">
        <v>3033</v>
      </c>
      <c r="G950" s="6" t="s">
        <v>3034</v>
      </c>
      <c r="H950" s="6" t="s">
        <v>6</v>
      </c>
      <c r="I950" s="8"/>
      <c r="J950" s="8"/>
      <c r="K950" s="8"/>
      <c r="L950" s="9"/>
    </row>
    <row r="951" customFormat="false" ht="23.85" hidden="false" customHeight="false" outlineLevel="0" collapsed="false">
      <c r="A951" s="6" t="s">
        <v>3035</v>
      </c>
      <c r="B951" s="6" t="s">
        <v>3024</v>
      </c>
      <c r="C951" s="6" t="s">
        <v>20</v>
      </c>
      <c r="D951" s="6" t="s">
        <v>49</v>
      </c>
      <c r="E951" s="6" t="s">
        <v>264</v>
      </c>
      <c r="F951" s="7" t="s">
        <v>3036</v>
      </c>
      <c r="G951" s="6" t="s">
        <v>3037</v>
      </c>
      <c r="H951" s="6" t="s">
        <v>6</v>
      </c>
      <c r="I951" s="8"/>
      <c r="J951" s="8"/>
      <c r="K951" s="8"/>
      <c r="L951" s="9"/>
    </row>
    <row r="952" customFormat="false" ht="15" hidden="false" customHeight="false" outlineLevel="0" collapsed="false">
      <c r="A952" s="6" t="s">
        <v>3038</v>
      </c>
      <c r="B952" s="6" t="s">
        <v>3039</v>
      </c>
      <c r="C952" s="6" t="s">
        <v>20</v>
      </c>
      <c r="D952" s="6" t="s">
        <v>44</v>
      </c>
      <c r="E952" s="6"/>
      <c r="F952" s="7" t="s">
        <v>3040</v>
      </c>
      <c r="G952" s="6" t="s">
        <v>3041</v>
      </c>
      <c r="H952" s="6" t="s">
        <v>8</v>
      </c>
      <c r="I952" s="8"/>
      <c r="J952" s="8"/>
      <c r="K952" s="8"/>
      <c r="L952" s="9"/>
    </row>
    <row r="953" customFormat="false" ht="23.85" hidden="false" customHeight="false" outlineLevel="0" collapsed="false">
      <c r="A953" s="6" t="s">
        <v>3042</v>
      </c>
      <c r="B953" s="6" t="s">
        <v>3039</v>
      </c>
      <c r="C953" s="6" t="s">
        <v>20</v>
      </c>
      <c r="D953" s="6" t="s">
        <v>44</v>
      </c>
      <c r="E953" s="6"/>
      <c r="F953" s="7" t="s">
        <v>3043</v>
      </c>
      <c r="G953" s="6" t="s">
        <v>3044</v>
      </c>
      <c r="H953" s="6" t="s">
        <v>8</v>
      </c>
      <c r="I953" s="8"/>
      <c r="J953" s="8"/>
      <c r="K953" s="8"/>
      <c r="L953" s="9"/>
    </row>
    <row r="954" customFormat="false" ht="15" hidden="false" customHeight="false" outlineLevel="0" collapsed="false">
      <c r="A954" s="6" t="s">
        <v>3045</v>
      </c>
      <c r="B954" s="6" t="s">
        <v>3039</v>
      </c>
      <c r="C954" s="6" t="s">
        <v>20</v>
      </c>
      <c r="D954" s="6" t="s">
        <v>44</v>
      </c>
      <c r="E954" s="6"/>
      <c r="F954" s="7" t="s">
        <v>3046</v>
      </c>
      <c r="G954" s="6" t="s">
        <v>3047</v>
      </c>
      <c r="H954" s="6" t="s">
        <v>8</v>
      </c>
      <c r="I954" s="8"/>
      <c r="J954" s="8"/>
      <c r="K954" s="8"/>
      <c r="L954" s="9"/>
    </row>
    <row r="955" customFormat="false" ht="15" hidden="false" customHeight="false" outlineLevel="0" collapsed="false">
      <c r="A955" s="6" t="s">
        <v>3048</v>
      </c>
      <c r="B955" s="6" t="s">
        <v>3039</v>
      </c>
      <c r="C955" s="6" t="s">
        <v>20</v>
      </c>
      <c r="D955" s="6" t="s">
        <v>44</v>
      </c>
      <c r="E955" s="6"/>
      <c r="F955" s="7" t="s">
        <v>3049</v>
      </c>
      <c r="G955" s="6" t="s">
        <v>3050</v>
      </c>
      <c r="H955" s="6" t="s">
        <v>8</v>
      </c>
      <c r="I955" s="8"/>
      <c r="J955" s="8"/>
      <c r="K955" s="8"/>
      <c r="L955" s="9"/>
    </row>
    <row r="956" customFormat="false" ht="15" hidden="false" customHeight="false" outlineLevel="0" collapsed="false">
      <c r="A956" s="6" t="s">
        <v>3051</v>
      </c>
      <c r="B956" s="6" t="s">
        <v>3052</v>
      </c>
      <c r="C956" s="6" t="s">
        <v>20</v>
      </c>
      <c r="D956" s="6" t="s">
        <v>85</v>
      </c>
      <c r="E956" s="6"/>
      <c r="F956" s="7" t="s">
        <v>3053</v>
      </c>
      <c r="G956" s="6" t="s">
        <v>3054</v>
      </c>
      <c r="H956" s="6" t="s">
        <v>6</v>
      </c>
      <c r="I956" s="8"/>
      <c r="J956" s="8"/>
      <c r="K956" s="8"/>
      <c r="L956" s="9"/>
    </row>
    <row r="957" customFormat="false" ht="23.85" hidden="false" customHeight="false" outlineLevel="0" collapsed="false">
      <c r="A957" s="6" t="s">
        <v>3055</v>
      </c>
      <c r="B957" s="6" t="s">
        <v>3052</v>
      </c>
      <c r="C957" s="6" t="s">
        <v>20</v>
      </c>
      <c r="D957" s="6" t="s">
        <v>85</v>
      </c>
      <c r="E957" s="6"/>
      <c r="F957" s="7" t="s">
        <v>3056</v>
      </c>
      <c r="G957" s="6" t="s">
        <v>3057</v>
      </c>
      <c r="H957" s="6" t="s">
        <v>8</v>
      </c>
      <c r="I957" s="8"/>
      <c r="J957" s="8"/>
      <c r="K957" s="8"/>
      <c r="L957" s="9"/>
    </row>
    <row r="958" customFormat="false" ht="35.05" hidden="false" customHeight="false" outlineLevel="0" collapsed="false">
      <c r="A958" s="6" t="s">
        <v>3058</v>
      </c>
      <c r="B958" s="6" t="s">
        <v>3052</v>
      </c>
      <c r="C958" s="6" t="s">
        <v>20</v>
      </c>
      <c r="D958" s="6" t="s">
        <v>85</v>
      </c>
      <c r="E958" s="6"/>
      <c r="F958" s="7" t="s">
        <v>3059</v>
      </c>
      <c r="G958" s="6" t="s">
        <v>3060</v>
      </c>
      <c r="H958" s="6" t="s">
        <v>6</v>
      </c>
      <c r="I958" s="8"/>
      <c r="J958" s="8"/>
      <c r="K958" s="8"/>
      <c r="L958" s="9"/>
    </row>
    <row r="959" customFormat="false" ht="15" hidden="false" customHeight="false" outlineLevel="0" collapsed="false">
      <c r="A959" s="6" t="s">
        <v>3061</v>
      </c>
      <c r="B959" s="6" t="s">
        <v>3052</v>
      </c>
      <c r="C959" s="6" t="s">
        <v>20</v>
      </c>
      <c r="D959" s="6" t="s">
        <v>85</v>
      </c>
      <c r="E959" s="6"/>
      <c r="F959" s="7" t="s">
        <v>3062</v>
      </c>
      <c r="G959" s="6" t="s">
        <v>3063</v>
      </c>
      <c r="H959" s="6" t="s">
        <v>8</v>
      </c>
      <c r="I959" s="8"/>
      <c r="J959" s="8"/>
      <c r="K959" s="8"/>
      <c r="L959" s="9"/>
    </row>
    <row r="960" customFormat="false" ht="23.85" hidden="false" customHeight="false" outlineLevel="0" collapsed="false">
      <c r="A960" s="6" t="s">
        <v>3064</v>
      </c>
      <c r="B960" s="6" t="s">
        <v>3052</v>
      </c>
      <c r="C960" s="6" t="s">
        <v>20</v>
      </c>
      <c r="D960" s="6" t="s">
        <v>85</v>
      </c>
      <c r="E960" s="6"/>
      <c r="F960" s="7" t="s">
        <v>3065</v>
      </c>
      <c r="G960" s="6" t="s">
        <v>3066</v>
      </c>
      <c r="H960" s="6" t="s">
        <v>6</v>
      </c>
      <c r="I960" s="8"/>
      <c r="J960" s="8"/>
      <c r="K960" s="8"/>
      <c r="L960" s="9"/>
    </row>
    <row r="961" customFormat="false" ht="15" hidden="false" customHeight="false" outlineLevel="0" collapsed="false">
      <c r="A961" s="6" t="s">
        <v>3067</v>
      </c>
      <c r="B961" s="6" t="s">
        <v>3052</v>
      </c>
      <c r="C961" s="6" t="s">
        <v>20</v>
      </c>
      <c r="D961" s="6" t="s">
        <v>85</v>
      </c>
      <c r="E961" s="6"/>
      <c r="F961" s="7" t="s">
        <v>3068</v>
      </c>
      <c r="G961" s="6" t="s">
        <v>3069</v>
      </c>
      <c r="H961" s="6" t="s">
        <v>8</v>
      </c>
      <c r="I961" s="8"/>
      <c r="J961" s="8"/>
      <c r="K961" s="8"/>
      <c r="L961" s="9"/>
    </row>
    <row r="962" customFormat="false" ht="15" hidden="false" customHeight="false" outlineLevel="0" collapsed="false">
      <c r="A962" s="6" t="s">
        <v>3070</v>
      </c>
      <c r="B962" s="6" t="s">
        <v>3052</v>
      </c>
      <c r="C962" s="6" t="s">
        <v>20</v>
      </c>
      <c r="D962" s="6" t="s">
        <v>85</v>
      </c>
      <c r="E962" s="6"/>
      <c r="F962" s="7" t="s">
        <v>3071</v>
      </c>
      <c r="G962" s="6" t="s">
        <v>556</v>
      </c>
      <c r="H962" s="6" t="s">
        <v>8</v>
      </c>
      <c r="I962" s="8"/>
      <c r="J962" s="8"/>
      <c r="K962" s="8"/>
      <c r="L962" s="9"/>
    </row>
    <row r="963" customFormat="false" ht="15" hidden="false" customHeight="false" outlineLevel="0" collapsed="false">
      <c r="A963" s="6" t="s">
        <v>3072</v>
      </c>
      <c r="B963" s="6" t="s">
        <v>3052</v>
      </c>
      <c r="C963" s="6" t="s">
        <v>20</v>
      </c>
      <c r="D963" s="6" t="s">
        <v>85</v>
      </c>
      <c r="E963" s="6"/>
      <c r="F963" s="7" t="s">
        <v>3073</v>
      </c>
      <c r="G963" s="6" t="s">
        <v>3074</v>
      </c>
      <c r="H963" s="6" t="s">
        <v>6</v>
      </c>
      <c r="I963" s="8"/>
      <c r="J963" s="8"/>
      <c r="K963" s="8"/>
      <c r="L963" s="9"/>
    </row>
    <row r="964" customFormat="false" ht="15" hidden="false" customHeight="false" outlineLevel="0" collapsed="false">
      <c r="A964" s="6" t="s">
        <v>3075</v>
      </c>
      <c r="B964" s="6" t="s">
        <v>3052</v>
      </c>
      <c r="C964" s="6" t="s">
        <v>20</v>
      </c>
      <c r="D964" s="6" t="s">
        <v>85</v>
      </c>
      <c r="E964" s="6"/>
      <c r="F964" s="7" t="s">
        <v>3076</v>
      </c>
      <c r="G964" s="6" t="s">
        <v>3077</v>
      </c>
      <c r="H964" s="6" t="s">
        <v>10</v>
      </c>
      <c r="I964" s="8"/>
      <c r="J964" s="8"/>
      <c r="K964" s="8"/>
      <c r="L964" s="9"/>
    </row>
    <row r="965" customFormat="false" ht="23.85" hidden="false" customHeight="false" outlineLevel="0" collapsed="false">
      <c r="A965" s="6" t="s">
        <v>3078</v>
      </c>
      <c r="B965" s="6" t="s">
        <v>3079</v>
      </c>
      <c r="C965" s="6" t="s">
        <v>20</v>
      </c>
      <c r="D965" s="6" t="s">
        <v>49</v>
      </c>
      <c r="E965" s="6" t="s">
        <v>29</v>
      </c>
      <c r="F965" s="7" t="s">
        <v>3080</v>
      </c>
      <c r="G965" s="6" t="s">
        <v>333</v>
      </c>
      <c r="H965" s="6" t="s">
        <v>8</v>
      </c>
      <c r="I965" s="8"/>
      <c r="J965" s="8"/>
      <c r="K965" s="8"/>
      <c r="L965" s="9"/>
    </row>
    <row r="966" customFormat="false" ht="15" hidden="false" customHeight="false" outlineLevel="0" collapsed="false">
      <c r="A966" s="6" t="s">
        <v>3081</v>
      </c>
      <c r="B966" s="6" t="s">
        <v>3079</v>
      </c>
      <c r="C966" s="6" t="s">
        <v>20</v>
      </c>
      <c r="D966" s="6" t="s">
        <v>49</v>
      </c>
      <c r="E966" s="6" t="s">
        <v>29</v>
      </c>
      <c r="F966" s="7" t="s">
        <v>2795</v>
      </c>
      <c r="G966" s="6" t="s">
        <v>302</v>
      </c>
      <c r="H966" s="6" t="s">
        <v>6</v>
      </c>
      <c r="I966" s="8"/>
      <c r="J966" s="8"/>
      <c r="K966" s="8"/>
      <c r="L966" s="9"/>
    </row>
    <row r="967" customFormat="false" ht="15" hidden="false" customHeight="false" outlineLevel="0" collapsed="false">
      <c r="A967" s="6" t="s">
        <v>3082</v>
      </c>
      <c r="B967" s="6" t="s">
        <v>3083</v>
      </c>
      <c r="C967" s="6" t="s">
        <v>20</v>
      </c>
      <c r="D967" s="6" t="s">
        <v>230</v>
      </c>
      <c r="E967" s="6" t="s">
        <v>29</v>
      </c>
      <c r="F967" s="7" t="s">
        <v>3084</v>
      </c>
      <c r="G967" s="6" t="s">
        <v>123</v>
      </c>
      <c r="H967" s="6" t="s">
        <v>8</v>
      </c>
      <c r="I967" s="8"/>
      <c r="J967" s="8"/>
      <c r="K967" s="8"/>
      <c r="L967" s="9"/>
    </row>
    <row r="968" customFormat="false" ht="23.85" hidden="false" customHeight="false" outlineLevel="0" collapsed="false">
      <c r="A968" s="6" t="s">
        <v>3085</v>
      </c>
      <c r="B968" s="6" t="s">
        <v>3086</v>
      </c>
      <c r="C968" s="6" t="s">
        <v>20</v>
      </c>
      <c r="D968" s="6" t="s">
        <v>44</v>
      </c>
      <c r="E968" s="6"/>
      <c r="F968" s="7" t="s">
        <v>3087</v>
      </c>
      <c r="G968" s="6" t="s">
        <v>3088</v>
      </c>
      <c r="H968" s="6" t="s">
        <v>7</v>
      </c>
      <c r="I968" s="8"/>
      <c r="J968" s="8"/>
      <c r="K968" s="8"/>
      <c r="L968" s="9"/>
    </row>
    <row r="969" customFormat="false" ht="23.85" hidden="false" customHeight="false" outlineLevel="0" collapsed="false">
      <c r="A969" s="6" t="s">
        <v>3089</v>
      </c>
      <c r="B969" s="6" t="s">
        <v>3090</v>
      </c>
      <c r="C969" s="6" t="s">
        <v>20</v>
      </c>
      <c r="D969" s="6" t="s">
        <v>44</v>
      </c>
      <c r="E969" s="6" t="s">
        <v>29</v>
      </c>
      <c r="F969" s="7" t="s">
        <v>3091</v>
      </c>
      <c r="G969" s="6" t="s">
        <v>3092</v>
      </c>
      <c r="H969" s="6" t="s">
        <v>6</v>
      </c>
      <c r="I969" s="8"/>
      <c r="J969" s="8"/>
      <c r="K969" s="8"/>
      <c r="L969" s="9"/>
    </row>
    <row r="970" customFormat="false" ht="15" hidden="false" customHeight="false" outlineLevel="0" collapsed="false">
      <c r="A970" s="6" t="s">
        <v>3093</v>
      </c>
      <c r="B970" s="6" t="s">
        <v>3090</v>
      </c>
      <c r="C970" s="6" t="s">
        <v>20</v>
      </c>
      <c r="D970" s="6" t="s">
        <v>44</v>
      </c>
      <c r="E970" s="6" t="s">
        <v>29</v>
      </c>
      <c r="F970" s="7" t="s">
        <v>3094</v>
      </c>
      <c r="G970" s="6" t="s">
        <v>3095</v>
      </c>
      <c r="H970" s="6" t="s">
        <v>8</v>
      </c>
      <c r="I970" s="8"/>
      <c r="J970" s="8"/>
      <c r="K970" s="8"/>
      <c r="L970" s="9"/>
    </row>
    <row r="971" customFormat="false" ht="23.85" hidden="false" customHeight="false" outlineLevel="0" collapsed="false">
      <c r="A971" s="6" t="s">
        <v>3096</v>
      </c>
      <c r="B971" s="6" t="s">
        <v>3090</v>
      </c>
      <c r="C971" s="6" t="s">
        <v>20</v>
      </c>
      <c r="D971" s="6" t="s">
        <v>44</v>
      </c>
      <c r="E971" s="6" t="s">
        <v>29</v>
      </c>
      <c r="F971" s="7" t="s">
        <v>3097</v>
      </c>
      <c r="G971" s="6" t="s">
        <v>3098</v>
      </c>
      <c r="H971" s="6" t="s">
        <v>6</v>
      </c>
      <c r="I971" s="8"/>
      <c r="J971" s="8"/>
      <c r="K971" s="8"/>
      <c r="L971" s="9"/>
    </row>
    <row r="972" customFormat="false" ht="23.85" hidden="false" customHeight="false" outlineLevel="0" collapsed="false">
      <c r="A972" s="6" t="s">
        <v>3099</v>
      </c>
      <c r="B972" s="6" t="s">
        <v>3090</v>
      </c>
      <c r="C972" s="6" t="s">
        <v>20</v>
      </c>
      <c r="D972" s="6" t="s">
        <v>44</v>
      </c>
      <c r="E972" s="6" t="s">
        <v>29</v>
      </c>
      <c r="F972" s="7" t="s">
        <v>3100</v>
      </c>
      <c r="G972" s="6" t="s">
        <v>3101</v>
      </c>
      <c r="H972" s="6" t="s">
        <v>8</v>
      </c>
      <c r="I972" s="8"/>
      <c r="J972" s="8"/>
      <c r="K972" s="8"/>
      <c r="L972" s="9"/>
    </row>
    <row r="973" customFormat="false" ht="46.25" hidden="false" customHeight="false" outlineLevel="0" collapsed="false">
      <c r="A973" s="6" t="s">
        <v>3102</v>
      </c>
      <c r="B973" s="6" t="s">
        <v>3103</v>
      </c>
      <c r="C973" s="6" t="s">
        <v>20</v>
      </c>
      <c r="D973" s="6" t="s">
        <v>85</v>
      </c>
      <c r="E973" s="6" t="s">
        <v>3104</v>
      </c>
      <c r="F973" s="7" t="s">
        <v>3105</v>
      </c>
      <c r="G973" s="6" t="s">
        <v>3106</v>
      </c>
      <c r="H973" s="6" t="s">
        <v>8</v>
      </c>
      <c r="I973" s="8"/>
      <c r="J973" s="8"/>
      <c r="K973" s="8"/>
      <c r="L973" s="9"/>
    </row>
    <row r="974" customFormat="false" ht="15" hidden="false" customHeight="false" outlineLevel="0" collapsed="false">
      <c r="A974" s="6" t="s">
        <v>3107</v>
      </c>
      <c r="B974" s="6" t="s">
        <v>3103</v>
      </c>
      <c r="C974" s="6" t="s">
        <v>20</v>
      </c>
      <c r="D974" s="6" t="s">
        <v>85</v>
      </c>
      <c r="E974" s="6" t="s">
        <v>3104</v>
      </c>
      <c r="F974" s="7" t="s">
        <v>3108</v>
      </c>
      <c r="G974" s="6" t="s">
        <v>3109</v>
      </c>
      <c r="H974" s="6" t="s">
        <v>8</v>
      </c>
      <c r="I974" s="8"/>
      <c r="J974" s="8"/>
      <c r="K974" s="8"/>
      <c r="L974" s="9"/>
    </row>
    <row r="975" customFormat="false" ht="15" hidden="false" customHeight="false" outlineLevel="0" collapsed="false">
      <c r="A975" s="6" t="s">
        <v>3110</v>
      </c>
      <c r="B975" s="6" t="s">
        <v>3111</v>
      </c>
      <c r="C975" s="6" t="s">
        <v>20</v>
      </c>
      <c r="D975" s="6" t="s">
        <v>44</v>
      </c>
      <c r="E975" s="6" t="s">
        <v>28</v>
      </c>
      <c r="F975" s="7" t="s">
        <v>3112</v>
      </c>
      <c r="G975" s="6" t="s">
        <v>2999</v>
      </c>
      <c r="H975" s="6" t="s">
        <v>8</v>
      </c>
      <c r="I975" s="8"/>
      <c r="J975" s="8"/>
      <c r="K975" s="8"/>
      <c r="L975" s="9"/>
    </row>
    <row r="976" customFormat="false" ht="15" hidden="false" customHeight="false" outlineLevel="0" collapsed="false">
      <c r="A976" s="6" t="s">
        <v>3113</v>
      </c>
      <c r="B976" s="6" t="s">
        <v>3111</v>
      </c>
      <c r="C976" s="6" t="s">
        <v>20</v>
      </c>
      <c r="D976" s="6" t="s">
        <v>44</v>
      </c>
      <c r="E976" s="6" t="s">
        <v>28</v>
      </c>
      <c r="F976" s="7" t="s">
        <v>3114</v>
      </c>
      <c r="G976" s="6" t="s">
        <v>1410</v>
      </c>
      <c r="H976" s="6" t="s">
        <v>6</v>
      </c>
      <c r="I976" s="8"/>
      <c r="J976" s="8"/>
      <c r="K976" s="8"/>
      <c r="L976" s="9"/>
    </row>
    <row r="977" customFormat="false" ht="15" hidden="false" customHeight="false" outlineLevel="0" collapsed="false">
      <c r="A977" s="6" t="s">
        <v>3115</v>
      </c>
      <c r="B977" s="6" t="s">
        <v>3111</v>
      </c>
      <c r="C977" s="6" t="s">
        <v>20</v>
      </c>
      <c r="D977" s="6" t="s">
        <v>44</v>
      </c>
      <c r="E977" s="6" t="s">
        <v>28</v>
      </c>
      <c r="F977" s="7" t="s">
        <v>3116</v>
      </c>
      <c r="G977" s="6" t="s">
        <v>3117</v>
      </c>
      <c r="H977" s="6" t="s">
        <v>8</v>
      </c>
      <c r="I977" s="8"/>
      <c r="J977" s="8"/>
      <c r="K977" s="8"/>
      <c r="L977" s="9"/>
    </row>
    <row r="978" customFormat="false" ht="23.85" hidden="false" customHeight="false" outlineLevel="0" collapsed="false">
      <c r="A978" s="6" t="s">
        <v>3118</v>
      </c>
      <c r="B978" s="6" t="s">
        <v>3111</v>
      </c>
      <c r="C978" s="6" t="s">
        <v>20</v>
      </c>
      <c r="D978" s="6" t="s">
        <v>44</v>
      </c>
      <c r="E978" s="6" t="s">
        <v>28</v>
      </c>
      <c r="F978" s="7" t="s">
        <v>3119</v>
      </c>
      <c r="G978" s="6" t="s">
        <v>3120</v>
      </c>
      <c r="H978" s="6" t="s">
        <v>6</v>
      </c>
      <c r="I978" s="8"/>
      <c r="J978" s="8"/>
      <c r="K978" s="8"/>
      <c r="L978" s="9"/>
    </row>
    <row r="979" customFormat="false" ht="15" hidden="false" customHeight="false" outlineLevel="0" collapsed="false">
      <c r="A979" s="6" t="s">
        <v>3121</v>
      </c>
      <c r="B979" s="6" t="s">
        <v>3111</v>
      </c>
      <c r="C979" s="6" t="s">
        <v>20</v>
      </c>
      <c r="D979" s="6" t="s">
        <v>44</v>
      </c>
      <c r="E979" s="6" t="s">
        <v>28</v>
      </c>
      <c r="F979" s="7" t="s">
        <v>3122</v>
      </c>
      <c r="G979" s="6" t="s">
        <v>3123</v>
      </c>
      <c r="H979" s="6" t="s">
        <v>8</v>
      </c>
      <c r="I979" s="8"/>
      <c r="J979" s="8"/>
      <c r="K979" s="8"/>
      <c r="L979" s="9"/>
    </row>
    <row r="980" customFormat="false" ht="15" hidden="false" customHeight="false" outlineLevel="0" collapsed="false">
      <c r="A980" s="6" t="s">
        <v>3124</v>
      </c>
      <c r="B980" s="6" t="s">
        <v>3111</v>
      </c>
      <c r="C980" s="6" t="s">
        <v>20</v>
      </c>
      <c r="D980" s="6" t="s">
        <v>44</v>
      </c>
      <c r="E980" s="6" t="s">
        <v>28</v>
      </c>
      <c r="F980" s="7" t="s">
        <v>3125</v>
      </c>
      <c r="G980" s="6" t="s">
        <v>3126</v>
      </c>
      <c r="H980" s="6" t="s">
        <v>6</v>
      </c>
      <c r="I980" s="8"/>
      <c r="J980" s="8"/>
      <c r="K980" s="8"/>
      <c r="L980" s="9"/>
    </row>
    <row r="981" customFormat="false" ht="23.85" hidden="false" customHeight="false" outlineLevel="0" collapsed="false">
      <c r="A981" s="6" t="s">
        <v>3127</v>
      </c>
      <c r="B981" s="6" t="s">
        <v>3111</v>
      </c>
      <c r="C981" s="6" t="s">
        <v>20</v>
      </c>
      <c r="D981" s="6" t="s">
        <v>44</v>
      </c>
      <c r="E981" s="6" t="s">
        <v>28</v>
      </c>
      <c r="F981" s="7" t="s">
        <v>3128</v>
      </c>
      <c r="G981" s="6" t="s">
        <v>3129</v>
      </c>
      <c r="H981" s="6" t="s">
        <v>6</v>
      </c>
      <c r="I981" s="8"/>
      <c r="J981" s="8"/>
      <c r="K981" s="8"/>
      <c r="L981" s="9"/>
    </row>
    <row r="982" customFormat="false" ht="23.85" hidden="false" customHeight="false" outlineLevel="0" collapsed="false">
      <c r="A982" s="6" t="s">
        <v>3130</v>
      </c>
      <c r="B982" s="6" t="s">
        <v>3131</v>
      </c>
      <c r="C982" s="6" t="s">
        <v>20</v>
      </c>
      <c r="D982" s="6" t="s">
        <v>85</v>
      </c>
      <c r="E982" s="6"/>
      <c r="F982" s="7" t="s">
        <v>3132</v>
      </c>
      <c r="G982" s="6" t="s">
        <v>3133</v>
      </c>
      <c r="H982" s="6" t="s">
        <v>6</v>
      </c>
      <c r="I982" s="8"/>
      <c r="J982" s="8"/>
      <c r="K982" s="8"/>
      <c r="L982" s="9"/>
    </row>
    <row r="983" customFormat="false" ht="23.85" hidden="false" customHeight="false" outlineLevel="0" collapsed="false">
      <c r="A983" s="6" t="s">
        <v>3134</v>
      </c>
      <c r="B983" s="6" t="s">
        <v>3131</v>
      </c>
      <c r="C983" s="6" t="s">
        <v>20</v>
      </c>
      <c r="D983" s="6" t="s">
        <v>85</v>
      </c>
      <c r="E983" s="6"/>
      <c r="F983" s="7" t="s">
        <v>3135</v>
      </c>
      <c r="G983" s="6" t="s">
        <v>3136</v>
      </c>
      <c r="H983" s="6" t="s">
        <v>6</v>
      </c>
      <c r="I983" s="8"/>
      <c r="J983" s="8"/>
      <c r="K983" s="8"/>
      <c r="L983" s="9"/>
    </row>
    <row r="984" customFormat="false" ht="23.85" hidden="false" customHeight="false" outlineLevel="0" collapsed="false">
      <c r="A984" s="6" t="s">
        <v>3137</v>
      </c>
      <c r="B984" s="6" t="s">
        <v>3131</v>
      </c>
      <c r="C984" s="6" t="s">
        <v>20</v>
      </c>
      <c r="D984" s="6" t="s">
        <v>85</v>
      </c>
      <c r="E984" s="6"/>
      <c r="F984" s="7" t="s">
        <v>3138</v>
      </c>
      <c r="G984" s="6" t="s">
        <v>3139</v>
      </c>
      <c r="H984" s="6" t="s">
        <v>8</v>
      </c>
      <c r="I984" s="8"/>
      <c r="J984" s="8"/>
      <c r="K984" s="8"/>
      <c r="L984" s="9"/>
    </row>
    <row r="985" customFormat="false" ht="15" hidden="false" customHeight="false" outlineLevel="0" collapsed="false">
      <c r="A985" s="6" t="s">
        <v>3140</v>
      </c>
      <c r="B985" s="6" t="s">
        <v>3131</v>
      </c>
      <c r="C985" s="6" t="s">
        <v>20</v>
      </c>
      <c r="D985" s="6" t="s">
        <v>85</v>
      </c>
      <c r="E985" s="6"/>
      <c r="F985" s="7" t="s">
        <v>3141</v>
      </c>
      <c r="G985" s="6" t="s">
        <v>3142</v>
      </c>
      <c r="H985" s="6" t="s">
        <v>9</v>
      </c>
      <c r="I985" s="8"/>
      <c r="J985" s="8"/>
      <c r="K985" s="8"/>
      <c r="L985" s="9"/>
    </row>
    <row r="986" customFormat="false" ht="23.85" hidden="false" customHeight="false" outlineLevel="0" collapsed="false">
      <c r="A986" s="6" t="s">
        <v>3143</v>
      </c>
      <c r="B986" s="6" t="s">
        <v>3144</v>
      </c>
      <c r="C986" s="6" t="s">
        <v>20</v>
      </c>
      <c r="D986" s="6" t="s">
        <v>49</v>
      </c>
      <c r="E986" s="6"/>
      <c r="F986" s="7" t="s">
        <v>3145</v>
      </c>
      <c r="G986" s="6" t="s">
        <v>3146</v>
      </c>
      <c r="H986" s="6" t="s">
        <v>7</v>
      </c>
      <c r="I986" s="8"/>
      <c r="J986" s="8"/>
      <c r="K986" s="8"/>
      <c r="L986" s="9"/>
    </row>
    <row r="987" customFormat="false" ht="15" hidden="false" customHeight="false" outlineLevel="0" collapsed="false">
      <c r="A987" s="6" t="s">
        <v>3147</v>
      </c>
      <c r="B987" s="6" t="s">
        <v>3144</v>
      </c>
      <c r="C987" s="6" t="s">
        <v>20</v>
      </c>
      <c r="D987" s="6" t="s">
        <v>49</v>
      </c>
      <c r="E987" s="6"/>
      <c r="F987" s="7" t="s">
        <v>3148</v>
      </c>
      <c r="G987" s="6" t="s">
        <v>3149</v>
      </c>
      <c r="H987" s="6" t="s">
        <v>7</v>
      </c>
      <c r="I987" s="8"/>
      <c r="J987" s="8"/>
      <c r="K987" s="8"/>
      <c r="L987" s="9"/>
    </row>
    <row r="988" customFormat="false" ht="15" hidden="false" customHeight="false" outlineLevel="0" collapsed="false">
      <c r="A988" s="6" t="s">
        <v>3150</v>
      </c>
      <c r="B988" s="6" t="s">
        <v>3144</v>
      </c>
      <c r="C988" s="6" t="s">
        <v>20</v>
      </c>
      <c r="D988" s="6" t="s">
        <v>49</v>
      </c>
      <c r="E988" s="6"/>
      <c r="F988" s="7" t="s">
        <v>3151</v>
      </c>
      <c r="G988" s="6" t="s">
        <v>1436</v>
      </c>
      <c r="H988" s="6" t="s">
        <v>6</v>
      </c>
      <c r="I988" s="8"/>
      <c r="J988" s="8"/>
      <c r="K988" s="8"/>
      <c r="L988" s="9"/>
    </row>
    <row r="989" customFormat="false" ht="23.85" hidden="false" customHeight="false" outlineLevel="0" collapsed="false">
      <c r="A989" s="6" t="s">
        <v>3152</v>
      </c>
      <c r="B989" s="6" t="s">
        <v>3153</v>
      </c>
      <c r="C989" s="6" t="s">
        <v>20</v>
      </c>
      <c r="D989" s="6" t="s">
        <v>49</v>
      </c>
      <c r="E989" s="6"/>
      <c r="F989" s="7" t="s">
        <v>3154</v>
      </c>
      <c r="G989" s="6" t="s">
        <v>3155</v>
      </c>
      <c r="H989" s="6" t="s">
        <v>8</v>
      </c>
      <c r="I989" s="8"/>
      <c r="J989" s="8"/>
      <c r="K989" s="8"/>
      <c r="L989" s="9"/>
    </row>
    <row r="990" customFormat="false" ht="23.85" hidden="false" customHeight="false" outlineLevel="0" collapsed="false">
      <c r="A990" s="6" t="s">
        <v>3156</v>
      </c>
      <c r="B990" s="6" t="s">
        <v>3157</v>
      </c>
      <c r="C990" s="6" t="s">
        <v>20</v>
      </c>
      <c r="D990" s="6" t="s">
        <v>85</v>
      </c>
      <c r="E990" s="6" t="s">
        <v>29</v>
      </c>
      <c r="F990" s="7" t="s">
        <v>3158</v>
      </c>
      <c r="G990" s="6" t="s">
        <v>3159</v>
      </c>
      <c r="H990" s="6" t="s">
        <v>8</v>
      </c>
      <c r="I990" s="8"/>
      <c r="J990" s="8"/>
      <c r="K990" s="8"/>
      <c r="L990" s="9"/>
    </row>
    <row r="991" customFormat="false" ht="15" hidden="false" customHeight="false" outlineLevel="0" collapsed="false">
      <c r="A991" s="6" t="s">
        <v>3160</v>
      </c>
      <c r="B991" s="6" t="s">
        <v>3157</v>
      </c>
      <c r="C991" s="6" t="s">
        <v>20</v>
      </c>
      <c r="D991" s="6" t="s">
        <v>85</v>
      </c>
      <c r="E991" s="6" t="s">
        <v>29</v>
      </c>
      <c r="F991" s="7" t="s">
        <v>3161</v>
      </c>
      <c r="G991" s="6" t="s">
        <v>3162</v>
      </c>
      <c r="H991" s="6" t="s">
        <v>6</v>
      </c>
      <c r="I991" s="8"/>
      <c r="J991" s="8"/>
      <c r="K991" s="8"/>
      <c r="L991" s="9"/>
    </row>
    <row r="992" customFormat="false" ht="15" hidden="false" customHeight="false" outlineLevel="0" collapsed="false">
      <c r="A992" s="6" t="s">
        <v>3163</v>
      </c>
      <c r="B992" s="6" t="s">
        <v>3157</v>
      </c>
      <c r="C992" s="6" t="s">
        <v>20</v>
      </c>
      <c r="D992" s="6" t="s">
        <v>85</v>
      </c>
      <c r="E992" s="6" t="s">
        <v>29</v>
      </c>
      <c r="F992" s="7" t="s">
        <v>3164</v>
      </c>
      <c r="G992" s="6" t="s">
        <v>989</v>
      </c>
      <c r="H992" s="6" t="s">
        <v>9</v>
      </c>
      <c r="I992" s="8"/>
      <c r="J992" s="8"/>
      <c r="K992" s="8"/>
      <c r="L992" s="9"/>
    </row>
    <row r="993" customFormat="false" ht="15" hidden="false" customHeight="false" outlineLevel="0" collapsed="false">
      <c r="A993" s="6" t="s">
        <v>3165</v>
      </c>
      <c r="B993" s="6" t="s">
        <v>3157</v>
      </c>
      <c r="C993" s="6" t="s">
        <v>20</v>
      </c>
      <c r="D993" s="6" t="s">
        <v>85</v>
      </c>
      <c r="E993" s="6" t="s">
        <v>29</v>
      </c>
      <c r="F993" s="7" t="s">
        <v>3166</v>
      </c>
      <c r="G993" s="6" t="s">
        <v>3167</v>
      </c>
      <c r="H993" s="6" t="s">
        <v>6</v>
      </c>
      <c r="I993" s="8"/>
      <c r="J993" s="8"/>
      <c r="K993" s="8"/>
      <c r="L993" s="9"/>
    </row>
    <row r="994" customFormat="false" ht="15" hidden="false" customHeight="false" outlineLevel="0" collapsed="false">
      <c r="A994" s="6" t="s">
        <v>3168</v>
      </c>
      <c r="B994" s="6" t="s">
        <v>3157</v>
      </c>
      <c r="C994" s="6" t="s">
        <v>20</v>
      </c>
      <c r="D994" s="6" t="s">
        <v>85</v>
      </c>
      <c r="E994" s="6" t="s">
        <v>29</v>
      </c>
      <c r="F994" s="7" t="s">
        <v>3169</v>
      </c>
      <c r="G994" s="6" t="s">
        <v>3170</v>
      </c>
      <c r="H994" s="6" t="s">
        <v>7</v>
      </c>
      <c r="I994" s="8"/>
      <c r="J994" s="8"/>
      <c r="K994" s="8"/>
      <c r="L994" s="9"/>
    </row>
    <row r="995" customFormat="false" ht="23.85" hidden="false" customHeight="false" outlineLevel="0" collapsed="false">
      <c r="A995" s="6" t="s">
        <v>3171</v>
      </c>
      <c r="B995" s="6" t="s">
        <v>3172</v>
      </c>
      <c r="C995" s="6" t="s">
        <v>20</v>
      </c>
      <c r="D995" s="6" t="s">
        <v>44</v>
      </c>
      <c r="E995" s="6"/>
      <c r="F995" s="7" t="s">
        <v>3173</v>
      </c>
      <c r="G995" s="6" t="s">
        <v>657</v>
      </c>
      <c r="H995" s="6" t="s">
        <v>9</v>
      </c>
      <c r="I995" s="8"/>
      <c r="J995" s="8"/>
      <c r="K995" s="8"/>
      <c r="L995" s="9"/>
    </row>
    <row r="996" customFormat="false" ht="23.85" hidden="false" customHeight="false" outlineLevel="0" collapsed="false">
      <c r="A996" s="6" t="s">
        <v>3174</v>
      </c>
      <c r="B996" s="6" t="s">
        <v>3175</v>
      </c>
      <c r="C996" s="6" t="s">
        <v>20</v>
      </c>
      <c r="D996" s="6" t="s">
        <v>44</v>
      </c>
      <c r="E996" s="6" t="s">
        <v>29</v>
      </c>
      <c r="F996" s="7" t="s">
        <v>3176</v>
      </c>
      <c r="G996" s="6" t="s">
        <v>3177</v>
      </c>
      <c r="H996" s="6" t="s">
        <v>8</v>
      </c>
      <c r="I996" s="8"/>
      <c r="J996" s="8"/>
      <c r="K996" s="8"/>
      <c r="L996" s="9"/>
    </row>
    <row r="997" customFormat="false" ht="23.85" hidden="false" customHeight="false" outlineLevel="0" collapsed="false">
      <c r="A997" s="6" t="s">
        <v>3178</v>
      </c>
      <c r="B997" s="6" t="s">
        <v>3175</v>
      </c>
      <c r="C997" s="6" t="s">
        <v>20</v>
      </c>
      <c r="D997" s="6" t="s">
        <v>44</v>
      </c>
      <c r="E997" s="6" t="s">
        <v>29</v>
      </c>
      <c r="F997" s="7" t="s">
        <v>3179</v>
      </c>
      <c r="G997" s="6" t="s">
        <v>3155</v>
      </c>
      <c r="H997" s="6" t="s">
        <v>8</v>
      </c>
      <c r="I997" s="8"/>
      <c r="J997" s="8"/>
      <c r="K997" s="8"/>
      <c r="L997" s="9"/>
    </row>
    <row r="998" customFormat="false" ht="15" hidden="false" customHeight="false" outlineLevel="0" collapsed="false">
      <c r="A998" s="6" t="s">
        <v>3180</v>
      </c>
      <c r="B998" s="6" t="s">
        <v>3181</v>
      </c>
      <c r="C998" s="6" t="s">
        <v>20</v>
      </c>
      <c r="D998" s="6" t="s">
        <v>44</v>
      </c>
      <c r="E998" s="6"/>
      <c r="F998" s="7" t="s">
        <v>3182</v>
      </c>
      <c r="G998" s="6" t="s">
        <v>957</v>
      </c>
      <c r="H998" s="6" t="s">
        <v>6</v>
      </c>
      <c r="I998" s="8"/>
      <c r="J998" s="8"/>
      <c r="K998" s="8"/>
      <c r="L998" s="9"/>
    </row>
    <row r="999" customFormat="false" ht="15" hidden="false" customHeight="false" outlineLevel="0" collapsed="false">
      <c r="A999" s="6" t="s">
        <v>3183</v>
      </c>
      <c r="B999" s="6" t="s">
        <v>3184</v>
      </c>
      <c r="C999" s="6" t="s">
        <v>20</v>
      </c>
      <c r="D999" s="6" t="s">
        <v>44</v>
      </c>
      <c r="E999" s="6" t="s">
        <v>29</v>
      </c>
      <c r="F999" s="7" t="s">
        <v>3185</v>
      </c>
      <c r="G999" s="6" t="s">
        <v>3177</v>
      </c>
      <c r="H999" s="6" t="s">
        <v>8</v>
      </c>
      <c r="I999" s="8"/>
      <c r="J999" s="8"/>
      <c r="K999" s="8"/>
      <c r="L999" s="9"/>
    </row>
    <row r="1000" customFormat="false" ht="23.85" hidden="false" customHeight="false" outlineLevel="0" collapsed="false">
      <c r="A1000" s="6" t="s">
        <v>3186</v>
      </c>
      <c r="B1000" s="6" t="s">
        <v>3184</v>
      </c>
      <c r="C1000" s="6" t="s">
        <v>20</v>
      </c>
      <c r="D1000" s="6" t="s">
        <v>44</v>
      </c>
      <c r="E1000" s="6" t="s">
        <v>29</v>
      </c>
      <c r="F1000" s="7" t="s">
        <v>3187</v>
      </c>
      <c r="G1000" s="6" t="s">
        <v>1578</v>
      </c>
      <c r="H1000" s="6" t="s">
        <v>8</v>
      </c>
      <c r="I1000" s="8"/>
      <c r="J1000" s="8"/>
      <c r="K1000" s="8"/>
      <c r="L1000" s="9"/>
    </row>
    <row r="1001" customFormat="false" ht="23.85" hidden="false" customHeight="false" outlineLevel="0" collapsed="false">
      <c r="A1001" s="6" t="s">
        <v>3188</v>
      </c>
      <c r="B1001" s="6" t="s">
        <v>3189</v>
      </c>
      <c r="C1001" s="6" t="s">
        <v>20</v>
      </c>
      <c r="D1001" s="6" t="s">
        <v>85</v>
      </c>
      <c r="E1001" s="6"/>
      <c r="F1001" s="7" t="s">
        <v>3190</v>
      </c>
      <c r="G1001" s="6" t="s">
        <v>3191</v>
      </c>
      <c r="H1001" s="6" t="s">
        <v>6</v>
      </c>
      <c r="I1001" s="8"/>
      <c r="J1001" s="8"/>
      <c r="K1001" s="8"/>
      <c r="L1001" s="9"/>
    </row>
    <row r="1002" customFormat="false" ht="15" hidden="false" customHeight="false" outlineLevel="0" collapsed="false">
      <c r="A1002" s="6" t="s">
        <v>3192</v>
      </c>
      <c r="B1002" s="6" t="s">
        <v>3189</v>
      </c>
      <c r="C1002" s="6" t="s">
        <v>20</v>
      </c>
      <c r="D1002" s="6" t="s">
        <v>85</v>
      </c>
      <c r="E1002" s="6"/>
      <c r="F1002" s="7" t="s">
        <v>3193</v>
      </c>
      <c r="G1002" s="6" t="s">
        <v>3194</v>
      </c>
      <c r="H1002" s="6" t="s">
        <v>8</v>
      </c>
      <c r="I1002" s="8"/>
      <c r="J1002" s="8"/>
      <c r="K1002" s="8"/>
      <c r="L1002" s="9"/>
    </row>
    <row r="1003" customFormat="false" ht="15" hidden="false" customHeight="false" outlineLevel="0" collapsed="false">
      <c r="A1003" s="6" t="s">
        <v>3195</v>
      </c>
      <c r="B1003" s="6" t="s">
        <v>3189</v>
      </c>
      <c r="C1003" s="6" t="s">
        <v>20</v>
      </c>
      <c r="D1003" s="6" t="s">
        <v>85</v>
      </c>
      <c r="E1003" s="6"/>
      <c r="F1003" s="7" t="s">
        <v>3196</v>
      </c>
      <c r="G1003" s="6" t="s">
        <v>183</v>
      </c>
      <c r="H1003" s="6" t="s">
        <v>8</v>
      </c>
      <c r="I1003" s="8"/>
      <c r="J1003" s="8"/>
      <c r="K1003" s="8"/>
      <c r="L1003" s="9"/>
    </row>
    <row r="1004" customFormat="false" ht="23.85" hidden="false" customHeight="false" outlineLevel="0" collapsed="false">
      <c r="A1004" s="6" t="s">
        <v>3197</v>
      </c>
      <c r="B1004" s="6" t="s">
        <v>3198</v>
      </c>
      <c r="C1004" s="6" t="s">
        <v>20</v>
      </c>
      <c r="D1004" s="6" t="s">
        <v>49</v>
      </c>
      <c r="E1004" s="6" t="s">
        <v>264</v>
      </c>
      <c r="F1004" s="7" t="s">
        <v>3199</v>
      </c>
      <c r="G1004" s="6" t="s">
        <v>336</v>
      </c>
      <c r="H1004" s="6" t="s">
        <v>6</v>
      </c>
      <c r="I1004" s="8"/>
      <c r="J1004" s="8"/>
      <c r="K1004" s="8"/>
      <c r="L1004" s="9"/>
    </row>
    <row r="1005" customFormat="false" ht="23.85" hidden="false" customHeight="false" outlineLevel="0" collapsed="false">
      <c r="A1005" s="6" t="s">
        <v>3200</v>
      </c>
      <c r="B1005" s="6" t="s">
        <v>3198</v>
      </c>
      <c r="C1005" s="6" t="s">
        <v>20</v>
      </c>
      <c r="D1005" s="6" t="s">
        <v>49</v>
      </c>
      <c r="E1005" s="6" t="s">
        <v>264</v>
      </c>
      <c r="F1005" s="7" t="s">
        <v>3201</v>
      </c>
      <c r="G1005" s="6" t="s">
        <v>2077</v>
      </c>
      <c r="H1005" s="6" t="s">
        <v>6</v>
      </c>
      <c r="I1005" s="8"/>
      <c r="J1005" s="8"/>
      <c r="K1005" s="8"/>
      <c r="L1005" s="9"/>
    </row>
    <row r="1006" customFormat="false" ht="23.85" hidden="false" customHeight="false" outlineLevel="0" collapsed="false">
      <c r="A1006" s="6" t="s">
        <v>3202</v>
      </c>
      <c r="B1006" s="6" t="s">
        <v>3198</v>
      </c>
      <c r="C1006" s="6" t="s">
        <v>20</v>
      </c>
      <c r="D1006" s="6" t="s">
        <v>49</v>
      </c>
      <c r="E1006" s="6" t="s">
        <v>264</v>
      </c>
      <c r="F1006" s="7" t="s">
        <v>3203</v>
      </c>
      <c r="G1006" s="6" t="s">
        <v>3204</v>
      </c>
      <c r="H1006" s="6" t="s">
        <v>8</v>
      </c>
      <c r="I1006" s="8"/>
      <c r="J1006" s="8"/>
      <c r="K1006" s="8"/>
      <c r="L1006" s="9"/>
    </row>
    <row r="1007" customFormat="false" ht="15" hidden="false" customHeight="false" outlineLevel="0" collapsed="false">
      <c r="A1007" s="6" t="s">
        <v>3205</v>
      </c>
      <c r="B1007" s="6" t="s">
        <v>3198</v>
      </c>
      <c r="C1007" s="6" t="s">
        <v>20</v>
      </c>
      <c r="D1007" s="6" t="s">
        <v>49</v>
      </c>
      <c r="E1007" s="6" t="s">
        <v>264</v>
      </c>
      <c r="F1007" s="7" t="s">
        <v>3206</v>
      </c>
      <c r="G1007" s="6" t="s">
        <v>3207</v>
      </c>
      <c r="H1007" s="6" t="s">
        <v>6</v>
      </c>
      <c r="I1007" s="8"/>
      <c r="J1007" s="8"/>
      <c r="K1007" s="8"/>
      <c r="L1007" s="9"/>
    </row>
    <row r="1008" customFormat="false" ht="23.85" hidden="false" customHeight="false" outlineLevel="0" collapsed="false">
      <c r="A1008" s="6" t="s">
        <v>3208</v>
      </c>
      <c r="B1008" s="6" t="s">
        <v>3198</v>
      </c>
      <c r="C1008" s="6" t="s">
        <v>20</v>
      </c>
      <c r="D1008" s="6" t="s">
        <v>49</v>
      </c>
      <c r="E1008" s="6" t="s">
        <v>264</v>
      </c>
      <c r="F1008" s="7" t="s">
        <v>3209</v>
      </c>
      <c r="G1008" s="6" t="s">
        <v>3210</v>
      </c>
      <c r="H1008" s="6" t="s">
        <v>6</v>
      </c>
      <c r="I1008" s="8"/>
      <c r="J1008" s="8"/>
      <c r="K1008" s="8"/>
      <c r="L1008" s="9"/>
    </row>
    <row r="1009" customFormat="false" ht="23.85" hidden="false" customHeight="false" outlineLevel="0" collapsed="false">
      <c r="A1009" s="6" t="s">
        <v>3211</v>
      </c>
      <c r="B1009" s="6" t="s">
        <v>3198</v>
      </c>
      <c r="C1009" s="6" t="s">
        <v>20</v>
      </c>
      <c r="D1009" s="6" t="s">
        <v>49</v>
      </c>
      <c r="E1009" s="6" t="s">
        <v>264</v>
      </c>
      <c r="F1009" s="7" t="s">
        <v>3212</v>
      </c>
      <c r="G1009" s="6" t="s">
        <v>3213</v>
      </c>
      <c r="H1009" s="6" t="s">
        <v>8</v>
      </c>
      <c r="I1009" s="8"/>
      <c r="J1009" s="8"/>
      <c r="K1009" s="8"/>
      <c r="L1009" s="9"/>
    </row>
    <row r="1010" customFormat="false" ht="15" hidden="false" customHeight="false" outlineLevel="0" collapsed="false">
      <c r="A1010" s="6" t="s">
        <v>3214</v>
      </c>
      <c r="B1010" s="6" t="s">
        <v>3198</v>
      </c>
      <c r="C1010" s="6" t="s">
        <v>20</v>
      </c>
      <c r="D1010" s="6" t="s">
        <v>49</v>
      </c>
      <c r="E1010" s="6" t="s">
        <v>264</v>
      </c>
      <c r="F1010" s="7" t="s">
        <v>3215</v>
      </c>
      <c r="G1010" s="6" t="s">
        <v>3047</v>
      </c>
      <c r="H1010" s="6" t="s">
        <v>8</v>
      </c>
      <c r="I1010" s="8"/>
      <c r="J1010" s="8"/>
      <c r="K1010" s="8"/>
      <c r="L1010" s="9"/>
    </row>
    <row r="1011" customFormat="false" ht="23.85" hidden="false" customHeight="false" outlineLevel="0" collapsed="false">
      <c r="A1011" s="6" t="s">
        <v>3216</v>
      </c>
      <c r="B1011" s="6" t="s">
        <v>3217</v>
      </c>
      <c r="C1011" s="6" t="s">
        <v>20</v>
      </c>
      <c r="D1011" s="6" t="s">
        <v>85</v>
      </c>
      <c r="E1011" s="6" t="s">
        <v>50</v>
      </c>
      <c r="F1011" s="7" t="s">
        <v>3218</v>
      </c>
      <c r="G1011" s="6" t="s">
        <v>3219</v>
      </c>
      <c r="H1011" s="6" t="s">
        <v>8</v>
      </c>
      <c r="I1011" s="8"/>
      <c r="J1011" s="8"/>
      <c r="K1011" s="8"/>
      <c r="L1011" s="9"/>
    </row>
    <row r="1012" customFormat="false" ht="15" hidden="false" customHeight="false" outlineLevel="0" collapsed="false">
      <c r="A1012" s="6" t="s">
        <v>3220</v>
      </c>
      <c r="B1012" s="6" t="s">
        <v>3217</v>
      </c>
      <c r="C1012" s="6" t="s">
        <v>20</v>
      </c>
      <c r="D1012" s="6" t="s">
        <v>85</v>
      </c>
      <c r="E1012" s="6" t="s">
        <v>50</v>
      </c>
      <c r="F1012" s="7" t="s">
        <v>3221</v>
      </c>
      <c r="G1012" s="6" t="s">
        <v>2080</v>
      </c>
      <c r="H1012" s="6" t="s">
        <v>8</v>
      </c>
      <c r="I1012" s="8"/>
      <c r="J1012" s="8"/>
      <c r="K1012" s="8"/>
      <c r="L1012" s="9"/>
    </row>
    <row r="1013" customFormat="false" ht="15" hidden="false" customHeight="false" outlineLevel="0" collapsed="false">
      <c r="A1013" s="6" t="s">
        <v>3222</v>
      </c>
      <c r="B1013" s="6" t="s">
        <v>3217</v>
      </c>
      <c r="C1013" s="6" t="s">
        <v>20</v>
      </c>
      <c r="D1013" s="6" t="s">
        <v>85</v>
      </c>
      <c r="E1013" s="6" t="s">
        <v>50</v>
      </c>
      <c r="F1013" s="7" t="s">
        <v>3223</v>
      </c>
      <c r="G1013" s="6" t="s">
        <v>3224</v>
      </c>
      <c r="H1013" s="6" t="s">
        <v>9</v>
      </c>
      <c r="I1013" s="8"/>
      <c r="J1013" s="8"/>
      <c r="K1013" s="8"/>
      <c r="L1013" s="9"/>
    </row>
    <row r="1014" customFormat="false" ht="23.85" hidden="false" customHeight="false" outlineLevel="0" collapsed="false">
      <c r="A1014" s="6" t="s">
        <v>3225</v>
      </c>
      <c r="B1014" s="6" t="s">
        <v>3226</v>
      </c>
      <c r="C1014" s="6" t="s">
        <v>20</v>
      </c>
      <c r="D1014" s="6" t="s">
        <v>85</v>
      </c>
      <c r="E1014" s="6" t="s">
        <v>264</v>
      </c>
      <c r="F1014" s="7" t="s">
        <v>3227</v>
      </c>
      <c r="G1014" s="6" t="s">
        <v>296</v>
      </c>
      <c r="H1014" s="6" t="s">
        <v>6</v>
      </c>
      <c r="I1014" s="8"/>
      <c r="J1014" s="8"/>
      <c r="K1014" s="8"/>
      <c r="L1014" s="9"/>
    </row>
    <row r="1015" customFormat="false" ht="23.85" hidden="false" customHeight="false" outlineLevel="0" collapsed="false">
      <c r="A1015" s="6" t="s">
        <v>3228</v>
      </c>
      <c r="B1015" s="6" t="s">
        <v>3226</v>
      </c>
      <c r="C1015" s="6" t="s">
        <v>20</v>
      </c>
      <c r="D1015" s="6" t="s">
        <v>85</v>
      </c>
      <c r="E1015" s="6" t="s">
        <v>264</v>
      </c>
      <c r="F1015" s="7" t="s">
        <v>3229</v>
      </c>
      <c r="G1015" s="6" t="s">
        <v>1440</v>
      </c>
      <c r="H1015" s="6" t="s">
        <v>6</v>
      </c>
      <c r="I1015" s="8"/>
      <c r="J1015" s="8"/>
      <c r="K1015" s="8"/>
      <c r="L1015" s="9"/>
    </row>
    <row r="1016" customFormat="false" ht="15" hidden="false" customHeight="false" outlineLevel="0" collapsed="false">
      <c r="A1016" s="6" t="s">
        <v>3230</v>
      </c>
      <c r="B1016" s="6" t="s">
        <v>3226</v>
      </c>
      <c r="C1016" s="6" t="s">
        <v>20</v>
      </c>
      <c r="D1016" s="6" t="s">
        <v>85</v>
      </c>
      <c r="E1016" s="6" t="s">
        <v>264</v>
      </c>
      <c r="F1016" s="7" t="s">
        <v>3231</v>
      </c>
      <c r="G1016" s="6" t="s">
        <v>336</v>
      </c>
      <c r="H1016" s="6" t="s">
        <v>8</v>
      </c>
      <c r="I1016" s="8"/>
      <c r="J1016" s="8"/>
      <c r="K1016" s="8"/>
      <c r="L1016" s="9"/>
    </row>
    <row r="1017" customFormat="false" ht="23.85" hidden="false" customHeight="false" outlineLevel="0" collapsed="false">
      <c r="A1017" s="6" t="s">
        <v>3232</v>
      </c>
      <c r="B1017" s="6" t="s">
        <v>3226</v>
      </c>
      <c r="C1017" s="6" t="s">
        <v>20</v>
      </c>
      <c r="D1017" s="6" t="s">
        <v>85</v>
      </c>
      <c r="E1017" s="6" t="s">
        <v>264</v>
      </c>
      <c r="F1017" s="7" t="s">
        <v>3233</v>
      </c>
      <c r="G1017" s="6" t="s">
        <v>924</v>
      </c>
      <c r="H1017" s="6" t="s">
        <v>8</v>
      </c>
      <c r="I1017" s="8"/>
      <c r="J1017" s="8"/>
      <c r="K1017" s="8"/>
      <c r="L1017" s="9"/>
    </row>
    <row r="1018" customFormat="false" ht="15" hidden="false" customHeight="false" outlineLevel="0" collapsed="false">
      <c r="A1018" s="6" t="s">
        <v>3234</v>
      </c>
      <c r="B1018" s="6" t="s">
        <v>3226</v>
      </c>
      <c r="C1018" s="6" t="s">
        <v>20</v>
      </c>
      <c r="D1018" s="6" t="s">
        <v>85</v>
      </c>
      <c r="E1018" s="6" t="s">
        <v>264</v>
      </c>
      <c r="F1018" s="7" t="s">
        <v>3235</v>
      </c>
      <c r="G1018" s="6" t="s">
        <v>1545</v>
      </c>
      <c r="H1018" s="6" t="s">
        <v>9</v>
      </c>
      <c r="I1018" s="8"/>
      <c r="J1018" s="8"/>
      <c r="K1018" s="8"/>
      <c r="L1018" s="9"/>
    </row>
    <row r="1019" customFormat="false" ht="23.85" hidden="false" customHeight="false" outlineLevel="0" collapsed="false">
      <c r="A1019" s="6" t="s">
        <v>3236</v>
      </c>
      <c r="B1019" s="6" t="s">
        <v>3237</v>
      </c>
      <c r="C1019" s="6" t="s">
        <v>20</v>
      </c>
      <c r="D1019" s="6" t="s">
        <v>85</v>
      </c>
      <c r="E1019" s="6" t="s">
        <v>264</v>
      </c>
      <c r="F1019" s="7" t="s">
        <v>3238</v>
      </c>
      <c r="G1019" s="6" t="s">
        <v>3239</v>
      </c>
      <c r="H1019" s="6" t="s">
        <v>8</v>
      </c>
      <c r="I1019" s="8"/>
      <c r="J1019" s="8"/>
      <c r="K1019" s="8"/>
      <c r="L1019" s="9"/>
    </row>
    <row r="1020" customFormat="false" ht="15" hidden="false" customHeight="false" outlineLevel="0" collapsed="false">
      <c r="A1020" s="6" t="s">
        <v>3240</v>
      </c>
      <c r="B1020" s="6" t="s">
        <v>3237</v>
      </c>
      <c r="C1020" s="6" t="s">
        <v>20</v>
      </c>
      <c r="D1020" s="6" t="s">
        <v>85</v>
      </c>
      <c r="E1020" s="6" t="s">
        <v>264</v>
      </c>
      <c r="F1020" s="7" t="s">
        <v>3241</v>
      </c>
      <c r="G1020" s="6" t="s">
        <v>2833</v>
      </c>
      <c r="H1020" s="6" t="s">
        <v>8</v>
      </c>
      <c r="I1020" s="8"/>
      <c r="J1020" s="8"/>
      <c r="K1020" s="8"/>
      <c r="L1020" s="9"/>
    </row>
    <row r="1021" customFormat="false" ht="23.85" hidden="false" customHeight="false" outlineLevel="0" collapsed="false">
      <c r="A1021" s="6" t="s">
        <v>3242</v>
      </c>
      <c r="B1021" s="6" t="s">
        <v>3237</v>
      </c>
      <c r="C1021" s="6" t="s">
        <v>20</v>
      </c>
      <c r="D1021" s="6" t="s">
        <v>85</v>
      </c>
      <c r="E1021" s="6" t="s">
        <v>264</v>
      </c>
      <c r="F1021" s="7" t="s">
        <v>3243</v>
      </c>
      <c r="G1021" s="6" t="s">
        <v>3244</v>
      </c>
      <c r="H1021" s="6" t="s">
        <v>8</v>
      </c>
      <c r="I1021" s="8"/>
      <c r="J1021" s="8"/>
      <c r="K1021" s="8"/>
      <c r="L1021" s="9"/>
    </row>
    <row r="1022" customFormat="false" ht="35.05" hidden="false" customHeight="false" outlineLevel="0" collapsed="false">
      <c r="A1022" s="6" t="s">
        <v>3245</v>
      </c>
      <c r="B1022" s="6" t="s">
        <v>3237</v>
      </c>
      <c r="C1022" s="6" t="s">
        <v>20</v>
      </c>
      <c r="D1022" s="6" t="s">
        <v>85</v>
      </c>
      <c r="E1022" s="6" t="s">
        <v>264</v>
      </c>
      <c r="F1022" s="7" t="s">
        <v>3246</v>
      </c>
      <c r="G1022" s="6" t="s">
        <v>3247</v>
      </c>
      <c r="H1022" s="6" t="s">
        <v>8</v>
      </c>
      <c r="I1022" s="8"/>
      <c r="J1022" s="8"/>
      <c r="K1022" s="8"/>
      <c r="L1022" s="9"/>
    </row>
    <row r="1023" customFormat="false" ht="35.05" hidden="false" customHeight="false" outlineLevel="0" collapsed="false">
      <c r="A1023" s="6" t="s">
        <v>3248</v>
      </c>
      <c r="B1023" s="6" t="s">
        <v>3237</v>
      </c>
      <c r="C1023" s="6" t="s">
        <v>20</v>
      </c>
      <c r="D1023" s="6" t="s">
        <v>85</v>
      </c>
      <c r="E1023" s="6" t="s">
        <v>264</v>
      </c>
      <c r="F1023" s="7" t="s">
        <v>3249</v>
      </c>
      <c r="G1023" s="6" t="s">
        <v>3250</v>
      </c>
      <c r="H1023" s="6" t="s">
        <v>8</v>
      </c>
      <c r="I1023" s="8"/>
      <c r="J1023" s="8"/>
      <c r="K1023" s="8"/>
      <c r="L1023" s="9"/>
    </row>
    <row r="1024" customFormat="false" ht="15" hidden="false" customHeight="false" outlineLevel="0" collapsed="false">
      <c r="A1024" s="6" t="s">
        <v>3251</v>
      </c>
      <c r="B1024" s="6" t="s">
        <v>3252</v>
      </c>
      <c r="C1024" s="6" t="s">
        <v>20</v>
      </c>
      <c r="D1024" s="6" t="s">
        <v>230</v>
      </c>
      <c r="E1024" s="6" t="s">
        <v>264</v>
      </c>
      <c r="F1024" s="7" t="s">
        <v>3253</v>
      </c>
      <c r="G1024" s="6" t="s">
        <v>698</v>
      </c>
      <c r="H1024" s="6" t="s">
        <v>8</v>
      </c>
      <c r="I1024" s="8"/>
      <c r="J1024" s="8"/>
      <c r="K1024" s="8"/>
      <c r="L1024" s="9"/>
    </row>
    <row r="1025" customFormat="false" ht="15" hidden="false" customHeight="false" outlineLevel="0" collapsed="false">
      <c r="A1025" s="6" t="s">
        <v>3254</v>
      </c>
      <c r="B1025" s="6" t="s">
        <v>3252</v>
      </c>
      <c r="C1025" s="6" t="s">
        <v>20</v>
      </c>
      <c r="D1025" s="6" t="s">
        <v>230</v>
      </c>
      <c r="E1025" s="6" t="s">
        <v>264</v>
      </c>
      <c r="F1025" s="7" t="s">
        <v>3255</v>
      </c>
      <c r="G1025" s="6" t="s">
        <v>3256</v>
      </c>
      <c r="H1025" s="6" t="s">
        <v>8</v>
      </c>
      <c r="I1025" s="8"/>
      <c r="J1025" s="8"/>
      <c r="K1025" s="8"/>
      <c r="L1025" s="9"/>
    </row>
    <row r="1026" customFormat="false" ht="15" hidden="false" customHeight="false" outlineLevel="0" collapsed="false">
      <c r="A1026" s="6" t="s">
        <v>3257</v>
      </c>
      <c r="B1026" s="6" t="s">
        <v>3252</v>
      </c>
      <c r="C1026" s="6" t="s">
        <v>20</v>
      </c>
      <c r="D1026" s="6" t="s">
        <v>230</v>
      </c>
      <c r="E1026" s="6" t="s">
        <v>264</v>
      </c>
      <c r="F1026" s="7" t="s">
        <v>3258</v>
      </c>
      <c r="G1026" s="6" t="s">
        <v>3259</v>
      </c>
      <c r="H1026" s="6" t="s">
        <v>8</v>
      </c>
      <c r="I1026" s="8"/>
      <c r="J1026" s="8"/>
      <c r="K1026" s="8"/>
      <c r="L1026" s="9"/>
    </row>
    <row r="1027" customFormat="false" ht="15" hidden="false" customHeight="false" outlineLevel="0" collapsed="false">
      <c r="A1027" s="6" t="s">
        <v>3260</v>
      </c>
      <c r="B1027" s="6" t="s">
        <v>3252</v>
      </c>
      <c r="C1027" s="6" t="s">
        <v>20</v>
      </c>
      <c r="D1027" s="6" t="s">
        <v>230</v>
      </c>
      <c r="E1027" s="6" t="s">
        <v>264</v>
      </c>
      <c r="F1027" s="7" t="s">
        <v>3261</v>
      </c>
      <c r="G1027" s="6" t="s">
        <v>388</v>
      </c>
      <c r="H1027" s="6" t="s">
        <v>6</v>
      </c>
      <c r="I1027" s="8"/>
      <c r="J1027" s="8"/>
      <c r="K1027" s="8"/>
      <c r="L1027" s="9"/>
    </row>
    <row r="1028" customFormat="false" ht="15" hidden="false" customHeight="false" outlineLevel="0" collapsed="false">
      <c r="A1028" s="6" t="s">
        <v>3262</v>
      </c>
      <c r="B1028" s="6" t="s">
        <v>3252</v>
      </c>
      <c r="C1028" s="6" t="s">
        <v>20</v>
      </c>
      <c r="D1028" s="6" t="s">
        <v>230</v>
      </c>
      <c r="E1028" s="6" t="s">
        <v>264</v>
      </c>
      <c r="F1028" s="7" t="s">
        <v>3263</v>
      </c>
      <c r="G1028" s="6" t="s">
        <v>3264</v>
      </c>
      <c r="H1028" s="6" t="s">
        <v>8</v>
      </c>
      <c r="I1028" s="8"/>
      <c r="J1028" s="8"/>
      <c r="K1028" s="8"/>
      <c r="L1028" s="9"/>
    </row>
    <row r="1029" customFormat="false" ht="15" hidden="false" customHeight="false" outlineLevel="0" collapsed="false">
      <c r="A1029" s="6" t="s">
        <v>3265</v>
      </c>
      <c r="B1029" s="6" t="s">
        <v>3266</v>
      </c>
      <c r="C1029" s="6" t="s">
        <v>20</v>
      </c>
      <c r="D1029" s="6" t="s">
        <v>331</v>
      </c>
      <c r="E1029" s="6" t="s">
        <v>264</v>
      </c>
      <c r="F1029" s="7" t="s">
        <v>3267</v>
      </c>
      <c r="G1029" s="6" t="s">
        <v>98</v>
      </c>
      <c r="H1029" s="6" t="s">
        <v>8</v>
      </c>
      <c r="I1029" s="8"/>
      <c r="J1029" s="8"/>
      <c r="K1029" s="8"/>
      <c r="L1029" s="9"/>
    </row>
    <row r="1030" customFormat="false" ht="15" hidden="false" customHeight="false" outlineLevel="0" collapsed="false">
      <c r="A1030" s="6" t="s">
        <v>3268</v>
      </c>
      <c r="B1030" s="6" t="s">
        <v>3266</v>
      </c>
      <c r="C1030" s="6" t="s">
        <v>20</v>
      </c>
      <c r="D1030" s="6" t="s">
        <v>331</v>
      </c>
      <c r="E1030" s="6" t="s">
        <v>264</v>
      </c>
      <c r="F1030" s="7" t="s">
        <v>3269</v>
      </c>
      <c r="G1030" s="6" t="s">
        <v>2469</v>
      </c>
      <c r="H1030" s="6" t="s">
        <v>8</v>
      </c>
      <c r="I1030" s="8"/>
      <c r="J1030" s="8"/>
      <c r="K1030" s="8"/>
      <c r="L1030" s="9"/>
    </row>
    <row r="1031" customFormat="false" ht="15" hidden="false" customHeight="false" outlineLevel="0" collapsed="false">
      <c r="A1031" s="6" t="s">
        <v>3270</v>
      </c>
      <c r="B1031" s="6" t="s">
        <v>3266</v>
      </c>
      <c r="C1031" s="6" t="s">
        <v>20</v>
      </c>
      <c r="D1031" s="6" t="s">
        <v>331</v>
      </c>
      <c r="E1031" s="6" t="s">
        <v>264</v>
      </c>
      <c r="F1031" s="7" t="s">
        <v>3271</v>
      </c>
      <c r="G1031" s="6" t="s">
        <v>3272</v>
      </c>
      <c r="H1031" s="6" t="s">
        <v>8</v>
      </c>
      <c r="I1031" s="8"/>
      <c r="J1031" s="8"/>
      <c r="K1031" s="8"/>
      <c r="L1031" s="9"/>
    </row>
    <row r="1032" customFormat="false" ht="23.85" hidden="false" customHeight="false" outlineLevel="0" collapsed="false">
      <c r="A1032" s="6" t="s">
        <v>3273</v>
      </c>
      <c r="B1032" s="6" t="s">
        <v>3266</v>
      </c>
      <c r="C1032" s="6" t="s">
        <v>20</v>
      </c>
      <c r="D1032" s="6" t="s">
        <v>331</v>
      </c>
      <c r="E1032" s="6" t="s">
        <v>264</v>
      </c>
      <c r="F1032" s="7" t="s">
        <v>3274</v>
      </c>
      <c r="G1032" s="6" t="s">
        <v>3275</v>
      </c>
      <c r="H1032" s="6" t="s">
        <v>8</v>
      </c>
      <c r="I1032" s="8"/>
      <c r="J1032" s="8"/>
      <c r="K1032" s="8"/>
      <c r="L1032" s="9"/>
    </row>
    <row r="1033" customFormat="false" ht="15" hidden="false" customHeight="false" outlineLevel="0" collapsed="false">
      <c r="A1033" s="6" t="s">
        <v>3276</v>
      </c>
      <c r="B1033" s="6" t="s">
        <v>3266</v>
      </c>
      <c r="C1033" s="6" t="s">
        <v>20</v>
      </c>
      <c r="D1033" s="6" t="s">
        <v>331</v>
      </c>
      <c r="E1033" s="6" t="s">
        <v>264</v>
      </c>
      <c r="F1033" s="7" t="s">
        <v>3277</v>
      </c>
      <c r="G1033" s="6" t="s">
        <v>3278</v>
      </c>
      <c r="H1033" s="6" t="s">
        <v>6</v>
      </c>
      <c r="I1033" s="8"/>
      <c r="J1033" s="8"/>
      <c r="K1033" s="8"/>
      <c r="L1033" s="9"/>
    </row>
    <row r="1034" customFormat="false" ht="15" hidden="false" customHeight="false" outlineLevel="0" collapsed="false">
      <c r="A1034" s="6" t="s">
        <v>3279</v>
      </c>
      <c r="B1034" s="6" t="s">
        <v>3266</v>
      </c>
      <c r="C1034" s="6" t="s">
        <v>20</v>
      </c>
      <c r="D1034" s="6" t="s">
        <v>331</v>
      </c>
      <c r="E1034" s="6" t="s">
        <v>264</v>
      </c>
      <c r="F1034" s="7" t="s">
        <v>3280</v>
      </c>
      <c r="G1034" s="6" t="s">
        <v>3281</v>
      </c>
      <c r="H1034" s="6" t="s">
        <v>8</v>
      </c>
      <c r="I1034" s="8"/>
      <c r="J1034" s="8"/>
      <c r="K1034" s="8"/>
      <c r="L1034" s="9"/>
    </row>
    <row r="1035" customFormat="false" ht="15" hidden="false" customHeight="false" outlineLevel="0" collapsed="false">
      <c r="A1035" s="6" t="s">
        <v>3282</v>
      </c>
      <c r="B1035" s="6" t="s">
        <v>3266</v>
      </c>
      <c r="C1035" s="6" t="s">
        <v>20</v>
      </c>
      <c r="D1035" s="6" t="s">
        <v>331</v>
      </c>
      <c r="E1035" s="6" t="s">
        <v>264</v>
      </c>
      <c r="F1035" s="7" t="s">
        <v>3283</v>
      </c>
      <c r="G1035" s="6" t="s">
        <v>3250</v>
      </c>
      <c r="H1035" s="6" t="s">
        <v>6</v>
      </c>
      <c r="I1035" s="8"/>
      <c r="J1035" s="8"/>
      <c r="K1035" s="8"/>
      <c r="L1035" s="9"/>
    </row>
    <row r="1036" customFormat="false" ht="23.85" hidden="false" customHeight="false" outlineLevel="0" collapsed="false">
      <c r="A1036" s="6" t="s">
        <v>3284</v>
      </c>
      <c r="B1036" s="6" t="s">
        <v>3285</v>
      </c>
      <c r="C1036" s="6" t="s">
        <v>20</v>
      </c>
      <c r="D1036" s="6" t="s">
        <v>79</v>
      </c>
      <c r="E1036" s="6"/>
      <c r="F1036" s="7" t="s">
        <v>3286</v>
      </c>
      <c r="G1036" s="6" t="s">
        <v>2996</v>
      </c>
      <c r="H1036" s="6" t="s">
        <v>6</v>
      </c>
      <c r="I1036" s="8"/>
      <c r="J1036" s="8"/>
      <c r="K1036" s="8"/>
      <c r="L1036" s="9"/>
    </row>
    <row r="1037" customFormat="false" ht="15" hidden="false" customHeight="false" outlineLevel="0" collapsed="false">
      <c r="A1037" s="6" t="s">
        <v>3287</v>
      </c>
      <c r="B1037" s="6" t="s">
        <v>3285</v>
      </c>
      <c r="C1037" s="6" t="s">
        <v>20</v>
      </c>
      <c r="D1037" s="6" t="s">
        <v>79</v>
      </c>
      <c r="E1037" s="6"/>
      <c r="F1037" s="7" t="s">
        <v>3288</v>
      </c>
      <c r="G1037" s="6" t="s">
        <v>3289</v>
      </c>
      <c r="H1037" s="6" t="s">
        <v>7</v>
      </c>
      <c r="I1037" s="8"/>
      <c r="J1037" s="8"/>
      <c r="K1037" s="8"/>
      <c r="L1037" s="9"/>
    </row>
    <row r="1038" customFormat="false" ht="23.85" hidden="false" customHeight="false" outlineLevel="0" collapsed="false">
      <c r="A1038" s="6" t="s">
        <v>3290</v>
      </c>
      <c r="B1038" s="6" t="s">
        <v>3285</v>
      </c>
      <c r="C1038" s="6" t="s">
        <v>20</v>
      </c>
      <c r="D1038" s="6" t="s">
        <v>79</v>
      </c>
      <c r="E1038" s="6"/>
      <c r="F1038" s="7" t="s">
        <v>3291</v>
      </c>
      <c r="G1038" s="6" t="s">
        <v>3292</v>
      </c>
      <c r="H1038" s="6" t="s">
        <v>8</v>
      </c>
      <c r="I1038" s="8"/>
      <c r="J1038" s="8"/>
      <c r="K1038" s="8"/>
      <c r="L1038" s="9"/>
    </row>
    <row r="1039" customFormat="false" ht="23.85" hidden="false" customHeight="false" outlineLevel="0" collapsed="false">
      <c r="A1039" s="6" t="s">
        <v>3293</v>
      </c>
      <c r="B1039" s="6" t="s">
        <v>3294</v>
      </c>
      <c r="C1039" s="6" t="s">
        <v>20</v>
      </c>
      <c r="D1039" s="6" t="s">
        <v>44</v>
      </c>
      <c r="E1039" s="6"/>
      <c r="F1039" s="7" t="s">
        <v>3295</v>
      </c>
      <c r="G1039" s="6" t="s">
        <v>3296</v>
      </c>
      <c r="H1039" s="6" t="s">
        <v>7</v>
      </c>
      <c r="I1039" s="8"/>
      <c r="J1039" s="8"/>
      <c r="K1039" s="8"/>
      <c r="L1039" s="9"/>
    </row>
    <row r="1040" customFormat="false" ht="23.85" hidden="false" customHeight="false" outlineLevel="0" collapsed="false">
      <c r="A1040" s="6" t="s">
        <v>3297</v>
      </c>
      <c r="B1040" s="6" t="s">
        <v>3298</v>
      </c>
      <c r="C1040" s="6" t="s">
        <v>20</v>
      </c>
      <c r="D1040" s="6" t="s">
        <v>44</v>
      </c>
      <c r="E1040" s="6"/>
      <c r="F1040" s="7" t="s">
        <v>3299</v>
      </c>
      <c r="G1040" s="6" t="s">
        <v>3300</v>
      </c>
      <c r="H1040" s="6" t="s">
        <v>8</v>
      </c>
      <c r="I1040" s="8"/>
      <c r="J1040" s="8"/>
      <c r="K1040" s="8"/>
      <c r="L1040" s="9"/>
    </row>
    <row r="1041" customFormat="false" ht="15" hidden="false" customHeight="false" outlineLevel="0" collapsed="false">
      <c r="A1041" s="6" t="s">
        <v>3301</v>
      </c>
      <c r="B1041" s="6" t="s">
        <v>3302</v>
      </c>
      <c r="C1041" s="6" t="s">
        <v>20</v>
      </c>
      <c r="D1041" s="6" t="s">
        <v>331</v>
      </c>
      <c r="E1041" s="6" t="s">
        <v>27</v>
      </c>
      <c r="F1041" s="7" t="s">
        <v>3303</v>
      </c>
      <c r="G1041" s="6" t="s">
        <v>2993</v>
      </c>
      <c r="H1041" s="6" t="s">
        <v>8</v>
      </c>
      <c r="I1041" s="8"/>
      <c r="J1041" s="8"/>
      <c r="K1041" s="8"/>
      <c r="L1041" s="9"/>
    </row>
    <row r="1042" customFormat="false" ht="15" hidden="false" customHeight="false" outlineLevel="0" collapsed="false">
      <c r="A1042" s="6" t="s">
        <v>3304</v>
      </c>
      <c r="B1042" s="6" t="s">
        <v>3302</v>
      </c>
      <c r="C1042" s="6" t="s">
        <v>20</v>
      </c>
      <c r="D1042" s="6" t="s">
        <v>331</v>
      </c>
      <c r="E1042" s="6" t="s">
        <v>27</v>
      </c>
      <c r="F1042" s="7" t="s">
        <v>3305</v>
      </c>
      <c r="G1042" s="6" t="s">
        <v>3306</v>
      </c>
      <c r="H1042" s="6" t="s">
        <v>6</v>
      </c>
      <c r="I1042" s="8"/>
      <c r="J1042" s="8"/>
      <c r="K1042" s="8"/>
      <c r="L1042" s="9"/>
    </row>
    <row r="1043" customFormat="false" ht="23.85" hidden="false" customHeight="false" outlineLevel="0" collapsed="false">
      <c r="A1043" s="6" t="s">
        <v>3307</v>
      </c>
      <c r="B1043" s="6" t="s">
        <v>3302</v>
      </c>
      <c r="C1043" s="6" t="s">
        <v>20</v>
      </c>
      <c r="D1043" s="6" t="s">
        <v>331</v>
      </c>
      <c r="E1043" s="6" t="s">
        <v>27</v>
      </c>
      <c r="F1043" s="7" t="s">
        <v>3308</v>
      </c>
      <c r="G1043" s="6" t="s">
        <v>2952</v>
      </c>
      <c r="H1043" s="6" t="s">
        <v>8</v>
      </c>
      <c r="I1043" s="8"/>
      <c r="J1043" s="8"/>
      <c r="K1043" s="8"/>
      <c r="L1043" s="9"/>
    </row>
    <row r="1044" customFormat="false" ht="15" hidden="false" customHeight="false" outlineLevel="0" collapsed="false">
      <c r="A1044" s="6" t="s">
        <v>3309</v>
      </c>
      <c r="B1044" s="6" t="s">
        <v>3302</v>
      </c>
      <c r="C1044" s="6" t="s">
        <v>20</v>
      </c>
      <c r="D1044" s="6" t="s">
        <v>331</v>
      </c>
      <c r="E1044" s="6" t="s">
        <v>27</v>
      </c>
      <c r="F1044" s="7" t="s">
        <v>3310</v>
      </c>
      <c r="G1044" s="6" t="s">
        <v>3311</v>
      </c>
      <c r="H1044" s="6" t="s">
        <v>8</v>
      </c>
      <c r="I1044" s="8"/>
      <c r="J1044" s="8"/>
      <c r="K1044" s="8"/>
      <c r="L1044" s="9"/>
    </row>
    <row r="1045" customFormat="false" ht="15" hidden="false" customHeight="false" outlineLevel="0" collapsed="false">
      <c r="A1045" s="6" t="s">
        <v>3312</v>
      </c>
      <c r="B1045" s="6" t="s">
        <v>3302</v>
      </c>
      <c r="C1045" s="6" t="s">
        <v>20</v>
      </c>
      <c r="D1045" s="6" t="s">
        <v>331</v>
      </c>
      <c r="E1045" s="6" t="s">
        <v>27</v>
      </c>
      <c r="F1045" s="7" t="s">
        <v>3313</v>
      </c>
      <c r="G1045" s="6" t="s">
        <v>3314</v>
      </c>
      <c r="H1045" s="6" t="s">
        <v>6</v>
      </c>
      <c r="I1045" s="8"/>
      <c r="J1045" s="8"/>
      <c r="K1045" s="8"/>
      <c r="L1045" s="9"/>
    </row>
    <row r="1046" customFormat="false" ht="23.85" hidden="false" customHeight="false" outlineLevel="0" collapsed="false">
      <c r="A1046" s="6" t="s">
        <v>3315</v>
      </c>
      <c r="B1046" s="6" t="s">
        <v>3302</v>
      </c>
      <c r="C1046" s="6" t="s">
        <v>20</v>
      </c>
      <c r="D1046" s="6" t="s">
        <v>331</v>
      </c>
      <c r="E1046" s="6" t="s">
        <v>27</v>
      </c>
      <c r="F1046" s="7" t="s">
        <v>3316</v>
      </c>
      <c r="G1046" s="6" t="s">
        <v>3317</v>
      </c>
      <c r="H1046" s="6" t="s">
        <v>8</v>
      </c>
      <c r="I1046" s="8"/>
      <c r="J1046" s="8"/>
      <c r="K1046" s="8"/>
      <c r="L1046" s="9"/>
    </row>
    <row r="1047" customFormat="false" ht="23.85" hidden="false" customHeight="false" outlineLevel="0" collapsed="false">
      <c r="A1047" s="6" t="s">
        <v>3318</v>
      </c>
      <c r="B1047" s="6" t="s">
        <v>3302</v>
      </c>
      <c r="C1047" s="6" t="s">
        <v>20</v>
      </c>
      <c r="D1047" s="6" t="s">
        <v>331</v>
      </c>
      <c r="E1047" s="6" t="s">
        <v>27</v>
      </c>
      <c r="F1047" s="7" t="s">
        <v>3319</v>
      </c>
      <c r="G1047" s="6" t="s">
        <v>3320</v>
      </c>
      <c r="H1047" s="6" t="s">
        <v>8</v>
      </c>
      <c r="I1047" s="8"/>
      <c r="J1047" s="8"/>
      <c r="K1047" s="8"/>
      <c r="L1047" s="9"/>
    </row>
    <row r="1048" customFormat="false" ht="15" hidden="false" customHeight="false" outlineLevel="0" collapsed="false">
      <c r="A1048" s="6" t="s">
        <v>3321</v>
      </c>
      <c r="B1048" s="6" t="s">
        <v>3322</v>
      </c>
      <c r="C1048" s="6" t="s">
        <v>20</v>
      </c>
      <c r="D1048" s="6" t="s">
        <v>44</v>
      </c>
      <c r="E1048" s="6" t="s">
        <v>27</v>
      </c>
      <c r="F1048" s="7" t="s">
        <v>3323</v>
      </c>
      <c r="G1048" s="6" t="s">
        <v>2993</v>
      </c>
      <c r="H1048" s="6" t="s">
        <v>8</v>
      </c>
      <c r="I1048" s="8"/>
      <c r="J1048" s="8"/>
      <c r="K1048" s="8"/>
      <c r="L1048" s="9"/>
    </row>
    <row r="1049" customFormat="false" ht="23.85" hidden="false" customHeight="false" outlineLevel="0" collapsed="false">
      <c r="A1049" s="6" t="s">
        <v>3324</v>
      </c>
      <c r="B1049" s="6" t="s">
        <v>3322</v>
      </c>
      <c r="C1049" s="6" t="s">
        <v>20</v>
      </c>
      <c r="D1049" s="6" t="s">
        <v>44</v>
      </c>
      <c r="E1049" s="6" t="s">
        <v>27</v>
      </c>
      <c r="F1049" s="7" t="s">
        <v>3325</v>
      </c>
      <c r="G1049" s="6" t="s">
        <v>123</v>
      </c>
      <c r="H1049" s="6" t="s">
        <v>8</v>
      </c>
      <c r="I1049" s="8"/>
      <c r="J1049" s="8"/>
      <c r="K1049" s="8"/>
      <c r="L1049" s="9"/>
    </row>
    <row r="1050" customFormat="false" ht="23.85" hidden="false" customHeight="false" outlineLevel="0" collapsed="false">
      <c r="A1050" s="6" t="s">
        <v>3326</v>
      </c>
      <c r="B1050" s="6" t="s">
        <v>3327</v>
      </c>
      <c r="C1050" s="6" t="s">
        <v>20</v>
      </c>
      <c r="D1050" s="6" t="s">
        <v>49</v>
      </c>
      <c r="E1050" s="6"/>
      <c r="F1050" s="7" t="s">
        <v>3328</v>
      </c>
      <c r="G1050" s="6" t="s">
        <v>358</v>
      </c>
      <c r="H1050" s="6" t="s">
        <v>7</v>
      </c>
      <c r="I1050" s="8"/>
      <c r="J1050" s="8"/>
      <c r="K1050" s="8"/>
      <c r="L1050" s="9"/>
    </row>
    <row r="1051" customFormat="false" ht="15" hidden="false" customHeight="false" outlineLevel="0" collapsed="false">
      <c r="A1051" s="6" t="s">
        <v>3329</v>
      </c>
      <c r="B1051" s="6" t="s">
        <v>3330</v>
      </c>
      <c r="C1051" s="6" t="s">
        <v>21</v>
      </c>
      <c r="D1051" s="6" t="s">
        <v>44</v>
      </c>
      <c r="E1051" s="6"/>
      <c r="F1051" s="7" t="s">
        <v>3331</v>
      </c>
      <c r="G1051" s="6" t="s">
        <v>3332</v>
      </c>
      <c r="H1051" s="6" t="s">
        <v>8</v>
      </c>
      <c r="I1051" s="8"/>
      <c r="J1051" s="8"/>
      <c r="K1051" s="8"/>
      <c r="L1051" s="9"/>
    </row>
    <row r="1052" customFormat="false" ht="15" hidden="false" customHeight="false" outlineLevel="0" collapsed="false">
      <c r="A1052" s="6" t="s">
        <v>3333</v>
      </c>
      <c r="B1052" s="6" t="s">
        <v>3330</v>
      </c>
      <c r="C1052" s="6" t="s">
        <v>21</v>
      </c>
      <c r="D1052" s="6" t="s">
        <v>44</v>
      </c>
      <c r="E1052" s="6"/>
      <c r="F1052" s="7" t="s">
        <v>3334</v>
      </c>
      <c r="G1052" s="6" t="s">
        <v>3335</v>
      </c>
      <c r="H1052" s="6" t="s">
        <v>8</v>
      </c>
      <c r="I1052" s="8"/>
      <c r="J1052" s="8"/>
      <c r="K1052" s="8"/>
      <c r="L1052" s="9"/>
    </row>
    <row r="1053" customFormat="false" ht="15" hidden="false" customHeight="false" outlineLevel="0" collapsed="false">
      <c r="A1053" s="6" t="s">
        <v>3336</v>
      </c>
      <c r="B1053" s="6" t="s">
        <v>3337</v>
      </c>
      <c r="C1053" s="6" t="s">
        <v>21</v>
      </c>
      <c r="D1053" s="6" t="s">
        <v>44</v>
      </c>
      <c r="E1053" s="6"/>
      <c r="F1053" s="7" t="s">
        <v>3338</v>
      </c>
      <c r="G1053" s="6" t="s">
        <v>3339</v>
      </c>
      <c r="H1053" s="6" t="s">
        <v>8</v>
      </c>
      <c r="I1053" s="8"/>
      <c r="J1053" s="8"/>
      <c r="K1053" s="8"/>
      <c r="L1053" s="9"/>
    </row>
    <row r="1054" customFormat="false" ht="15" hidden="false" customHeight="false" outlineLevel="0" collapsed="false">
      <c r="A1054" s="6" t="s">
        <v>3340</v>
      </c>
      <c r="B1054" s="6" t="s">
        <v>3337</v>
      </c>
      <c r="C1054" s="6" t="s">
        <v>21</v>
      </c>
      <c r="D1054" s="6" t="s">
        <v>44</v>
      </c>
      <c r="E1054" s="6"/>
      <c r="F1054" s="7" t="s">
        <v>3341</v>
      </c>
      <c r="G1054" s="6" t="s">
        <v>324</v>
      </c>
      <c r="H1054" s="6" t="s">
        <v>9</v>
      </c>
      <c r="I1054" s="8"/>
      <c r="J1054" s="8"/>
      <c r="K1054" s="8"/>
      <c r="L1054" s="9"/>
    </row>
    <row r="1055" customFormat="false" ht="23.85" hidden="false" customHeight="false" outlineLevel="0" collapsed="false">
      <c r="A1055" s="6" t="s">
        <v>3342</v>
      </c>
      <c r="B1055" s="6" t="s">
        <v>3343</v>
      </c>
      <c r="C1055" s="6" t="s">
        <v>21</v>
      </c>
      <c r="D1055" s="6" t="s">
        <v>49</v>
      </c>
      <c r="E1055" s="6"/>
      <c r="F1055" s="7" t="s">
        <v>3344</v>
      </c>
      <c r="G1055" s="6" t="s">
        <v>3345</v>
      </c>
      <c r="H1055" s="6" t="s">
        <v>8</v>
      </c>
      <c r="I1055" s="8"/>
      <c r="J1055" s="8"/>
      <c r="K1055" s="8"/>
      <c r="L1055" s="9"/>
    </row>
    <row r="1056" customFormat="false" ht="23.85" hidden="false" customHeight="false" outlineLevel="0" collapsed="false">
      <c r="A1056" s="6" t="s">
        <v>3346</v>
      </c>
      <c r="B1056" s="6" t="s">
        <v>3343</v>
      </c>
      <c r="C1056" s="6" t="s">
        <v>21</v>
      </c>
      <c r="D1056" s="6" t="s">
        <v>49</v>
      </c>
      <c r="E1056" s="6"/>
      <c r="F1056" s="7" t="s">
        <v>3347</v>
      </c>
      <c r="G1056" s="6" t="s">
        <v>3348</v>
      </c>
      <c r="H1056" s="6" t="s">
        <v>6</v>
      </c>
      <c r="I1056" s="8"/>
      <c r="J1056" s="8"/>
      <c r="K1056" s="8"/>
      <c r="L1056" s="9"/>
    </row>
    <row r="1057" customFormat="false" ht="23.85" hidden="false" customHeight="false" outlineLevel="0" collapsed="false">
      <c r="A1057" s="6" t="s">
        <v>3349</v>
      </c>
      <c r="B1057" s="6" t="s">
        <v>3343</v>
      </c>
      <c r="C1057" s="6" t="s">
        <v>21</v>
      </c>
      <c r="D1057" s="6" t="s">
        <v>49</v>
      </c>
      <c r="E1057" s="6"/>
      <c r="F1057" s="7" t="s">
        <v>3350</v>
      </c>
      <c r="G1057" s="6" t="s">
        <v>3351</v>
      </c>
      <c r="H1057" s="6" t="s">
        <v>8</v>
      </c>
      <c r="I1057" s="8"/>
      <c r="J1057" s="8"/>
      <c r="K1057" s="8"/>
      <c r="L1057" s="9"/>
    </row>
    <row r="1058" customFormat="false" ht="15" hidden="false" customHeight="false" outlineLevel="0" collapsed="false">
      <c r="A1058" s="6" t="s">
        <v>3352</v>
      </c>
      <c r="B1058" s="6" t="s">
        <v>3343</v>
      </c>
      <c r="C1058" s="6" t="s">
        <v>21</v>
      </c>
      <c r="D1058" s="6" t="s">
        <v>49</v>
      </c>
      <c r="E1058" s="6"/>
      <c r="F1058" s="7" t="s">
        <v>3353</v>
      </c>
      <c r="G1058" s="6" t="s">
        <v>3354</v>
      </c>
      <c r="H1058" s="6" t="s">
        <v>6</v>
      </c>
      <c r="I1058" s="8"/>
      <c r="J1058" s="8"/>
      <c r="K1058" s="8"/>
      <c r="L1058" s="9"/>
    </row>
    <row r="1059" customFormat="false" ht="15" hidden="false" customHeight="false" outlineLevel="0" collapsed="false">
      <c r="A1059" s="6" t="s">
        <v>3355</v>
      </c>
      <c r="B1059" s="6" t="s">
        <v>3343</v>
      </c>
      <c r="C1059" s="6" t="s">
        <v>21</v>
      </c>
      <c r="D1059" s="6" t="s">
        <v>49</v>
      </c>
      <c r="E1059" s="6"/>
      <c r="F1059" s="7" t="s">
        <v>3356</v>
      </c>
      <c r="G1059" s="6" t="s">
        <v>3357</v>
      </c>
      <c r="H1059" s="6" t="s">
        <v>6</v>
      </c>
      <c r="I1059" s="8"/>
      <c r="J1059" s="8"/>
      <c r="K1059" s="8"/>
      <c r="L1059" s="9"/>
    </row>
    <row r="1060" customFormat="false" ht="15" hidden="false" customHeight="false" outlineLevel="0" collapsed="false">
      <c r="A1060" s="6" t="s">
        <v>3358</v>
      </c>
      <c r="B1060" s="6" t="s">
        <v>3343</v>
      </c>
      <c r="C1060" s="6" t="s">
        <v>21</v>
      </c>
      <c r="D1060" s="6" t="s">
        <v>49</v>
      </c>
      <c r="E1060" s="6"/>
      <c r="F1060" s="7" t="s">
        <v>3359</v>
      </c>
      <c r="G1060" s="6" t="s">
        <v>3360</v>
      </c>
      <c r="H1060" s="6" t="s">
        <v>6</v>
      </c>
      <c r="I1060" s="8"/>
      <c r="J1060" s="8"/>
      <c r="K1060" s="8"/>
      <c r="L1060" s="9"/>
    </row>
    <row r="1061" customFormat="false" ht="15" hidden="false" customHeight="false" outlineLevel="0" collapsed="false">
      <c r="A1061" s="6" t="s">
        <v>3361</v>
      </c>
      <c r="B1061" s="6" t="s">
        <v>3343</v>
      </c>
      <c r="C1061" s="6" t="s">
        <v>21</v>
      </c>
      <c r="D1061" s="6" t="s">
        <v>49</v>
      </c>
      <c r="E1061" s="6"/>
      <c r="F1061" s="7" t="s">
        <v>3362</v>
      </c>
      <c r="G1061" s="6" t="s">
        <v>3363</v>
      </c>
      <c r="H1061" s="6" t="s">
        <v>6</v>
      </c>
      <c r="I1061" s="8"/>
      <c r="J1061" s="8"/>
      <c r="K1061" s="8"/>
      <c r="L1061" s="9"/>
    </row>
    <row r="1062" customFormat="false" ht="23.85" hidden="false" customHeight="false" outlineLevel="0" collapsed="false">
      <c r="A1062" s="6" t="s">
        <v>3364</v>
      </c>
      <c r="B1062" s="6" t="s">
        <v>3343</v>
      </c>
      <c r="C1062" s="6" t="s">
        <v>21</v>
      </c>
      <c r="D1062" s="6" t="s">
        <v>49</v>
      </c>
      <c r="E1062" s="6"/>
      <c r="F1062" s="7" t="s">
        <v>3365</v>
      </c>
      <c r="G1062" s="6" t="s">
        <v>3366</v>
      </c>
      <c r="H1062" s="6" t="s">
        <v>6</v>
      </c>
      <c r="I1062" s="8"/>
      <c r="J1062" s="8"/>
      <c r="K1062" s="8"/>
      <c r="L1062" s="9"/>
    </row>
    <row r="1063" customFormat="false" ht="15" hidden="false" customHeight="false" outlineLevel="0" collapsed="false">
      <c r="A1063" s="6" t="s">
        <v>3367</v>
      </c>
      <c r="B1063" s="6" t="s">
        <v>3343</v>
      </c>
      <c r="C1063" s="6" t="s">
        <v>21</v>
      </c>
      <c r="D1063" s="6" t="s">
        <v>49</v>
      </c>
      <c r="E1063" s="6"/>
      <c r="F1063" s="7" t="s">
        <v>3368</v>
      </c>
      <c r="G1063" s="6" t="s">
        <v>3369</v>
      </c>
      <c r="H1063" s="6" t="s">
        <v>6</v>
      </c>
      <c r="I1063" s="8"/>
      <c r="J1063" s="8"/>
      <c r="K1063" s="8"/>
      <c r="L1063" s="9"/>
    </row>
    <row r="1064" customFormat="false" ht="15" hidden="false" customHeight="false" outlineLevel="0" collapsed="false">
      <c r="A1064" s="6" t="s">
        <v>3370</v>
      </c>
      <c r="B1064" s="6" t="s">
        <v>3343</v>
      </c>
      <c r="C1064" s="6" t="s">
        <v>21</v>
      </c>
      <c r="D1064" s="6" t="s">
        <v>49</v>
      </c>
      <c r="E1064" s="6"/>
      <c r="F1064" s="7" t="s">
        <v>3371</v>
      </c>
      <c r="G1064" s="6" t="s">
        <v>3372</v>
      </c>
      <c r="H1064" s="6" t="s">
        <v>8</v>
      </c>
      <c r="I1064" s="8"/>
      <c r="J1064" s="8"/>
      <c r="K1064" s="8"/>
      <c r="L1064" s="9"/>
    </row>
    <row r="1065" customFormat="false" ht="23.85" hidden="false" customHeight="false" outlineLevel="0" collapsed="false">
      <c r="A1065" s="6" t="s">
        <v>3373</v>
      </c>
      <c r="B1065" s="6" t="s">
        <v>3374</v>
      </c>
      <c r="C1065" s="6" t="s">
        <v>21</v>
      </c>
      <c r="D1065" s="6" t="s">
        <v>49</v>
      </c>
      <c r="E1065" s="6" t="s">
        <v>26</v>
      </c>
      <c r="F1065" s="7" t="s">
        <v>3375</v>
      </c>
      <c r="G1065" s="6" t="s">
        <v>3376</v>
      </c>
      <c r="H1065" s="6" t="s">
        <v>6</v>
      </c>
      <c r="I1065" s="8"/>
      <c r="J1065" s="8"/>
      <c r="K1065" s="8"/>
      <c r="L1065" s="9"/>
    </row>
    <row r="1066" customFormat="false" ht="15" hidden="false" customHeight="false" outlineLevel="0" collapsed="false">
      <c r="A1066" s="6" t="s">
        <v>3377</v>
      </c>
      <c r="B1066" s="6" t="s">
        <v>3374</v>
      </c>
      <c r="C1066" s="6" t="s">
        <v>21</v>
      </c>
      <c r="D1066" s="6" t="s">
        <v>49</v>
      </c>
      <c r="E1066" s="6" t="s">
        <v>26</v>
      </c>
      <c r="F1066" s="7" t="s">
        <v>3378</v>
      </c>
      <c r="G1066" s="6" t="s">
        <v>3379</v>
      </c>
      <c r="H1066" s="6" t="s">
        <v>8</v>
      </c>
      <c r="I1066" s="8"/>
      <c r="J1066" s="8"/>
      <c r="K1066" s="8"/>
      <c r="L1066" s="9"/>
    </row>
    <row r="1067" customFormat="false" ht="15" hidden="false" customHeight="false" outlineLevel="0" collapsed="false">
      <c r="A1067" s="6" t="s">
        <v>3380</v>
      </c>
      <c r="B1067" s="6" t="s">
        <v>3374</v>
      </c>
      <c r="C1067" s="6" t="s">
        <v>21</v>
      </c>
      <c r="D1067" s="6" t="s">
        <v>49</v>
      </c>
      <c r="E1067" s="6" t="s">
        <v>26</v>
      </c>
      <c r="F1067" s="7" t="s">
        <v>3381</v>
      </c>
      <c r="G1067" s="6" t="s">
        <v>3382</v>
      </c>
      <c r="H1067" s="6" t="s">
        <v>6</v>
      </c>
      <c r="I1067" s="8"/>
      <c r="J1067" s="8"/>
      <c r="K1067" s="8"/>
      <c r="L1067" s="9"/>
    </row>
    <row r="1068" customFormat="false" ht="23.85" hidden="false" customHeight="false" outlineLevel="0" collapsed="false">
      <c r="A1068" s="6" t="s">
        <v>3383</v>
      </c>
      <c r="B1068" s="6" t="s">
        <v>3374</v>
      </c>
      <c r="C1068" s="6" t="s">
        <v>21</v>
      </c>
      <c r="D1068" s="6" t="s">
        <v>49</v>
      </c>
      <c r="E1068" s="6" t="s">
        <v>26</v>
      </c>
      <c r="F1068" s="7" t="s">
        <v>3384</v>
      </c>
      <c r="G1068" s="6" t="s">
        <v>3385</v>
      </c>
      <c r="H1068" s="6" t="s">
        <v>6</v>
      </c>
      <c r="I1068" s="8"/>
      <c r="J1068" s="8"/>
      <c r="K1068" s="8"/>
      <c r="L1068" s="9"/>
    </row>
    <row r="1069" customFormat="false" ht="23.85" hidden="false" customHeight="false" outlineLevel="0" collapsed="false">
      <c r="A1069" s="6" t="s">
        <v>3386</v>
      </c>
      <c r="B1069" s="6" t="s">
        <v>3374</v>
      </c>
      <c r="C1069" s="6" t="s">
        <v>21</v>
      </c>
      <c r="D1069" s="6" t="s">
        <v>49</v>
      </c>
      <c r="E1069" s="6" t="s">
        <v>26</v>
      </c>
      <c r="F1069" s="7" t="s">
        <v>3387</v>
      </c>
      <c r="G1069" s="6" t="s">
        <v>3388</v>
      </c>
      <c r="H1069" s="6" t="s">
        <v>7</v>
      </c>
      <c r="I1069" s="8"/>
      <c r="J1069" s="8"/>
      <c r="K1069" s="8"/>
      <c r="L1069" s="9"/>
    </row>
    <row r="1070" customFormat="false" ht="23.85" hidden="false" customHeight="false" outlineLevel="0" collapsed="false">
      <c r="A1070" s="6" t="s">
        <v>3389</v>
      </c>
      <c r="B1070" s="6" t="s">
        <v>3374</v>
      </c>
      <c r="C1070" s="6" t="s">
        <v>21</v>
      </c>
      <c r="D1070" s="6" t="s">
        <v>49</v>
      </c>
      <c r="E1070" s="6" t="s">
        <v>26</v>
      </c>
      <c r="F1070" s="7" t="s">
        <v>3390</v>
      </c>
      <c r="G1070" s="6" t="s">
        <v>3391</v>
      </c>
      <c r="H1070" s="6" t="s">
        <v>6</v>
      </c>
      <c r="I1070" s="8"/>
      <c r="J1070" s="8"/>
      <c r="K1070" s="8"/>
      <c r="L1070" s="9"/>
    </row>
    <row r="1071" customFormat="false" ht="23.85" hidden="false" customHeight="false" outlineLevel="0" collapsed="false">
      <c r="A1071" s="6" t="s">
        <v>3392</v>
      </c>
      <c r="B1071" s="6" t="s">
        <v>3374</v>
      </c>
      <c r="C1071" s="6" t="s">
        <v>21</v>
      </c>
      <c r="D1071" s="6" t="s">
        <v>49</v>
      </c>
      <c r="E1071" s="6" t="s">
        <v>26</v>
      </c>
      <c r="F1071" s="7" t="s">
        <v>3393</v>
      </c>
      <c r="G1071" s="6" t="s">
        <v>3394</v>
      </c>
      <c r="H1071" s="6" t="s">
        <v>6</v>
      </c>
      <c r="I1071" s="8"/>
      <c r="J1071" s="8"/>
      <c r="K1071" s="8"/>
      <c r="L1071" s="9"/>
    </row>
    <row r="1072" customFormat="false" ht="15" hidden="false" customHeight="false" outlineLevel="0" collapsed="false">
      <c r="A1072" s="6" t="s">
        <v>3395</v>
      </c>
      <c r="B1072" s="6" t="s">
        <v>3374</v>
      </c>
      <c r="C1072" s="6" t="s">
        <v>21</v>
      </c>
      <c r="D1072" s="6" t="s">
        <v>49</v>
      </c>
      <c r="E1072" s="6" t="s">
        <v>26</v>
      </c>
      <c r="F1072" s="7" t="s">
        <v>3396</v>
      </c>
      <c r="G1072" s="6" t="s">
        <v>3397</v>
      </c>
      <c r="H1072" s="6" t="s">
        <v>6</v>
      </c>
      <c r="I1072" s="8"/>
      <c r="J1072" s="8"/>
      <c r="K1072" s="8"/>
      <c r="L1072" s="9"/>
    </row>
    <row r="1073" customFormat="false" ht="23.85" hidden="false" customHeight="false" outlineLevel="0" collapsed="false">
      <c r="A1073" s="6" t="s">
        <v>3398</v>
      </c>
      <c r="B1073" s="6" t="s">
        <v>3374</v>
      </c>
      <c r="C1073" s="6" t="s">
        <v>21</v>
      </c>
      <c r="D1073" s="6" t="s">
        <v>49</v>
      </c>
      <c r="E1073" s="6" t="s">
        <v>26</v>
      </c>
      <c r="F1073" s="7" t="s">
        <v>3399</v>
      </c>
      <c r="G1073" s="6" t="s">
        <v>3400</v>
      </c>
      <c r="H1073" s="6" t="s">
        <v>6</v>
      </c>
      <c r="I1073" s="8"/>
      <c r="J1073" s="8"/>
      <c r="K1073" s="8"/>
      <c r="L1073" s="9"/>
    </row>
    <row r="1074" customFormat="false" ht="23.85" hidden="false" customHeight="false" outlineLevel="0" collapsed="false">
      <c r="A1074" s="6" t="s">
        <v>3401</v>
      </c>
      <c r="B1074" s="6" t="s">
        <v>3374</v>
      </c>
      <c r="C1074" s="6" t="s">
        <v>21</v>
      </c>
      <c r="D1074" s="6" t="s">
        <v>49</v>
      </c>
      <c r="E1074" s="6" t="s">
        <v>26</v>
      </c>
      <c r="F1074" s="7" t="s">
        <v>3402</v>
      </c>
      <c r="G1074" s="6" t="s">
        <v>3403</v>
      </c>
      <c r="H1074" s="6" t="s">
        <v>6</v>
      </c>
      <c r="I1074" s="8"/>
      <c r="J1074" s="8"/>
      <c r="K1074" s="8"/>
      <c r="L1074" s="9"/>
    </row>
    <row r="1075" customFormat="false" ht="15" hidden="false" customHeight="false" outlineLevel="0" collapsed="false">
      <c r="A1075" s="6" t="s">
        <v>3404</v>
      </c>
      <c r="B1075" s="6" t="s">
        <v>3374</v>
      </c>
      <c r="C1075" s="6" t="s">
        <v>21</v>
      </c>
      <c r="D1075" s="6" t="s">
        <v>49</v>
      </c>
      <c r="E1075" s="6" t="s">
        <v>26</v>
      </c>
      <c r="F1075" s="7" t="s">
        <v>3405</v>
      </c>
      <c r="G1075" s="6" t="s">
        <v>3406</v>
      </c>
      <c r="H1075" s="6" t="s">
        <v>8</v>
      </c>
      <c r="I1075" s="8"/>
      <c r="J1075" s="8"/>
      <c r="K1075" s="8"/>
      <c r="L1075" s="9"/>
    </row>
    <row r="1076" customFormat="false" ht="23.85" hidden="false" customHeight="false" outlineLevel="0" collapsed="false">
      <c r="A1076" s="6" t="s">
        <v>3407</v>
      </c>
      <c r="B1076" s="6" t="s">
        <v>3374</v>
      </c>
      <c r="C1076" s="6" t="s">
        <v>21</v>
      </c>
      <c r="D1076" s="6" t="s">
        <v>49</v>
      </c>
      <c r="E1076" s="6" t="s">
        <v>26</v>
      </c>
      <c r="F1076" s="7" t="s">
        <v>3408</v>
      </c>
      <c r="G1076" s="6" t="s">
        <v>3409</v>
      </c>
      <c r="H1076" s="6" t="s">
        <v>6</v>
      </c>
      <c r="I1076" s="8"/>
      <c r="J1076" s="8"/>
      <c r="K1076" s="8"/>
      <c r="L1076" s="9"/>
    </row>
    <row r="1077" customFormat="false" ht="15" hidden="false" customHeight="false" outlineLevel="0" collapsed="false">
      <c r="A1077" s="6" t="s">
        <v>3410</v>
      </c>
      <c r="B1077" s="6" t="s">
        <v>3374</v>
      </c>
      <c r="C1077" s="6" t="s">
        <v>21</v>
      </c>
      <c r="D1077" s="6" t="s">
        <v>49</v>
      </c>
      <c r="E1077" s="6" t="s">
        <v>26</v>
      </c>
      <c r="F1077" s="7" t="s">
        <v>3411</v>
      </c>
      <c r="G1077" s="6" t="s">
        <v>3412</v>
      </c>
      <c r="H1077" s="6" t="s">
        <v>6</v>
      </c>
      <c r="I1077" s="8"/>
      <c r="J1077" s="8"/>
      <c r="K1077" s="8"/>
      <c r="L1077" s="9"/>
    </row>
    <row r="1078" customFormat="false" ht="23.85" hidden="false" customHeight="false" outlineLevel="0" collapsed="false">
      <c r="A1078" s="6" t="s">
        <v>3413</v>
      </c>
      <c r="B1078" s="6" t="s">
        <v>3374</v>
      </c>
      <c r="C1078" s="6" t="s">
        <v>21</v>
      </c>
      <c r="D1078" s="6" t="s">
        <v>49</v>
      </c>
      <c r="E1078" s="6" t="s">
        <v>26</v>
      </c>
      <c r="F1078" s="7" t="s">
        <v>3414</v>
      </c>
      <c r="G1078" s="6" t="s">
        <v>3415</v>
      </c>
      <c r="H1078" s="6" t="s">
        <v>6</v>
      </c>
      <c r="I1078" s="8"/>
      <c r="J1078" s="8"/>
      <c r="K1078" s="8"/>
      <c r="L1078" s="9"/>
    </row>
    <row r="1079" customFormat="false" ht="23.85" hidden="false" customHeight="false" outlineLevel="0" collapsed="false">
      <c r="A1079" s="6" t="s">
        <v>3416</v>
      </c>
      <c r="B1079" s="6" t="s">
        <v>3374</v>
      </c>
      <c r="C1079" s="6" t="s">
        <v>21</v>
      </c>
      <c r="D1079" s="6" t="s">
        <v>49</v>
      </c>
      <c r="E1079" s="6" t="s">
        <v>26</v>
      </c>
      <c r="F1079" s="7" t="s">
        <v>3417</v>
      </c>
      <c r="G1079" s="6" t="s">
        <v>3418</v>
      </c>
      <c r="H1079" s="6" t="s">
        <v>6</v>
      </c>
      <c r="I1079" s="8"/>
      <c r="J1079" s="8"/>
      <c r="K1079" s="8"/>
      <c r="L1079" s="9"/>
    </row>
    <row r="1080" customFormat="false" ht="15" hidden="false" customHeight="false" outlineLevel="0" collapsed="false">
      <c r="A1080" s="6" t="s">
        <v>3419</v>
      </c>
      <c r="B1080" s="6" t="s">
        <v>3374</v>
      </c>
      <c r="C1080" s="6" t="s">
        <v>21</v>
      </c>
      <c r="D1080" s="6" t="s">
        <v>49</v>
      </c>
      <c r="E1080" s="6" t="s">
        <v>26</v>
      </c>
      <c r="F1080" s="7" t="s">
        <v>3420</v>
      </c>
      <c r="G1080" s="6" t="s">
        <v>3421</v>
      </c>
      <c r="H1080" s="6" t="s">
        <v>6</v>
      </c>
      <c r="I1080" s="8"/>
      <c r="J1080" s="8"/>
      <c r="K1080" s="8"/>
      <c r="L1080" s="9"/>
    </row>
    <row r="1081" customFormat="false" ht="15" hidden="false" customHeight="false" outlineLevel="0" collapsed="false">
      <c r="A1081" s="6" t="s">
        <v>3422</v>
      </c>
      <c r="B1081" s="6" t="s">
        <v>3374</v>
      </c>
      <c r="C1081" s="6" t="s">
        <v>21</v>
      </c>
      <c r="D1081" s="6" t="s">
        <v>49</v>
      </c>
      <c r="E1081" s="6" t="s">
        <v>26</v>
      </c>
      <c r="F1081" s="7" t="s">
        <v>3423</v>
      </c>
      <c r="G1081" s="6" t="s">
        <v>3424</v>
      </c>
      <c r="H1081" s="6" t="s">
        <v>8</v>
      </c>
      <c r="I1081" s="8"/>
      <c r="J1081" s="8"/>
      <c r="K1081" s="8"/>
      <c r="L1081" s="9"/>
    </row>
    <row r="1082" customFormat="false" ht="15" hidden="false" customHeight="false" outlineLevel="0" collapsed="false">
      <c r="A1082" s="6" t="s">
        <v>3425</v>
      </c>
      <c r="B1082" s="6" t="s">
        <v>3374</v>
      </c>
      <c r="C1082" s="6" t="s">
        <v>21</v>
      </c>
      <c r="D1082" s="6" t="s">
        <v>49</v>
      </c>
      <c r="E1082" s="6" t="s">
        <v>26</v>
      </c>
      <c r="F1082" s="7" t="s">
        <v>3426</v>
      </c>
      <c r="G1082" s="6" t="s">
        <v>3427</v>
      </c>
      <c r="H1082" s="6" t="s">
        <v>6</v>
      </c>
      <c r="I1082" s="8"/>
      <c r="J1082" s="8"/>
      <c r="K1082" s="8"/>
      <c r="L1082" s="9"/>
    </row>
    <row r="1083" customFormat="false" ht="23.85" hidden="false" customHeight="false" outlineLevel="0" collapsed="false">
      <c r="A1083" s="6" t="s">
        <v>3428</v>
      </c>
      <c r="B1083" s="6" t="s">
        <v>3374</v>
      </c>
      <c r="C1083" s="6" t="s">
        <v>21</v>
      </c>
      <c r="D1083" s="6" t="s">
        <v>49</v>
      </c>
      <c r="E1083" s="6" t="s">
        <v>26</v>
      </c>
      <c r="F1083" s="7" t="s">
        <v>3429</v>
      </c>
      <c r="G1083" s="6" t="s">
        <v>3430</v>
      </c>
      <c r="H1083" s="6" t="s">
        <v>6</v>
      </c>
      <c r="I1083" s="8"/>
      <c r="J1083" s="8"/>
      <c r="K1083" s="8"/>
      <c r="L1083" s="9"/>
    </row>
    <row r="1084" customFormat="false" ht="23.85" hidden="false" customHeight="false" outlineLevel="0" collapsed="false">
      <c r="A1084" s="6" t="s">
        <v>3431</v>
      </c>
      <c r="B1084" s="6" t="s">
        <v>3374</v>
      </c>
      <c r="C1084" s="6" t="s">
        <v>21</v>
      </c>
      <c r="D1084" s="6" t="s">
        <v>49</v>
      </c>
      <c r="E1084" s="6" t="s">
        <v>26</v>
      </c>
      <c r="F1084" s="7" t="s">
        <v>3432</v>
      </c>
      <c r="G1084" s="6" t="s">
        <v>3433</v>
      </c>
      <c r="H1084" s="6" t="s">
        <v>6</v>
      </c>
      <c r="I1084" s="8"/>
      <c r="J1084" s="8"/>
      <c r="K1084" s="8"/>
      <c r="L1084" s="9"/>
    </row>
    <row r="1085" customFormat="false" ht="15" hidden="false" customHeight="false" outlineLevel="0" collapsed="false">
      <c r="A1085" s="6" t="s">
        <v>3434</v>
      </c>
      <c r="B1085" s="6" t="s">
        <v>3374</v>
      </c>
      <c r="C1085" s="6" t="s">
        <v>21</v>
      </c>
      <c r="D1085" s="6" t="s">
        <v>49</v>
      </c>
      <c r="E1085" s="6" t="s">
        <v>26</v>
      </c>
      <c r="F1085" s="7" t="s">
        <v>3435</v>
      </c>
      <c r="G1085" s="6" t="s">
        <v>3436</v>
      </c>
      <c r="H1085" s="6" t="s">
        <v>6</v>
      </c>
      <c r="I1085" s="8"/>
      <c r="J1085" s="8"/>
      <c r="K1085" s="8"/>
      <c r="L1085" s="9"/>
    </row>
    <row r="1086" customFormat="false" ht="23.85" hidden="false" customHeight="false" outlineLevel="0" collapsed="false">
      <c r="A1086" s="6" t="s">
        <v>3437</v>
      </c>
      <c r="B1086" s="6" t="s">
        <v>3374</v>
      </c>
      <c r="C1086" s="6" t="s">
        <v>21</v>
      </c>
      <c r="D1086" s="6" t="s">
        <v>49</v>
      </c>
      <c r="E1086" s="6" t="s">
        <v>26</v>
      </c>
      <c r="F1086" s="7" t="s">
        <v>3438</v>
      </c>
      <c r="G1086" s="6" t="s">
        <v>3439</v>
      </c>
      <c r="H1086" s="6" t="s">
        <v>6</v>
      </c>
      <c r="I1086" s="8"/>
      <c r="J1086" s="8"/>
      <c r="K1086" s="8"/>
      <c r="L1086" s="9"/>
    </row>
    <row r="1087" customFormat="false" ht="15" hidden="false" customHeight="false" outlineLevel="0" collapsed="false">
      <c r="A1087" s="6" t="s">
        <v>3440</v>
      </c>
      <c r="B1087" s="6" t="s">
        <v>3374</v>
      </c>
      <c r="C1087" s="6" t="s">
        <v>21</v>
      </c>
      <c r="D1087" s="6" t="s">
        <v>49</v>
      </c>
      <c r="E1087" s="6" t="s">
        <v>26</v>
      </c>
      <c r="F1087" s="7" t="s">
        <v>3441</v>
      </c>
      <c r="G1087" s="6" t="s">
        <v>3442</v>
      </c>
      <c r="H1087" s="6" t="s">
        <v>6</v>
      </c>
      <c r="I1087" s="8"/>
      <c r="J1087" s="8"/>
      <c r="K1087" s="8"/>
      <c r="L1087" s="9"/>
    </row>
    <row r="1088" customFormat="false" ht="15" hidden="false" customHeight="false" outlineLevel="0" collapsed="false">
      <c r="A1088" s="6" t="s">
        <v>3443</v>
      </c>
      <c r="B1088" s="6" t="s">
        <v>3374</v>
      </c>
      <c r="C1088" s="6" t="s">
        <v>21</v>
      </c>
      <c r="D1088" s="6" t="s">
        <v>49</v>
      </c>
      <c r="E1088" s="6" t="s">
        <v>26</v>
      </c>
      <c r="F1088" s="7" t="s">
        <v>3444</v>
      </c>
      <c r="G1088" s="6" t="s">
        <v>3445</v>
      </c>
      <c r="H1088" s="6" t="s">
        <v>8</v>
      </c>
      <c r="I1088" s="8"/>
      <c r="J1088" s="8"/>
      <c r="K1088" s="8"/>
      <c r="L1088" s="9"/>
    </row>
    <row r="1089" customFormat="false" ht="23.85" hidden="false" customHeight="false" outlineLevel="0" collapsed="false">
      <c r="A1089" s="6" t="s">
        <v>3446</v>
      </c>
      <c r="B1089" s="6" t="s">
        <v>3374</v>
      </c>
      <c r="C1089" s="6" t="s">
        <v>21</v>
      </c>
      <c r="D1089" s="6" t="s">
        <v>49</v>
      </c>
      <c r="E1089" s="6" t="s">
        <v>26</v>
      </c>
      <c r="F1089" s="7" t="s">
        <v>3447</v>
      </c>
      <c r="G1089" s="6" t="s">
        <v>3448</v>
      </c>
      <c r="H1089" s="6" t="s">
        <v>6</v>
      </c>
      <c r="I1089" s="8"/>
      <c r="J1089" s="8"/>
      <c r="K1089" s="8"/>
      <c r="L1089" s="9"/>
    </row>
    <row r="1090" customFormat="false" ht="23.85" hidden="false" customHeight="false" outlineLevel="0" collapsed="false">
      <c r="A1090" s="6" t="s">
        <v>3449</v>
      </c>
      <c r="B1090" s="6" t="s">
        <v>3374</v>
      </c>
      <c r="C1090" s="6" t="s">
        <v>21</v>
      </c>
      <c r="D1090" s="6" t="s">
        <v>49</v>
      </c>
      <c r="E1090" s="6" t="s">
        <v>26</v>
      </c>
      <c r="F1090" s="7" t="s">
        <v>3450</v>
      </c>
      <c r="G1090" s="6" t="s">
        <v>3451</v>
      </c>
      <c r="H1090" s="6" t="s">
        <v>8</v>
      </c>
      <c r="I1090" s="8"/>
      <c r="J1090" s="8"/>
      <c r="K1090" s="8"/>
      <c r="L1090" s="9"/>
    </row>
    <row r="1091" customFormat="false" ht="15" hidden="false" customHeight="false" outlineLevel="0" collapsed="false">
      <c r="A1091" s="6" t="s">
        <v>3452</v>
      </c>
      <c r="B1091" s="6" t="s">
        <v>3374</v>
      </c>
      <c r="C1091" s="6" t="s">
        <v>21</v>
      </c>
      <c r="D1091" s="6" t="s">
        <v>49</v>
      </c>
      <c r="E1091" s="6" t="s">
        <v>26</v>
      </c>
      <c r="F1091" s="7" t="s">
        <v>3453</v>
      </c>
      <c r="G1091" s="6" t="s">
        <v>3454</v>
      </c>
      <c r="H1091" s="6" t="s">
        <v>6</v>
      </c>
      <c r="I1091" s="8"/>
      <c r="J1091" s="8"/>
      <c r="K1091" s="8"/>
      <c r="L1091" s="9"/>
    </row>
    <row r="1092" customFormat="false" ht="35.05" hidden="false" customHeight="false" outlineLevel="0" collapsed="false">
      <c r="A1092" s="6" t="s">
        <v>3455</v>
      </c>
      <c r="B1092" s="6" t="s">
        <v>3374</v>
      </c>
      <c r="C1092" s="6" t="s">
        <v>21</v>
      </c>
      <c r="D1092" s="6" t="s">
        <v>49</v>
      </c>
      <c r="E1092" s="6" t="s">
        <v>26</v>
      </c>
      <c r="F1092" s="7" t="s">
        <v>3456</v>
      </c>
      <c r="G1092" s="6" t="s">
        <v>3457</v>
      </c>
      <c r="H1092" s="6" t="s">
        <v>8</v>
      </c>
      <c r="I1092" s="8"/>
      <c r="J1092" s="8"/>
      <c r="K1092" s="8"/>
      <c r="L1092" s="9"/>
    </row>
    <row r="1093" customFormat="false" ht="15" hidden="false" customHeight="false" outlineLevel="0" collapsed="false">
      <c r="A1093" s="6" t="s">
        <v>3458</v>
      </c>
      <c r="B1093" s="6" t="s">
        <v>3374</v>
      </c>
      <c r="C1093" s="6" t="s">
        <v>21</v>
      </c>
      <c r="D1093" s="6" t="s">
        <v>49</v>
      </c>
      <c r="E1093" s="6" t="s">
        <v>26</v>
      </c>
      <c r="F1093" s="7" t="s">
        <v>3459</v>
      </c>
      <c r="G1093" s="6" t="s">
        <v>3460</v>
      </c>
      <c r="H1093" s="6" t="s">
        <v>8</v>
      </c>
      <c r="I1093" s="8"/>
      <c r="J1093" s="8"/>
      <c r="K1093" s="8"/>
      <c r="L1093" s="9"/>
    </row>
    <row r="1094" customFormat="false" ht="15" hidden="false" customHeight="false" outlineLevel="0" collapsed="false">
      <c r="A1094" s="6" t="s">
        <v>3461</v>
      </c>
      <c r="B1094" s="6" t="s">
        <v>3374</v>
      </c>
      <c r="C1094" s="6" t="s">
        <v>21</v>
      </c>
      <c r="D1094" s="6" t="s">
        <v>49</v>
      </c>
      <c r="E1094" s="6" t="s">
        <v>26</v>
      </c>
      <c r="F1094" s="7" t="s">
        <v>3462</v>
      </c>
      <c r="G1094" s="6" t="s">
        <v>3463</v>
      </c>
      <c r="H1094" s="6" t="s">
        <v>8</v>
      </c>
      <c r="I1094" s="8"/>
      <c r="J1094" s="8"/>
      <c r="K1094" s="8"/>
      <c r="L1094" s="9"/>
    </row>
    <row r="1095" customFormat="false" ht="23.85" hidden="false" customHeight="false" outlineLevel="0" collapsed="false">
      <c r="A1095" s="6" t="s">
        <v>3464</v>
      </c>
      <c r="B1095" s="6" t="s">
        <v>3374</v>
      </c>
      <c r="C1095" s="6" t="s">
        <v>21</v>
      </c>
      <c r="D1095" s="6" t="s">
        <v>49</v>
      </c>
      <c r="E1095" s="6" t="s">
        <v>26</v>
      </c>
      <c r="F1095" s="7" t="s">
        <v>3465</v>
      </c>
      <c r="G1095" s="6" t="s">
        <v>3466</v>
      </c>
      <c r="H1095" s="6" t="s">
        <v>8</v>
      </c>
      <c r="I1095" s="8"/>
      <c r="J1095" s="8"/>
      <c r="K1095" s="8"/>
      <c r="L1095" s="9"/>
    </row>
    <row r="1096" customFormat="false" ht="23.85" hidden="false" customHeight="false" outlineLevel="0" collapsed="false">
      <c r="A1096" s="6" t="s">
        <v>3467</v>
      </c>
      <c r="B1096" s="6" t="s">
        <v>3374</v>
      </c>
      <c r="C1096" s="6" t="s">
        <v>21</v>
      </c>
      <c r="D1096" s="6" t="s">
        <v>49</v>
      </c>
      <c r="E1096" s="6" t="s">
        <v>26</v>
      </c>
      <c r="F1096" s="7" t="s">
        <v>3468</v>
      </c>
      <c r="G1096" s="6" t="s">
        <v>3469</v>
      </c>
      <c r="H1096" s="6" t="s">
        <v>6</v>
      </c>
      <c r="I1096" s="8"/>
      <c r="J1096" s="8"/>
      <c r="K1096" s="8"/>
      <c r="L1096" s="9"/>
    </row>
    <row r="1097" customFormat="false" ht="15" hidden="false" customHeight="false" outlineLevel="0" collapsed="false">
      <c r="A1097" s="6" t="s">
        <v>3470</v>
      </c>
      <c r="B1097" s="6" t="s">
        <v>3374</v>
      </c>
      <c r="C1097" s="6" t="s">
        <v>21</v>
      </c>
      <c r="D1097" s="6" t="s">
        <v>49</v>
      </c>
      <c r="E1097" s="6" t="s">
        <v>26</v>
      </c>
      <c r="F1097" s="7" t="s">
        <v>3471</v>
      </c>
      <c r="G1097" s="6" t="s">
        <v>3472</v>
      </c>
      <c r="H1097" s="6" t="s">
        <v>7</v>
      </c>
      <c r="I1097" s="8"/>
      <c r="J1097" s="8"/>
      <c r="K1097" s="8"/>
      <c r="L1097" s="9"/>
    </row>
    <row r="1098" customFormat="false" ht="15" hidden="false" customHeight="false" outlineLevel="0" collapsed="false">
      <c r="A1098" s="6" t="s">
        <v>3473</v>
      </c>
      <c r="B1098" s="6" t="s">
        <v>3474</v>
      </c>
      <c r="C1098" s="6" t="s">
        <v>21</v>
      </c>
      <c r="D1098" s="6" t="s">
        <v>79</v>
      </c>
      <c r="E1098" s="6"/>
      <c r="F1098" s="7" t="s">
        <v>3475</v>
      </c>
      <c r="G1098" s="6" t="s">
        <v>3476</v>
      </c>
      <c r="H1098" s="6" t="s">
        <v>6</v>
      </c>
      <c r="I1098" s="8"/>
      <c r="J1098" s="8"/>
      <c r="K1098" s="8"/>
      <c r="L1098" s="9"/>
    </row>
    <row r="1099" customFormat="false" ht="15" hidden="false" customHeight="false" outlineLevel="0" collapsed="false">
      <c r="A1099" s="6" t="s">
        <v>3477</v>
      </c>
      <c r="B1099" s="6" t="s">
        <v>3474</v>
      </c>
      <c r="C1099" s="6" t="s">
        <v>21</v>
      </c>
      <c r="D1099" s="6" t="s">
        <v>79</v>
      </c>
      <c r="E1099" s="6"/>
      <c r="F1099" s="7" t="s">
        <v>3478</v>
      </c>
      <c r="G1099" s="6" t="s">
        <v>3479</v>
      </c>
      <c r="H1099" s="6" t="s">
        <v>9</v>
      </c>
      <c r="I1099" s="8"/>
      <c r="J1099" s="8"/>
      <c r="K1099" s="8"/>
      <c r="L1099" s="9"/>
    </row>
    <row r="1100" customFormat="false" ht="15" hidden="false" customHeight="false" outlineLevel="0" collapsed="false">
      <c r="A1100" s="6" t="s">
        <v>3480</v>
      </c>
      <c r="B1100" s="6" t="s">
        <v>3481</v>
      </c>
      <c r="C1100" s="6" t="s">
        <v>21</v>
      </c>
      <c r="D1100" s="6" t="s">
        <v>85</v>
      </c>
      <c r="E1100" s="6" t="s">
        <v>26</v>
      </c>
      <c r="F1100" s="7" t="s">
        <v>3482</v>
      </c>
      <c r="G1100" s="6" t="s">
        <v>3483</v>
      </c>
      <c r="H1100" s="6" t="s">
        <v>6</v>
      </c>
      <c r="I1100" s="8"/>
      <c r="J1100" s="8"/>
      <c r="K1100" s="8"/>
      <c r="L1100" s="9"/>
    </row>
    <row r="1101" customFormat="false" ht="35.05" hidden="false" customHeight="false" outlineLevel="0" collapsed="false">
      <c r="A1101" s="6" t="s">
        <v>3484</v>
      </c>
      <c r="B1101" s="6" t="s">
        <v>3481</v>
      </c>
      <c r="C1101" s="6" t="s">
        <v>21</v>
      </c>
      <c r="D1101" s="6" t="s">
        <v>85</v>
      </c>
      <c r="E1101" s="6" t="s">
        <v>26</v>
      </c>
      <c r="F1101" s="7" t="s">
        <v>3485</v>
      </c>
      <c r="G1101" s="6" t="s">
        <v>3486</v>
      </c>
      <c r="H1101" s="6" t="s">
        <v>6</v>
      </c>
      <c r="I1101" s="8"/>
      <c r="J1101" s="8"/>
      <c r="K1101" s="8"/>
      <c r="L1101" s="9"/>
    </row>
    <row r="1102" customFormat="false" ht="23.85" hidden="false" customHeight="false" outlineLevel="0" collapsed="false">
      <c r="A1102" s="6" t="s">
        <v>3487</v>
      </c>
      <c r="B1102" s="6" t="s">
        <v>3481</v>
      </c>
      <c r="C1102" s="6" t="s">
        <v>21</v>
      </c>
      <c r="D1102" s="6" t="s">
        <v>85</v>
      </c>
      <c r="E1102" s="6" t="s">
        <v>26</v>
      </c>
      <c r="F1102" s="7" t="s">
        <v>3488</v>
      </c>
      <c r="G1102" s="6" t="s">
        <v>3489</v>
      </c>
      <c r="H1102" s="6" t="s">
        <v>6</v>
      </c>
      <c r="I1102" s="8"/>
      <c r="J1102" s="8"/>
      <c r="K1102" s="8"/>
      <c r="L1102" s="9"/>
    </row>
    <row r="1103" customFormat="false" ht="15" hidden="false" customHeight="false" outlineLevel="0" collapsed="false">
      <c r="A1103" s="6" t="s">
        <v>3490</v>
      </c>
      <c r="B1103" s="6" t="s">
        <v>3491</v>
      </c>
      <c r="C1103" s="6" t="s">
        <v>21</v>
      </c>
      <c r="D1103" s="6" t="s">
        <v>85</v>
      </c>
      <c r="E1103" s="6" t="s">
        <v>50</v>
      </c>
      <c r="F1103" s="7" t="s">
        <v>3492</v>
      </c>
      <c r="G1103" s="6" t="s">
        <v>3493</v>
      </c>
      <c r="H1103" s="6" t="s">
        <v>6</v>
      </c>
      <c r="I1103" s="8"/>
      <c r="J1103" s="8"/>
      <c r="K1103" s="8"/>
      <c r="L1103" s="9"/>
    </row>
    <row r="1104" customFormat="false" ht="23.85" hidden="false" customHeight="false" outlineLevel="0" collapsed="false">
      <c r="A1104" s="6" t="s">
        <v>3494</v>
      </c>
      <c r="B1104" s="6" t="s">
        <v>3491</v>
      </c>
      <c r="C1104" s="6" t="s">
        <v>21</v>
      </c>
      <c r="D1104" s="6" t="s">
        <v>85</v>
      </c>
      <c r="E1104" s="6" t="s">
        <v>50</v>
      </c>
      <c r="F1104" s="7" t="s">
        <v>3495</v>
      </c>
      <c r="G1104" s="6" t="s">
        <v>3496</v>
      </c>
      <c r="H1104" s="6" t="s">
        <v>8</v>
      </c>
      <c r="I1104" s="8"/>
      <c r="J1104" s="8"/>
      <c r="K1104" s="8"/>
      <c r="L1104" s="9"/>
    </row>
    <row r="1105" customFormat="false" ht="23.85" hidden="false" customHeight="false" outlineLevel="0" collapsed="false">
      <c r="A1105" s="6" t="s">
        <v>3497</v>
      </c>
      <c r="B1105" s="6" t="s">
        <v>3491</v>
      </c>
      <c r="C1105" s="6" t="s">
        <v>21</v>
      </c>
      <c r="D1105" s="6" t="s">
        <v>85</v>
      </c>
      <c r="E1105" s="6" t="s">
        <v>50</v>
      </c>
      <c r="F1105" s="7" t="s">
        <v>3498</v>
      </c>
      <c r="G1105" s="6" t="s">
        <v>3499</v>
      </c>
      <c r="H1105" s="6" t="s">
        <v>6</v>
      </c>
      <c r="I1105" s="8"/>
      <c r="J1105" s="8"/>
      <c r="K1105" s="8"/>
      <c r="L1105" s="9"/>
    </row>
    <row r="1106" customFormat="false" ht="23.85" hidden="false" customHeight="false" outlineLevel="0" collapsed="false">
      <c r="A1106" s="6" t="s">
        <v>3500</v>
      </c>
      <c r="B1106" s="6" t="s">
        <v>3491</v>
      </c>
      <c r="C1106" s="6" t="s">
        <v>21</v>
      </c>
      <c r="D1106" s="6" t="s">
        <v>85</v>
      </c>
      <c r="E1106" s="6" t="s">
        <v>50</v>
      </c>
      <c r="F1106" s="7" t="s">
        <v>3501</v>
      </c>
      <c r="G1106" s="6" t="s">
        <v>3502</v>
      </c>
      <c r="H1106" s="6" t="s">
        <v>8</v>
      </c>
      <c r="I1106" s="8"/>
      <c r="J1106" s="8"/>
      <c r="K1106" s="8"/>
      <c r="L1106" s="9"/>
    </row>
    <row r="1107" customFormat="false" ht="15" hidden="false" customHeight="false" outlineLevel="0" collapsed="false">
      <c r="A1107" s="6" t="s">
        <v>3503</v>
      </c>
      <c r="B1107" s="6" t="s">
        <v>3491</v>
      </c>
      <c r="C1107" s="6" t="s">
        <v>21</v>
      </c>
      <c r="D1107" s="6" t="s">
        <v>85</v>
      </c>
      <c r="E1107" s="6" t="s">
        <v>50</v>
      </c>
      <c r="F1107" s="7" t="s">
        <v>3504</v>
      </c>
      <c r="G1107" s="6" t="s">
        <v>1309</v>
      </c>
      <c r="H1107" s="6" t="s">
        <v>9</v>
      </c>
      <c r="I1107" s="8"/>
      <c r="J1107" s="8"/>
      <c r="K1107" s="8"/>
      <c r="L1107" s="9"/>
    </row>
    <row r="1108" customFormat="false" ht="23.85" hidden="false" customHeight="false" outlineLevel="0" collapsed="false">
      <c r="A1108" s="6" t="s">
        <v>3505</v>
      </c>
      <c r="B1108" s="6" t="s">
        <v>3506</v>
      </c>
      <c r="C1108" s="6" t="s">
        <v>21</v>
      </c>
      <c r="D1108" s="6" t="s">
        <v>85</v>
      </c>
      <c r="E1108" s="6"/>
      <c r="F1108" s="7" t="s">
        <v>3507</v>
      </c>
      <c r="G1108" s="6" t="s">
        <v>3508</v>
      </c>
      <c r="H1108" s="6" t="s">
        <v>7</v>
      </c>
      <c r="I1108" s="8"/>
      <c r="J1108" s="8"/>
      <c r="K1108" s="8"/>
      <c r="L1108" s="9"/>
    </row>
    <row r="1109" customFormat="false" ht="15" hidden="false" customHeight="false" outlineLevel="0" collapsed="false">
      <c r="A1109" s="6" t="s">
        <v>3509</v>
      </c>
      <c r="B1109" s="6" t="s">
        <v>3510</v>
      </c>
      <c r="C1109" s="6" t="s">
        <v>21</v>
      </c>
      <c r="D1109" s="6" t="s">
        <v>44</v>
      </c>
      <c r="E1109" s="6"/>
      <c r="F1109" s="7" t="s">
        <v>3511</v>
      </c>
      <c r="G1109" s="6" t="s">
        <v>3512</v>
      </c>
      <c r="H1109" s="6" t="s">
        <v>9</v>
      </c>
      <c r="I1109" s="8"/>
      <c r="J1109" s="8"/>
      <c r="K1109" s="8"/>
      <c r="L1109" s="9"/>
    </row>
    <row r="1110" customFormat="false" ht="15" hidden="false" customHeight="false" outlineLevel="0" collapsed="false">
      <c r="A1110" s="6" t="s">
        <v>3513</v>
      </c>
      <c r="B1110" s="6" t="s">
        <v>3514</v>
      </c>
      <c r="C1110" s="6" t="s">
        <v>21</v>
      </c>
      <c r="D1110" s="6" t="s">
        <v>79</v>
      </c>
      <c r="E1110" s="6" t="s">
        <v>26</v>
      </c>
      <c r="F1110" s="7" t="s">
        <v>3515</v>
      </c>
      <c r="G1110" s="6" t="s">
        <v>73</v>
      </c>
      <c r="H1110" s="6" t="s">
        <v>6</v>
      </c>
      <c r="I1110" s="8"/>
      <c r="J1110" s="8"/>
      <c r="K1110" s="8"/>
      <c r="L1110" s="9"/>
    </row>
    <row r="1111" customFormat="false" ht="23.85" hidden="false" customHeight="false" outlineLevel="0" collapsed="false">
      <c r="A1111" s="6" t="s">
        <v>3516</v>
      </c>
      <c r="B1111" s="6" t="s">
        <v>3514</v>
      </c>
      <c r="C1111" s="6" t="s">
        <v>21</v>
      </c>
      <c r="D1111" s="6" t="s">
        <v>79</v>
      </c>
      <c r="E1111" s="6" t="s">
        <v>26</v>
      </c>
      <c r="F1111" s="7" t="s">
        <v>3517</v>
      </c>
      <c r="G1111" s="6" t="s">
        <v>3518</v>
      </c>
      <c r="H1111" s="6" t="s">
        <v>6</v>
      </c>
      <c r="I1111" s="8"/>
      <c r="J1111" s="8"/>
      <c r="K1111" s="8"/>
      <c r="L1111" s="9"/>
    </row>
    <row r="1112" customFormat="false" ht="15" hidden="false" customHeight="false" outlineLevel="0" collapsed="false">
      <c r="A1112" s="6" t="s">
        <v>3519</v>
      </c>
      <c r="B1112" s="6" t="s">
        <v>3514</v>
      </c>
      <c r="C1112" s="6" t="s">
        <v>21</v>
      </c>
      <c r="D1112" s="6" t="s">
        <v>79</v>
      </c>
      <c r="E1112" s="6" t="s">
        <v>26</v>
      </c>
      <c r="F1112" s="7" t="s">
        <v>3520</v>
      </c>
      <c r="G1112" s="6" t="s">
        <v>3521</v>
      </c>
      <c r="H1112" s="6" t="s">
        <v>6</v>
      </c>
      <c r="I1112" s="8"/>
      <c r="J1112" s="8"/>
      <c r="K1112" s="8"/>
      <c r="L1112" s="9"/>
    </row>
    <row r="1113" customFormat="false" ht="15" hidden="false" customHeight="false" outlineLevel="0" collapsed="false">
      <c r="A1113" s="6" t="s">
        <v>3522</v>
      </c>
      <c r="B1113" s="6" t="s">
        <v>3514</v>
      </c>
      <c r="C1113" s="6" t="s">
        <v>21</v>
      </c>
      <c r="D1113" s="6" t="s">
        <v>79</v>
      </c>
      <c r="E1113" s="6" t="s">
        <v>26</v>
      </c>
      <c r="F1113" s="7" t="s">
        <v>3523</v>
      </c>
      <c r="G1113" s="6" t="s">
        <v>3524</v>
      </c>
      <c r="H1113" s="6" t="s">
        <v>6</v>
      </c>
      <c r="I1113" s="8"/>
      <c r="J1113" s="8"/>
      <c r="K1113" s="8"/>
      <c r="L1113" s="9"/>
    </row>
    <row r="1114" customFormat="false" ht="15" hidden="false" customHeight="false" outlineLevel="0" collapsed="false">
      <c r="A1114" s="6" t="s">
        <v>3525</v>
      </c>
      <c r="B1114" s="6" t="s">
        <v>3514</v>
      </c>
      <c r="C1114" s="6" t="s">
        <v>21</v>
      </c>
      <c r="D1114" s="6" t="s">
        <v>79</v>
      </c>
      <c r="E1114" s="6" t="s">
        <v>26</v>
      </c>
      <c r="F1114" s="7" t="s">
        <v>3526</v>
      </c>
      <c r="G1114" s="6" t="s">
        <v>3527</v>
      </c>
      <c r="H1114" s="6" t="s">
        <v>6</v>
      </c>
      <c r="I1114" s="8"/>
      <c r="J1114" s="8"/>
      <c r="K1114" s="8"/>
      <c r="L1114" s="9"/>
    </row>
    <row r="1115" customFormat="false" ht="23.85" hidden="false" customHeight="false" outlineLevel="0" collapsed="false">
      <c r="A1115" s="6" t="s">
        <v>3528</v>
      </c>
      <c r="B1115" s="6" t="s">
        <v>3514</v>
      </c>
      <c r="C1115" s="6" t="s">
        <v>21</v>
      </c>
      <c r="D1115" s="6" t="s">
        <v>79</v>
      </c>
      <c r="E1115" s="6" t="s">
        <v>26</v>
      </c>
      <c r="F1115" s="7" t="s">
        <v>3529</v>
      </c>
      <c r="G1115" s="6" t="s">
        <v>3530</v>
      </c>
      <c r="H1115" s="6" t="s">
        <v>6</v>
      </c>
      <c r="I1115" s="8"/>
      <c r="J1115" s="8"/>
      <c r="K1115" s="8"/>
      <c r="L1115" s="9"/>
    </row>
    <row r="1116" customFormat="false" ht="15" hidden="false" customHeight="false" outlineLevel="0" collapsed="false">
      <c r="A1116" s="6" t="s">
        <v>3531</v>
      </c>
      <c r="B1116" s="6" t="s">
        <v>3514</v>
      </c>
      <c r="C1116" s="6" t="s">
        <v>21</v>
      </c>
      <c r="D1116" s="6" t="s">
        <v>79</v>
      </c>
      <c r="E1116" s="6" t="s">
        <v>26</v>
      </c>
      <c r="F1116" s="7" t="s">
        <v>3532</v>
      </c>
      <c r="G1116" s="6" t="s">
        <v>3533</v>
      </c>
      <c r="H1116" s="6" t="s">
        <v>6</v>
      </c>
      <c r="I1116" s="8"/>
      <c r="J1116" s="8"/>
      <c r="K1116" s="8"/>
      <c r="L1116" s="9"/>
    </row>
    <row r="1117" customFormat="false" ht="15" hidden="false" customHeight="false" outlineLevel="0" collapsed="false">
      <c r="A1117" s="6" t="s">
        <v>3534</v>
      </c>
      <c r="B1117" s="6" t="s">
        <v>3514</v>
      </c>
      <c r="C1117" s="6" t="s">
        <v>21</v>
      </c>
      <c r="D1117" s="6" t="s">
        <v>79</v>
      </c>
      <c r="E1117" s="6" t="s">
        <v>26</v>
      </c>
      <c r="F1117" s="7" t="s">
        <v>3535</v>
      </c>
      <c r="G1117" s="6" t="s">
        <v>3536</v>
      </c>
      <c r="H1117" s="6" t="s">
        <v>7</v>
      </c>
      <c r="I1117" s="8"/>
      <c r="J1117" s="8"/>
      <c r="K1117" s="8"/>
      <c r="L1117" s="9"/>
    </row>
    <row r="1118" customFormat="false" ht="15" hidden="false" customHeight="false" outlineLevel="0" collapsed="false">
      <c r="A1118" s="6" t="s">
        <v>3537</v>
      </c>
      <c r="B1118" s="6" t="s">
        <v>3514</v>
      </c>
      <c r="C1118" s="6" t="s">
        <v>21</v>
      </c>
      <c r="D1118" s="6" t="s">
        <v>79</v>
      </c>
      <c r="E1118" s="6" t="s">
        <v>26</v>
      </c>
      <c r="F1118" s="7" t="s">
        <v>3538</v>
      </c>
      <c r="G1118" s="6" t="s">
        <v>3539</v>
      </c>
      <c r="H1118" s="6" t="s">
        <v>6</v>
      </c>
      <c r="I1118" s="8"/>
      <c r="J1118" s="8"/>
      <c r="K1118" s="8"/>
      <c r="L1118" s="9"/>
    </row>
    <row r="1119" customFormat="false" ht="23.85" hidden="false" customHeight="false" outlineLevel="0" collapsed="false">
      <c r="A1119" s="6" t="s">
        <v>3540</v>
      </c>
      <c r="B1119" s="6" t="s">
        <v>3514</v>
      </c>
      <c r="C1119" s="6" t="s">
        <v>21</v>
      </c>
      <c r="D1119" s="6" t="s">
        <v>79</v>
      </c>
      <c r="E1119" s="6" t="s">
        <v>26</v>
      </c>
      <c r="F1119" s="7" t="s">
        <v>3541</v>
      </c>
      <c r="G1119" s="6" t="s">
        <v>3542</v>
      </c>
      <c r="H1119" s="6" t="s">
        <v>8</v>
      </c>
      <c r="I1119" s="8"/>
      <c r="J1119" s="8"/>
      <c r="K1119" s="8"/>
      <c r="L1119" s="9"/>
    </row>
    <row r="1120" customFormat="false" ht="23.85" hidden="false" customHeight="false" outlineLevel="0" collapsed="false">
      <c r="A1120" s="6" t="s">
        <v>3543</v>
      </c>
      <c r="B1120" s="6" t="s">
        <v>3514</v>
      </c>
      <c r="C1120" s="6" t="s">
        <v>21</v>
      </c>
      <c r="D1120" s="6" t="s">
        <v>79</v>
      </c>
      <c r="E1120" s="6" t="s">
        <v>26</v>
      </c>
      <c r="F1120" s="7" t="s">
        <v>3544</v>
      </c>
      <c r="G1120" s="6" t="s">
        <v>3545</v>
      </c>
      <c r="H1120" s="6" t="s">
        <v>8</v>
      </c>
      <c r="I1120" s="8"/>
      <c r="J1120" s="8"/>
      <c r="K1120" s="8"/>
      <c r="L1120" s="9"/>
    </row>
    <row r="1121" customFormat="false" ht="15" hidden="false" customHeight="false" outlineLevel="0" collapsed="false">
      <c r="A1121" s="6" t="s">
        <v>3546</v>
      </c>
      <c r="B1121" s="6" t="s">
        <v>3514</v>
      </c>
      <c r="C1121" s="6" t="s">
        <v>21</v>
      </c>
      <c r="D1121" s="6" t="s">
        <v>79</v>
      </c>
      <c r="E1121" s="6" t="s">
        <v>26</v>
      </c>
      <c r="F1121" s="7" t="s">
        <v>3547</v>
      </c>
      <c r="G1121" s="6" t="s">
        <v>3548</v>
      </c>
      <c r="H1121" s="6" t="s">
        <v>6</v>
      </c>
      <c r="I1121" s="8"/>
      <c r="J1121" s="8"/>
      <c r="K1121" s="8"/>
      <c r="L1121" s="9"/>
    </row>
    <row r="1122" customFormat="false" ht="23.85" hidden="false" customHeight="false" outlineLevel="0" collapsed="false">
      <c r="A1122" s="6" t="s">
        <v>3549</v>
      </c>
      <c r="B1122" s="6" t="s">
        <v>3514</v>
      </c>
      <c r="C1122" s="6" t="s">
        <v>21</v>
      </c>
      <c r="D1122" s="6" t="s">
        <v>79</v>
      </c>
      <c r="E1122" s="6" t="s">
        <v>26</v>
      </c>
      <c r="F1122" s="7" t="s">
        <v>3550</v>
      </c>
      <c r="G1122" s="6" t="s">
        <v>3551</v>
      </c>
      <c r="H1122" s="6" t="s">
        <v>8</v>
      </c>
      <c r="I1122" s="8"/>
      <c r="J1122" s="8"/>
      <c r="K1122" s="8"/>
      <c r="L1122" s="9"/>
    </row>
    <row r="1123" customFormat="false" ht="15" hidden="false" customHeight="false" outlineLevel="0" collapsed="false">
      <c r="A1123" s="6" t="s">
        <v>3552</v>
      </c>
      <c r="B1123" s="6" t="s">
        <v>3553</v>
      </c>
      <c r="C1123" s="6" t="s">
        <v>21</v>
      </c>
      <c r="D1123" s="6" t="s">
        <v>331</v>
      </c>
      <c r="E1123" s="6"/>
      <c r="F1123" s="7" t="s">
        <v>3554</v>
      </c>
      <c r="G1123" s="6" t="s">
        <v>3555</v>
      </c>
      <c r="H1123" s="6" t="s">
        <v>6</v>
      </c>
      <c r="I1123" s="8"/>
      <c r="J1123" s="8"/>
      <c r="K1123" s="8"/>
      <c r="L1123" s="9"/>
    </row>
    <row r="1124" customFormat="false" ht="15" hidden="false" customHeight="false" outlineLevel="0" collapsed="false">
      <c r="A1124" s="6" t="s">
        <v>3556</v>
      </c>
      <c r="B1124" s="6" t="s">
        <v>3553</v>
      </c>
      <c r="C1124" s="6" t="s">
        <v>21</v>
      </c>
      <c r="D1124" s="6" t="s">
        <v>331</v>
      </c>
      <c r="E1124" s="6"/>
      <c r="F1124" s="7" t="s">
        <v>3557</v>
      </c>
      <c r="G1124" s="6" t="s">
        <v>640</v>
      </c>
      <c r="H1124" s="6" t="s">
        <v>7</v>
      </c>
      <c r="I1124" s="8"/>
      <c r="J1124" s="8"/>
      <c r="K1124" s="8"/>
      <c r="L1124" s="9"/>
    </row>
    <row r="1125" customFormat="false" ht="15" hidden="false" customHeight="false" outlineLevel="0" collapsed="false">
      <c r="A1125" s="6" t="s">
        <v>3558</v>
      </c>
      <c r="B1125" s="6" t="s">
        <v>3553</v>
      </c>
      <c r="C1125" s="6" t="s">
        <v>21</v>
      </c>
      <c r="D1125" s="6" t="s">
        <v>331</v>
      </c>
      <c r="E1125" s="6"/>
      <c r="F1125" s="7" t="s">
        <v>3559</v>
      </c>
      <c r="G1125" s="6" t="s">
        <v>3560</v>
      </c>
      <c r="H1125" s="6" t="s">
        <v>11</v>
      </c>
      <c r="I1125" s="8"/>
      <c r="J1125" s="8"/>
      <c r="K1125" s="8"/>
      <c r="L1125" s="9"/>
    </row>
    <row r="1126" customFormat="false" ht="23.85" hidden="false" customHeight="false" outlineLevel="0" collapsed="false">
      <c r="A1126" s="6" t="s">
        <v>3561</v>
      </c>
      <c r="B1126" s="6" t="s">
        <v>3562</v>
      </c>
      <c r="C1126" s="6" t="s">
        <v>21</v>
      </c>
      <c r="D1126" s="6" t="s">
        <v>44</v>
      </c>
      <c r="E1126" s="6"/>
      <c r="F1126" s="7" t="s">
        <v>3563</v>
      </c>
      <c r="G1126" s="6" t="s">
        <v>3564</v>
      </c>
      <c r="H1126" s="6" t="s">
        <v>9</v>
      </c>
      <c r="I1126" s="8"/>
      <c r="J1126" s="8"/>
      <c r="K1126" s="8"/>
      <c r="L1126" s="9"/>
    </row>
    <row r="1127" customFormat="false" ht="15" hidden="false" customHeight="false" outlineLevel="0" collapsed="false">
      <c r="A1127" s="6" t="s">
        <v>3565</v>
      </c>
      <c r="B1127" s="6" t="s">
        <v>3566</v>
      </c>
      <c r="C1127" s="6" t="s">
        <v>21</v>
      </c>
      <c r="D1127" s="6" t="s">
        <v>331</v>
      </c>
      <c r="E1127" s="6" t="s">
        <v>90</v>
      </c>
      <c r="F1127" s="7" t="s">
        <v>3567</v>
      </c>
      <c r="G1127" s="6" t="s">
        <v>3054</v>
      </c>
      <c r="H1127" s="6" t="s">
        <v>6</v>
      </c>
      <c r="I1127" s="8"/>
      <c r="J1127" s="8"/>
      <c r="K1127" s="8"/>
      <c r="L1127" s="9"/>
    </row>
    <row r="1128" customFormat="false" ht="23.85" hidden="false" customHeight="false" outlineLevel="0" collapsed="false">
      <c r="A1128" s="6" t="s">
        <v>3568</v>
      </c>
      <c r="B1128" s="6" t="s">
        <v>3566</v>
      </c>
      <c r="C1128" s="6" t="s">
        <v>21</v>
      </c>
      <c r="D1128" s="6" t="s">
        <v>331</v>
      </c>
      <c r="E1128" s="6" t="s">
        <v>90</v>
      </c>
      <c r="F1128" s="7" t="s">
        <v>3569</v>
      </c>
      <c r="G1128" s="6" t="s">
        <v>3570</v>
      </c>
      <c r="H1128" s="6" t="s">
        <v>8</v>
      </c>
      <c r="I1128" s="8"/>
      <c r="J1128" s="8"/>
      <c r="K1128" s="8"/>
      <c r="L1128" s="9"/>
    </row>
    <row r="1129" customFormat="false" ht="23.85" hidden="false" customHeight="false" outlineLevel="0" collapsed="false">
      <c r="A1129" s="6" t="s">
        <v>3571</v>
      </c>
      <c r="B1129" s="6" t="s">
        <v>3566</v>
      </c>
      <c r="C1129" s="6" t="s">
        <v>21</v>
      </c>
      <c r="D1129" s="6" t="s">
        <v>331</v>
      </c>
      <c r="E1129" s="6" t="s">
        <v>90</v>
      </c>
      <c r="F1129" s="7" t="s">
        <v>3572</v>
      </c>
      <c r="G1129" s="6" t="s">
        <v>3573</v>
      </c>
      <c r="H1129" s="6" t="s">
        <v>8</v>
      </c>
      <c r="I1129" s="8"/>
      <c r="J1129" s="8"/>
      <c r="K1129" s="8"/>
      <c r="L1129" s="9"/>
    </row>
    <row r="1130" customFormat="false" ht="23.85" hidden="false" customHeight="false" outlineLevel="0" collapsed="false">
      <c r="A1130" s="6" t="s">
        <v>3574</v>
      </c>
      <c r="B1130" s="6" t="s">
        <v>3566</v>
      </c>
      <c r="C1130" s="6" t="s">
        <v>21</v>
      </c>
      <c r="D1130" s="6" t="s">
        <v>331</v>
      </c>
      <c r="E1130" s="6" t="s">
        <v>90</v>
      </c>
      <c r="F1130" s="7" t="s">
        <v>3575</v>
      </c>
      <c r="G1130" s="6" t="s">
        <v>2154</v>
      </c>
      <c r="H1130" s="6" t="s">
        <v>6</v>
      </c>
      <c r="I1130" s="8"/>
      <c r="J1130" s="8"/>
      <c r="K1130" s="8"/>
      <c r="L1130" s="9"/>
    </row>
    <row r="1131" customFormat="false" ht="23.85" hidden="false" customHeight="false" outlineLevel="0" collapsed="false">
      <c r="A1131" s="6" t="s">
        <v>3576</v>
      </c>
      <c r="B1131" s="6" t="s">
        <v>3566</v>
      </c>
      <c r="C1131" s="6" t="s">
        <v>21</v>
      </c>
      <c r="D1131" s="6" t="s">
        <v>331</v>
      </c>
      <c r="E1131" s="6" t="s">
        <v>90</v>
      </c>
      <c r="F1131" s="7" t="s">
        <v>3577</v>
      </c>
      <c r="G1131" s="6" t="s">
        <v>3578</v>
      </c>
      <c r="H1131" s="6" t="s">
        <v>6</v>
      </c>
      <c r="I1131" s="8"/>
      <c r="J1131" s="8"/>
      <c r="K1131" s="8"/>
      <c r="L1131" s="9"/>
    </row>
    <row r="1132" customFormat="false" ht="15" hidden="false" customHeight="false" outlineLevel="0" collapsed="false">
      <c r="A1132" s="6" t="s">
        <v>3579</v>
      </c>
      <c r="B1132" s="6" t="s">
        <v>3566</v>
      </c>
      <c r="C1132" s="6" t="s">
        <v>21</v>
      </c>
      <c r="D1132" s="6" t="s">
        <v>331</v>
      </c>
      <c r="E1132" s="6" t="s">
        <v>90</v>
      </c>
      <c r="F1132" s="7" t="s">
        <v>3580</v>
      </c>
      <c r="G1132" s="6" t="s">
        <v>1717</v>
      </c>
      <c r="H1132" s="6" t="s">
        <v>6</v>
      </c>
      <c r="I1132" s="8"/>
      <c r="J1132" s="8"/>
      <c r="K1132" s="8"/>
      <c r="L1132" s="9"/>
    </row>
    <row r="1133" customFormat="false" ht="23.85" hidden="false" customHeight="false" outlineLevel="0" collapsed="false">
      <c r="A1133" s="6" t="s">
        <v>3581</v>
      </c>
      <c r="B1133" s="6" t="s">
        <v>3582</v>
      </c>
      <c r="C1133" s="6" t="s">
        <v>21</v>
      </c>
      <c r="D1133" s="6" t="s">
        <v>85</v>
      </c>
      <c r="E1133" s="6" t="s">
        <v>50</v>
      </c>
      <c r="F1133" s="7" t="s">
        <v>3583</v>
      </c>
      <c r="G1133" s="6" t="s">
        <v>3584</v>
      </c>
      <c r="H1133" s="6" t="s">
        <v>6</v>
      </c>
      <c r="I1133" s="8"/>
      <c r="J1133" s="8"/>
      <c r="K1133" s="8"/>
      <c r="L1133" s="9"/>
    </row>
    <row r="1134" customFormat="false" ht="23.85" hidden="false" customHeight="false" outlineLevel="0" collapsed="false">
      <c r="A1134" s="6" t="s">
        <v>3585</v>
      </c>
      <c r="B1134" s="6" t="s">
        <v>3582</v>
      </c>
      <c r="C1134" s="6" t="s">
        <v>21</v>
      </c>
      <c r="D1134" s="6" t="s">
        <v>85</v>
      </c>
      <c r="E1134" s="6" t="s">
        <v>50</v>
      </c>
      <c r="F1134" s="7" t="s">
        <v>3586</v>
      </c>
      <c r="G1134" s="6" t="s">
        <v>3587</v>
      </c>
      <c r="H1134" s="6" t="s">
        <v>8</v>
      </c>
      <c r="I1134" s="8"/>
      <c r="J1134" s="8"/>
      <c r="K1134" s="8"/>
      <c r="L1134" s="9"/>
    </row>
    <row r="1135" customFormat="false" ht="23.85" hidden="false" customHeight="false" outlineLevel="0" collapsed="false">
      <c r="A1135" s="6" t="s">
        <v>3588</v>
      </c>
      <c r="B1135" s="6" t="s">
        <v>3582</v>
      </c>
      <c r="C1135" s="6" t="s">
        <v>21</v>
      </c>
      <c r="D1135" s="6" t="s">
        <v>85</v>
      </c>
      <c r="E1135" s="6" t="s">
        <v>50</v>
      </c>
      <c r="F1135" s="7" t="s">
        <v>3589</v>
      </c>
      <c r="G1135" s="6" t="s">
        <v>3590</v>
      </c>
      <c r="H1135" s="6" t="s">
        <v>6</v>
      </c>
      <c r="I1135" s="8"/>
      <c r="J1135" s="8"/>
      <c r="K1135" s="8"/>
      <c r="L1135" s="9"/>
    </row>
    <row r="1136" customFormat="false" ht="15" hidden="false" customHeight="false" outlineLevel="0" collapsed="false">
      <c r="A1136" s="6" t="s">
        <v>3591</v>
      </c>
      <c r="B1136" s="6" t="s">
        <v>3582</v>
      </c>
      <c r="C1136" s="6" t="s">
        <v>21</v>
      </c>
      <c r="D1136" s="6" t="s">
        <v>85</v>
      </c>
      <c r="E1136" s="6" t="s">
        <v>50</v>
      </c>
      <c r="F1136" s="7" t="s">
        <v>3592</v>
      </c>
      <c r="G1136" s="6" t="s">
        <v>3593</v>
      </c>
      <c r="H1136" s="6" t="s">
        <v>6</v>
      </c>
      <c r="I1136" s="8"/>
      <c r="J1136" s="8"/>
      <c r="K1136" s="8"/>
      <c r="L1136" s="9"/>
    </row>
    <row r="1137" customFormat="false" ht="15" hidden="false" customHeight="false" outlineLevel="0" collapsed="false">
      <c r="A1137" s="6" t="s">
        <v>3594</v>
      </c>
      <c r="B1137" s="6" t="s">
        <v>3582</v>
      </c>
      <c r="C1137" s="6" t="s">
        <v>21</v>
      </c>
      <c r="D1137" s="6" t="s">
        <v>85</v>
      </c>
      <c r="E1137" s="6" t="s">
        <v>50</v>
      </c>
      <c r="F1137" s="7" t="s">
        <v>3595</v>
      </c>
      <c r="G1137" s="6" t="s">
        <v>3596</v>
      </c>
      <c r="H1137" s="6" t="s">
        <v>9</v>
      </c>
      <c r="I1137" s="8"/>
      <c r="J1137" s="8"/>
      <c r="K1137" s="8"/>
      <c r="L1137" s="9"/>
    </row>
    <row r="1138" customFormat="false" ht="15" hidden="false" customHeight="false" outlineLevel="0" collapsed="false">
      <c r="A1138" s="6" t="s">
        <v>3597</v>
      </c>
      <c r="B1138" s="6" t="s">
        <v>3598</v>
      </c>
      <c r="C1138" s="6" t="s">
        <v>21</v>
      </c>
      <c r="D1138" s="6" t="s">
        <v>49</v>
      </c>
      <c r="E1138" s="6"/>
      <c r="F1138" s="7" t="s">
        <v>3599</v>
      </c>
      <c r="G1138" s="6" t="s">
        <v>2469</v>
      </c>
      <c r="H1138" s="6" t="s">
        <v>6</v>
      </c>
      <c r="I1138" s="8"/>
      <c r="J1138" s="8"/>
      <c r="K1138" s="8"/>
      <c r="L1138" s="9"/>
    </row>
    <row r="1139" customFormat="false" ht="15" hidden="false" customHeight="false" outlineLevel="0" collapsed="false">
      <c r="A1139" s="6" t="s">
        <v>3600</v>
      </c>
      <c r="B1139" s="6" t="s">
        <v>3598</v>
      </c>
      <c r="C1139" s="6" t="s">
        <v>21</v>
      </c>
      <c r="D1139" s="6" t="s">
        <v>49</v>
      </c>
      <c r="E1139" s="6"/>
      <c r="F1139" s="7" t="s">
        <v>3601</v>
      </c>
      <c r="G1139" s="6" t="s">
        <v>3602</v>
      </c>
      <c r="H1139" s="6" t="s">
        <v>6</v>
      </c>
      <c r="I1139" s="8"/>
      <c r="J1139" s="8"/>
      <c r="K1139" s="8"/>
      <c r="L1139" s="9"/>
    </row>
    <row r="1140" customFormat="false" ht="23.85" hidden="false" customHeight="false" outlineLevel="0" collapsed="false">
      <c r="A1140" s="6" t="s">
        <v>3603</v>
      </c>
      <c r="B1140" s="6" t="s">
        <v>3598</v>
      </c>
      <c r="C1140" s="6" t="s">
        <v>21</v>
      </c>
      <c r="D1140" s="6" t="s">
        <v>49</v>
      </c>
      <c r="E1140" s="6"/>
      <c r="F1140" s="7" t="s">
        <v>3604</v>
      </c>
      <c r="G1140" s="6" t="s">
        <v>3605</v>
      </c>
      <c r="H1140" s="6" t="s">
        <v>8</v>
      </c>
      <c r="I1140" s="8"/>
      <c r="J1140" s="8"/>
      <c r="K1140" s="8"/>
      <c r="L1140" s="9"/>
    </row>
    <row r="1141" customFormat="false" ht="23.85" hidden="false" customHeight="false" outlineLevel="0" collapsed="false">
      <c r="A1141" s="6" t="s">
        <v>3606</v>
      </c>
      <c r="B1141" s="6" t="s">
        <v>3598</v>
      </c>
      <c r="C1141" s="6" t="s">
        <v>21</v>
      </c>
      <c r="D1141" s="6" t="s">
        <v>49</v>
      </c>
      <c r="E1141" s="6"/>
      <c r="F1141" s="7" t="s">
        <v>3607</v>
      </c>
      <c r="G1141" s="6" t="s">
        <v>3608</v>
      </c>
      <c r="H1141" s="6" t="s">
        <v>6</v>
      </c>
      <c r="I1141" s="8"/>
      <c r="J1141" s="8"/>
      <c r="K1141" s="8"/>
      <c r="L1141" s="9"/>
    </row>
    <row r="1142" customFormat="false" ht="23.85" hidden="false" customHeight="false" outlineLevel="0" collapsed="false">
      <c r="A1142" s="6" t="s">
        <v>3609</v>
      </c>
      <c r="B1142" s="6" t="s">
        <v>3598</v>
      </c>
      <c r="C1142" s="6" t="s">
        <v>21</v>
      </c>
      <c r="D1142" s="6" t="s">
        <v>49</v>
      </c>
      <c r="E1142" s="6"/>
      <c r="F1142" s="7" t="s">
        <v>3610</v>
      </c>
      <c r="G1142" s="6" t="s">
        <v>3611</v>
      </c>
      <c r="H1142" s="6" t="s">
        <v>8</v>
      </c>
      <c r="I1142" s="8"/>
      <c r="J1142" s="8"/>
      <c r="K1142" s="8"/>
      <c r="L1142" s="9"/>
    </row>
    <row r="1143" customFormat="false" ht="15" hidden="false" customHeight="false" outlineLevel="0" collapsed="false">
      <c r="A1143" s="6" t="s">
        <v>3612</v>
      </c>
      <c r="B1143" s="6" t="s">
        <v>3598</v>
      </c>
      <c r="C1143" s="6" t="s">
        <v>21</v>
      </c>
      <c r="D1143" s="6" t="s">
        <v>49</v>
      </c>
      <c r="E1143" s="6"/>
      <c r="F1143" s="7" t="s">
        <v>3613</v>
      </c>
      <c r="G1143" s="6" t="s">
        <v>3614</v>
      </c>
      <c r="H1143" s="6" t="s">
        <v>6</v>
      </c>
      <c r="I1143" s="8"/>
      <c r="J1143" s="8"/>
      <c r="K1143" s="8"/>
      <c r="L1143" s="9"/>
    </row>
    <row r="1144" customFormat="false" ht="23.85" hidden="false" customHeight="false" outlineLevel="0" collapsed="false">
      <c r="A1144" s="6" t="s">
        <v>3615</v>
      </c>
      <c r="B1144" s="6" t="s">
        <v>3598</v>
      </c>
      <c r="C1144" s="6" t="s">
        <v>21</v>
      </c>
      <c r="D1144" s="6" t="s">
        <v>49</v>
      </c>
      <c r="E1144" s="6"/>
      <c r="F1144" s="7" t="s">
        <v>3616</v>
      </c>
      <c r="G1144" s="6" t="s">
        <v>3617</v>
      </c>
      <c r="H1144" s="6" t="s">
        <v>8</v>
      </c>
      <c r="I1144" s="8"/>
      <c r="J1144" s="8"/>
      <c r="K1144" s="8"/>
      <c r="L1144" s="9"/>
    </row>
    <row r="1145" customFormat="false" ht="15" hidden="false" customHeight="false" outlineLevel="0" collapsed="false">
      <c r="A1145" s="6" t="s">
        <v>3618</v>
      </c>
      <c r="B1145" s="6" t="s">
        <v>3598</v>
      </c>
      <c r="C1145" s="6" t="s">
        <v>21</v>
      </c>
      <c r="D1145" s="6" t="s">
        <v>49</v>
      </c>
      <c r="E1145" s="6"/>
      <c r="F1145" s="7" t="s">
        <v>3619</v>
      </c>
      <c r="G1145" s="6" t="s">
        <v>3620</v>
      </c>
      <c r="H1145" s="6" t="s">
        <v>6</v>
      </c>
      <c r="I1145" s="8"/>
      <c r="J1145" s="8"/>
      <c r="K1145" s="8"/>
      <c r="L1145" s="9"/>
    </row>
    <row r="1146" customFormat="false" ht="23.85" hidden="false" customHeight="false" outlineLevel="0" collapsed="false">
      <c r="A1146" s="6" t="s">
        <v>3621</v>
      </c>
      <c r="B1146" s="6" t="s">
        <v>3598</v>
      </c>
      <c r="C1146" s="6" t="s">
        <v>21</v>
      </c>
      <c r="D1146" s="6" t="s">
        <v>49</v>
      </c>
      <c r="E1146" s="6"/>
      <c r="F1146" s="7" t="s">
        <v>3622</v>
      </c>
      <c r="G1146" s="6" t="s">
        <v>3623</v>
      </c>
      <c r="H1146" s="6" t="s">
        <v>6</v>
      </c>
      <c r="I1146" s="8"/>
      <c r="J1146" s="8"/>
      <c r="K1146" s="8"/>
      <c r="L1146" s="9"/>
    </row>
    <row r="1147" customFormat="false" ht="15" hidden="false" customHeight="false" outlineLevel="0" collapsed="false">
      <c r="A1147" s="6" t="s">
        <v>3624</v>
      </c>
      <c r="B1147" s="6" t="s">
        <v>3598</v>
      </c>
      <c r="C1147" s="6" t="s">
        <v>21</v>
      </c>
      <c r="D1147" s="6" t="s">
        <v>49</v>
      </c>
      <c r="E1147" s="6"/>
      <c r="F1147" s="7" t="s">
        <v>3625</v>
      </c>
      <c r="G1147" s="6" t="s">
        <v>3626</v>
      </c>
      <c r="H1147" s="6" t="s">
        <v>6</v>
      </c>
      <c r="I1147" s="8"/>
      <c r="J1147" s="8"/>
      <c r="K1147" s="8"/>
      <c r="L1147" s="9"/>
    </row>
    <row r="1148" customFormat="false" ht="15" hidden="false" customHeight="false" outlineLevel="0" collapsed="false">
      <c r="A1148" s="6" t="s">
        <v>3627</v>
      </c>
      <c r="B1148" s="6" t="s">
        <v>3598</v>
      </c>
      <c r="C1148" s="6" t="s">
        <v>21</v>
      </c>
      <c r="D1148" s="6" t="s">
        <v>49</v>
      </c>
      <c r="E1148" s="6"/>
      <c r="F1148" s="7" t="s">
        <v>3628</v>
      </c>
      <c r="G1148" s="6" t="s">
        <v>3629</v>
      </c>
      <c r="H1148" s="6" t="s">
        <v>6</v>
      </c>
      <c r="I1148" s="8"/>
      <c r="J1148" s="8"/>
      <c r="K1148" s="8"/>
      <c r="L1148" s="9"/>
    </row>
    <row r="1149" customFormat="false" ht="15" hidden="false" customHeight="false" outlineLevel="0" collapsed="false">
      <c r="A1149" s="6" t="s">
        <v>3630</v>
      </c>
      <c r="B1149" s="6" t="s">
        <v>3598</v>
      </c>
      <c r="C1149" s="6" t="s">
        <v>21</v>
      </c>
      <c r="D1149" s="6" t="s">
        <v>49</v>
      </c>
      <c r="E1149" s="6"/>
      <c r="F1149" s="7" t="s">
        <v>3631</v>
      </c>
      <c r="G1149" s="6" t="s">
        <v>3632</v>
      </c>
      <c r="H1149" s="6" t="s">
        <v>6</v>
      </c>
      <c r="I1149" s="8"/>
      <c r="J1149" s="8"/>
      <c r="K1149" s="8"/>
      <c r="L1149" s="9"/>
    </row>
    <row r="1150" customFormat="false" ht="15" hidden="false" customHeight="false" outlineLevel="0" collapsed="false">
      <c r="A1150" s="6" t="s">
        <v>3633</v>
      </c>
      <c r="B1150" s="6" t="s">
        <v>3598</v>
      </c>
      <c r="C1150" s="6" t="s">
        <v>21</v>
      </c>
      <c r="D1150" s="6" t="s">
        <v>49</v>
      </c>
      <c r="E1150" s="6"/>
      <c r="F1150" s="7" t="s">
        <v>3634</v>
      </c>
      <c r="G1150" s="6" t="s">
        <v>3635</v>
      </c>
      <c r="H1150" s="6" t="s">
        <v>6</v>
      </c>
      <c r="I1150" s="8"/>
      <c r="J1150" s="8"/>
      <c r="K1150" s="8"/>
      <c r="L1150" s="9"/>
    </row>
    <row r="1151" customFormat="false" ht="23.85" hidden="false" customHeight="false" outlineLevel="0" collapsed="false">
      <c r="A1151" s="6" t="s">
        <v>3636</v>
      </c>
      <c r="B1151" s="6" t="s">
        <v>3598</v>
      </c>
      <c r="C1151" s="6" t="s">
        <v>21</v>
      </c>
      <c r="D1151" s="6" t="s">
        <v>49</v>
      </c>
      <c r="E1151" s="6"/>
      <c r="F1151" s="7" t="s">
        <v>3637</v>
      </c>
      <c r="G1151" s="6" t="s">
        <v>3638</v>
      </c>
      <c r="H1151" s="6" t="s">
        <v>8</v>
      </c>
      <c r="I1151" s="8"/>
      <c r="J1151" s="8"/>
      <c r="K1151" s="8"/>
      <c r="L1151" s="9"/>
    </row>
    <row r="1152" customFormat="false" ht="23.85" hidden="false" customHeight="false" outlineLevel="0" collapsed="false">
      <c r="A1152" s="6" t="s">
        <v>3639</v>
      </c>
      <c r="B1152" s="6" t="s">
        <v>3598</v>
      </c>
      <c r="C1152" s="6" t="s">
        <v>21</v>
      </c>
      <c r="D1152" s="6" t="s">
        <v>49</v>
      </c>
      <c r="E1152" s="6"/>
      <c r="F1152" s="7" t="s">
        <v>3640</v>
      </c>
      <c r="G1152" s="6" t="s">
        <v>3641</v>
      </c>
      <c r="H1152" s="6" t="s">
        <v>8</v>
      </c>
      <c r="I1152" s="8"/>
      <c r="J1152" s="8"/>
      <c r="K1152" s="8"/>
      <c r="L1152" s="9"/>
    </row>
    <row r="1153" customFormat="false" ht="15" hidden="false" customHeight="false" outlineLevel="0" collapsed="false">
      <c r="A1153" s="6" t="s">
        <v>3642</v>
      </c>
      <c r="B1153" s="6" t="s">
        <v>3598</v>
      </c>
      <c r="C1153" s="6" t="s">
        <v>21</v>
      </c>
      <c r="D1153" s="6" t="s">
        <v>49</v>
      </c>
      <c r="E1153" s="6"/>
      <c r="F1153" s="7" t="s">
        <v>3643</v>
      </c>
      <c r="G1153" s="6" t="s">
        <v>3644</v>
      </c>
      <c r="H1153" s="6" t="s">
        <v>8</v>
      </c>
      <c r="I1153" s="8"/>
      <c r="J1153" s="8"/>
      <c r="K1153" s="8"/>
      <c r="L1153" s="9"/>
    </row>
    <row r="1154" customFormat="false" ht="15" hidden="false" customHeight="false" outlineLevel="0" collapsed="false">
      <c r="A1154" s="6" t="s">
        <v>3645</v>
      </c>
      <c r="B1154" s="6" t="s">
        <v>3646</v>
      </c>
      <c r="C1154" s="6" t="s">
        <v>21</v>
      </c>
      <c r="D1154" s="6" t="s">
        <v>331</v>
      </c>
      <c r="E1154" s="6" t="s">
        <v>27</v>
      </c>
      <c r="F1154" s="7" t="s">
        <v>3647</v>
      </c>
      <c r="G1154" s="6" t="s">
        <v>3648</v>
      </c>
      <c r="H1154" s="6" t="s">
        <v>6</v>
      </c>
      <c r="I1154" s="8"/>
      <c r="J1154" s="8"/>
      <c r="K1154" s="8"/>
      <c r="L1154" s="9"/>
    </row>
    <row r="1155" customFormat="false" ht="15" hidden="false" customHeight="false" outlineLevel="0" collapsed="false">
      <c r="A1155" s="6" t="s">
        <v>3649</v>
      </c>
      <c r="B1155" s="6" t="s">
        <v>3646</v>
      </c>
      <c r="C1155" s="6" t="s">
        <v>21</v>
      </c>
      <c r="D1155" s="6" t="s">
        <v>331</v>
      </c>
      <c r="E1155" s="6" t="s">
        <v>27</v>
      </c>
      <c r="F1155" s="7" t="s">
        <v>3650</v>
      </c>
      <c r="G1155" s="6" t="s">
        <v>3651</v>
      </c>
      <c r="H1155" s="6" t="s">
        <v>6</v>
      </c>
      <c r="I1155" s="8"/>
      <c r="J1155" s="8"/>
      <c r="K1155" s="8"/>
      <c r="L1155" s="9"/>
    </row>
    <row r="1156" customFormat="false" ht="23.85" hidden="false" customHeight="false" outlineLevel="0" collapsed="false">
      <c r="A1156" s="6" t="s">
        <v>3652</v>
      </c>
      <c r="B1156" s="6" t="s">
        <v>3646</v>
      </c>
      <c r="C1156" s="6" t="s">
        <v>21</v>
      </c>
      <c r="D1156" s="6" t="s">
        <v>331</v>
      </c>
      <c r="E1156" s="6" t="s">
        <v>27</v>
      </c>
      <c r="F1156" s="7" t="s">
        <v>3653</v>
      </c>
      <c r="G1156" s="6" t="s">
        <v>3654</v>
      </c>
      <c r="H1156" s="6" t="s">
        <v>6</v>
      </c>
      <c r="I1156" s="8"/>
      <c r="J1156" s="8"/>
      <c r="K1156" s="8"/>
      <c r="L1156" s="9"/>
    </row>
    <row r="1157" customFormat="false" ht="23.85" hidden="false" customHeight="false" outlineLevel="0" collapsed="false">
      <c r="A1157" s="6" t="s">
        <v>3655</v>
      </c>
      <c r="B1157" s="6" t="s">
        <v>3646</v>
      </c>
      <c r="C1157" s="6" t="s">
        <v>21</v>
      </c>
      <c r="D1157" s="6" t="s">
        <v>331</v>
      </c>
      <c r="E1157" s="6" t="s">
        <v>27</v>
      </c>
      <c r="F1157" s="7" t="s">
        <v>3656</v>
      </c>
      <c r="G1157" s="6" t="s">
        <v>3657</v>
      </c>
      <c r="H1157" s="6" t="s">
        <v>8</v>
      </c>
      <c r="I1157" s="8"/>
      <c r="J1157" s="8"/>
      <c r="K1157" s="8"/>
      <c r="L1157" s="9"/>
    </row>
    <row r="1158" customFormat="false" ht="35.05" hidden="false" customHeight="false" outlineLevel="0" collapsed="false">
      <c r="A1158" s="6" t="s">
        <v>3658</v>
      </c>
      <c r="B1158" s="6" t="s">
        <v>3646</v>
      </c>
      <c r="C1158" s="6" t="s">
        <v>21</v>
      </c>
      <c r="D1158" s="6" t="s">
        <v>331</v>
      </c>
      <c r="E1158" s="6" t="s">
        <v>27</v>
      </c>
      <c r="F1158" s="7" t="s">
        <v>3659</v>
      </c>
      <c r="G1158" s="6" t="s">
        <v>3660</v>
      </c>
      <c r="H1158" s="6" t="s">
        <v>6</v>
      </c>
      <c r="I1158" s="8"/>
      <c r="J1158" s="8"/>
      <c r="K1158" s="8"/>
      <c r="L1158" s="9"/>
    </row>
    <row r="1159" customFormat="false" ht="23.85" hidden="false" customHeight="false" outlineLevel="0" collapsed="false">
      <c r="A1159" s="6" t="s">
        <v>3661</v>
      </c>
      <c r="B1159" s="6" t="s">
        <v>3646</v>
      </c>
      <c r="C1159" s="6" t="s">
        <v>21</v>
      </c>
      <c r="D1159" s="6" t="s">
        <v>331</v>
      </c>
      <c r="E1159" s="6" t="s">
        <v>27</v>
      </c>
      <c r="F1159" s="7" t="s">
        <v>3662</v>
      </c>
      <c r="G1159" s="6" t="s">
        <v>3663</v>
      </c>
      <c r="H1159" s="6" t="s">
        <v>8</v>
      </c>
      <c r="I1159" s="8"/>
      <c r="J1159" s="8"/>
      <c r="K1159" s="8"/>
      <c r="L1159" s="9"/>
    </row>
    <row r="1160" customFormat="false" ht="23.85" hidden="false" customHeight="false" outlineLevel="0" collapsed="false">
      <c r="A1160" s="6" t="s">
        <v>3664</v>
      </c>
      <c r="B1160" s="6" t="s">
        <v>3646</v>
      </c>
      <c r="C1160" s="6" t="s">
        <v>21</v>
      </c>
      <c r="D1160" s="6" t="s">
        <v>331</v>
      </c>
      <c r="E1160" s="6" t="s">
        <v>27</v>
      </c>
      <c r="F1160" s="7" t="s">
        <v>3665</v>
      </c>
      <c r="G1160" s="6" t="s">
        <v>3666</v>
      </c>
      <c r="H1160" s="6" t="s">
        <v>6</v>
      </c>
      <c r="I1160" s="8"/>
      <c r="J1160" s="8"/>
      <c r="K1160" s="8"/>
      <c r="L1160" s="9"/>
    </row>
    <row r="1161" customFormat="false" ht="15" hidden="false" customHeight="false" outlineLevel="0" collapsed="false">
      <c r="A1161" s="6" t="s">
        <v>3667</v>
      </c>
      <c r="B1161" s="6" t="s">
        <v>3646</v>
      </c>
      <c r="C1161" s="6" t="s">
        <v>21</v>
      </c>
      <c r="D1161" s="6" t="s">
        <v>331</v>
      </c>
      <c r="E1161" s="6" t="s">
        <v>27</v>
      </c>
      <c r="F1161" s="7" t="s">
        <v>3668</v>
      </c>
      <c r="G1161" s="6" t="s">
        <v>3669</v>
      </c>
      <c r="H1161" s="6" t="s">
        <v>6</v>
      </c>
      <c r="I1161" s="8"/>
      <c r="J1161" s="8"/>
      <c r="K1161" s="8"/>
      <c r="L1161" s="9"/>
    </row>
    <row r="1162" customFormat="false" ht="23.85" hidden="false" customHeight="false" outlineLevel="0" collapsed="false">
      <c r="A1162" s="6" t="s">
        <v>3670</v>
      </c>
      <c r="B1162" s="6" t="s">
        <v>3671</v>
      </c>
      <c r="C1162" s="6" t="s">
        <v>21</v>
      </c>
      <c r="D1162" s="6" t="s">
        <v>85</v>
      </c>
      <c r="E1162" s="6"/>
      <c r="F1162" s="7" t="s">
        <v>3672</v>
      </c>
      <c r="G1162" s="6" t="s">
        <v>1387</v>
      </c>
      <c r="H1162" s="6" t="s">
        <v>6</v>
      </c>
      <c r="I1162" s="8"/>
      <c r="J1162" s="8"/>
      <c r="K1162" s="8"/>
      <c r="L1162" s="9"/>
    </row>
    <row r="1163" customFormat="false" ht="15" hidden="false" customHeight="false" outlineLevel="0" collapsed="false">
      <c r="A1163" s="6" t="s">
        <v>3673</v>
      </c>
      <c r="B1163" s="6" t="s">
        <v>3671</v>
      </c>
      <c r="C1163" s="6" t="s">
        <v>21</v>
      </c>
      <c r="D1163" s="6" t="s">
        <v>85</v>
      </c>
      <c r="E1163" s="6"/>
      <c r="F1163" s="7" t="s">
        <v>3674</v>
      </c>
      <c r="G1163" s="6" t="s">
        <v>556</v>
      </c>
      <c r="H1163" s="6" t="s">
        <v>6</v>
      </c>
      <c r="I1163" s="8"/>
      <c r="J1163" s="8"/>
      <c r="K1163" s="8"/>
      <c r="L1163" s="9"/>
    </row>
    <row r="1164" customFormat="false" ht="15" hidden="false" customHeight="false" outlineLevel="0" collapsed="false">
      <c r="A1164" s="6" t="s">
        <v>3675</v>
      </c>
      <c r="B1164" s="6" t="s">
        <v>3671</v>
      </c>
      <c r="C1164" s="6" t="s">
        <v>21</v>
      </c>
      <c r="D1164" s="6" t="s">
        <v>85</v>
      </c>
      <c r="E1164" s="6"/>
      <c r="F1164" s="7" t="s">
        <v>3676</v>
      </c>
      <c r="G1164" s="6" t="s">
        <v>3677</v>
      </c>
      <c r="H1164" s="6" t="s">
        <v>7</v>
      </c>
      <c r="I1164" s="8"/>
      <c r="J1164" s="8"/>
      <c r="K1164" s="8"/>
      <c r="L1164" s="9"/>
    </row>
    <row r="1165" customFormat="false" ht="23.85" hidden="false" customHeight="false" outlineLevel="0" collapsed="false">
      <c r="A1165" s="6" t="s">
        <v>3678</v>
      </c>
      <c r="B1165" s="6" t="s">
        <v>3671</v>
      </c>
      <c r="C1165" s="6" t="s">
        <v>21</v>
      </c>
      <c r="D1165" s="6" t="s">
        <v>85</v>
      </c>
      <c r="E1165" s="6"/>
      <c r="F1165" s="7" t="s">
        <v>3679</v>
      </c>
      <c r="G1165" s="6" t="s">
        <v>3680</v>
      </c>
      <c r="H1165" s="6" t="s">
        <v>6</v>
      </c>
      <c r="I1165" s="8"/>
      <c r="J1165" s="8"/>
      <c r="K1165" s="8"/>
      <c r="L1165" s="9"/>
    </row>
    <row r="1166" customFormat="false" ht="15" hidden="false" customHeight="false" outlineLevel="0" collapsed="false">
      <c r="A1166" s="6" t="s">
        <v>3681</v>
      </c>
      <c r="B1166" s="6" t="s">
        <v>3671</v>
      </c>
      <c r="C1166" s="6" t="s">
        <v>21</v>
      </c>
      <c r="D1166" s="6" t="s">
        <v>85</v>
      </c>
      <c r="E1166" s="6"/>
      <c r="F1166" s="7" t="s">
        <v>3682</v>
      </c>
      <c r="G1166" s="6" t="s">
        <v>3683</v>
      </c>
      <c r="H1166" s="6" t="s">
        <v>6</v>
      </c>
      <c r="I1166" s="8"/>
      <c r="J1166" s="8"/>
      <c r="K1166" s="8"/>
      <c r="L1166" s="9"/>
    </row>
    <row r="1167" customFormat="false" ht="23.85" hidden="false" customHeight="false" outlineLevel="0" collapsed="false">
      <c r="A1167" s="6" t="s">
        <v>3684</v>
      </c>
      <c r="B1167" s="6" t="s">
        <v>3671</v>
      </c>
      <c r="C1167" s="6" t="s">
        <v>21</v>
      </c>
      <c r="D1167" s="6" t="s">
        <v>85</v>
      </c>
      <c r="E1167" s="6"/>
      <c r="F1167" s="7" t="s">
        <v>3685</v>
      </c>
      <c r="G1167" s="6" t="s">
        <v>1983</v>
      </c>
      <c r="H1167" s="6" t="s">
        <v>6</v>
      </c>
      <c r="I1167" s="8"/>
      <c r="J1167" s="8"/>
      <c r="K1167" s="8"/>
      <c r="L1167" s="9"/>
    </row>
    <row r="1168" customFormat="false" ht="15" hidden="false" customHeight="false" outlineLevel="0" collapsed="false">
      <c r="A1168" s="6" t="s">
        <v>3686</v>
      </c>
      <c r="B1168" s="6" t="s">
        <v>3671</v>
      </c>
      <c r="C1168" s="6" t="s">
        <v>21</v>
      </c>
      <c r="D1168" s="6" t="s">
        <v>85</v>
      </c>
      <c r="E1168" s="6"/>
      <c r="F1168" s="7" t="s">
        <v>3687</v>
      </c>
      <c r="G1168" s="6" t="s">
        <v>1946</v>
      </c>
      <c r="H1168" s="6" t="s">
        <v>6</v>
      </c>
      <c r="I1168" s="8"/>
      <c r="J1168" s="8"/>
      <c r="K1168" s="8"/>
      <c r="L1168" s="9"/>
    </row>
    <row r="1169" customFormat="false" ht="35.05" hidden="false" customHeight="false" outlineLevel="0" collapsed="false">
      <c r="A1169" s="6" t="s">
        <v>3688</v>
      </c>
      <c r="B1169" s="6" t="s">
        <v>3689</v>
      </c>
      <c r="C1169" s="6" t="s">
        <v>21</v>
      </c>
      <c r="D1169" s="6" t="s">
        <v>230</v>
      </c>
      <c r="E1169" s="6" t="s">
        <v>26</v>
      </c>
      <c r="F1169" s="7" t="s">
        <v>3690</v>
      </c>
      <c r="G1169" s="6" t="s">
        <v>3691</v>
      </c>
      <c r="H1169" s="6" t="s">
        <v>6</v>
      </c>
      <c r="I1169" s="8"/>
      <c r="J1169" s="8"/>
      <c r="K1169" s="8"/>
      <c r="L1169" s="9"/>
    </row>
    <row r="1170" customFormat="false" ht="15" hidden="false" customHeight="false" outlineLevel="0" collapsed="false">
      <c r="A1170" s="6" t="s">
        <v>3692</v>
      </c>
      <c r="B1170" s="6" t="s">
        <v>3689</v>
      </c>
      <c r="C1170" s="6" t="s">
        <v>21</v>
      </c>
      <c r="D1170" s="6" t="s">
        <v>230</v>
      </c>
      <c r="E1170" s="6" t="s">
        <v>26</v>
      </c>
      <c r="F1170" s="7" t="s">
        <v>3693</v>
      </c>
      <c r="G1170" s="6" t="s">
        <v>3694</v>
      </c>
      <c r="H1170" s="6" t="s">
        <v>6</v>
      </c>
      <c r="I1170" s="8"/>
      <c r="J1170" s="8"/>
      <c r="K1170" s="8"/>
      <c r="L1170" s="9"/>
    </row>
    <row r="1171" customFormat="false" ht="15" hidden="false" customHeight="false" outlineLevel="0" collapsed="false">
      <c r="A1171" s="6" t="s">
        <v>3695</v>
      </c>
      <c r="B1171" s="6" t="s">
        <v>3689</v>
      </c>
      <c r="C1171" s="6" t="s">
        <v>21</v>
      </c>
      <c r="D1171" s="6" t="s">
        <v>230</v>
      </c>
      <c r="E1171" s="6" t="s">
        <v>26</v>
      </c>
      <c r="F1171" s="7" t="s">
        <v>3696</v>
      </c>
      <c r="G1171" s="6" t="s">
        <v>3697</v>
      </c>
      <c r="H1171" s="6" t="s">
        <v>7</v>
      </c>
      <c r="I1171" s="8"/>
      <c r="J1171" s="8"/>
      <c r="K1171" s="8"/>
      <c r="L1171" s="9"/>
    </row>
    <row r="1172" customFormat="false" ht="15" hidden="false" customHeight="false" outlineLevel="0" collapsed="false">
      <c r="A1172" s="6" t="s">
        <v>3698</v>
      </c>
      <c r="B1172" s="6" t="s">
        <v>3699</v>
      </c>
      <c r="C1172" s="6" t="s">
        <v>21</v>
      </c>
      <c r="D1172" s="6" t="s">
        <v>230</v>
      </c>
      <c r="E1172" s="6" t="s">
        <v>26</v>
      </c>
      <c r="F1172" s="7" t="s">
        <v>3700</v>
      </c>
      <c r="G1172" s="6" t="s">
        <v>3701</v>
      </c>
      <c r="H1172" s="6" t="s">
        <v>8</v>
      </c>
      <c r="I1172" s="8"/>
      <c r="J1172" s="8"/>
      <c r="K1172" s="8"/>
      <c r="L1172" s="9"/>
    </row>
    <row r="1173" customFormat="false" ht="15" hidden="false" customHeight="false" outlineLevel="0" collapsed="false">
      <c r="A1173" s="6" t="s">
        <v>3702</v>
      </c>
      <c r="B1173" s="6" t="s">
        <v>3699</v>
      </c>
      <c r="C1173" s="6" t="s">
        <v>21</v>
      </c>
      <c r="D1173" s="6" t="s">
        <v>230</v>
      </c>
      <c r="E1173" s="6" t="s">
        <v>26</v>
      </c>
      <c r="F1173" s="7" t="s">
        <v>3703</v>
      </c>
      <c r="G1173" s="6" t="s">
        <v>2942</v>
      </c>
      <c r="H1173" s="6" t="s">
        <v>6</v>
      </c>
      <c r="I1173" s="8"/>
      <c r="J1173" s="8"/>
      <c r="K1173" s="8"/>
      <c r="L1173" s="9"/>
    </row>
    <row r="1174" customFormat="false" ht="15" hidden="false" customHeight="false" outlineLevel="0" collapsed="false">
      <c r="A1174" s="6" t="s">
        <v>3704</v>
      </c>
      <c r="B1174" s="6" t="s">
        <v>3699</v>
      </c>
      <c r="C1174" s="6" t="s">
        <v>21</v>
      </c>
      <c r="D1174" s="6" t="s">
        <v>230</v>
      </c>
      <c r="E1174" s="6" t="s">
        <v>26</v>
      </c>
      <c r="F1174" s="7" t="s">
        <v>3705</v>
      </c>
      <c r="G1174" s="6" t="s">
        <v>3706</v>
      </c>
      <c r="H1174" s="6" t="s">
        <v>8</v>
      </c>
      <c r="I1174" s="8"/>
      <c r="J1174" s="8"/>
      <c r="K1174" s="8"/>
      <c r="L1174" s="9"/>
    </row>
    <row r="1175" customFormat="false" ht="23.85" hidden="false" customHeight="false" outlineLevel="0" collapsed="false">
      <c r="A1175" s="6" t="s">
        <v>3707</v>
      </c>
      <c r="B1175" s="6" t="s">
        <v>3708</v>
      </c>
      <c r="C1175" s="6" t="s">
        <v>21</v>
      </c>
      <c r="D1175" s="6" t="s">
        <v>230</v>
      </c>
      <c r="E1175" s="6"/>
      <c r="F1175" s="7" t="s">
        <v>3709</v>
      </c>
      <c r="G1175" s="6" t="s">
        <v>3710</v>
      </c>
      <c r="H1175" s="6" t="s">
        <v>7</v>
      </c>
      <c r="I1175" s="8"/>
      <c r="J1175" s="8"/>
      <c r="K1175" s="8"/>
      <c r="L1175" s="9"/>
    </row>
    <row r="1176" customFormat="false" ht="15" hidden="false" customHeight="false" outlineLevel="0" collapsed="false">
      <c r="A1176" s="6" t="s">
        <v>3711</v>
      </c>
      <c r="B1176" s="6" t="s">
        <v>3712</v>
      </c>
      <c r="C1176" s="6" t="s">
        <v>21</v>
      </c>
      <c r="D1176" s="6" t="s">
        <v>49</v>
      </c>
      <c r="E1176" s="6" t="s">
        <v>2506</v>
      </c>
      <c r="F1176" s="7" t="s">
        <v>3713</v>
      </c>
      <c r="G1176" s="6" t="s">
        <v>3714</v>
      </c>
      <c r="H1176" s="6" t="s">
        <v>6</v>
      </c>
      <c r="I1176" s="8"/>
      <c r="J1176" s="8"/>
      <c r="K1176" s="8"/>
      <c r="L1176" s="9"/>
    </row>
    <row r="1177" customFormat="false" ht="23.85" hidden="false" customHeight="false" outlineLevel="0" collapsed="false">
      <c r="A1177" s="6" t="s">
        <v>3715</v>
      </c>
      <c r="B1177" s="6" t="s">
        <v>3712</v>
      </c>
      <c r="C1177" s="6" t="s">
        <v>21</v>
      </c>
      <c r="D1177" s="6" t="s">
        <v>49</v>
      </c>
      <c r="E1177" s="6" t="s">
        <v>2506</v>
      </c>
      <c r="F1177" s="7" t="s">
        <v>3716</v>
      </c>
      <c r="G1177" s="6" t="s">
        <v>3717</v>
      </c>
      <c r="H1177" s="6" t="s">
        <v>8</v>
      </c>
      <c r="I1177" s="8"/>
      <c r="J1177" s="8"/>
      <c r="K1177" s="8"/>
      <c r="L1177" s="9"/>
    </row>
    <row r="1178" customFormat="false" ht="23.85" hidden="false" customHeight="false" outlineLevel="0" collapsed="false">
      <c r="A1178" s="6" t="s">
        <v>3718</v>
      </c>
      <c r="B1178" s="6" t="s">
        <v>3712</v>
      </c>
      <c r="C1178" s="6" t="s">
        <v>21</v>
      </c>
      <c r="D1178" s="6" t="s">
        <v>49</v>
      </c>
      <c r="E1178" s="6" t="s">
        <v>2506</v>
      </c>
      <c r="F1178" s="7" t="s">
        <v>3719</v>
      </c>
      <c r="G1178" s="6" t="s">
        <v>3720</v>
      </c>
      <c r="H1178" s="6" t="s">
        <v>6</v>
      </c>
      <c r="I1178" s="8"/>
      <c r="J1178" s="8"/>
      <c r="K1178" s="8"/>
      <c r="L1178" s="9"/>
    </row>
    <row r="1179" customFormat="false" ht="23.85" hidden="false" customHeight="false" outlineLevel="0" collapsed="false">
      <c r="A1179" s="6" t="s">
        <v>3721</v>
      </c>
      <c r="B1179" s="6" t="s">
        <v>3712</v>
      </c>
      <c r="C1179" s="6" t="s">
        <v>21</v>
      </c>
      <c r="D1179" s="6" t="s">
        <v>49</v>
      </c>
      <c r="E1179" s="6" t="s">
        <v>2506</v>
      </c>
      <c r="F1179" s="7" t="s">
        <v>3722</v>
      </c>
      <c r="G1179" s="6" t="s">
        <v>3723</v>
      </c>
      <c r="H1179" s="6" t="s">
        <v>6</v>
      </c>
      <c r="I1179" s="8"/>
      <c r="J1179" s="8"/>
      <c r="K1179" s="8"/>
      <c r="L1179" s="9"/>
    </row>
    <row r="1180" customFormat="false" ht="23.85" hidden="false" customHeight="false" outlineLevel="0" collapsed="false">
      <c r="A1180" s="6" t="s">
        <v>3724</v>
      </c>
      <c r="B1180" s="6" t="s">
        <v>3712</v>
      </c>
      <c r="C1180" s="6" t="s">
        <v>21</v>
      </c>
      <c r="D1180" s="6" t="s">
        <v>49</v>
      </c>
      <c r="E1180" s="6" t="s">
        <v>2506</v>
      </c>
      <c r="F1180" s="7" t="s">
        <v>3725</v>
      </c>
      <c r="G1180" s="6" t="s">
        <v>3726</v>
      </c>
      <c r="H1180" s="6" t="s">
        <v>6</v>
      </c>
      <c r="I1180" s="8"/>
      <c r="J1180" s="8"/>
      <c r="K1180" s="8"/>
      <c r="L1180" s="9"/>
    </row>
    <row r="1181" customFormat="false" ht="15" hidden="false" customHeight="false" outlineLevel="0" collapsed="false">
      <c r="A1181" s="6" t="s">
        <v>3727</v>
      </c>
      <c r="B1181" s="6" t="s">
        <v>3712</v>
      </c>
      <c r="C1181" s="6" t="s">
        <v>21</v>
      </c>
      <c r="D1181" s="6" t="s">
        <v>49</v>
      </c>
      <c r="E1181" s="6" t="s">
        <v>2506</v>
      </c>
      <c r="F1181" s="7" t="s">
        <v>3728</v>
      </c>
      <c r="G1181" s="6" t="s">
        <v>3729</v>
      </c>
      <c r="H1181" s="6" t="s">
        <v>6</v>
      </c>
      <c r="I1181" s="8"/>
      <c r="J1181" s="8"/>
      <c r="K1181" s="8"/>
      <c r="L1181" s="9"/>
    </row>
    <row r="1182" customFormat="false" ht="15" hidden="false" customHeight="false" outlineLevel="0" collapsed="false">
      <c r="A1182" s="6" t="s">
        <v>3730</v>
      </c>
      <c r="B1182" s="6" t="s">
        <v>3712</v>
      </c>
      <c r="C1182" s="6" t="s">
        <v>21</v>
      </c>
      <c r="D1182" s="6" t="s">
        <v>49</v>
      </c>
      <c r="E1182" s="6" t="s">
        <v>2506</v>
      </c>
      <c r="F1182" s="7" t="s">
        <v>3731</v>
      </c>
      <c r="G1182" s="6" t="s">
        <v>3732</v>
      </c>
      <c r="H1182" s="6" t="s">
        <v>6</v>
      </c>
      <c r="I1182" s="8"/>
      <c r="J1182" s="8"/>
      <c r="K1182" s="8"/>
      <c r="L1182" s="9"/>
    </row>
    <row r="1183" customFormat="false" ht="35.05" hidden="false" customHeight="false" outlineLevel="0" collapsed="false">
      <c r="A1183" s="6" t="s">
        <v>3733</v>
      </c>
      <c r="B1183" s="6" t="s">
        <v>3712</v>
      </c>
      <c r="C1183" s="6" t="s">
        <v>21</v>
      </c>
      <c r="D1183" s="6" t="s">
        <v>49</v>
      </c>
      <c r="E1183" s="6" t="s">
        <v>2506</v>
      </c>
      <c r="F1183" s="7" t="s">
        <v>3734</v>
      </c>
      <c r="G1183" s="6" t="s">
        <v>3735</v>
      </c>
      <c r="H1183" s="6" t="s">
        <v>6</v>
      </c>
      <c r="I1183" s="8"/>
      <c r="J1183" s="8"/>
      <c r="K1183" s="8"/>
      <c r="L1183" s="9"/>
    </row>
    <row r="1184" customFormat="false" ht="35.05" hidden="false" customHeight="false" outlineLevel="0" collapsed="false">
      <c r="A1184" s="6" t="s">
        <v>3736</v>
      </c>
      <c r="B1184" s="6" t="s">
        <v>3712</v>
      </c>
      <c r="C1184" s="6" t="s">
        <v>21</v>
      </c>
      <c r="D1184" s="6" t="s">
        <v>49</v>
      </c>
      <c r="E1184" s="6" t="s">
        <v>2506</v>
      </c>
      <c r="F1184" s="7" t="s">
        <v>3737</v>
      </c>
      <c r="G1184" s="6" t="s">
        <v>3738</v>
      </c>
      <c r="H1184" s="6" t="s">
        <v>8</v>
      </c>
      <c r="I1184" s="8"/>
      <c r="J1184" s="8"/>
      <c r="K1184" s="8"/>
      <c r="L1184" s="9"/>
    </row>
    <row r="1185" customFormat="false" ht="15" hidden="false" customHeight="false" outlineLevel="0" collapsed="false">
      <c r="A1185" s="6" t="s">
        <v>3739</v>
      </c>
      <c r="B1185" s="6" t="s">
        <v>3712</v>
      </c>
      <c r="C1185" s="6" t="s">
        <v>21</v>
      </c>
      <c r="D1185" s="6" t="s">
        <v>49</v>
      </c>
      <c r="E1185" s="6" t="s">
        <v>2506</v>
      </c>
      <c r="F1185" s="7" t="s">
        <v>3740</v>
      </c>
      <c r="G1185" s="6" t="s">
        <v>3741</v>
      </c>
      <c r="H1185" s="6" t="s">
        <v>8</v>
      </c>
      <c r="I1185" s="8"/>
      <c r="J1185" s="8"/>
      <c r="K1185" s="8"/>
      <c r="L1185" s="9"/>
    </row>
    <row r="1186" customFormat="false" ht="23.85" hidden="false" customHeight="false" outlineLevel="0" collapsed="false">
      <c r="A1186" s="6" t="s">
        <v>3742</v>
      </c>
      <c r="B1186" s="6" t="s">
        <v>3712</v>
      </c>
      <c r="C1186" s="6" t="s">
        <v>21</v>
      </c>
      <c r="D1186" s="6" t="s">
        <v>49</v>
      </c>
      <c r="E1186" s="6" t="s">
        <v>2506</v>
      </c>
      <c r="F1186" s="7" t="s">
        <v>3743</v>
      </c>
      <c r="G1186" s="6" t="s">
        <v>3744</v>
      </c>
      <c r="H1186" s="6" t="s">
        <v>8</v>
      </c>
      <c r="I1186" s="8"/>
      <c r="J1186" s="8"/>
      <c r="K1186" s="8"/>
      <c r="L1186" s="9"/>
    </row>
    <row r="1187" customFormat="false" ht="23.85" hidden="false" customHeight="false" outlineLevel="0" collapsed="false">
      <c r="A1187" s="6" t="s">
        <v>3745</v>
      </c>
      <c r="B1187" s="6" t="s">
        <v>3712</v>
      </c>
      <c r="C1187" s="6" t="s">
        <v>21</v>
      </c>
      <c r="D1187" s="6" t="s">
        <v>49</v>
      </c>
      <c r="E1187" s="6" t="s">
        <v>2506</v>
      </c>
      <c r="F1187" s="7" t="s">
        <v>3746</v>
      </c>
      <c r="G1187" s="6" t="s">
        <v>3747</v>
      </c>
      <c r="H1187" s="6" t="s">
        <v>8</v>
      </c>
      <c r="I1187" s="8"/>
      <c r="J1187" s="8"/>
      <c r="K1187" s="8"/>
      <c r="L1187" s="9"/>
    </row>
    <row r="1188" customFormat="false" ht="15" hidden="false" customHeight="false" outlineLevel="0" collapsed="false">
      <c r="A1188" s="6" t="s">
        <v>3748</v>
      </c>
      <c r="B1188" s="6" t="s">
        <v>3712</v>
      </c>
      <c r="C1188" s="6" t="s">
        <v>21</v>
      </c>
      <c r="D1188" s="6" t="s">
        <v>49</v>
      </c>
      <c r="E1188" s="6" t="s">
        <v>2506</v>
      </c>
      <c r="F1188" s="7" t="s">
        <v>3749</v>
      </c>
      <c r="G1188" s="6" t="s">
        <v>3750</v>
      </c>
      <c r="H1188" s="6" t="s">
        <v>9</v>
      </c>
      <c r="I1188" s="8"/>
      <c r="J1188" s="8"/>
      <c r="K1188" s="8"/>
      <c r="L1188" s="9"/>
    </row>
    <row r="1189" customFormat="false" ht="23.85" hidden="false" customHeight="false" outlineLevel="0" collapsed="false">
      <c r="A1189" s="6" t="s">
        <v>3751</v>
      </c>
      <c r="B1189" s="6" t="s">
        <v>3712</v>
      </c>
      <c r="C1189" s="6" t="s">
        <v>21</v>
      </c>
      <c r="D1189" s="6" t="s">
        <v>49</v>
      </c>
      <c r="E1189" s="6" t="s">
        <v>2506</v>
      </c>
      <c r="F1189" s="7" t="s">
        <v>3752</v>
      </c>
      <c r="G1189" s="6" t="s">
        <v>3753</v>
      </c>
      <c r="H1189" s="6" t="s">
        <v>6</v>
      </c>
      <c r="I1189" s="8"/>
      <c r="J1189" s="8"/>
      <c r="K1189" s="8"/>
      <c r="L1189" s="9"/>
    </row>
    <row r="1190" customFormat="false" ht="23.85" hidden="false" customHeight="false" outlineLevel="0" collapsed="false">
      <c r="A1190" s="6" t="s">
        <v>3754</v>
      </c>
      <c r="B1190" s="6" t="s">
        <v>3712</v>
      </c>
      <c r="C1190" s="6" t="s">
        <v>21</v>
      </c>
      <c r="D1190" s="6" t="s">
        <v>49</v>
      </c>
      <c r="E1190" s="6" t="s">
        <v>2506</v>
      </c>
      <c r="F1190" s="7" t="s">
        <v>3755</v>
      </c>
      <c r="G1190" s="6" t="s">
        <v>3756</v>
      </c>
      <c r="H1190" s="6" t="s">
        <v>8</v>
      </c>
      <c r="I1190" s="8"/>
      <c r="J1190" s="8"/>
      <c r="K1190" s="8"/>
      <c r="L1190" s="9"/>
    </row>
    <row r="1191" customFormat="false" ht="23.85" hidden="false" customHeight="false" outlineLevel="0" collapsed="false">
      <c r="A1191" s="6" t="s">
        <v>3757</v>
      </c>
      <c r="B1191" s="6" t="s">
        <v>3712</v>
      </c>
      <c r="C1191" s="6" t="s">
        <v>21</v>
      </c>
      <c r="D1191" s="6" t="s">
        <v>49</v>
      </c>
      <c r="E1191" s="6" t="s">
        <v>2506</v>
      </c>
      <c r="F1191" s="7" t="s">
        <v>3758</v>
      </c>
      <c r="G1191" s="6" t="s">
        <v>3759</v>
      </c>
      <c r="H1191" s="6" t="s">
        <v>8</v>
      </c>
      <c r="I1191" s="8"/>
      <c r="J1191" s="8"/>
      <c r="K1191" s="8"/>
      <c r="L1191" s="9"/>
    </row>
    <row r="1192" customFormat="false" ht="23.85" hidden="false" customHeight="false" outlineLevel="0" collapsed="false">
      <c r="A1192" s="6" t="s">
        <v>3760</v>
      </c>
      <c r="B1192" s="6" t="s">
        <v>3712</v>
      </c>
      <c r="C1192" s="6" t="s">
        <v>21</v>
      </c>
      <c r="D1192" s="6" t="s">
        <v>49</v>
      </c>
      <c r="E1192" s="6" t="s">
        <v>2506</v>
      </c>
      <c r="F1192" s="7" t="s">
        <v>3761</v>
      </c>
      <c r="G1192" s="6" t="s">
        <v>3762</v>
      </c>
      <c r="H1192" s="6" t="s">
        <v>6</v>
      </c>
      <c r="I1192" s="8"/>
      <c r="J1192" s="8"/>
      <c r="K1192" s="8"/>
      <c r="L1192" s="9"/>
    </row>
    <row r="1193" customFormat="false" ht="23.85" hidden="false" customHeight="false" outlineLevel="0" collapsed="false">
      <c r="A1193" s="6" t="s">
        <v>3763</v>
      </c>
      <c r="B1193" s="6" t="s">
        <v>3712</v>
      </c>
      <c r="C1193" s="6" t="s">
        <v>21</v>
      </c>
      <c r="D1193" s="6" t="s">
        <v>49</v>
      </c>
      <c r="E1193" s="6" t="s">
        <v>2506</v>
      </c>
      <c r="F1193" s="7" t="s">
        <v>3764</v>
      </c>
      <c r="G1193" s="6" t="s">
        <v>3765</v>
      </c>
      <c r="H1193" s="6" t="s">
        <v>6</v>
      </c>
      <c r="I1193" s="8"/>
      <c r="J1193" s="8"/>
      <c r="K1193" s="8"/>
      <c r="L1193" s="9"/>
    </row>
    <row r="1194" customFormat="false" ht="23.85" hidden="false" customHeight="false" outlineLevel="0" collapsed="false">
      <c r="A1194" s="6" t="s">
        <v>3766</v>
      </c>
      <c r="B1194" s="6" t="s">
        <v>3712</v>
      </c>
      <c r="C1194" s="6" t="s">
        <v>21</v>
      </c>
      <c r="D1194" s="6" t="s">
        <v>49</v>
      </c>
      <c r="E1194" s="6" t="s">
        <v>2506</v>
      </c>
      <c r="F1194" s="7" t="s">
        <v>3767</v>
      </c>
      <c r="G1194" s="6" t="s">
        <v>3768</v>
      </c>
      <c r="H1194" s="6" t="s">
        <v>8</v>
      </c>
      <c r="I1194" s="8"/>
      <c r="J1194" s="8"/>
      <c r="K1194" s="8"/>
      <c r="L1194" s="9"/>
    </row>
    <row r="1195" customFormat="false" ht="15" hidden="false" customHeight="false" outlineLevel="0" collapsed="false">
      <c r="A1195" s="6" t="s">
        <v>3769</v>
      </c>
      <c r="B1195" s="6" t="s">
        <v>3712</v>
      </c>
      <c r="C1195" s="6" t="s">
        <v>21</v>
      </c>
      <c r="D1195" s="6" t="s">
        <v>49</v>
      </c>
      <c r="E1195" s="6" t="s">
        <v>2506</v>
      </c>
      <c r="F1195" s="7" t="s">
        <v>3770</v>
      </c>
      <c r="G1195" s="6" t="s">
        <v>3771</v>
      </c>
      <c r="H1195" s="6" t="s">
        <v>6</v>
      </c>
      <c r="I1195" s="8"/>
      <c r="J1195" s="8"/>
      <c r="K1195" s="8"/>
      <c r="L1195" s="9"/>
    </row>
    <row r="1196" customFormat="false" ht="35.05" hidden="false" customHeight="false" outlineLevel="0" collapsed="false">
      <c r="A1196" s="6" t="s">
        <v>3772</v>
      </c>
      <c r="B1196" s="6" t="s">
        <v>3712</v>
      </c>
      <c r="C1196" s="6" t="s">
        <v>21</v>
      </c>
      <c r="D1196" s="6" t="s">
        <v>49</v>
      </c>
      <c r="E1196" s="6" t="s">
        <v>2506</v>
      </c>
      <c r="F1196" s="7" t="s">
        <v>3773</v>
      </c>
      <c r="G1196" s="6" t="s">
        <v>3774</v>
      </c>
      <c r="H1196" s="6" t="s">
        <v>6</v>
      </c>
      <c r="I1196" s="8"/>
      <c r="J1196" s="8"/>
      <c r="K1196" s="8"/>
      <c r="L1196" s="9"/>
    </row>
    <row r="1197" customFormat="false" ht="15" hidden="false" customHeight="false" outlineLevel="0" collapsed="false">
      <c r="A1197" s="6" t="s">
        <v>3775</v>
      </c>
      <c r="B1197" s="6" t="s">
        <v>3712</v>
      </c>
      <c r="C1197" s="6" t="s">
        <v>21</v>
      </c>
      <c r="D1197" s="6" t="s">
        <v>49</v>
      </c>
      <c r="E1197" s="6" t="s">
        <v>2506</v>
      </c>
      <c r="F1197" s="7" t="s">
        <v>3776</v>
      </c>
      <c r="G1197" s="6" t="s">
        <v>2646</v>
      </c>
      <c r="H1197" s="6" t="s">
        <v>8</v>
      </c>
      <c r="I1197" s="8"/>
      <c r="J1197" s="8"/>
      <c r="K1197" s="8"/>
      <c r="L1197" s="9"/>
    </row>
    <row r="1198" customFormat="false" ht="15" hidden="false" customHeight="false" outlineLevel="0" collapsed="false">
      <c r="A1198" s="6" t="s">
        <v>3777</v>
      </c>
      <c r="B1198" s="6" t="s">
        <v>3712</v>
      </c>
      <c r="C1198" s="6" t="s">
        <v>21</v>
      </c>
      <c r="D1198" s="6" t="s">
        <v>49</v>
      </c>
      <c r="E1198" s="6" t="s">
        <v>2506</v>
      </c>
      <c r="F1198" s="7" t="s">
        <v>3778</v>
      </c>
      <c r="G1198" s="6" t="s">
        <v>3779</v>
      </c>
      <c r="H1198" s="6" t="s">
        <v>8</v>
      </c>
      <c r="I1198" s="8"/>
      <c r="J1198" s="8"/>
      <c r="K1198" s="8"/>
      <c r="L1198" s="9"/>
    </row>
    <row r="1199" customFormat="false" ht="15" hidden="false" customHeight="false" outlineLevel="0" collapsed="false">
      <c r="A1199" s="6" t="s">
        <v>3780</v>
      </c>
      <c r="B1199" s="6" t="s">
        <v>3712</v>
      </c>
      <c r="C1199" s="6" t="s">
        <v>21</v>
      </c>
      <c r="D1199" s="6" t="s">
        <v>49</v>
      </c>
      <c r="E1199" s="6" t="s">
        <v>2506</v>
      </c>
      <c r="F1199" s="7" t="s">
        <v>3781</v>
      </c>
      <c r="G1199" s="6" t="s">
        <v>3782</v>
      </c>
      <c r="H1199" s="6" t="s">
        <v>6</v>
      </c>
      <c r="I1199" s="8"/>
      <c r="J1199" s="8"/>
      <c r="K1199" s="8"/>
      <c r="L1199" s="9"/>
    </row>
    <row r="1200" customFormat="false" ht="23.85" hidden="false" customHeight="false" outlineLevel="0" collapsed="false">
      <c r="A1200" s="6" t="s">
        <v>3783</v>
      </c>
      <c r="B1200" s="6" t="s">
        <v>3712</v>
      </c>
      <c r="C1200" s="6" t="s">
        <v>21</v>
      </c>
      <c r="D1200" s="6" t="s">
        <v>49</v>
      </c>
      <c r="E1200" s="6" t="s">
        <v>2506</v>
      </c>
      <c r="F1200" s="7" t="s">
        <v>3784</v>
      </c>
      <c r="G1200" s="6" t="s">
        <v>3785</v>
      </c>
      <c r="H1200" s="6" t="s">
        <v>10</v>
      </c>
      <c r="I1200" s="8"/>
      <c r="J1200" s="8"/>
      <c r="K1200" s="8"/>
      <c r="L1200" s="9"/>
    </row>
    <row r="1201" customFormat="false" ht="15" hidden="false" customHeight="false" outlineLevel="0" collapsed="false">
      <c r="A1201" s="6" t="s">
        <v>3786</v>
      </c>
      <c r="B1201" s="6" t="s">
        <v>3712</v>
      </c>
      <c r="C1201" s="6" t="s">
        <v>21</v>
      </c>
      <c r="D1201" s="6" t="s">
        <v>49</v>
      </c>
      <c r="E1201" s="6" t="s">
        <v>2506</v>
      </c>
      <c r="F1201" s="7" t="s">
        <v>3787</v>
      </c>
      <c r="G1201" s="6" t="s">
        <v>3788</v>
      </c>
      <c r="H1201" s="6" t="s">
        <v>9</v>
      </c>
      <c r="I1201" s="8"/>
      <c r="J1201" s="8"/>
      <c r="K1201" s="8"/>
      <c r="L1201" s="9"/>
    </row>
    <row r="1202" customFormat="false" ht="15" hidden="false" customHeight="false" outlineLevel="0" collapsed="false">
      <c r="A1202" s="6" t="s">
        <v>3789</v>
      </c>
      <c r="B1202" s="6" t="s">
        <v>3712</v>
      </c>
      <c r="C1202" s="6" t="s">
        <v>21</v>
      </c>
      <c r="D1202" s="6" t="s">
        <v>49</v>
      </c>
      <c r="E1202" s="6" t="s">
        <v>2506</v>
      </c>
      <c r="F1202" s="7" t="s">
        <v>3790</v>
      </c>
      <c r="G1202" s="6" t="s">
        <v>3791</v>
      </c>
      <c r="H1202" s="6" t="s">
        <v>8</v>
      </c>
      <c r="I1202" s="8"/>
      <c r="J1202" s="8"/>
      <c r="K1202" s="8"/>
      <c r="L1202" s="9"/>
    </row>
    <row r="1203" customFormat="false" ht="35.05" hidden="false" customHeight="false" outlineLevel="0" collapsed="false">
      <c r="A1203" s="6" t="s">
        <v>3792</v>
      </c>
      <c r="B1203" s="6" t="s">
        <v>3712</v>
      </c>
      <c r="C1203" s="6" t="s">
        <v>21</v>
      </c>
      <c r="D1203" s="6" t="s">
        <v>49</v>
      </c>
      <c r="E1203" s="6" t="s">
        <v>2506</v>
      </c>
      <c r="F1203" s="7" t="s">
        <v>3793</v>
      </c>
      <c r="G1203" s="6" t="s">
        <v>3794</v>
      </c>
      <c r="H1203" s="6" t="s">
        <v>8</v>
      </c>
      <c r="I1203" s="8"/>
      <c r="J1203" s="8"/>
      <c r="K1203" s="8"/>
      <c r="L1203" s="9"/>
    </row>
    <row r="1204" customFormat="false" ht="23.85" hidden="false" customHeight="false" outlineLevel="0" collapsed="false">
      <c r="A1204" s="6" t="s">
        <v>3795</v>
      </c>
      <c r="B1204" s="6" t="s">
        <v>3796</v>
      </c>
      <c r="C1204" s="6" t="s">
        <v>21</v>
      </c>
      <c r="D1204" s="6" t="s">
        <v>44</v>
      </c>
      <c r="E1204" s="6"/>
      <c r="F1204" s="7" t="s">
        <v>3797</v>
      </c>
      <c r="G1204" s="6" t="s">
        <v>3798</v>
      </c>
      <c r="H1204" s="6" t="s">
        <v>8</v>
      </c>
      <c r="I1204" s="8"/>
      <c r="J1204" s="8"/>
      <c r="K1204" s="8"/>
      <c r="L1204" s="9"/>
    </row>
    <row r="1205" customFormat="false" ht="23.85" hidden="false" customHeight="false" outlineLevel="0" collapsed="false">
      <c r="A1205" s="6" t="s">
        <v>3799</v>
      </c>
      <c r="B1205" s="6" t="s">
        <v>3800</v>
      </c>
      <c r="C1205" s="6" t="s">
        <v>21</v>
      </c>
      <c r="D1205" s="6" t="s">
        <v>331</v>
      </c>
      <c r="E1205" s="6"/>
      <c r="F1205" s="7" t="s">
        <v>3801</v>
      </c>
      <c r="G1205" s="6" t="s">
        <v>3802</v>
      </c>
      <c r="H1205" s="6" t="s">
        <v>8</v>
      </c>
      <c r="I1205" s="8"/>
      <c r="J1205" s="8"/>
      <c r="K1205" s="8"/>
      <c r="L1205" s="9"/>
    </row>
    <row r="1206" customFormat="false" ht="15" hidden="false" customHeight="false" outlineLevel="0" collapsed="false">
      <c r="A1206" s="6" t="s">
        <v>3803</v>
      </c>
      <c r="B1206" s="6" t="s">
        <v>3804</v>
      </c>
      <c r="C1206" s="6" t="s">
        <v>21</v>
      </c>
      <c r="D1206" s="6" t="s">
        <v>44</v>
      </c>
      <c r="E1206" s="6"/>
      <c r="F1206" s="7" t="s">
        <v>3805</v>
      </c>
      <c r="G1206" s="6" t="s">
        <v>119</v>
      </c>
      <c r="H1206" s="6" t="s">
        <v>9</v>
      </c>
      <c r="I1206" s="8"/>
      <c r="J1206" s="8"/>
      <c r="K1206" s="8"/>
      <c r="L1206" s="9"/>
    </row>
    <row r="1207" customFormat="false" ht="15" hidden="false" customHeight="false" outlineLevel="0" collapsed="false">
      <c r="A1207" s="6" t="s">
        <v>3806</v>
      </c>
      <c r="B1207" s="6" t="s">
        <v>3807</v>
      </c>
      <c r="C1207" s="6" t="s">
        <v>21</v>
      </c>
      <c r="D1207" s="6" t="s">
        <v>44</v>
      </c>
      <c r="E1207" s="6"/>
      <c r="F1207" s="7" t="s">
        <v>3808</v>
      </c>
      <c r="G1207" s="6" t="s">
        <v>3809</v>
      </c>
      <c r="H1207" s="6" t="s">
        <v>9</v>
      </c>
      <c r="I1207" s="8"/>
      <c r="J1207" s="8"/>
      <c r="K1207" s="8"/>
      <c r="L1207" s="9"/>
    </row>
    <row r="1208" customFormat="false" ht="15" hidden="false" customHeight="false" outlineLevel="0" collapsed="false">
      <c r="A1208" s="6" t="s">
        <v>3810</v>
      </c>
      <c r="B1208" s="6" t="s">
        <v>3811</v>
      </c>
      <c r="C1208" s="6" t="s">
        <v>21</v>
      </c>
      <c r="D1208" s="6" t="s">
        <v>44</v>
      </c>
      <c r="E1208" s="6"/>
      <c r="F1208" s="7" t="s">
        <v>3812</v>
      </c>
      <c r="G1208" s="6" t="s">
        <v>98</v>
      </c>
      <c r="H1208" s="6" t="s">
        <v>8</v>
      </c>
      <c r="I1208" s="8"/>
      <c r="J1208" s="8"/>
      <c r="K1208" s="8"/>
      <c r="L1208" s="9"/>
    </row>
    <row r="1209" customFormat="false" ht="23.85" hidden="false" customHeight="false" outlineLevel="0" collapsed="false">
      <c r="A1209" s="6" t="s">
        <v>3813</v>
      </c>
      <c r="B1209" s="6" t="s">
        <v>3811</v>
      </c>
      <c r="C1209" s="6" t="s">
        <v>21</v>
      </c>
      <c r="D1209" s="6" t="s">
        <v>44</v>
      </c>
      <c r="E1209" s="6"/>
      <c r="F1209" s="7" t="s">
        <v>3814</v>
      </c>
      <c r="G1209" s="6" t="s">
        <v>3057</v>
      </c>
      <c r="H1209" s="6" t="s">
        <v>8</v>
      </c>
      <c r="I1209" s="8"/>
      <c r="J1209" s="8"/>
      <c r="K1209" s="8"/>
      <c r="L1209" s="9"/>
    </row>
    <row r="1210" customFormat="false" ht="23.85" hidden="false" customHeight="false" outlineLevel="0" collapsed="false">
      <c r="A1210" s="6" t="s">
        <v>3815</v>
      </c>
      <c r="B1210" s="6" t="s">
        <v>3811</v>
      </c>
      <c r="C1210" s="6" t="s">
        <v>21</v>
      </c>
      <c r="D1210" s="6" t="s">
        <v>44</v>
      </c>
      <c r="E1210" s="6"/>
      <c r="F1210" s="7" t="s">
        <v>3816</v>
      </c>
      <c r="G1210" s="6" t="s">
        <v>3817</v>
      </c>
      <c r="H1210" s="6" t="s">
        <v>8</v>
      </c>
      <c r="I1210" s="8"/>
      <c r="J1210" s="8"/>
      <c r="K1210" s="8"/>
      <c r="L1210" s="9"/>
    </row>
    <row r="1211" customFormat="false" ht="23.85" hidden="false" customHeight="false" outlineLevel="0" collapsed="false">
      <c r="A1211" s="6" t="s">
        <v>3818</v>
      </c>
      <c r="B1211" s="6" t="s">
        <v>3819</v>
      </c>
      <c r="C1211" s="6" t="s">
        <v>21</v>
      </c>
      <c r="D1211" s="6" t="s">
        <v>44</v>
      </c>
      <c r="E1211" s="6"/>
      <c r="F1211" s="7" t="s">
        <v>3820</v>
      </c>
      <c r="G1211" s="6" t="s">
        <v>3821</v>
      </c>
      <c r="H1211" s="6" t="s">
        <v>6</v>
      </c>
      <c r="I1211" s="8"/>
      <c r="J1211" s="8"/>
      <c r="K1211" s="8"/>
      <c r="L1211" s="9"/>
    </row>
    <row r="1212" customFormat="false" ht="23.85" hidden="false" customHeight="false" outlineLevel="0" collapsed="false">
      <c r="A1212" s="6" t="s">
        <v>3822</v>
      </c>
      <c r="B1212" s="6" t="s">
        <v>3819</v>
      </c>
      <c r="C1212" s="6" t="s">
        <v>21</v>
      </c>
      <c r="D1212" s="6" t="s">
        <v>44</v>
      </c>
      <c r="E1212" s="6"/>
      <c r="F1212" s="7" t="s">
        <v>3823</v>
      </c>
      <c r="G1212" s="6" t="s">
        <v>3824</v>
      </c>
      <c r="H1212" s="6" t="s">
        <v>6</v>
      </c>
      <c r="I1212" s="8"/>
      <c r="J1212" s="8"/>
      <c r="K1212" s="8"/>
      <c r="L1212" s="9"/>
    </row>
    <row r="1213" customFormat="false" ht="23.85" hidden="false" customHeight="false" outlineLevel="0" collapsed="false">
      <c r="A1213" s="6" t="s">
        <v>3825</v>
      </c>
      <c r="B1213" s="6" t="s">
        <v>3819</v>
      </c>
      <c r="C1213" s="6" t="s">
        <v>21</v>
      </c>
      <c r="D1213" s="6" t="s">
        <v>44</v>
      </c>
      <c r="E1213" s="6"/>
      <c r="F1213" s="7" t="s">
        <v>3826</v>
      </c>
      <c r="G1213" s="6" t="s">
        <v>1358</v>
      </c>
      <c r="H1213" s="6" t="s">
        <v>6</v>
      </c>
      <c r="I1213" s="8"/>
      <c r="J1213" s="8"/>
      <c r="K1213" s="8"/>
      <c r="L1213" s="9"/>
    </row>
    <row r="1214" customFormat="false" ht="15" hidden="false" customHeight="false" outlineLevel="0" collapsed="false">
      <c r="A1214" s="6" t="s">
        <v>3827</v>
      </c>
      <c r="B1214" s="6" t="s">
        <v>3819</v>
      </c>
      <c r="C1214" s="6" t="s">
        <v>21</v>
      </c>
      <c r="D1214" s="6" t="s">
        <v>44</v>
      </c>
      <c r="E1214" s="6"/>
      <c r="F1214" s="7" t="s">
        <v>3828</v>
      </c>
      <c r="G1214" s="6" t="s">
        <v>3829</v>
      </c>
      <c r="H1214" s="6" t="s">
        <v>8</v>
      </c>
      <c r="I1214" s="8"/>
      <c r="J1214" s="8"/>
      <c r="K1214" s="8"/>
      <c r="L1214" s="9"/>
    </row>
    <row r="1215" customFormat="false" ht="23.85" hidden="false" customHeight="false" outlineLevel="0" collapsed="false">
      <c r="A1215" s="6" t="s">
        <v>3830</v>
      </c>
      <c r="B1215" s="6" t="s">
        <v>3831</v>
      </c>
      <c r="C1215" s="6" t="s">
        <v>21</v>
      </c>
      <c r="D1215" s="6" t="s">
        <v>274</v>
      </c>
      <c r="E1215" s="6"/>
      <c r="F1215" s="7" t="s">
        <v>3832</v>
      </c>
      <c r="G1215" s="6" t="s">
        <v>3833</v>
      </c>
      <c r="H1215" s="6" t="s">
        <v>10</v>
      </c>
      <c r="I1215" s="8"/>
      <c r="J1215" s="8"/>
      <c r="K1215" s="8"/>
      <c r="L1215" s="9"/>
    </row>
    <row r="1216" customFormat="false" ht="15" hidden="false" customHeight="false" outlineLevel="0" collapsed="false">
      <c r="A1216" s="6" t="s">
        <v>3834</v>
      </c>
      <c r="B1216" s="6" t="s">
        <v>3831</v>
      </c>
      <c r="C1216" s="6" t="s">
        <v>21</v>
      </c>
      <c r="D1216" s="6" t="s">
        <v>274</v>
      </c>
      <c r="E1216" s="6"/>
      <c r="F1216" s="7" t="s">
        <v>3835</v>
      </c>
      <c r="G1216" s="6" t="s">
        <v>3836</v>
      </c>
      <c r="H1216" s="6" t="s">
        <v>10</v>
      </c>
      <c r="I1216" s="8"/>
      <c r="J1216" s="8"/>
      <c r="K1216" s="8"/>
      <c r="L1216" s="9"/>
    </row>
    <row r="1217" customFormat="false" ht="15" hidden="false" customHeight="false" outlineLevel="0" collapsed="false">
      <c r="A1217" s="6" t="s">
        <v>3837</v>
      </c>
      <c r="B1217" s="6" t="s">
        <v>3838</v>
      </c>
      <c r="C1217" s="6" t="s">
        <v>21</v>
      </c>
      <c r="D1217" s="6" t="s">
        <v>274</v>
      </c>
      <c r="E1217" s="6"/>
      <c r="F1217" s="7" t="s">
        <v>3839</v>
      </c>
      <c r="G1217" s="6" t="s">
        <v>271</v>
      </c>
      <c r="H1217" s="6" t="s">
        <v>6</v>
      </c>
      <c r="I1217" s="8"/>
      <c r="J1217" s="8"/>
      <c r="K1217" s="8"/>
      <c r="L1217" s="9"/>
    </row>
    <row r="1218" customFormat="false" ht="15" hidden="false" customHeight="false" outlineLevel="0" collapsed="false">
      <c r="A1218" s="6" t="s">
        <v>3840</v>
      </c>
      <c r="B1218" s="6" t="s">
        <v>3838</v>
      </c>
      <c r="C1218" s="6" t="s">
        <v>21</v>
      </c>
      <c r="D1218" s="6" t="s">
        <v>274</v>
      </c>
      <c r="E1218" s="6"/>
      <c r="F1218" s="7" t="s">
        <v>3841</v>
      </c>
      <c r="G1218" s="6" t="s">
        <v>3842</v>
      </c>
      <c r="H1218" s="6" t="s">
        <v>10</v>
      </c>
      <c r="I1218" s="8"/>
      <c r="J1218" s="8"/>
      <c r="K1218" s="8"/>
      <c r="L1218" s="9"/>
    </row>
    <row r="1219" customFormat="false" ht="15" hidden="false" customHeight="false" outlineLevel="0" collapsed="false">
      <c r="A1219" s="6" t="s">
        <v>3843</v>
      </c>
      <c r="B1219" s="6" t="s">
        <v>3838</v>
      </c>
      <c r="C1219" s="6" t="s">
        <v>21</v>
      </c>
      <c r="D1219" s="6" t="s">
        <v>274</v>
      </c>
      <c r="E1219" s="6"/>
      <c r="F1219" s="7" t="s">
        <v>3844</v>
      </c>
      <c r="G1219" s="6" t="s">
        <v>3845</v>
      </c>
      <c r="H1219" s="6" t="s">
        <v>10</v>
      </c>
      <c r="I1219" s="8"/>
      <c r="J1219" s="8"/>
      <c r="K1219" s="8"/>
      <c r="L1219" s="9"/>
    </row>
    <row r="1220" customFormat="false" ht="23.85" hidden="false" customHeight="false" outlineLevel="0" collapsed="false">
      <c r="A1220" s="6" t="s">
        <v>3846</v>
      </c>
      <c r="B1220" s="6" t="s">
        <v>3847</v>
      </c>
      <c r="C1220" s="6" t="s">
        <v>21</v>
      </c>
      <c r="D1220" s="6" t="s">
        <v>44</v>
      </c>
      <c r="E1220" s="6"/>
      <c r="F1220" s="7" t="s">
        <v>3848</v>
      </c>
      <c r="G1220" s="6" t="s">
        <v>3849</v>
      </c>
      <c r="H1220" s="6" t="s">
        <v>9</v>
      </c>
      <c r="I1220" s="8"/>
      <c r="J1220" s="8"/>
      <c r="K1220" s="8"/>
      <c r="L1220" s="9"/>
    </row>
    <row r="1221" customFormat="false" ht="15" hidden="false" customHeight="false" outlineLevel="0" collapsed="false">
      <c r="A1221" s="6" t="s">
        <v>3850</v>
      </c>
      <c r="B1221" s="6" t="s">
        <v>3851</v>
      </c>
      <c r="C1221" s="6" t="s">
        <v>21</v>
      </c>
      <c r="D1221" s="6" t="s">
        <v>44</v>
      </c>
      <c r="E1221" s="6"/>
      <c r="F1221" s="7" t="s">
        <v>3852</v>
      </c>
      <c r="G1221" s="6" t="s">
        <v>3306</v>
      </c>
      <c r="H1221" s="6" t="s">
        <v>9</v>
      </c>
      <c r="I1221" s="8"/>
      <c r="J1221" s="8"/>
      <c r="K1221" s="8"/>
      <c r="L1221" s="9"/>
    </row>
    <row r="1222" customFormat="false" ht="23.85" hidden="false" customHeight="false" outlineLevel="0" collapsed="false">
      <c r="A1222" s="6" t="s">
        <v>3853</v>
      </c>
      <c r="B1222" s="6" t="s">
        <v>3854</v>
      </c>
      <c r="C1222" s="6" t="s">
        <v>21</v>
      </c>
      <c r="D1222" s="6" t="s">
        <v>44</v>
      </c>
      <c r="E1222" s="6"/>
      <c r="F1222" s="7" t="s">
        <v>3855</v>
      </c>
      <c r="G1222" s="6" t="s">
        <v>3856</v>
      </c>
      <c r="H1222" s="6" t="s">
        <v>8</v>
      </c>
      <c r="I1222" s="8"/>
      <c r="J1222" s="8"/>
      <c r="K1222" s="8"/>
      <c r="L1222" s="9"/>
    </row>
    <row r="1223" customFormat="false" ht="15" hidden="false" customHeight="false" outlineLevel="0" collapsed="false">
      <c r="A1223" s="6" t="s">
        <v>3857</v>
      </c>
      <c r="B1223" s="6" t="s">
        <v>3858</v>
      </c>
      <c r="C1223" s="6" t="s">
        <v>21</v>
      </c>
      <c r="D1223" s="6" t="s">
        <v>44</v>
      </c>
      <c r="E1223" s="6"/>
      <c r="F1223" s="7" t="s">
        <v>3859</v>
      </c>
      <c r="G1223" s="6" t="s">
        <v>3860</v>
      </c>
      <c r="H1223" s="6" t="s">
        <v>9</v>
      </c>
      <c r="I1223" s="8"/>
      <c r="J1223" s="8"/>
      <c r="K1223" s="8"/>
      <c r="L1223" s="9"/>
    </row>
    <row r="1224" customFormat="false" ht="15" hidden="false" customHeight="false" outlineLevel="0" collapsed="false">
      <c r="A1224" s="6" t="s">
        <v>3861</v>
      </c>
      <c r="B1224" s="6" t="s">
        <v>3862</v>
      </c>
      <c r="C1224" s="6" t="s">
        <v>21</v>
      </c>
      <c r="D1224" s="6" t="s">
        <v>44</v>
      </c>
      <c r="E1224" s="6"/>
      <c r="F1224" s="7" t="s">
        <v>3863</v>
      </c>
      <c r="G1224" s="6" t="s">
        <v>3063</v>
      </c>
      <c r="H1224" s="6" t="s">
        <v>8</v>
      </c>
      <c r="I1224" s="8"/>
      <c r="J1224" s="8"/>
      <c r="K1224" s="8"/>
      <c r="L1224" s="9"/>
    </row>
    <row r="1225" customFormat="false" ht="23.85" hidden="false" customHeight="false" outlineLevel="0" collapsed="false">
      <c r="A1225" s="6" t="s">
        <v>3864</v>
      </c>
      <c r="B1225" s="6" t="s">
        <v>3862</v>
      </c>
      <c r="C1225" s="6" t="s">
        <v>21</v>
      </c>
      <c r="D1225" s="6" t="s">
        <v>44</v>
      </c>
      <c r="E1225" s="6"/>
      <c r="F1225" s="7" t="s">
        <v>3865</v>
      </c>
      <c r="G1225" s="6" t="s">
        <v>3866</v>
      </c>
      <c r="H1225" s="6" t="s">
        <v>8</v>
      </c>
      <c r="I1225" s="8"/>
      <c r="J1225" s="8"/>
      <c r="K1225" s="8"/>
      <c r="L1225" s="9"/>
    </row>
    <row r="1226" customFormat="false" ht="23.85" hidden="false" customHeight="false" outlineLevel="0" collapsed="false">
      <c r="A1226" s="6" t="s">
        <v>3867</v>
      </c>
      <c r="B1226" s="6" t="s">
        <v>3862</v>
      </c>
      <c r="C1226" s="6" t="s">
        <v>21</v>
      </c>
      <c r="D1226" s="6" t="s">
        <v>44</v>
      </c>
      <c r="E1226" s="6"/>
      <c r="F1226" s="7" t="s">
        <v>3868</v>
      </c>
      <c r="G1226" s="6" t="s">
        <v>3869</v>
      </c>
      <c r="H1226" s="6" t="s">
        <v>9</v>
      </c>
      <c r="I1226" s="8"/>
      <c r="J1226" s="8"/>
      <c r="K1226" s="8"/>
      <c r="L1226" s="9"/>
    </row>
    <row r="1227" customFormat="false" ht="23.85" hidden="false" customHeight="false" outlineLevel="0" collapsed="false">
      <c r="A1227" s="6" t="s">
        <v>3870</v>
      </c>
      <c r="B1227" s="6" t="s">
        <v>3871</v>
      </c>
      <c r="C1227" s="6" t="s">
        <v>21</v>
      </c>
      <c r="D1227" s="6" t="s">
        <v>44</v>
      </c>
      <c r="E1227" s="6" t="s">
        <v>28</v>
      </c>
      <c r="F1227" s="7" t="s">
        <v>3872</v>
      </c>
      <c r="G1227" s="6" t="s">
        <v>3873</v>
      </c>
      <c r="H1227" s="6" t="s">
        <v>10</v>
      </c>
      <c r="I1227" s="8"/>
      <c r="J1227" s="8"/>
      <c r="K1227" s="8"/>
      <c r="L1227" s="9"/>
    </row>
    <row r="1228" customFormat="false" ht="57.45" hidden="false" customHeight="false" outlineLevel="0" collapsed="false">
      <c r="A1228" s="6" t="s">
        <v>3874</v>
      </c>
      <c r="B1228" s="6" t="s">
        <v>3875</v>
      </c>
      <c r="C1228" s="6" t="s">
        <v>21</v>
      </c>
      <c r="D1228" s="6" t="s">
        <v>44</v>
      </c>
      <c r="E1228" s="6" t="s">
        <v>714</v>
      </c>
      <c r="F1228" s="7" t="s">
        <v>3876</v>
      </c>
      <c r="G1228" s="6" t="s">
        <v>3877</v>
      </c>
      <c r="H1228" s="6" t="s">
        <v>10</v>
      </c>
      <c r="I1228" s="8"/>
      <c r="J1228" s="8"/>
      <c r="K1228" s="8"/>
      <c r="L1228" s="9"/>
    </row>
    <row r="1229" customFormat="false" ht="23.85" hidden="false" customHeight="false" outlineLevel="0" collapsed="false">
      <c r="A1229" s="6" t="s">
        <v>3878</v>
      </c>
      <c r="B1229" s="6" t="s">
        <v>3879</v>
      </c>
      <c r="C1229" s="6" t="s">
        <v>21</v>
      </c>
      <c r="D1229" s="6" t="s">
        <v>274</v>
      </c>
      <c r="E1229" s="6" t="s">
        <v>28</v>
      </c>
      <c r="F1229" s="7" t="s">
        <v>3880</v>
      </c>
      <c r="G1229" s="6" t="s">
        <v>3881</v>
      </c>
      <c r="H1229" s="6" t="s">
        <v>8</v>
      </c>
      <c r="I1229" s="8"/>
      <c r="J1229" s="8"/>
      <c r="K1229" s="8"/>
      <c r="L1229" s="9"/>
    </row>
    <row r="1230" customFormat="false" ht="23.85" hidden="false" customHeight="false" outlineLevel="0" collapsed="false">
      <c r="A1230" s="6" t="s">
        <v>3882</v>
      </c>
      <c r="B1230" s="6" t="s">
        <v>3879</v>
      </c>
      <c r="C1230" s="6" t="s">
        <v>21</v>
      </c>
      <c r="D1230" s="6" t="s">
        <v>274</v>
      </c>
      <c r="E1230" s="6" t="s">
        <v>28</v>
      </c>
      <c r="F1230" s="7" t="s">
        <v>3883</v>
      </c>
      <c r="G1230" s="6" t="s">
        <v>3884</v>
      </c>
      <c r="H1230" s="6" t="s">
        <v>6</v>
      </c>
      <c r="I1230" s="8"/>
      <c r="J1230" s="8"/>
      <c r="K1230" s="8"/>
      <c r="L1230" s="9"/>
    </row>
    <row r="1231" customFormat="false" ht="15" hidden="false" customHeight="false" outlineLevel="0" collapsed="false">
      <c r="A1231" s="6" t="s">
        <v>3885</v>
      </c>
      <c r="B1231" s="6" t="s">
        <v>3879</v>
      </c>
      <c r="C1231" s="6" t="s">
        <v>21</v>
      </c>
      <c r="D1231" s="6" t="s">
        <v>274</v>
      </c>
      <c r="E1231" s="6" t="s">
        <v>28</v>
      </c>
      <c r="F1231" s="7" t="s">
        <v>3886</v>
      </c>
      <c r="G1231" s="6" t="s">
        <v>3887</v>
      </c>
      <c r="H1231" s="6" t="s">
        <v>10</v>
      </c>
      <c r="I1231" s="8"/>
      <c r="J1231" s="8"/>
      <c r="K1231" s="8"/>
      <c r="L1231" s="9"/>
    </row>
    <row r="1232" customFormat="false" ht="15" hidden="false" customHeight="false" outlineLevel="0" collapsed="false">
      <c r="A1232" s="6" t="s">
        <v>3888</v>
      </c>
      <c r="B1232" s="6" t="s">
        <v>3879</v>
      </c>
      <c r="C1232" s="6" t="s">
        <v>21</v>
      </c>
      <c r="D1232" s="6" t="s">
        <v>274</v>
      </c>
      <c r="E1232" s="6" t="s">
        <v>28</v>
      </c>
      <c r="F1232" s="7" t="s">
        <v>3889</v>
      </c>
      <c r="G1232" s="6" t="s">
        <v>382</v>
      </c>
      <c r="H1232" s="6" t="s">
        <v>8</v>
      </c>
      <c r="I1232" s="8"/>
      <c r="J1232" s="8"/>
      <c r="K1232" s="8"/>
      <c r="L1232" s="9"/>
    </row>
    <row r="1233" customFormat="false" ht="15" hidden="false" customHeight="false" outlineLevel="0" collapsed="false">
      <c r="A1233" s="6" t="s">
        <v>3890</v>
      </c>
      <c r="B1233" s="6" t="s">
        <v>3891</v>
      </c>
      <c r="C1233" s="6" t="s">
        <v>21</v>
      </c>
      <c r="D1233" s="6" t="s">
        <v>274</v>
      </c>
      <c r="E1233" s="6" t="s">
        <v>26</v>
      </c>
      <c r="F1233" s="7" t="s">
        <v>3892</v>
      </c>
      <c r="G1233" s="6" t="s">
        <v>3893</v>
      </c>
      <c r="H1233" s="6" t="s">
        <v>10</v>
      </c>
      <c r="I1233" s="8"/>
      <c r="J1233" s="8"/>
      <c r="K1233" s="8"/>
      <c r="L1233" s="9"/>
    </row>
    <row r="1234" customFormat="false" ht="15" hidden="false" customHeight="false" outlineLevel="0" collapsed="false">
      <c r="A1234" s="6" t="s">
        <v>3894</v>
      </c>
      <c r="B1234" s="6" t="s">
        <v>3891</v>
      </c>
      <c r="C1234" s="6" t="s">
        <v>21</v>
      </c>
      <c r="D1234" s="6" t="s">
        <v>274</v>
      </c>
      <c r="E1234" s="6" t="s">
        <v>26</v>
      </c>
      <c r="F1234" s="7" t="s">
        <v>3895</v>
      </c>
      <c r="G1234" s="6" t="s">
        <v>3896</v>
      </c>
      <c r="H1234" s="6" t="s">
        <v>8</v>
      </c>
      <c r="I1234" s="8"/>
      <c r="J1234" s="8"/>
      <c r="K1234" s="8"/>
      <c r="L1234" s="9"/>
    </row>
    <row r="1235" customFormat="false" ht="35.05" hidden="false" customHeight="false" outlineLevel="0" collapsed="false">
      <c r="A1235" s="6" t="s">
        <v>3897</v>
      </c>
      <c r="B1235" s="6" t="s">
        <v>3891</v>
      </c>
      <c r="C1235" s="6" t="s">
        <v>21</v>
      </c>
      <c r="D1235" s="6" t="s">
        <v>274</v>
      </c>
      <c r="E1235" s="6" t="s">
        <v>26</v>
      </c>
      <c r="F1235" s="7" t="s">
        <v>3898</v>
      </c>
      <c r="G1235" s="6" t="s">
        <v>3899</v>
      </c>
      <c r="H1235" s="6" t="s">
        <v>10</v>
      </c>
      <c r="I1235" s="8"/>
      <c r="J1235" s="8"/>
      <c r="K1235" s="8"/>
      <c r="L1235" s="9"/>
    </row>
    <row r="1236" customFormat="false" ht="15" hidden="false" customHeight="false" outlineLevel="0" collapsed="false">
      <c r="A1236" s="6" t="s">
        <v>3900</v>
      </c>
      <c r="B1236" s="6" t="s">
        <v>3891</v>
      </c>
      <c r="C1236" s="6" t="s">
        <v>21</v>
      </c>
      <c r="D1236" s="6" t="s">
        <v>274</v>
      </c>
      <c r="E1236" s="6" t="s">
        <v>26</v>
      </c>
      <c r="F1236" s="7" t="s">
        <v>3901</v>
      </c>
      <c r="G1236" s="6" t="s">
        <v>3902</v>
      </c>
      <c r="H1236" s="6" t="s">
        <v>8</v>
      </c>
      <c r="I1236" s="8"/>
      <c r="J1236" s="8"/>
      <c r="K1236" s="8"/>
      <c r="L1236" s="9"/>
    </row>
    <row r="1237" customFormat="false" ht="23.85" hidden="false" customHeight="false" outlineLevel="0" collapsed="false">
      <c r="A1237" s="6" t="s">
        <v>3903</v>
      </c>
      <c r="B1237" s="6" t="s">
        <v>3904</v>
      </c>
      <c r="C1237" s="6" t="s">
        <v>21</v>
      </c>
      <c r="D1237" s="6" t="s">
        <v>274</v>
      </c>
      <c r="E1237" s="6" t="s">
        <v>50</v>
      </c>
      <c r="F1237" s="7" t="s">
        <v>3905</v>
      </c>
      <c r="G1237" s="6" t="s">
        <v>3906</v>
      </c>
      <c r="H1237" s="6" t="s">
        <v>10</v>
      </c>
      <c r="I1237" s="8"/>
      <c r="J1237" s="8"/>
      <c r="K1237" s="8"/>
      <c r="L1237" s="9"/>
    </row>
    <row r="1238" customFormat="false" ht="15" hidden="false" customHeight="false" outlineLevel="0" collapsed="false">
      <c r="A1238" s="6" t="s">
        <v>3907</v>
      </c>
      <c r="B1238" s="6" t="s">
        <v>3904</v>
      </c>
      <c r="C1238" s="6" t="s">
        <v>21</v>
      </c>
      <c r="D1238" s="6" t="s">
        <v>274</v>
      </c>
      <c r="E1238" s="6" t="s">
        <v>50</v>
      </c>
      <c r="F1238" s="7" t="s">
        <v>3908</v>
      </c>
      <c r="G1238" s="6" t="s">
        <v>884</v>
      </c>
      <c r="H1238" s="6" t="s">
        <v>8</v>
      </c>
      <c r="I1238" s="8"/>
      <c r="J1238" s="8"/>
      <c r="K1238" s="8"/>
      <c r="L1238" s="9"/>
    </row>
    <row r="1239" customFormat="false" ht="23.85" hidden="false" customHeight="false" outlineLevel="0" collapsed="false">
      <c r="A1239" s="6" t="s">
        <v>3909</v>
      </c>
      <c r="B1239" s="6" t="s">
        <v>3904</v>
      </c>
      <c r="C1239" s="6" t="s">
        <v>21</v>
      </c>
      <c r="D1239" s="6" t="s">
        <v>274</v>
      </c>
      <c r="E1239" s="6" t="s">
        <v>50</v>
      </c>
      <c r="F1239" s="7" t="s">
        <v>3910</v>
      </c>
      <c r="G1239" s="6" t="s">
        <v>3911</v>
      </c>
      <c r="H1239" s="6" t="s">
        <v>8</v>
      </c>
      <c r="I1239" s="8"/>
      <c r="J1239" s="8"/>
      <c r="K1239" s="8"/>
      <c r="L1239" s="9"/>
    </row>
    <row r="1240" customFormat="false" ht="23.85" hidden="false" customHeight="false" outlineLevel="0" collapsed="false">
      <c r="A1240" s="6" t="s">
        <v>3912</v>
      </c>
      <c r="B1240" s="6" t="s">
        <v>3904</v>
      </c>
      <c r="C1240" s="6" t="s">
        <v>21</v>
      </c>
      <c r="D1240" s="6" t="s">
        <v>274</v>
      </c>
      <c r="E1240" s="6" t="s">
        <v>50</v>
      </c>
      <c r="F1240" s="7" t="s">
        <v>3913</v>
      </c>
      <c r="G1240" s="6" t="s">
        <v>3914</v>
      </c>
      <c r="H1240" s="6" t="s">
        <v>8</v>
      </c>
      <c r="I1240" s="8"/>
      <c r="J1240" s="8"/>
      <c r="K1240" s="8"/>
      <c r="L1240" s="9"/>
    </row>
    <row r="1241" customFormat="false" ht="15" hidden="false" customHeight="false" outlineLevel="0" collapsed="false">
      <c r="A1241" s="6" t="s">
        <v>3915</v>
      </c>
      <c r="B1241" s="6" t="s">
        <v>3904</v>
      </c>
      <c r="C1241" s="6" t="s">
        <v>21</v>
      </c>
      <c r="D1241" s="6" t="s">
        <v>274</v>
      </c>
      <c r="E1241" s="6" t="s">
        <v>50</v>
      </c>
      <c r="F1241" s="7" t="s">
        <v>3916</v>
      </c>
      <c r="G1241" s="6" t="s">
        <v>3917</v>
      </c>
      <c r="H1241" s="6" t="s">
        <v>6</v>
      </c>
      <c r="I1241" s="8"/>
      <c r="J1241" s="8"/>
      <c r="K1241" s="8"/>
      <c r="L1241" s="9"/>
    </row>
    <row r="1242" customFormat="false" ht="15" hidden="false" customHeight="false" outlineLevel="0" collapsed="false">
      <c r="A1242" s="6" t="s">
        <v>3918</v>
      </c>
      <c r="B1242" s="6" t="s">
        <v>3904</v>
      </c>
      <c r="C1242" s="6" t="s">
        <v>21</v>
      </c>
      <c r="D1242" s="6" t="s">
        <v>274</v>
      </c>
      <c r="E1242" s="6" t="s">
        <v>50</v>
      </c>
      <c r="F1242" s="7" t="s">
        <v>3919</v>
      </c>
      <c r="G1242" s="6" t="s">
        <v>3920</v>
      </c>
      <c r="H1242" s="6" t="s">
        <v>10</v>
      </c>
      <c r="I1242" s="8"/>
      <c r="J1242" s="8"/>
      <c r="K1242" s="8"/>
      <c r="L1242" s="9"/>
    </row>
    <row r="1243" customFormat="false" ht="23.85" hidden="false" customHeight="false" outlineLevel="0" collapsed="false">
      <c r="A1243" s="6" t="s">
        <v>3921</v>
      </c>
      <c r="B1243" s="6" t="s">
        <v>3904</v>
      </c>
      <c r="C1243" s="6" t="s">
        <v>21</v>
      </c>
      <c r="D1243" s="6" t="s">
        <v>274</v>
      </c>
      <c r="E1243" s="6" t="s">
        <v>50</v>
      </c>
      <c r="F1243" s="7" t="s">
        <v>3922</v>
      </c>
      <c r="G1243" s="6" t="s">
        <v>385</v>
      </c>
      <c r="H1243" s="6" t="s">
        <v>6</v>
      </c>
      <c r="I1243" s="8"/>
      <c r="J1243" s="8"/>
      <c r="K1243" s="8"/>
      <c r="L1243" s="9"/>
    </row>
    <row r="1244" customFormat="false" ht="15" hidden="false" customHeight="false" outlineLevel="0" collapsed="false">
      <c r="A1244" s="6" t="s">
        <v>3923</v>
      </c>
      <c r="B1244" s="6" t="s">
        <v>3904</v>
      </c>
      <c r="C1244" s="6" t="s">
        <v>21</v>
      </c>
      <c r="D1244" s="6" t="s">
        <v>274</v>
      </c>
      <c r="E1244" s="6" t="s">
        <v>50</v>
      </c>
      <c r="F1244" s="7" t="s">
        <v>3924</v>
      </c>
      <c r="G1244" s="6" t="s">
        <v>3925</v>
      </c>
      <c r="H1244" s="6" t="s">
        <v>8</v>
      </c>
      <c r="I1244" s="8"/>
      <c r="J1244" s="8"/>
      <c r="K1244" s="8"/>
      <c r="L1244" s="9"/>
    </row>
    <row r="1245" customFormat="false" ht="23.85" hidden="false" customHeight="false" outlineLevel="0" collapsed="false">
      <c r="A1245" s="6" t="s">
        <v>3926</v>
      </c>
      <c r="B1245" s="6" t="s">
        <v>3927</v>
      </c>
      <c r="C1245" s="6" t="s">
        <v>21</v>
      </c>
      <c r="D1245" s="6" t="s">
        <v>230</v>
      </c>
      <c r="E1245" s="6" t="s">
        <v>26</v>
      </c>
      <c r="F1245" s="7" t="s">
        <v>3928</v>
      </c>
      <c r="G1245" s="6" t="s">
        <v>3929</v>
      </c>
      <c r="H1245" s="6" t="s">
        <v>10</v>
      </c>
      <c r="I1245" s="8"/>
      <c r="J1245" s="8"/>
      <c r="K1245" s="8"/>
      <c r="L1245" s="9"/>
    </row>
    <row r="1246" customFormat="false" ht="15" hidden="false" customHeight="false" outlineLevel="0" collapsed="false">
      <c r="A1246" s="6" t="s">
        <v>3930</v>
      </c>
      <c r="B1246" s="6" t="s">
        <v>3931</v>
      </c>
      <c r="C1246" s="6" t="s">
        <v>21</v>
      </c>
      <c r="D1246" s="6" t="s">
        <v>331</v>
      </c>
      <c r="E1246" s="6" t="s">
        <v>3932</v>
      </c>
      <c r="F1246" s="7" t="s">
        <v>3933</v>
      </c>
      <c r="G1246" s="6" t="s">
        <v>1436</v>
      </c>
      <c r="H1246" s="6" t="s">
        <v>8</v>
      </c>
      <c r="I1246" s="8"/>
      <c r="J1246" s="8"/>
      <c r="K1246" s="8"/>
      <c r="L1246" s="9"/>
    </row>
    <row r="1247" customFormat="false" ht="15" hidden="false" customHeight="false" outlineLevel="0" collapsed="false">
      <c r="A1247" s="6" t="s">
        <v>3934</v>
      </c>
      <c r="B1247" s="6" t="s">
        <v>3931</v>
      </c>
      <c r="C1247" s="6" t="s">
        <v>21</v>
      </c>
      <c r="D1247" s="6" t="s">
        <v>331</v>
      </c>
      <c r="E1247" s="6" t="s">
        <v>3932</v>
      </c>
      <c r="F1247" s="7" t="s">
        <v>3935</v>
      </c>
      <c r="G1247" s="6" t="s">
        <v>3936</v>
      </c>
      <c r="H1247" s="6" t="s">
        <v>6</v>
      </c>
      <c r="I1247" s="8"/>
      <c r="J1247" s="8"/>
      <c r="K1247" s="8"/>
      <c r="L1247" s="9"/>
    </row>
    <row r="1248" customFormat="false" ht="23.85" hidden="false" customHeight="false" outlineLevel="0" collapsed="false">
      <c r="A1248" s="6" t="s">
        <v>3937</v>
      </c>
      <c r="B1248" s="6" t="s">
        <v>3931</v>
      </c>
      <c r="C1248" s="6" t="s">
        <v>21</v>
      </c>
      <c r="D1248" s="6" t="s">
        <v>331</v>
      </c>
      <c r="E1248" s="6" t="s">
        <v>3932</v>
      </c>
      <c r="F1248" s="7" t="s">
        <v>3938</v>
      </c>
      <c r="G1248" s="6" t="s">
        <v>3939</v>
      </c>
      <c r="H1248" s="6" t="s">
        <v>6</v>
      </c>
      <c r="I1248" s="8"/>
      <c r="J1248" s="8"/>
      <c r="K1248" s="8"/>
      <c r="L1248" s="9"/>
    </row>
    <row r="1249" customFormat="false" ht="15" hidden="false" customHeight="false" outlineLevel="0" collapsed="false">
      <c r="A1249" s="6" t="s">
        <v>3940</v>
      </c>
      <c r="B1249" s="6" t="s">
        <v>3931</v>
      </c>
      <c r="C1249" s="6" t="s">
        <v>21</v>
      </c>
      <c r="D1249" s="6" t="s">
        <v>331</v>
      </c>
      <c r="E1249" s="6" t="s">
        <v>3932</v>
      </c>
      <c r="F1249" s="7" t="s">
        <v>3941</v>
      </c>
      <c r="G1249" s="6" t="s">
        <v>196</v>
      </c>
      <c r="H1249" s="6" t="s">
        <v>6</v>
      </c>
      <c r="I1249" s="8"/>
      <c r="J1249" s="8"/>
      <c r="K1249" s="8"/>
      <c r="L1249" s="9"/>
    </row>
    <row r="1250" customFormat="false" ht="23.85" hidden="false" customHeight="false" outlineLevel="0" collapsed="false">
      <c r="A1250" s="6" t="s">
        <v>3942</v>
      </c>
      <c r="B1250" s="6" t="s">
        <v>3931</v>
      </c>
      <c r="C1250" s="6" t="s">
        <v>21</v>
      </c>
      <c r="D1250" s="6" t="s">
        <v>331</v>
      </c>
      <c r="E1250" s="6" t="s">
        <v>3932</v>
      </c>
      <c r="F1250" s="7" t="s">
        <v>3943</v>
      </c>
      <c r="G1250" s="6" t="s">
        <v>3944</v>
      </c>
      <c r="H1250" s="6" t="s">
        <v>6</v>
      </c>
      <c r="I1250" s="8"/>
      <c r="J1250" s="8"/>
      <c r="K1250" s="8"/>
      <c r="L1250" s="9"/>
    </row>
    <row r="1251" customFormat="false" ht="15" hidden="false" customHeight="false" outlineLevel="0" collapsed="false">
      <c r="A1251" s="6" t="s">
        <v>3945</v>
      </c>
      <c r="B1251" s="6" t="s">
        <v>3931</v>
      </c>
      <c r="C1251" s="6" t="s">
        <v>21</v>
      </c>
      <c r="D1251" s="6" t="s">
        <v>331</v>
      </c>
      <c r="E1251" s="6" t="s">
        <v>3932</v>
      </c>
      <c r="F1251" s="7" t="s">
        <v>3946</v>
      </c>
      <c r="G1251" s="6" t="s">
        <v>3947</v>
      </c>
      <c r="H1251" s="6" t="s">
        <v>6</v>
      </c>
      <c r="I1251" s="8"/>
      <c r="J1251" s="8"/>
      <c r="K1251" s="8"/>
      <c r="L1251" s="9"/>
    </row>
    <row r="1252" customFormat="false" ht="15" hidden="false" customHeight="false" outlineLevel="0" collapsed="false">
      <c r="A1252" s="6" t="s">
        <v>3948</v>
      </c>
      <c r="B1252" s="6" t="s">
        <v>3931</v>
      </c>
      <c r="C1252" s="6" t="s">
        <v>21</v>
      </c>
      <c r="D1252" s="6" t="s">
        <v>331</v>
      </c>
      <c r="E1252" s="6" t="s">
        <v>3932</v>
      </c>
      <c r="F1252" s="7" t="s">
        <v>3949</v>
      </c>
      <c r="G1252" s="6" t="s">
        <v>3950</v>
      </c>
      <c r="H1252" s="6" t="s">
        <v>6</v>
      </c>
      <c r="I1252" s="8"/>
      <c r="J1252" s="8"/>
      <c r="K1252" s="8"/>
      <c r="L1252" s="9"/>
    </row>
    <row r="1253" customFormat="false" ht="35.05" hidden="false" customHeight="false" outlineLevel="0" collapsed="false">
      <c r="A1253" s="6" t="s">
        <v>3951</v>
      </c>
      <c r="B1253" s="6" t="s">
        <v>3931</v>
      </c>
      <c r="C1253" s="6" t="s">
        <v>21</v>
      </c>
      <c r="D1253" s="6" t="s">
        <v>331</v>
      </c>
      <c r="E1253" s="6" t="s">
        <v>3932</v>
      </c>
      <c r="F1253" s="7" t="s">
        <v>3952</v>
      </c>
      <c r="G1253" s="6" t="s">
        <v>3953</v>
      </c>
      <c r="H1253" s="6" t="s">
        <v>8</v>
      </c>
      <c r="I1253" s="8"/>
      <c r="J1253" s="8"/>
      <c r="K1253" s="8"/>
      <c r="L1253" s="9"/>
    </row>
    <row r="1254" customFormat="false" ht="23.85" hidden="false" customHeight="false" outlineLevel="0" collapsed="false">
      <c r="A1254" s="6" t="s">
        <v>3954</v>
      </c>
      <c r="B1254" s="6" t="s">
        <v>3931</v>
      </c>
      <c r="C1254" s="6" t="s">
        <v>21</v>
      </c>
      <c r="D1254" s="6" t="s">
        <v>331</v>
      </c>
      <c r="E1254" s="6" t="s">
        <v>3932</v>
      </c>
      <c r="F1254" s="7" t="s">
        <v>3955</v>
      </c>
      <c r="G1254" s="6" t="s">
        <v>3956</v>
      </c>
      <c r="H1254" s="6" t="s">
        <v>6</v>
      </c>
      <c r="I1254" s="8"/>
      <c r="J1254" s="8"/>
      <c r="K1254" s="8"/>
      <c r="L1254" s="9"/>
    </row>
    <row r="1255" customFormat="false" ht="23.85" hidden="false" customHeight="false" outlineLevel="0" collapsed="false">
      <c r="A1255" s="6" t="s">
        <v>3957</v>
      </c>
      <c r="B1255" s="6" t="s">
        <v>3931</v>
      </c>
      <c r="C1255" s="6" t="s">
        <v>21</v>
      </c>
      <c r="D1255" s="6" t="s">
        <v>331</v>
      </c>
      <c r="E1255" s="6" t="s">
        <v>3932</v>
      </c>
      <c r="F1255" s="7" t="s">
        <v>3958</v>
      </c>
      <c r="G1255" s="6" t="s">
        <v>3959</v>
      </c>
      <c r="H1255" s="6" t="s">
        <v>6</v>
      </c>
      <c r="I1255" s="8"/>
      <c r="J1255" s="8"/>
      <c r="K1255" s="8"/>
      <c r="L1255" s="9"/>
    </row>
    <row r="1256" customFormat="false" ht="15" hidden="false" customHeight="false" outlineLevel="0" collapsed="false">
      <c r="A1256" s="6" t="s">
        <v>3960</v>
      </c>
      <c r="B1256" s="6" t="s">
        <v>3931</v>
      </c>
      <c r="C1256" s="6" t="s">
        <v>21</v>
      </c>
      <c r="D1256" s="6" t="s">
        <v>331</v>
      </c>
      <c r="E1256" s="6" t="s">
        <v>3932</v>
      </c>
      <c r="F1256" s="7" t="s">
        <v>3961</v>
      </c>
      <c r="G1256" s="6" t="s">
        <v>3962</v>
      </c>
      <c r="H1256" s="6" t="s">
        <v>8</v>
      </c>
      <c r="I1256" s="8"/>
      <c r="J1256" s="8"/>
      <c r="K1256" s="8"/>
      <c r="L1256" s="9"/>
    </row>
    <row r="1257" customFormat="false" ht="15" hidden="false" customHeight="false" outlineLevel="0" collapsed="false">
      <c r="A1257" s="6" t="s">
        <v>3963</v>
      </c>
      <c r="B1257" s="6" t="s">
        <v>3931</v>
      </c>
      <c r="C1257" s="6" t="s">
        <v>21</v>
      </c>
      <c r="D1257" s="6" t="s">
        <v>331</v>
      </c>
      <c r="E1257" s="6" t="s">
        <v>3932</v>
      </c>
      <c r="F1257" s="7" t="s">
        <v>3964</v>
      </c>
      <c r="G1257" s="6" t="s">
        <v>3965</v>
      </c>
      <c r="H1257" s="6" t="s">
        <v>8</v>
      </c>
      <c r="I1257" s="8"/>
      <c r="J1257" s="8"/>
      <c r="K1257" s="8"/>
      <c r="L1257" s="9"/>
    </row>
    <row r="1258" customFormat="false" ht="15" hidden="false" customHeight="false" outlineLevel="0" collapsed="false">
      <c r="A1258" s="6" t="s">
        <v>3966</v>
      </c>
      <c r="B1258" s="6" t="s">
        <v>3967</v>
      </c>
      <c r="C1258" s="6" t="s">
        <v>21</v>
      </c>
      <c r="D1258" s="6" t="s">
        <v>230</v>
      </c>
      <c r="E1258" s="6" t="s">
        <v>3104</v>
      </c>
      <c r="F1258" s="7" t="s">
        <v>3968</v>
      </c>
      <c r="G1258" s="6" t="s">
        <v>1585</v>
      </c>
      <c r="H1258" s="6" t="s">
        <v>9</v>
      </c>
      <c r="I1258" s="8"/>
      <c r="J1258" s="8"/>
      <c r="K1258" s="8"/>
      <c r="L1258" s="9"/>
    </row>
    <row r="1259" customFormat="false" ht="15" hidden="false" customHeight="false" outlineLevel="0" collapsed="false">
      <c r="A1259" s="6" t="s">
        <v>3969</v>
      </c>
      <c r="B1259" s="6" t="s">
        <v>3970</v>
      </c>
      <c r="C1259" s="6" t="s">
        <v>21</v>
      </c>
      <c r="D1259" s="6" t="s">
        <v>49</v>
      </c>
      <c r="E1259" s="6" t="s">
        <v>3932</v>
      </c>
      <c r="F1259" s="7" t="s">
        <v>1584</v>
      </c>
      <c r="G1259" s="6" t="s">
        <v>3971</v>
      </c>
      <c r="H1259" s="6" t="s">
        <v>8</v>
      </c>
      <c r="I1259" s="8"/>
      <c r="J1259" s="8"/>
      <c r="K1259" s="8"/>
      <c r="L1259" s="9"/>
    </row>
    <row r="1260" customFormat="false" ht="15" hidden="false" customHeight="false" outlineLevel="0" collapsed="false">
      <c r="A1260" s="6" t="s">
        <v>3972</v>
      </c>
      <c r="B1260" s="6" t="s">
        <v>3970</v>
      </c>
      <c r="C1260" s="6" t="s">
        <v>21</v>
      </c>
      <c r="D1260" s="6" t="s">
        <v>49</v>
      </c>
      <c r="E1260" s="6" t="s">
        <v>3932</v>
      </c>
      <c r="F1260" s="7" t="s">
        <v>3973</v>
      </c>
      <c r="G1260" s="6" t="s">
        <v>3974</v>
      </c>
      <c r="H1260" s="6" t="s">
        <v>8</v>
      </c>
      <c r="I1260" s="8"/>
      <c r="J1260" s="8"/>
      <c r="K1260" s="8"/>
      <c r="L1260" s="9"/>
    </row>
    <row r="1261" customFormat="false" ht="15" hidden="false" customHeight="false" outlineLevel="0" collapsed="false">
      <c r="A1261" s="6" t="s">
        <v>3975</v>
      </c>
      <c r="B1261" s="6" t="s">
        <v>3970</v>
      </c>
      <c r="C1261" s="6" t="s">
        <v>21</v>
      </c>
      <c r="D1261" s="6" t="s">
        <v>49</v>
      </c>
      <c r="E1261" s="6" t="s">
        <v>3932</v>
      </c>
      <c r="F1261" s="7" t="s">
        <v>3976</v>
      </c>
      <c r="G1261" s="6" t="s">
        <v>3977</v>
      </c>
      <c r="H1261" s="6" t="s">
        <v>6</v>
      </c>
      <c r="I1261" s="8"/>
      <c r="J1261" s="8"/>
      <c r="K1261" s="8"/>
      <c r="L1261" s="9"/>
    </row>
    <row r="1262" customFormat="false" ht="23.85" hidden="false" customHeight="false" outlineLevel="0" collapsed="false">
      <c r="A1262" s="6" t="s">
        <v>3978</v>
      </c>
      <c r="B1262" s="6" t="s">
        <v>3970</v>
      </c>
      <c r="C1262" s="6" t="s">
        <v>21</v>
      </c>
      <c r="D1262" s="6" t="s">
        <v>49</v>
      </c>
      <c r="E1262" s="6" t="s">
        <v>3932</v>
      </c>
      <c r="F1262" s="7" t="s">
        <v>3979</v>
      </c>
      <c r="G1262" s="6" t="s">
        <v>3980</v>
      </c>
      <c r="H1262" s="6" t="s">
        <v>8</v>
      </c>
      <c r="I1262" s="8"/>
      <c r="J1262" s="8"/>
      <c r="K1262" s="8"/>
      <c r="L1262" s="9"/>
    </row>
    <row r="1263" customFormat="false" ht="15" hidden="false" customHeight="false" outlineLevel="0" collapsed="false">
      <c r="A1263" s="6" t="s">
        <v>3981</v>
      </c>
      <c r="B1263" s="6" t="s">
        <v>3970</v>
      </c>
      <c r="C1263" s="6" t="s">
        <v>21</v>
      </c>
      <c r="D1263" s="6" t="s">
        <v>49</v>
      </c>
      <c r="E1263" s="6" t="s">
        <v>3932</v>
      </c>
      <c r="F1263" s="7" t="s">
        <v>3982</v>
      </c>
      <c r="G1263" s="6" t="s">
        <v>3983</v>
      </c>
      <c r="H1263" s="6" t="s">
        <v>6</v>
      </c>
      <c r="I1263" s="8"/>
      <c r="J1263" s="8"/>
      <c r="K1263" s="8"/>
      <c r="L1263" s="9"/>
    </row>
    <row r="1264" customFormat="false" ht="23.85" hidden="false" customHeight="false" outlineLevel="0" collapsed="false">
      <c r="A1264" s="6" t="s">
        <v>3984</v>
      </c>
      <c r="B1264" s="6" t="s">
        <v>3970</v>
      </c>
      <c r="C1264" s="6" t="s">
        <v>21</v>
      </c>
      <c r="D1264" s="6" t="s">
        <v>49</v>
      </c>
      <c r="E1264" s="6" t="s">
        <v>3932</v>
      </c>
      <c r="F1264" s="7" t="s">
        <v>3985</v>
      </c>
      <c r="G1264" s="6" t="s">
        <v>3986</v>
      </c>
      <c r="H1264" s="6" t="s">
        <v>6</v>
      </c>
      <c r="I1264" s="8"/>
      <c r="J1264" s="8"/>
      <c r="K1264" s="8"/>
      <c r="L1264" s="9"/>
    </row>
    <row r="1265" customFormat="false" ht="23.85" hidden="false" customHeight="false" outlineLevel="0" collapsed="false">
      <c r="A1265" s="6" t="s">
        <v>3987</v>
      </c>
      <c r="B1265" s="6" t="s">
        <v>3970</v>
      </c>
      <c r="C1265" s="6" t="s">
        <v>21</v>
      </c>
      <c r="D1265" s="6" t="s">
        <v>49</v>
      </c>
      <c r="E1265" s="6" t="s">
        <v>3932</v>
      </c>
      <c r="F1265" s="7" t="s">
        <v>3988</v>
      </c>
      <c r="G1265" s="6" t="s">
        <v>3989</v>
      </c>
      <c r="H1265" s="6" t="s">
        <v>8</v>
      </c>
      <c r="I1265" s="8"/>
      <c r="J1265" s="8"/>
      <c r="K1265" s="8"/>
      <c r="L1265" s="9"/>
    </row>
    <row r="1266" customFormat="false" ht="23.85" hidden="false" customHeight="false" outlineLevel="0" collapsed="false">
      <c r="A1266" s="6" t="s">
        <v>3990</v>
      </c>
      <c r="B1266" s="6" t="s">
        <v>3970</v>
      </c>
      <c r="C1266" s="6" t="s">
        <v>21</v>
      </c>
      <c r="D1266" s="6" t="s">
        <v>49</v>
      </c>
      <c r="E1266" s="6" t="s">
        <v>3932</v>
      </c>
      <c r="F1266" s="7" t="s">
        <v>3991</v>
      </c>
      <c r="G1266" s="6" t="s">
        <v>3992</v>
      </c>
      <c r="H1266" s="6" t="s">
        <v>6</v>
      </c>
      <c r="I1266" s="8"/>
      <c r="J1266" s="8"/>
      <c r="K1266" s="8"/>
      <c r="L1266" s="9"/>
    </row>
    <row r="1267" customFormat="false" ht="15" hidden="false" customHeight="false" outlineLevel="0" collapsed="false">
      <c r="A1267" s="6" t="s">
        <v>3993</v>
      </c>
      <c r="B1267" s="6" t="s">
        <v>3970</v>
      </c>
      <c r="C1267" s="6" t="s">
        <v>21</v>
      </c>
      <c r="D1267" s="6" t="s">
        <v>49</v>
      </c>
      <c r="E1267" s="6" t="s">
        <v>3932</v>
      </c>
      <c r="F1267" s="7" t="s">
        <v>3994</v>
      </c>
      <c r="G1267" s="6" t="s">
        <v>3995</v>
      </c>
      <c r="H1267" s="6" t="s">
        <v>8</v>
      </c>
      <c r="I1267" s="8"/>
      <c r="J1267" s="8"/>
      <c r="K1267" s="8"/>
      <c r="L1267" s="9"/>
    </row>
    <row r="1268" customFormat="false" ht="23.85" hidden="false" customHeight="false" outlineLevel="0" collapsed="false">
      <c r="A1268" s="6" t="s">
        <v>3996</v>
      </c>
      <c r="B1268" s="6" t="s">
        <v>3997</v>
      </c>
      <c r="C1268" s="6" t="s">
        <v>21</v>
      </c>
      <c r="D1268" s="6" t="s">
        <v>230</v>
      </c>
      <c r="E1268" s="6"/>
      <c r="F1268" s="7" t="s">
        <v>3998</v>
      </c>
      <c r="G1268" s="6" t="s">
        <v>3999</v>
      </c>
      <c r="H1268" s="6" t="s">
        <v>9</v>
      </c>
      <c r="I1268" s="8"/>
      <c r="J1268" s="8"/>
      <c r="K1268" s="8"/>
      <c r="L1268" s="9"/>
    </row>
    <row r="1269" customFormat="false" ht="15" hidden="false" customHeight="false" outlineLevel="0" collapsed="false">
      <c r="A1269" s="6" t="s">
        <v>4000</v>
      </c>
      <c r="B1269" s="6" t="s">
        <v>3997</v>
      </c>
      <c r="C1269" s="6" t="s">
        <v>21</v>
      </c>
      <c r="D1269" s="6" t="s">
        <v>230</v>
      </c>
      <c r="E1269" s="6"/>
      <c r="F1269" s="7" t="s">
        <v>4001</v>
      </c>
      <c r="G1269" s="6" t="s">
        <v>95</v>
      </c>
      <c r="H1269" s="6" t="s">
        <v>9</v>
      </c>
      <c r="I1269" s="8"/>
      <c r="J1269" s="8"/>
      <c r="K1269" s="8"/>
      <c r="L1269" s="9"/>
    </row>
    <row r="1270" customFormat="false" ht="23.85" hidden="false" customHeight="false" outlineLevel="0" collapsed="false">
      <c r="A1270" s="6" t="s">
        <v>4002</v>
      </c>
      <c r="B1270" s="6" t="s">
        <v>4003</v>
      </c>
      <c r="C1270" s="6" t="s">
        <v>21</v>
      </c>
      <c r="D1270" s="6" t="s">
        <v>85</v>
      </c>
      <c r="E1270" s="6" t="s">
        <v>29</v>
      </c>
      <c r="F1270" s="7" t="s">
        <v>4004</v>
      </c>
      <c r="G1270" s="6" t="s">
        <v>4005</v>
      </c>
      <c r="H1270" s="6" t="s">
        <v>7</v>
      </c>
      <c r="I1270" s="8"/>
      <c r="J1270" s="8"/>
      <c r="K1270" s="8"/>
      <c r="L1270" s="9"/>
    </row>
    <row r="1271" customFormat="false" ht="15" hidden="false" customHeight="false" outlineLevel="0" collapsed="false">
      <c r="A1271" s="6" t="s">
        <v>4006</v>
      </c>
      <c r="B1271" s="6" t="s">
        <v>4003</v>
      </c>
      <c r="C1271" s="6" t="s">
        <v>21</v>
      </c>
      <c r="D1271" s="6" t="s">
        <v>85</v>
      </c>
      <c r="E1271" s="6" t="s">
        <v>29</v>
      </c>
      <c r="F1271" s="7" t="s">
        <v>4007</v>
      </c>
      <c r="G1271" s="6" t="s">
        <v>4008</v>
      </c>
      <c r="H1271" s="6" t="s">
        <v>6</v>
      </c>
      <c r="I1271" s="8"/>
      <c r="J1271" s="8"/>
      <c r="K1271" s="8"/>
      <c r="L1271" s="9"/>
    </row>
    <row r="1272" customFormat="false" ht="23.85" hidden="false" customHeight="false" outlineLevel="0" collapsed="false">
      <c r="A1272" s="6" t="s">
        <v>4009</v>
      </c>
      <c r="B1272" s="6" t="s">
        <v>4003</v>
      </c>
      <c r="C1272" s="6" t="s">
        <v>21</v>
      </c>
      <c r="D1272" s="6" t="s">
        <v>85</v>
      </c>
      <c r="E1272" s="6" t="s">
        <v>29</v>
      </c>
      <c r="F1272" s="7" t="s">
        <v>4010</v>
      </c>
      <c r="G1272" s="6" t="s">
        <v>4011</v>
      </c>
      <c r="H1272" s="6" t="s">
        <v>6</v>
      </c>
      <c r="I1272" s="8"/>
      <c r="J1272" s="8"/>
      <c r="K1272" s="8"/>
      <c r="L1272" s="9"/>
    </row>
    <row r="1273" customFormat="false" ht="15" hidden="false" customHeight="false" outlineLevel="0" collapsed="false">
      <c r="A1273" s="6" t="s">
        <v>4012</v>
      </c>
      <c r="B1273" s="6" t="s">
        <v>4003</v>
      </c>
      <c r="C1273" s="6" t="s">
        <v>21</v>
      </c>
      <c r="D1273" s="6" t="s">
        <v>85</v>
      </c>
      <c r="E1273" s="6" t="s">
        <v>29</v>
      </c>
      <c r="F1273" s="7" t="s">
        <v>4013</v>
      </c>
      <c r="G1273" s="6" t="s">
        <v>4014</v>
      </c>
      <c r="H1273" s="6" t="s">
        <v>8</v>
      </c>
      <c r="I1273" s="8"/>
      <c r="J1273" s="8"/>
      <c r="K1273" s="8"/>
      <c r="L1273" s="9"/>
    </row>
    <row r="1274" customFormat="false" ht="15" hidden="false" customHeight="false" outlineLevel="0" collapsed="false">
      <c r="A1274" s="6" t="s">
        <v>4015</v>
      </c>
      <c r="B1274" s="6" t="s">
        <v>4003</v>
      </c>
      <c r="C1274" s="6" t="s">
        <v>21</v>
      </c>
      <c r="D1274" s="6" t="s">
        <v>85</v>
      </c>
      <c r="E1274" s="6" t="s">
        <v>29</v>
      </c>
      <c r="F1274" s="7" t="s">
        <v>4016</v>
      </c>
      <c r="G1274" s="6" t="s">
        <v>3256</v>
      </c>
      <c r="H1274" s="6" t="s">
        <v>9</v>
      </c>
      <c r="I1274" s="8"/>
      <c r="J1274" s="8"/>
      <c r="K1274" s="8"/>
      <c r="L1274" s="9"/>
    </row>
    <row r="1275" customFormat="false" ht="23.85" hidden="false" customHeight="false" outlineLevel="0" collapsed="false">
      <c r="A1275" s="6" t="s">
        <v>4017</v>
      </c>
      <c r="B1275" s="6" t="s">
        <v>4018</v>
      </c>
      <c r="C1275" s="6" t="s">
        <v>21</v>
      </c>
      <c r="D1275" s="6" t="s">
        <v>230</v>
      </c>
      <c r="E1275" s="6" t="s">
        <v>29</v>
      </c>
      <c r="F1275" s="7" t="s">
        <v>4019</v>
      </c>
      <c r="G1275" s="6" t="s">
        <v>4020</v>
      </c>
      <c r="H1275" s="6" t="s">
        <v>9</v>
      </c>
      <c r="I1275" s="8"/>
      <c r="J1275" s="8"/>
      <c r="K1275" s="8"/>
      <c r="L1275" s="9"/>
    </row>
    <row r="1276" customFormat="false" ht="15" hidden="false" customHeight="false" outlineLevel="0" collapsed="false">
      <c r="A1276" s="6" t="s">
        <v>4021</v>
      </c>
      <c r="B1276" s="6" t="s">
        <v>4022</v>
      </c>
      <c r="C1276" s="6" t="s">
        <v>21</v>
      </c>
      <c r="D1276" s="6" t="s">
        <v>230</v>
      </c>
      <c r="E1276" s="6" t="s">
        <v>29</v>
      </c>
      <c r="F1276" s="7" t="s">
        <v>4023</v>
      </c>
      <c r="G1276" s="6" t="s">
        <v>376</v>
      </c>
      <c r="H1276" s="6" t="s">
        <v>9</v>
      </c>
      <c r="I1276" s="8"/>
      <c r="J1276" s="8"/>
      <c r="K1276" s="8"/>
      <c r="L1276" s="9"/>
    </row>
    <row r="1277" customFormat="false" ht="15" hidden="false" customHeight="false" outlineLevel="0" collapsed="false">
      <c r="A1277" s="6" t="s">
        <v>4024</v>
      </c>
      <c r="B1277" s="6" t="s">
        <v>4025</v>
      </c>
      <c r="C1277" s="6" t="s">
        <v>21</v>
      </c>
      <c r="D1277" s="6" t="s">
        <v>44</v>
      </c>
      <c r="E1277" s="6"/>
      <c r="F1277" s="7" t="s">
        <v>4026</v>
      </c>
      <c r="G1277" s="6" t="s">
        <v>3335</v>
      </c>
      <c r="H1277" s="6" t="s">
        <v>9</v>
      </c>
      <c r="I1277" s="8"/>
      <c r="J1277" s="8"/>
      <c r="K1277" s="8"/>
      <c r="L1277" s="9"/>
    </row>
    <row r="1278" customFormat="false" ht="23.85" hidden="false" customHeight="false" outlineLevel="0" collapsed="false">
      <c r="A1278" s="6" t="s">
        <v>4027</v>
      </c>
      <c r="B1278" s="6" t="s">
        <v>4025</v>
      </c>
      <c r="C1278" s="6" t="s">
        <v>21</v>
      </c>
      <c r="D1278" s="6" t="s">
        <v>44</v>
      </c>
      <c r="E1278" s="6"/>
      <c r="F1278" s="7" t="s">
        <v>4028</v>
      </c>
      <c r="G1278" s="6" t="s">
        <v>4029</v>
      </c>
      <c r="H1278" s="6" t="s">
        <v>8</v>
      </c>
      <c r="I1278" s="8"/>
      <c r="J1278" s="8"/>
      <c r="K1278" s="8"/>
      <c r="L1278" s="9"/>
    </row>
    <row r="1279" customFormat="false" ht="23.85" hidden="false" customHeight="false" outlineLevel="0" collapsed="false">
      <c r="A1279" s="6" t="s">
        <v>4030</v>
      </c>
      <c r="B1279" s="6" t="s">
        <v>4025</v>
      </c>
      <c r="C1279" s="6" t="s">
        <v>21</v>
      </c>
      <c r="D1279" s="6" t="s">
        <v>44</v>
      </c>
      <c r="E1279" s="6"/>
      <c r="F1279" s="7" t="s">
        <v>4031</v>
      </c>
      <c r="G1279" s="6" t="s">
        <v>4032</v>
      </c>
      <c r="H1279" s="6" t="s">
        <v>6</v>
      </c>
      <c r="I1279" s="8"/>
      <c r="J1279" s="8"/>
      <c r="K1279" s="8"/>
      <c r="L1279" s="9"/>
    </row>
    <row r="1280" customFormat="false" ht="23.85" hidden="false" customHeight="false" outlineLevel="0" collapsed="false">
      <c r="A1280" s="6" t="s">
        <v>4033</v>
      </c>
      <c r="B1280" s="6" t="s">
        <v>4034</v>
      </c>
      <c r="C1280" s="6" t="s">
        <v>21</v>
      </c>
      <c r="D1280" s="6" t="s">
        <v>49</v>
      </c>
      <c r="E1280" s="6"/>
      <c r="F1280" s="7" t="s">
        <v>4035</v>
      </c>
      <c r="G1280" s="6" t="s">
        <v>4036</v>
      </c>
      <c r="H1280" s="6" t="s">
        <v>6</v>
      </c>
      <c r="I1280" s="8"/>
      <c r="J1280" s="8"/>
      <c r="K1280" s="8"/>
      <c r="L1280" s="9"/>
    </row>
    <row r="1281" customFormat="false" ht="15" hidden="false" customHeight="false" outlineLevel="0" collapsed="false">
      <c r="A1281" s="6" t="s">
        <v>4037</v>
      </c>
      <c r="B1281" s="6" t="s">
        <v>4034</v>
      </c>
      <c r="C1281" s="6" t="s">
        <v>21</v>
      </c>
      <c r="D1281" s="6" t="s">
        <v>49</v>
      </c>
      <c r="E1281" s="6"/>
      <c r="F1281" s="7" t="s">
        <v>4038</v>
      </c>
      <c r="G1281" s="6" t="s">
        <v>4039</v>
      </c>
      <c r="H1281" s="6" t="s">
        <v>8</v>
      </c>
      <c r="I1281" s="8"/>
      <c r="J1281" s="8"/>
      <c r="K1281" s="8"/>
      <c r="L1281" s="9"/>
    </row>
    <row r="1282" customFormat="false" ht="15" hidden="false" customHeight="false" outlineLevel="0" collapsed="false">
      <c r="A1282" s="6" t="s">
        <v>4040</v>
      </c>
      <c r="B1282" s="6" t="s">
        <v>4034</v>
      </c>
      <c r="C1282" s="6" t="s">
        <v>21</v>
      </c>
      <c r="D1282" s="6" t="s">
        <v>49</v>
      </c>
      <c r="E1282" s="6"/>
      <c r="F1282" s="7" t="s">
        <v>4041</v>
      </c>
      <c r="G1282" s="6" t="s">
        <v>4042</v>
      </c>
      <c r="H1282" s="6" t="s">
        <v>6</v>
      </c>
      <c r="I1282" s="8"/>
      <c r="J1282" s="8"/>
      <c r="K1282" s="8"/>
      <c r="L1282" s="9"/>
    </row>
    <row r="1283" customFormat="false" ht="35.05" hidden="false" customHeight="false" outlineLevel="0" collapsed="false">
      <c r="A1283" s="6" t="s">
        <v>4043</v>
      </c>
      <c r="B1283" s="6" t="s">
        <v>4034</v>
      </c>
      <c r="C1283" s="6" t="s">
        <v>21</v>
      </c>
      <c r="D1283" s="6" t="s">
        <v>49</v>
      </c>
      <c r="E1283" s="6"/>
      <c r="F1283" s="7" t="s">
        <v>4044</v>
      </c>
      <c r="G1283" s="6" t="s">
        <v>4045</v>
      </c>
      <c r="H1283" s="6" t="s">
        <v>8</v>
      </c>
      <c r="I1283" s="8"/>
      <c r="J1283" s="8"/>
      <c r="K1283" s="8"/>
      <c r="L1283" s="9"/>
    </row>
    <row r="1284" customFormat="false" ht="15" hidden="false" customHeight="false" outlineLevel="0" collapsed="false">
      <c r="A1284" s="6" t="s">
        <v>4046</v>
      </c>
      <c r="B1284" s="6" t="s">
        <v>4034</v>
      </c>
      <c r="C1284" s="6" t="s">
        <v>21</v>
      </c>
      <c r="D1284" s="6" t="s">
        <v>49</v>
      </c>
      <c r="E1284" s="6"/>
      <c r="F1284" s="7" t="s">
        <v>4047</v>
      </c>
      <c r="G1284" s="6" t="s">
        <v>2142</v>
      </c>
      <c r="H1284" s="6" t="s">
        <v>6</v>
      </c>
      <c r="I1284" s="8"/>
      <c r="J1284" s="8"/>
      <c r="K1284" s="8"/>
      <c r="L1284" s="9"/>
    </row>
    <row r="1285" customFormat="false" ht="23.85" hidden="false" customHeight="false" outlineLevel="0" collapsed="false">
      <c r="A1285" s="6" t="s">
        <v>4048</v>
      </c>
      <c r="B1285" s="6" t="s">
        <v>4049</v>
      </c>
      <c r="C1285" s="6" t="s">
        <v>21</v>
      </c>
      <c r="D1285" s="6" t="s">
        <v>85</v>
      </c>
      <c r="E1285" s="6" t="s">
        <v>29</v>
      </c>
      <c r="F1285" s="7" t="s">
        <v>4050</v>
      </c>
      <c r="G1285" s="6" t="s">
        <v>4051</v>
      </c>
      <c r="H1285" s="6" t="s">
        <v>7</v>
      </c>
      <c r="I1285" s="8"/>
      <c r="J1285" s="8"/>
      <c r="K1285" s="8"/>
      <c r="L1285" s="9"/>
    </row>
    <row r="1286" customFormat="false" ht="15" hidden="false" customHeight="false" outlineLevel="0" collapsed="false">
      <c r="A1286" s="6" t="s">
        <v>4052</v>
      </c>
      <c r="B1286" s="6" t="s">
        <v>4049</v>
      </c>
      <c r="C1286" s="6" t="s">
        <v>21</v>
      </c>
      <c r="D1286" s="6" t="s">
        <v>85</v>
      </c>
      <c r="E1286" s="6" t="s">
        <v>29</v>
      </c>
      <c r="F1286" s="7" t="s">
        <v>4053</v>
      </c>
      <c r="G1286" s="6" t="s">
        <v>556</v>
      </c>
      <c r="H1286" s="6" t="s">
        <v>6</v>
      </c>
      <c r="I1286" s="8"/>
      <c r="J1286" s="8"/>
      <c r="K1286" s="8"/>
      <c r="L1286" s="9"/>
    </row>
    <row r="1287" customFormat="false" ht="15" hidden="false" customHeight="false" outlineLevel="0" collapsed="false">
      <c r="A1287" s="6" t="s">
        <v>4054</v>
      </c>
      <c r="B1287" s="6" t="s">
        <v>4049</v>
      </c>
      <c r="C1287" s="6" t="s">
        <v>21</v>
      </c>
      <c r="D1287" s="6" t="s">
        <v>85</v>
      </c>
      <c r="E1287" s="6" t="s">
        <v>29</v>
      </c>
      <c r="F1287" s="7" t="s">
        <v>4055</v>
      </c>
      <c r="G1287" s="6" t="s">
        <v>4056</v>
      </c>
      <c r="H1287" s="6" t="s">
        <v>6</v>
      </c>
      <c r="I1287" s="8"/>
      <c r="J1287" s="8"/>
      <c r="K1287" s="8"/>
      <c r="L1287" s="9"/>
    </row>
    <row r="1288" customFormat="false" ht="23.85" hidden="false" customHeight="false" outlineLevel="0" collapsed="false">
      <c r="A1288" s="6" t="s">
        <v>4057</v>
      </c>
      <c r="B1288" s="6" t="s">
        <v>4049</v>
      </c>
      <c r="C1288" s="6" t="s">
        <v>21</v>
      </c>
      <c r="D1288" s="6" t="s">
        <v>85</v>
      </c>
      <c r="E1288" s="6" t="s">
        <v>29</v>
      </c>
      <c r="F1288" s="7" t="s">
        <v>4058</v>
      </c>
      <c r="G1288" s="6" t="s">
        <v>4059</v>
      </c>
      <c r="H1288" s="6" t="s">
        <v>6</v>
      </c>
      <c r="I1288" s="8"/>
      <c r="J1288" s="8"/>
      <c r="K1288" s="8"/>
      <c r="L1288" s="9"/>
    </row>
    <row r="1289" customFormat="false" ht="23.85" hidden="false" customHeight="false" outlineLevel="0" collapsed="false">
      <c r="A1289" s="6" t="s">
        <v>4060</v>
      </c>
      <c r="B1289" s="6" t="s">
        <v>4049</v>
      </c>
      <c r="C1289" s="6" t="s">
        <v>21</v>
      </c>
      <c r="D1289" s="6" t="s">
        <v>85</v>
      </c>
      <c r="E1289" s="6" t="s">
        <v>29</v>
      </c>
      <c r="F1289" s="7" t="s">
        <v>4061</v>
      </c>
      <c r="G1289" s="6" t="s">
        <v>4062</v>
      </c>
      <c r="H1289" s="6" t="s">
        <v>8</v>
      </c>
      <c r="I1289" s="8"/>
      <c r="J1289" s="8"/>
      <c r="K1289" s="8"/>
      <c r="L1289" s="9"/>
    </row>
    <row r="1290" customFormat="false" ht="23.85" hidden="false" customHeight="false" outlineLevel="0" collapsed="false">
      <c r="A1290" s="6" t="s">
        <v>4063</v>
      </c>
      <c r="B1290" s="6" t="s">
        <v>4049</v>
      </c>
      <c r="C1290" s="6" t="s">
        <v>21</v>
      </c>
      <c r="D1290" s="6" t="s">
        <v>85</v>
      </c>
      <c r="E1290" s="6" t="s">
        <v>29</v>
      </c>
      <c r="F1290" s="7" t="s">
        <v>4064</v>
      </c>
      <c r="G1290" s="6" t="s">
        <v>3683</v>
      </c>
      <c r="H1290" s="6" t="s">
        <v>8</v>
      </c>
      <c r="I1290" s="8"/>
      <c r="J1290" s="8"/>
      <c r="K1290" s="8"/>
      <c r="L1290" s="9"/>
    </row>
    <row r="1291" customFormat="false" ht="23.85" hidden="false" customHeight="false" outlineLevel="0" collapsed="false">
      <c r="A1291" s="6" t="s">
        <v>4065</v>
      </c>
      <c r="B1291" s="6" t="s">
        <v>4049</v>
      </c>
      <c r="C1291" s="6" t="s">
        <v>21</v>
      </c>
      <c r="D1291" s="6" t="s">
        <v>85</v>
      </c>
      <c r="E1291" s="6" t="s">
        <v>29</v>
      </c>
      <c r="F1291" s="7" t="s">
        <v>4066</v>
      </c>
      <c r="G1291" s="6" t="s">
        <v>1983</v>
      </c>
      <c r="H1291" s="6" t="s">
        <v>6</v>
      </c>
      <c r="I1291" s="8"/>
      <c r="J1291" s="8"/>
      <c r="K1291" s="8"/>
      <c r="L1291" s="9"/>
    </row>
    <row r="1292" customFormat="false" ht="15" hidden="false" customHeight="false" outlineLevel="0" collapsed="false">
      <c r="A1292" s="6" t="s">
        <v>4067</v>
      </c>
      <c r="B1292" s="6" t="s">
        <v>4049</v>
      </c>
      <c r="C1292" s="6" t="s">
        <v>21</v>
      </c>
      <c r="D1292" s="6" t="s">
        <v>85</v>
      </c>
      <c r="E1292" s="6" t="s">
        <v>29</v>
      </c>
      <c r="F1292" s="7" t="s">
        <v>4068</v>
      </c>
      <c r="G1292" s="6" t="s">
        <v>3677</v>
      </c>
      <c r="H1292" s="6" t="s">
        <v>7</v>
      </c>
      <c r="I1292" s="8"/>
      <c r="J1292" s="8"/>
      <c r="K1292" s="8"/>
      <c r="L1292" s="9"/>
    </row>
    <row r="1293" customFormat="false" ht="15" hidden="false" customHeight="false" outlineLevel="0" collapsed="false">
      <c r="A1293" s="6" t="s">
        <v>4069</v>
      </c>
      <c r="B1293" s="6" t="s">
        <v>4049</v>
      </c>
      <c r="C1293" s="6" t="s">
        <v>21</v>
      </c>
      <c r="D1293" s="6" t="s">
        <v>85</v>
      </c>
      <c r="E1293" s="6" t="s">
        <v>29</v>
      </c>
      <c r="F1293" s="7" t="s">
        <v>4070</v>
      </c>
      <c r="G1293" s="6" t="s">
        <v>4071</v>
      </c>
      <c r="H1293" s="6" t="s">
        <v>7</v>
      </c>
      <c r="I1293" s="8"/>
      <c r="J1293" s="8"/>
      <c r="K1293" s="8"/>
      <c r="L1293" s="9"/>
    </row>
    <row r="1294" customFormat="false" ht="23.85" hidden="false" customHeight="false" outlineLevel="0" collapsed="false">
      <c r="A1294" s="6" t="s">
        <v>4072</v>
      </c>
      <c r="B1294" s="6" t="s">
        <v>4073</v>
      </c>
      <c r="C1294" s="6" t="s">
        <v>21</v>
      </c>
      <c r="D1294" s="6" t="s">
        <v>274</v>
      </c>
      <c r="E1294" s="6" t="s">
        <v>29</v>
      </c>
      <c r="F1294" s="7" t="s">
        <v>4074</v>
      </c>
      <c r="G1294" s="6" t="s">
        <v>4075</v>
      </c>
      <c r="H1294" s="6" t="s">
        <v>6</v>
      </c>
      <c r="I1294" s="8"/>
      <c r="J1294" s="8"/>
      <c r="K1294" s="8"/>
      <c r="L1294" s="9"/>
    </row>
    <row r="1295" customFormat="false" ht="15" hidden="false" customHeight="false" outlineLevel="0" collapsed="false">
      <c r="A1295" s="6" t="s">
        <v>4076</v>
      </c>
      <c r="B1295" s="6" t="s">
        <v>4073</v>
      </c>
      <c r="C1295" s="6" t="s">
        <v>21</v>
      </c>
      <c r="D1295" s="6" t="s">
        <v>274</v>
      </c>
      <c r="E1295" s="6" t="s">
        <v>29</v>
      </c>
      <c r="F1295" s="7" t="s">
        <v>4077</v>
      </c>
      <c r="G1295" s="6" t="s">
        <v>4078</v>
      </c>
      <c r="H1295" s="6" t="s">
        <v>10</v>
      </c>
      <c r="I1295" s="8"/>
      <c r="J1295" s="8"/>
      <c r="K1295" s="8"/>
      <c r="L1295" s="9"/>
    </row>
    <row r="1296" customFormat="false" ht="23.85" hidden="false" customHeight="false" outlineLevel="0" collapsed="false">
      <c r="A1296" s="6" t="s">
        <v>4079</v>
      </c>
      <c r="B1296" s="6" t="s">
        <v>4080</v>
      </c>
      <c r="C1296" s="6" t="s">
        <v>21</v>
      </c>
      <c r="D1296" s="6" t="s">
        <v>274</v>
      </c>
      <c r="E1296" s="6" t="s">
        <v>29</v>
      </c>
      <c r="F1296" s="7" t="s">
        <v>4081</v>
      </c>
      <c r="G1296" s="6" t="s">
        <v>4082</v>
      </c>
      <c r="H1296" s="6" t="s">
        <v>6</v>
      </c>
      <c r="I1296" s="8"/>
      <c r="J1296" s="8"/>
      <c r="K1296" s="8"/>
      <c r="L1296" s="9"/>
    </row>
    <row r="1297" customFormat="false" ht="15" hidden="false" customHeight="false" outlineLevel="0" collapsed="false">
      <c r="A1297" s="6" t="s">
        <v>4083</v>
      </c>
      <c r="B1297" s="6" t="s">
        <v>4080</v>
      </c>
      <c r="C1297" s="6" t="s">
        <v>21</v>
      </c>
      <c r="D1297" s="6" t="s">
        <v>274</v>
      </c>
      <c r="E1297" s="6" t="s">
        <v>29</v>
      </c>
      <c r="F1297" s="7" t="s">
        <v>4084</v>
      </c>
      <c r="G1297" s="6" t="s">
        <v>4085</v>
      </c>
      <c r="H1297" s="6" t="s">
        <v>10</v>
      </c>
      <c r="I1297" s="8"/>
      <c r="J1297" s="8"/>
      <c r="K1297" s="8"/>
      <c r="L1297" s="9"/>
    </row>
    <row r="1298" customFormat="false" ht="23.85" hidden="false" customHeight="false" outlineLevel="0" collapsed="false">
      <c r="A1298" s="6" t="s">
        <v>4086</v>
      </c>
      <c r="B1298" s="6" t="s">
        <v>4087</v>
      </c>
      <c r="C1298" s="6" t="s">
        <v>21</v>
      </c>
      <c r="D1298" s="6" t="s">
        <v>85</v>
      </c>
      <c r="E1298" s="6"/>
      <c r="F1298" s="7" t="s">
        <v>4088</v>
      </c>
      <c r="G1298" s="6" t="s">
        <v>4089</v>
      </c>
      <c r="H1298" s="6" t="s">
        <v>7</v>
      </c>
      <c r="I1298" s="8"/>
      <c r="J1298" s="8"/>
      <c r="K1298" s="8"/>
      <c r="L1298" s="9"/>
    </row>
    <row r="1299" customFormat="false" ht="15" hidden="false" customHeight="false" outlineLevel="0" collapsed="false">
      <c r="A1299" s="6" t="s">
        <v>4090</v>
      </c>
      <c r="B1299" s="6" t="s">
        <v>4091</v>
      </c>
      <c r="C1299" s="6" t="s">
        <v>21</v>
      </c>
      <c r="D1299" s="6" t="s">
        <v>230</v>
      </c>
      <c r="E1299" s="6"/>
      <c r="F1299" s="7" t="s">
        <v>4092</v>
      </c>
      <c r="G1299" s="6" t="s">
        <v>302</v>
      </c>
      <c r="H1299" s="6" t="s">
        <v>9</v>
      </c>
      <c r="I1299" s="8"/>
      <c r="J1299" s="8"/>
      <c r="K1299" s="8"/>
      <c r="L1299" s="9"/>
    </row>
    <row r="1300" customFormat="false" ht="15" hidden="false" customHeight="false" outlineLevel="0" collapsed="false">
      <c r="A1300" s="6" t="s">
        <v>4093</v>
      </c>
      <c r="B1300" s="6" t="s">
        <v>4094</v>
      </c>
      <c r="C1300" s="6" t="s">
        <v>21</v>
      </c>
      <c r="D1300" s="6" t="s">
        <v>274</v>
      </c>
      <c r="E1300" s="6"/>
      <c r="F1300" s="7" t="s">
        <v>4095</v>
      </c>
      <c r="G1300" s="6" t="s">
        <v>4096</v>
      </c>
      <c r="H1300" s="6" t="s">
        <v>8</v>
      </c>
      <c r="I1300" s="8"/>
      <c r="J1300" s="8"/>
      <c r="K1300" s="8"/>
      <c r="L1300" s="9"/>
    </row>
    <row r="1301" customFormat="false" ht="15" hidden="false" customHeight="false" outlineLevel="0" collapsed="false">
      <c r="A1301" s="6" t="s">
        <v>4097</v>
      </c>
      <c r="B1301" s="6" t="s">
        <v>4094</v>
      </c>
      <c r="C1301" s="6" t="s">
        <v>21</v>
      </c>
      <c r="D1301" s="6" t="s">
        <v>274</v>
      </c>
      <c r="E1301" s="6"/>
      <c r="F1301" s="7" t="s">
        <v>4098</v>
      </c>
      <c r="G1301" s="6" t="s">
        <v>302</v>
      </c>
      <c r="H1301" s="6" t="s">
        <v>8</v>
      </c>
      <c r="I1301" s="8"/>
      <c r="J1301" s="8"/>
      <c r="K1301" s="8"/>
      <c r="L1301" s="9"/>
    </row>
    <row r="1302" customFormat="false" ht="23.85" hidden="false" customHeight="false" outlineLevel="0" collapsed="false">
      <c r="A1302" s="6" t="s">
        <v>4099</v>
      </c>
      <c r="B1302" s="6" t="s">
        <v>4094</v>
      </c>
      <c r="C1302" s="6" t="s">
        <v>21</v>
      </c>
      <c r="D1302" s="6" t="s">
        <v>274</v>
      </c>
      <c r="E1302" s="6"/>
      <c r="F1302" s="7" t="s">
        <v>4100</v>
      </c>
      <c r="G1302" s="6" t="s">
        <v>429</v>
      </c>
      <c r="H1302" s="6" t="s">
        <v>8</v>
      </c>
      <c r="I1302" s="8"/>
      <c r="J1302" s="8"/>
      <c r="K1302" s="8"/>
      <c r="L1302" s="9"/>
    </row>
    <row r="1303" customFormat="false" ht="15" hidden="false" customHeight="false" outlineLevel="0" collapsed="false">
      <c r="A1303" s="6" t="s">
        <v>4101</v>
      </c>
      <c r="B1303" s="6" t="s">
        <v>4094</v>
      </c>
      <c r="C1303" s="6" t="s">
        <v>21</v>
      </c>
      <c r="D1303" s="6" t="s">
        <v>274</v>
      </c>
      <c r="E1303" s="6"/>
      <c r="F1303" s="7" t="s">
        <v>4102</v>
      </c>
      <c r="G1303" s="6" t="s">
        <v>4103</v>
      </c>
      <c r="H1303" s="6" t="s">
        <v>10</v>
      </c>
      <c r="I1303" s="8"/>
      <c r="J1303" s="8"/>
      <c r="K1303" s="8"/>
      <c r="L1303" s="9"/>
    </row>
    <row r="1304" customFormat="false" ht="15" hidden="false" customHeight="false" outlineLevel="0" collapsed="false">
      <c r="A1304" s="6" t="s">
        <v>4104</v>
      </c>
      <c r="B1304" s="6" t="s">
        <v>4105</v>
      </c>
      <c r="C1304" s="6" t="s">
        <v>21</v>
      </c>
      <c r="D1304" s="6" t="s">
        <v>44</v>
      </c>
      <c r="E1304" s="6"/>
      <c r="F1304" s="7" t="s">
        <v>4106</v>
      </c>
      <c r="G1304" s="6" t="s">
        <v>4107</v>
      </c>
      <c r="H1304" s="6" t="s">
        <v>8</v>
      </c>
      <c r="I1304" s="8"/>
      <c r="J1304" s="8"/>
      <c r="K1304" s="8"/>
      <c r="L1304" s="9"/>
    </row>
    <row r="1305" customFormat="false" ht="23.85" hidden="false" customHeight="false" outlineLevel="0" collapsed="false">
      <c r="A1305" s="6" t="s">
        <v>4108</v>
      </c>
      <c r="B1305" s="6" t="s">
        <v>4105</v>
      </c>
      <c r="C1305" s="6" t="s">
        <v>21</v>
      </c>
      <c r="D1305" s="6" t="s">
        <v>44</v>
      </c>
      <c r="E1305" s="6"/>
      <c r="F1305" s="7" t="s">
        <v>4109</v>
      </c>
      <c r="G1305" s="6" t="s">
        <v>261</v>
      </c>
      <c r="H1305" s="6" t="s">
        <v>8</v>
      </c>
      <c r="I1305" s="8"/>
      <c r="J1305" s="8"/>
      <c r="K1305" s="8"/>
      <c r="L1305" s="9"/>
    </row>
    <row r="1306" customFormat="false" ht="23.85" hidden="false" customHeight="false" outlineLevel="0" collapsed="false">
      <c r="A1306" s="6" t="s">
        <v>4110</v>
      </c>
      <c r="B1306" s="6" t="s">
        <v>4105</v>
      </c>
      <c r="C1306" s="6" t="s">
        <v>21</v>
      </c>
      <c r="D1306" s="6" t="s">
        <v>44</v>
      </c>
      <c r="E1306" s="6"/>
      <c r="F1306" s="7" t="s">
        <v>4111</v>
      </c>
      <c r="G1306" s="6" t="s">
        <v>3881</v>
      </c>
      <c r="H1306" s="6" t="s">
        <v>8</v>
      </c>
      <c r="I1306" s="8"/>
      <c r="J1306" s="8"/>
      <c r="K1306" s="8"/>
      <c r="L1306" s="9"/>
    </row>
    <row r="1307" customFormat="false" ht="15" hidden="false" customHeight="false" outlineLevel="0" collapsed="false">
      <c r="A1307" s="6" t="s">
        <v>4112</v>
      </c>
      <c r="B1307" s="6" t="s">
        <v>4105</v>
      </c>
      <c r="C1307" s="6" t="s">
        <v>21</v>
      </c>
      <c r="D1307" s="6" t="s">
        <v>44</v>
      </c>
      <c r="E1307" s="6"/>
      <c r="F1307" s="7" t="s">
        <v>4113</v>
      </c>
      <c r="G1307" s="6" t="s">
        <v>2578</v>
      </c>
      <c r="H1307" s="6" t="s">
        <v>6</v>
      </c>
      <c r="I1307" s="8"/>
      <c r="J1307" s="8"/>
      <c r="K1307" s="8"/>
      <c r="L1307" s="9"/>
    </row>
    <row r="1308" customFormat="false" ht="15" hidden="false" customHeight="false" outlineLevel="0" collapsed="false">
      <c r="A1308" s="6" t="s">
        <v>4114</v>
      </c>
      <c r="B1308" s="6" t="s">
        <v>4115</v>
      </c>
      <c r="C1308" s="6" t="s">
        <v>21</v>
      </c>
      <c r="D1308" s="6" t="s">
        <v>331</v>
      </c>
      <c r="E1308" s="6"/>
      <c r="F1308" s="7" t="s">
        <v>4116</v>
      </c>
      <c r="G1308" s="6" t="s">
        <v>3573</v>
      </c>
      <c r="H1308" s="6" t="s">
        <v>6</v>
      </c>
      <c r="I1308" s="8"/>
      <c r="J1308" s="8"/>
      <c r="K1308" s="8"/>
      <c r="L1308" s="9"/>
    </row>
    <row r="1309" customFormat="false" ht="23.85" hidden="false" customHeight="false" outlineLevel="0" collapsed="false">
      <c r="A1309" s="6" t="s">
        <v>4117</v>
      </c>
      <c r="B1309" s="6" t="s">
        <v>4115</v>
      </c>
      <c r="C1309" s="6" t="s">
        <v>21</v>
      </c>
      <c r="D1309" s="6" t="s">
        <v>331</v>
      </c>
      <c r="E1309" s="6"/>
      <c r="F1309" s="7" t="s">
        <v>4118</v>
      </c>
      <c r="G1309" s="6" t="s">
        <v>4119</v>
      </c>
      <c r="H1309" s="6" t="s">
        <v>8</v>
      </c>
      <c r="I1309" s="8"/>
      <c r="J1309" s="8"/>
      <c r="K1309" s="8"/>
      <c r="L1309" s="9"/>
    </row>
    <row r="1310" customFormat="false" ht="23.85" hidden="false" customHeight="false" outlineLevel="0" collapsed="false">
      <c r="A1310" s="6" t="s">
        <v>4120</v>
      </c>
      <c r="B1310" s="6" t="s">
        <v>4115</v>
      </c>
      <c r="C1310" s="6" t="s">
        <v>21</v>
      </c>
      <c r="D1310" s="6" t="s">
        <v>331</v>
      </c>
      <c r="E1310" s="6"/>
      <c r="F1310" s="7" t="s">
        <v>4121</v>
      </c>
      <c r="G1310" s="6" t="s">
        <v>4122</v>
      </c>
      <c r="H1310" s="6" t="s">
        <v>8</v>
      </c>
      <c r="I1310" s="8"/>
      <c r="J1310" s="8"/>
      <c r="K1310" s="8"/>
      <c r="L1310" s="9"/>
    </row>
    <row r="1311" customFormat="false" ht="15" hidden="false" customHeight="false" outlineLevel="0" collapsed="false">
      <c r="A1311" s="6" t="s">
        <v>4123</v>
      </c>
      <c r="B1311" s="6" t="s">
        <v>4115</v>
      </c>
      <c r="C1311" s="6" t="s">
        <v>21</v>
      </c>
      <c r="D1311" s="6" t="s">
        <v>331</v>
      </c>
      <c r="E1311" s="6"/>
      <c r="F1311" s="7" t="s">
        <v>4124</v>
      </c>
      <c r="G1311" s="6" t="s">
        <v>4125</v>
      </c>
      <c r="H1311" s="6" t="s">
        <v>6</v>
      </c>
      <c r="I1311" s="8"/>
      <c r="J1311" s="8"/>
      <c r="K1311" s="8"/>
      <c r="L1311" s="9"/>
    </row>
    <row r="1312" customFormat="false" ht="15" hidden="false" customHeight="false" outlineLevel="0" collapsed="false">
      <c r="A1312" s="6" t="s">
        <v>4126</v>
      </c>
      <c r="B1312" s="6" t="s">
        <v>4115</v>
      </c>
      <c r="C1312" s="6" t="s">
        <v>21</v>
      </c>
      <c r="D1312" s="6" t="s">
        <v>331</v>
      </c>
      <c r="E1312" s="6"/>
      <c r="F1312" s="7" t="s">
        <v>4127</v>
      </c>
      <c r="G1312" s="6" t="s">
        <v>279</v>
      </c>
      <c r="H1312" s="6" t="s">
        <v>7</v>
      </c>
      <c r="I1312" s="8"/>
      <c r="J1312" s="8"/>
      <c r="K1312" s="8"/>
      <c r="L1312" s="9"/>
    </row>
    <row r="1313" customFormat="false" ht="15" hidden="false" customHeight="false" outlineLevel="0" collapsed="false">
      <c r="A1313" s="6" t="s">
        <v>4128</v>
      </c>
      <c r="B1313" s="6" t="s">
        <v>4129</v>
      </c>
      <c r="C1313" s="6" t="s">
        <v>21</v>
      </c>
      <c r="D1313" s="6" t="s">
        <v>49</v>
      </c>
      <c r="E1313" s="6"/>
      <c r="F1313" s="7" t="s">
        <v>4130</v>
      </c>
      <c r="G1313" s="6" t="s">
        <v>4131</v>
      </c>
      <c r="H1313" s="6" t="s">
        <v>7</v>
      </c>
      <c r="I1313" s="8"/>
      <c r="J1313" s="8"/>
      <c r="K1313" s="8"/>
      <c r="L1313" s="9"/>
    </row>
    <row r="1314" customFormat="false" ht="15" hidden="false" customHeight="false" outlineLevel="0" collapsed="false">
      <c r="A1314" s="6" t="s">
        <v>4132</v>
      </c>
      <c r="B1314" s="6" t="s">
        <v>4133</v>
      </c>
      <c r="C1314" s="6" t="s">
        <v>21</v>
      </c>
      <c r="D1314" s="6" t="s">
        <v>44</v>
      </c>
      <c r="E1314" s="6"/>
      <c r="F1314" s="7" t="s">
        <v>4134</v>
      </c>
      <c r="G1314" s="6" t="s">
        <v>4135</v>
      </c>
      <c r="H1314" s="6" t="s">
        <v>9</v>
      </c>
      <c r="I1314" s="8"/>
      <c r="J1314" s="8"/>
      <c r="K1314" s="8"/>
      <c r="L1314" s="9"/>
    </row>
    <row r="1315" customFormat="false" ht="23.85" hidden="false" customHeight="false" outlineLevel="0" collapsed="false">
      <c r="A1315" s="6" t="s">
        <v>4136</v>
      </c>
      <c r="B1315" s="6" t="s">
        <v>4133</v>
      </c>
      <c r="C1315" s="6" t="s">
        <v>21</v>
      </c>
      <c r="D1315" s="6" t="s">
        <v>44</v>
      </c>
      <c r="E1315" s="6"/>
      <c r="F1315" s="7" t="s">
        <v>4137</v>
      </c>
      <c r="G1315" s="6" t="s">
        <v>105</v>
      </c>
      <c r="H1315" s="6" t="s">
        <v>9</v>
      </c>
      <c r="I1315" s="8"/>
      <c r="J1315" s="8"/>
      <c r="K1315" s="8"/>
      <c r="L1315" s="9"/>
    </row>
    <row r="1316" customFormat="false" ht="46.25" hidden="false" customHeight="false" outlineLevel="0" collapsed="false">
      <c r="A1316" s="6" t="s">
        <v>4138</v>
      </c>
      <c r="B1316" s="6" t="s">
        <v>4133</v>
      </c>
      <c r="C1316" s="6" t="s">
        <v>21</v>
      </c>
      <c r="D1316" s="6" t="s">
        <v>44</v>
      </c>
      <c r="E1316" s="6"/>
      <c r="F1316" s="7" t="s">
        <v>4139</v>
      </c>
      <c r="G1316" s="6" t="s">
        <v>4140</v>
      </c>
      <c r="H1316" s="6" t="s">
        <v>8</v>
      </c>
      <c r="I1316" s="8"/>
      <c r="J1316" s="8"/>
      <c r="K1316" s="8"/>
      <c r="L1316" s="9"/>
    </row>
    <row r="1317" customFormat="false" ht="23.85" hidden="false" customHeight="false" outlineLevel="0" collapsed="false">
      <c r="A1317" s="6" t="s">
        <v>4141</v>
      </c>
      <c r="B1317" s="6" t="s">
        <v>4142</v>
      </c>
      <c r="C1317" s="6" t="s">
        <v>21</v>
      </c>
      <c r="D1317" s="6" t="s">
        <v>44</v>
      </c>
      <c r="E1317" s="6"/>
      <c r="F1317" s="7" t="s">
        <v>4143</v>
      </c>
      <c r="G1317" s="6" t="s">
        <v>4144</v>
      </c>
      <c r="H1317" s="6" t="s">
        <v>9</v>
      </c>
      <c r="I1317" s="8"/>
      <c r="J1317" s="8"/>
      <c r="K1317" s="8"/>
      <c r="L1317" s="9"/>
    </row>
    <row r="1318" customFormat="false" ht="35.05" hidden="false" customHeight="false" outlineLevel="0" collapsed="false">
      <c r="A1318" s="6" t="s">
        <v>4145</v>
      </c>
      <c r="B1318" s="6" t="s">
        <v>4146</v>
      </c>
      <c r="C1318" s="6" t="s">
        <v>21</v>
      </c>
      <c r="D1318" s="6" t="s">
        <v>44</v>
      </c>
      <c r="E1318" s="6"/>
      <c r="F1318" s="7" t="s">
        <v>4147</v>
      </c>
      <c r="G1318" s="6" t="s">
        <v>3054</v>
      </c>
      <c r="H1318" s="6" t="s">
        <v>7</v>
      </c>
      <c r="I1318" s="8"/>
      <c r="J1318" s="8"/>
      <c r="K1318" s="8"/>
      <c r="L1318" s="9"/>
    </row>
    <row r="1319" customFormat="false" ht="15" hidden="false" customHeight="false" outlineLevel="0" collapsed="false">
      <c r="A1319" s="6" t="s">
        <v>4148</v>
      </c>
      <c r="B1319" s="6" t="s">
        <v>4149</v>
      </c>
      <c r="C1319" s="6" t="s">
        <v>21</v>
      </c>
      <c r="D1319" s="6" t="s">
        <v>44</v>
      </c>
      <c r="E1319" s="6" t="s">
        <v>26</v>
      </c>
      <c r="F1319" s="7" t="s">
        <v>4150</v>
      </c>
      <c r="G1319" s="6" t="s">
        <v>2993</v>
      </c>
      <c r="H1319" s="6" t="s">
        <v>8</v>
      </c>
      <c r="I1319" s="8"/>
      <c r="J1319" s="8"/>
      <c r="K1319" s="8"/>
      <c r="L1319" s="9"/>
    </row>
    <row r="1320" customFormat="false" ht="23.85" hidden="false" customHeight="false" outlineLevel="0" collapsed="false">
      <c r="A1320" s="6" t="s">
        <v>4151</v>
      </c>
      <c r="B1320" s="6" t="s">
        <v>4149</v>
      </c>
      <c r="C1320" s="6" t="s">
        <v>21</v>
      </c>
      <c r="D1320" s="6" t="s">
        <v>44</v>
      </c>
      <c r="E1320" s="6" t="s">
        <v>26</v>
      </c>
      <c r="F1320" s="7" t="s">
        <v>4152</v>
      </c>
      <c r="G1320" s="6" t="s">
        <v>4153</v>
      </c>
      <c r="H1320" s="6" t="s">
        <v>9</v>
      </c>
      <c r="I1320" s="8"/>
      <c r="J1320" s="8"/>
      <c r="K1320" s="8"/>
      <c r="L1320" s="9"/>
    </row>
    <row r="1321" customFormat="false" ht="23.85" hidden="false" customHeight="false" outlineLevel="0" collapsed="false">
      <c r="A1321" s="6" t="s">
        <v>4154</v>
      </c>
      <c r="B1321" s="6" t="s">
        <v>4149</v>
      </c>
      <c r="C1321" s="6" t="s">
        <v>21</v>
      </c>
      <c r="D1321" s="6" t="s">
        <v>44</v>
      </c>
      <c r="E1321" s="6" t="s">
        <v>26</v>
      </c>
      <c r="F1321" s="7" t="s">
        <v>4155</v>
      </c>
      <c r="G1321" s="6" t="s">
        <v>4156</v>
      </c>
      <c r="H1321" s="6" t="s">
        <v>9</v>
      </c>
      <c r="I1321" s="8"/>
      <c r="J1321" s="8"/>
      <c r="K1321" s="8"/>
      <c r="L1321" s="9"/>
    </row>
    <row r="1322" customFormat="false" ht="23.85" hidden="false" customHeight="false" outlineLevel="0" collapsed="false">
      <c r="A1322" s="6" t="s">
        <v>4157</v>
      </c>
      <c r="B1322" s="6" t="s">
        <v>4149</v>
      </c>
      <c r="C1322" s="6" t="s">
        <v>21</v>
      </c>
      <c r="D1322" s="6" t="s">
        <v>44</v>
      </c>
      <c r="E1322" s="6" t="s">
        <v>26</v>
      </c>
      <c r="F1322" s="7" t="s">
        <v>4158</v>
      </c>
      <c r="G1322" s="6" t="s">
        <v>4159</v>
      </c>
      <c r="H1322" s="6" t="s">
        <v>9</v>
      </c>
      <c r="I1322" s="8"/>
      <c r="J1322" s="8"/>
      <c r="K1322" s="8"/>
      <c r="L1322" s="9"/>
    </row>
    <row r="1323" customFormat="false" ht="15" hidden="false" customHeight="false" outlineLevel="0" collapsed="false">
      <c r="A1323" s="6" t="s">
        <v>4160</v>
      </c>
      <c r="B1323" s="6" t="s">
        <v>4161</v>
      </c>
      <c r="C1323" s="6" t="s">
        <v>21</v>
      </c>
      <c r="D1323" s="6" t="s">
        <v>331</v>
      </c>
      <c r="E1323" s="6"/>
      <c r="F1323" s="7" t="s">
        <v>4162</v>
      </c>
      <c r="G1323" s="6" t="s">
        <v>667</v>
      </c>
      <c r="H1323" s="6" t="s">
        <v>6</v>
      </c>
      <c r="I1323" s="8"/>
      <c r="J1323" s="8"/>
      <c r="K1323" s="8"/>
      <c r="L1323" s="9"/>
    </row>
    <row r="1324" customFormat="false" ht="23.85" hidden="false" customHeight="false" outlineLevel="0" collapsed="false">
      <c r="A1324" s="6" t="s">
        <v>4163</v>
      </c>
      <c r="B1324" s="6" t="s">
        <v>4161</v>
      </c>
      <c r="C1324" s="6" t="s">
        <v>21</v>
      </c>
      <c r="D1324" s="6" t="s">
        <v>331</v>
      </c>
      <c r="E1324" s="6"/>
      <c r="F1324" s="7" t="s">
        <v>4164</v>
      </c>
      <c r="G1324" s="6" t="s">
        <v>4165</v>
      </c>
      <c r="H1324" s="6" t="s">
        <v>8</v>
      </c>
      <c r="I1324" s="8"/>
      <c r="J1324" s="8"/>
      <c r="K1324" s="8"/>
      <c r="L1324" s="9"/>
    </row>
    <row r="1325" customFormat="false" ht="23.85" hidden="false" customHeight="false" outlineLevel="0" collapsed="false">
      <c r="A1325" s="6" t="s">
        <v>4166</v>
      </c>
      <c r="B1325" s="6" t="s">
        <v>4161</v>
      </c>
      <c r="C1325" s="6" t="s">
        <v>21</v>
      </c>
      <c r="D1325" s="6" t="s">
        <v>331</v>
      </c>
      <c r="E1325" s="6"/>
      <c r="F1325" s="7" t="s">
        <v>4167</v>
      </c>
      <c r="G1325" s="6" t="s">
        <v>4032</v>
      </c>
      <c r="H1325" s="6" t="s">
        <v>8</v>
      </c>
      <c r="I1325" s="8"/>
      <c r="J1325" s="8"/>
      <c r="K1325" s="8"/>
      <c r="L1325" s="9"/>
    </row>
    <row r="1326" customFormat="false" ht="23.85" hidden="false" customHeight="false" outlineLevel="0" collapsed="false">
      <c r="A1326" s="6" t="s">
        <v>4168</v>
      </c>
      <c r="B1326" s="6" t="s">
        <v>4161</v>
      </c>
      <c r="C1326" s="6" t="s">
        <v>21</v>
      </c>
      <c r="D1326" s="6" t="s">
        <v>331</v>
      </c>
      <c r="E1326" s="6"/>
      <c r="F1326" s="7" t="s">
        <v>4169</v>
      </c>
      <c r="G1326" s="6" t="s">
        <v>4170</v>
      </c>
      <c r="H1326" s="6" t="s">
        <v>7</v>
      </c>
      <c r="I1326" s="8"/>
      <c r="J1326" s="8"/>
      <c r="K1326" s="8"/>
      <c r="L1326" s="9"/>
    </row>
    <row r="1327" customFormat="false" ht="23.85" hidden="false" customHeight="false" outlineLevel="0" collapsed="false">
      <c r="A1327" s="6" t="s">
        <v>4171</v>
      </c>
      <c r="B1327" s="6" t="s">
        <v>4161</v>
      </c>
      <c r="C1327" s="6" t="s">
        <v>21</v>
      </c>
      <c r="D1327" s="6" t="s">
        <v>331</v>
      </c>
      <c r="E1327" s="6"/>
      <c r="F1327" s="7" t="s">
        <v>4172</v>
      </c>
      <c r="G1327" s="6" t="s">
        <v>4173</v>
      </c>
      <c r="H1327" s="6" t="s">
        <v>8</v>
      </c>
      <c r="I1327" s="8"/>
      <c r="J1327" s="8"/>
      <c r="K1327" s="8"/>
      <c r="L1327" s="9"/>
    </row>
    <row r="1328" customFormat="false" ht="23.85" hidden="false" customHeight="false" outlineLevel="0" collapsed="false">
      <c r="A1328" s="6" t="s">
        <v>4174</v>
      </c>
      <c r="B1328" s="6" t="s">
        <v>4161</v>
      </c>
      <c r="C1328" s="6" t="s">
        <v>21</v>
      </c>
      <c r="D1328" s="6" t="s">
        <v>331</v>
      </c>
      <c r="E1328" s="6"/>
      <c r="F1328" s="7" t="s">
        <v>4175</v>
      </c>
      <c r="G1328" s="6" t="s">
        <v>3729</v>
      </c>
      <c r="H1328" s="6" t="s">
        <v>8</v>
      </c>
      <c r="I1328" s="8"/>
      <c r="J1328" s="8"/>
      <c r="K1328" s="8"/>
      <c r="L1328" s="9"/>
    </row>
    <row r="1329" customFormat="false" ht="23.85" hidden="false" customHeight="false" outlineLevel="0" collapsed="false">
      <c r="A1329" s="6" t="s">
        <v>4176</v>
      </c>
      <c r="B1329" s="6" t="s">
        <v>4161</v>
      </c>
      <c r="C1329" s="6" t="s">
        <v>21</v>
      </c>
      <c r="D1329" s="6" t="s">
        <v>331</v>
      </c>
      <c r="E1329" s="6"/>
      <c r="F1329" s="7" t="s">
        <v>4177</v>
      </c>
      <c r="G1329" s="6" t="s">
        <v>1870</v>
      </c>
      <c r="H1329" s="6" t="s">
        <v>8</v>
      </c>
      <c r="I1329" s="8"/>
      <c r="J1329" s="8"/>
      <c r="K1329" s="8"/>
      <c r="L1329" s="9"/>
    </row>
    <row r="1330" customFormat="false" ht="15" hidden="false" customHeight="false" outlineLevel="0" collapsed="false">
      <c r="A1330" s="6" t="s">
        <v>4178</v>
      </c>
      <c r="B1330" s="6" t="s">
        <v>4161</v>
      </c>
      <c r="C1330" s="6" t="s">
        <v>21</v>
      </c>
      <c r="D1330" s="6" t="s">
        <v>331</v>
      </c>
      <c r="E1330" s="6"/>
      <c r="F1330" s="7" t="s">
        <v>4179</v>
      </c>
      <c r="G1330" s="6" t="s">
        <v>2020</v>
      </c>
      <c r="H1330" s="6" t="s">
        <v>8</v>
      </c>
      <c r="I1330" s="8"/>
      <c r="J1330" s="8"/>
      <c r="K1330" s="8"/>
      <c r="L1330" s="9"/>
    </row>
    <row r="1331" customFormat="false" ht="23.85" hidden="false" customHeight="false" outlineLevel="0" collapsed="false">
      <c r="A1331" s="6" t="s">
        <v>4180</v>
      </c>
      <c r="B1331" s="6" t="s">
        <v>4161</v>
      </c>
      <c r="C1331" s="6" t="s">
        <v>21</v>
      </c>
      <c r="D1331" s="6" t="s">
        <v>331</v>
      </c>
      <c r="E1331" s="6"/>
      <c r="F1331" s="7" t="s">
        <v>4181</v>
      </c>
      <c r="G1331" s="6" t="s">
        <v>4182</v>
      </c>
      <c r="H1331" s="6" t="s">
        <v>6</v>
      </c>
      <c r="I1331" s="8"/>
      <c r="J1331" s="8"/>
      <c r="K1331" s="8"/>
      <c r="L1331" s="9"/>
    </row>
    <row r="1332" customFormat="false" ht="23.85" hidden="false" customHeight="false" outlineLevel="0" collapsed="false">
      <c r="A1332" s="6" t="s">
        <v>4183</v>
      </c>
      <c r="B1332" s="6" t="s">
        <v>4161</v>
      </c>
      <c r="C1332" s="6" t="s">
        <v>21</v>
      </c>
      <c r="D1332" s="6" t="s">
        <v>331</v>
      </c>
      <c r="E1332" s="6"/>
      <c r="F1332" s="7" t="s">
        <v>4184</v>
      </c>
      <c r="G1332" s="6" t="s">
        <v>4185</v>
      </c>
      <c r="H1332" s="6" t="s">
        <v>8</v>
      </c>
      <c r="I1332" s="8"/>
      <c r="J1332" s="8"/>
      <c r="K1332" s="8"/>
      <c r="L1332" s="9"/>
    </row>
    <row r="1333" customFormat="false" ht="23.85" hidden="false" customHeight="false" outlineLevel="0" collapsed="false">
      <c r="A1333" s="6" t="s">
        <v>4186</v>
      </c>
      <c r="B1333" s="6" t="s">
        <v>4161</v>
      </c>
      <c r="C1333" s="6" t="s">
        <v>21</v>
      </c>
      <c r="D1333" s="6" t="s">
        <v>331</v>
      </c>
      <c r="E1333" s="6"/>
      <c r="F1333" s="7" t="s">
        <v>4187</v>
      </c>
      <c r="G1333" s="6" t="s">
        <v>1014</v>
      </c>
      <c r="H1333" s="6" t="s">
        <v>8</v>
      </c>
      <c r="I1333" s="8"/>
      <c r="J1333" s="8"/>
      <c r="K1333" s="8"/>
      <c r="L1333" s="9"/>
    </row>
    <row r="1334" customFormat="false" ht="23.85" hidden="false" customHeight="false" outlineLevel="0" collapsed="false">
      <c r="A1334" s="6" t="s">
        <v>4188</v>
      </c>
      <c r="B1334" s="6" t="s">
        <v>4161</v>
      </c>
      <c r="C1334" s="6" t="s">
        <v>21</v>
      </c>
      <c r="D1334" s="6" t="s">
        <v>331</v>
      </c>
      <c r="E1334" s="6"/>
      <c r="F1334" s="7" t="s">
        <v>4189</v>
      </c>
      <c r="G1334" s="6" t="s">
        <v>4190</v>
      </c>
      <c r="H1334" s="6" t="s">
        <v>8</v>
      </c>
      <c r="I1334" s="8"/>
      <c r="J1334" s="8"/>
      <c r="K1334" s="8"/>
      <c r="L1334" s="9"/>
    </row>
    <row r="1335" customFormat="false" ht="23.85" hidden="false" customHeight="false" outlineLevel="0" collapsed="false">
      <c r="A1335" s="6" t="s">
        <v>4191</v>
      </c>
      <c r="B1335" s="6" t="s">
        <v>4161</v>
      </c>
      <c r="C1335" s="6" t="s">
        <v>21</v>
      </c>
      <c r="D1335" s="6" t="s">
        <v>331</v>
      </c>
      <c r="E1335" s="6"/>
      <c r="F1335" s="7" t="s">
        <v>4192</v>
      </c>
      <c r="G1335" s="6" t="s">
        <v>1017</v>
      </c>
      <c r="H1335" s="6" t="s">
        <v>6</v>
      </c>
      <c r="I1335" s="8"/>
      <c r="J1335" s="8"/>
      <c r="K1335" s="8"/>
      <c r="L1335" s="9"/>
    </row>
    <row r="1336" customFormat="false" ht="23.85" hidden="false" customHeight="false" outlineLevel="0" collapsed="false">
      <c r="A1336" s="6" t="s">
        <v>4193</v>
      </c>
      <c r="B1336" s="6" t="s">
        <v>4194</v>
      </c>
      <c r="C1336" s="6" t="s">
        <v>21</v>
      </c>
      <c r="D1336" s="6" t="s">
        <v>85</v>
      </c>
      <c r="E1336" s="6" t="s">
        <v>26</v>
      </c>
      <c r="F1336" s="7" t="s">
        <v>4195</v>
      </c>
      <c r="G1336" s="6" t="s">
        <v>4196</v>
      </c>
      <c r="H1336" s="6" t="s">
        <v>8</v>
      </c>
      <c r="I1336" s="8"/>
      <c r="J1336" s="8"/>
      <c r="K1336" s="8"/>
      <c r="L1336" s="9"/>
    </row>
    <row r="1337" customFormat="false" ht="23.85" hidden="false" customHeight="false" outlineLevel="0" collapsed="false">
      <c r="A1337" s="6" t="s">
        <v>4197</v>
      </c>
      <c r="B1337" s="6" t="s">
        <v>4194</v>
      </c>
      <c r="C1337" s="6" t="s">
        <v>21</v>
      </c>
      <c r="D1337" s="6" t="s">
        <v>85</v>
      </c>
      <c r="E1337" s="6" t="s">
        <v>26</v>
      </c>
      <c r="F1337" s="7" t="s">
        <v>4198</v>
      </c>
      <c r="G1337" s="6" t="s">
        <v>4199</v>
      </c>
      <c r="H1337" s="6" t="s">
        <v>6</v>
      </c>
      <c r="I1337" s="8"/>
      <c r="J1337" s="8"/>
      <c r="K1337" s="8"/>
      <c r="L1337" s="9"/>
    </row>
    <row r="1338" customFormat="false" ht="15" hidden="false" customHeight="false" outlineLevel="0" collapsed="false">
      <c r="A1338" s="6" t="s">
        <v>4200</v>
      </c>
      <c r="B1338" s="6" t="s">
        <v>4194</v>
      </c>
      <c r="C1338" s="6" t="s">
        <v>21</v>
      </c>
      <c r="D1338" s="6" t="s">
        <v>85</v>
      </c>
      <c r="E1338" s="6" t="s">
        <v>26</v>
      </c>
      <c r="F1338" s="7" t="s">
        <v>4201</v>
      </c>
      <c r="G1338" s="6" t="s">
        <v>4202</v>
      </c>
      <c r="H1338" s="6" t="s">
        <v>8</v>
      </c>
      <c r="I1338" s="8"/>
      <c r="J1338" s="8"/>
      <c r="K1338" s="8"/>
      <c r="L1338" s="9"/>
    </row>
    <row r="1339" customFormat="false" ht="35.05" hidden="false" customHeight="false" outlineLevel="0" collapsed="false">
      <c r="A1339" s="6" t="s">
        <v>4203</v>
      </c>
      <c r="B1339" s="6" t="s">
        <v>4194</v>
      </c>
      <c r="C1339" s="6" t="s">
        <v>21</v>
      </c>
      <c r="D1339" s="6" t="s">
        <v>85</v>
      </c>
      <c r="E1339" s="6" t="s">
        <v>26</v>
      </c>
      <c r="F1339" s="7" t="s">
        <v>4204</v>
      </c>
      <c r="G1339" s="6" t="s">
        <v>4205</v>
      </c>
      <c r="H1339" s="6" t="s">
        <v>6</v>
      </c>
      <c r="I1339" s="8"/>
      <c r="J1339" s="8"/>
      <c r="K1339" s="8"/>
      <c r="L1339" s="9"/>
    </row>
    <row r="1340" customFormat="false" ht="23.85" hidden="false" customHeight="false" outlineLevel="0" collapsed="false">
      <c r="A1340" s="6" t="s">
        <v>4206</v>
      </c>
      <c r="B1340" s="6" t="s">
        <v>4194</v>
      </c>
      <c r="C1340" s="6" t="s">
        <v>21</v>
      </c>
      <c r="D1340" s="6" t="s">
        <v>85</v>
      </c>
      <c r="E1340" s="6" t="s">
        <v>26</v>
      </c>
      <c r="F1340" s="7" t="s">
        <v>4207</v>
      </c>
      <c r="G1340" s="6" t="s">
        <v>4208</v>
      </c>
      <c r="H1340" s="6" t="s">
        <v>10</v>
      </c>
      <c r="I1340" s="8"/>
      <c r="J1340" s="8"/>
      <c r="K1340" s="8"/>
      <c r="L1340" s="9"/>
    </row>
    <row r="1341" customFormat="false" ht="23.85" hidden="false" customHeight="false" outlineLevel="0" collapsed="false">
      <c r="A1341" s="6" t="s">
        <v>4209</v>
      </c>
      <c r="B1341" s="6" t="s">
        <v>4210</v>
      </c>
      <c r="C1341" s="6" t="s">
        <v>21</v>
      </c>
      <c r="D1341" s="6" t="s">
        <v>85</v>
      </c>
      <c r="E1341" s="6" t="s">
        <v>26</v>
      </c>
      <c r="F1341" s="7" t="s">
        <v>4211</v>
      </c>
      <c r="G1341" s="6" t="s">
        <v>4212</v>
      </c>
      <c r="H1341" s="6" t="s">
        <v>6</v>
      </c>
      <c r="I1341" s="8"/>
      <c r="J1341" s="8"/>
      <c r="K1341" s="8"/>
      <c r="L1341" s="9"/>
    </row>
    <row r="1342" customFormat="false" ht="15" hidden="false" customHeight="false" outlineLevel="0" collapsed="false">
      <c r="A1342" s="6" t="s">
        <v>4213</v>
      </c>
      <c r="B1342" s="6" t="s">
        <v>4210</v>
      </c>
      <c r="C1342" s="6" t="s">
        <v>21</v>
      </c>
      <c r="D1342" s="6" t="s">
        <v>85</v>
      </c>
      <c r="E1342" s="6" t="s">
        <v>26</v>
      </c>
      <c r="F1342" s="7" t="s">
        <v>4214</v>
      </c>
      <c r="G1342" s="6" t="s">
        <v>4011</v>
      </c>
      <c r="H1342" s="6" t="s">
        <v>9</v>
      </c>
      <c r="I1342" s="8"/>
      <c r="J1342" s="8"/>
      <c r="K1342" s="8"/>
      <c r="L1342" s="9"/>
    </row>
    <row r="1343" customFormat="false" ht="15" hidden="false" customHeight="false" outlineLevel="0" collapsed="false">
      <c r="A1343" s="6" t="s">
        <v>4215</v>
      </c>
      <c r="B1343" s="6" t="s">
        <v>4210</v>
      </c>
      <c r="C1343" s="6" t="s">
        <v>21</v>
      </c>
      <c r="D1343" s="6" t="s">
        <v>85</v>
      </c>
      <c r="E1343" s="6" t="s">
        <v>26</v>
      </c>
      <c r="F1343" s="7" t="s">
        <v>4216</v>
      </c>
      <c r="G1343" s="6" t="s">
        <v>4217</v>
      </c>
      <c r="H1343" s="6" t="s">
        <v>8</v>
      </c>
      <c r="I1343" s="8"/>
      <c r="J1343" s="8"/>
      <c r="K1343" s="8"/>
      <c r="L1343" s="9"/>
    </row>
    <row r="1344" customFormat="false" ht="15" hidden="false" customHeight="false" outlineLevel="0" collapsed="false">
      <c r="A1344" s="6" t="s">
        <v>4218</v>
      </c>
      <c r="B1344" s="6" t="s">
        <v>4210</v>
      </c>
      <c r="C1344" s="6" t="s">
        <v>21</v>
      </c>
      <c r="D1344" s="6" t="s">
        <v>85</v>
      </c>
      <c r="E1344" s="6" t="s">
        <v>26</v>
      </c>
      <c r="F1344" s="7" t="s">
        <v>4219</v>
      </c>
      <c r="G1344" s="6" t="s">
        <v>4220</v>
      </c>
      <c r="H1344" s="6" t="s">
        <v>8</v>
      </c>
      <c r="I1344" s="8"/>
      <c r="J1344" s="8"/>
      <c r="K1344" s="8"/>
      <c r="L1344" s="9"/>
    </row>
    <row r="1345" customFormat="false" ht="15" hidden="false" customHeight="false" outlineLevel="0" collapsed="false">
      <c r="A1345" s="6" t="s">
        <v>4221</v>
      </c>
      <c r="B1345" s="6" t="s">
        <v>4210</v>
      </c>
      <c r="C1345" s="6" t="s">
        <v>21</v>
      </c>
      <c r="D1345" s="6" t="s">
        <v>85</v>
      </c>
      <c r="E1345" s="6" t="s">
        <v>26</v>
      </c>
      <c r="F1345" s="7" t="s">
        <v>4222</v>
      </c>
      <c r="G1345" s="6" t="s">
        <v>4223</v>
      </c>
      <c r="H1345" s="6" t="s">
        <v>9</v>
      </c>
      <c r="I1345" s="8"/>
      <c r="J1345" s="8"/>
      <c r="K1345" s="8"/>
      <c r="L1345" s="9"/>
    </row>
    <row r="1346" customFormat="false" ht="23.85" hidden="false" customHeight="false" outlineLevel="0" collapsed="false">
      <c r="A1346" s="6" t="s">
        <v>4224</v>
      </c>
      <c r="B1346" s="6" t="s">
        <v>4225</v>
      </c>
      <c r="C1346" s="6" t="s">
        <v>21</v>
      </c>
      <c r="D1346" s="6" t="s">
        <v>85</v>
      </c>
      <c r="E1346" s="6" t="s">
        <v>90</v>
      </c>
      <c r="F1346" s="7" t="s">
        <v>4226</v>
      </c>
      <c r="G1346" s="6" t="s">
        <v>4227</v>
      </c>
      <c r="H1346" s="6" t="s">
        <v>6</v>
      </c>
      <c r="I1346" s="8"/>
      <c r="J1346" s="8"/>
      <c r="K1346" s="8"/>
      <c r="L1346" s="9"/>
    </row>
    <row r="1347" customFormat="false" ht="35.05" hidden="false" customHeight="false" outlineLevel="0" collapsed="false">
      <c r="A1347" s="6" t="s">
        <v>4228</v>
      </c>
      <c r="B1347" s="6" t="s">
        <v>4225</v>
      </c>
      <c r="C1347" s="6" t="s">
        <v>21</v>
      </c>
      <c r="D1347" s="6" t="s">
        <v>85</v>
      </c>
      <c r="E1347" s="6" t="s">
        <v>90</v>
      </c>
      <c r="F1347" s="7" t="s">
        <v>4229</v>
      </c>
      <c r="G1347" s="6" t="s">
        <v>4230</v>
      </c>
      <c r="H1347" s="6" t="s">
        <v>6</v>
      </c>
      <c r="I1347" s="8"/>
      <c r="J1347" s="8"/>
      <c r="K1347" s="8"/>
      <c r="L1347" s="9"/>
    </row>
    <row r="1348" customFormat="false" ht="35.05" hidden="false" customHeight="false" outlineLevel="0" collapsed="false">
      <c r="A1348" s="6" t="s">
        <v>4231</v>
      </c>
      <c r="B1348" s="6" t="s">
        <v>4225</v>
      </c>
      <c r="C1348" s="6" t="s">
        <v>21</v>
      </c>
      <c r="D1348" s="6" t="s">
        <v>85</v>
      </c>
      <c r="E1348" s="6" t="s">
        <v>90</v>
      </c>
      <c r="F1348" s="7" t="s">
        <v>4232</v>
      </c>
      <c r="G1348" s="6" t="s">
        <v>4233</v>
      </c>
      <c r="H1348" s="6" t="s">
        <v>8</v>
      </c>
      <c r="I1348" s="8"/>
      <c r="J1348" s="8"/>
      <c r="K1348" s="8"/>
      <c r="L1348" s="9"/>
    </row>
    <row r="1349" customFormat="false" ht="23.85" hidden="false" customHeight="false" outlineLevel="0" collapsed="false">
      <c r="A1349" s="6" t="s">
        <v>4234</v>
      </c>
      <c r="B1349" s="6" t="s">
        <v>4225</v>
      </c>
      <c r="C1349" s="6" t="s">
        <v>21</v>
      </c>
      <c r="D1349" s="6" t="s">
        <v>85</v>
      </c>
      <c r="E1349" s="6" t="s">
        <v>90</v>
      </c>
      <c r="F1349" s="7" t="s">
        <v>4235</v>
      </c>
      <c r="G1349" s="6" t="s">
        <v>2676</v>
      </c>
      <c r="H1349" s="6" t="s">
        <v>6</v>
      </c>
      <c r="I1349" s="8"/>
      <c r="J1349" s="8"/>
      <c r="K1349" s="8"/>
      <c r="L1349" s="9"/>
    </row>
    <row r="1350" customFormat="false" ht="15" hidden="false" customHeight="false" outlineLevel="0" collapsed="false">
      <c r="A1350" s="6" t="s">
        <v>4236</v>
      </c>
      <c r="B1350" s="6" t="s">
        <v>4225</v>
      </c>
      <c r="C1350" s="6" t="s">
        <v>21</v>
      </c>
      <c r="D1350" s="6" t="s">
        <v>85</v>
      </c>
      <c r="E1350" s="6" t="s">
        <v>90</v>
      </c>
      <c r="F1350" s="7" t="s">
        <v>4237</v>
      </c>
      <c r="G1350" s="6" t="s">
        <v>4238</v>
      </c>
      <c r="H1350" s="6" t="s">
        <v>8</v>
      </c>
      <c r="I1350" s="8"/>
      <c r="J1350" s="8"/>
      <c r="K1350" s="8"/>
      <c r="L1350" s="9"/>
    </row>
    <row r="1351" customFormat="false" ht="15" hidden="false" customHeight="false" outlineLevel="0" collapsed="false">
      <c r="A1351" s="6" t="s">
        <v>4239</v>
      </c>
      <c r="B1351" s="6" t="s">
        <v>4225</v>
      </c>
      <c r="C1351" s="6" t="s">
        <v>21</v>
      </c>
      <c r="D1351" s="6" t="s">
        <v>85</v>
      </c>
      <c r="E1351" s="6" t="s">
        <v>90</v>
      </c>
      <c r="F1351" s="7" t="s">
        <v>4240</v>
      </c>
      <c r="G1351" s="6" t="s">
        <v>4241</v>
      </c>
      <c r="H1351" s="6" t="s">
        <v>7</v>
      </c>
      <c r="I1351" s="8"/>
      <c r="J1351" s="8"/>
      <c r="K1351" s="8"/>
      <c r="L1351" s="9"/>
    </row>
    <row r="1352" customFormat="false" ht="15" hidden="false" customHeight="false" outlineLevel="0" collapsed="false">
      <c r="A1352" s="6" t="s">
        <v>4242</v>
      </c>
      <c r="B1352" s="6" t="s">
        <v>4243</v>
      </c>
      <c r="C1352" s="6" t="s">
        <v>21</v>
      </c>
      <c r="D1352" s="6" t="s">
        <v>230</v>
      </c>
      <c r="E1352" s="6" t="s">
        <v>26</v>
      </c>
      <c r="F1352" s="7" t="s">
        <v>4244</v>
      </c>
      <c r="G1352" s="6" t="s">
        <v>4245</v>
      </c>
      <c r="H1352" s="6" t="s">
        <v>9</v>
      </c>
      <c r="I1352" s="8"/>
      <c r="J1352" s="8"/>
      <c r="K1352" s="8"/>
      <c r="L1352" s="9"/>
    </row>
    <row r="1353" customFormat="false" ht="23.85" hidden="false" customHeight="false" outlineLevel="0" collapsed="false">
      <c r="A1353" s="6" t="s">
        <v>4246</v>
      </c>
      <c r="B1353" s="6" t="s">
        <v>4247</v>
      </c>
      <c r="C1353" s="6" t="s">
        <v>21</v>
      </c>
      <c r="D1353" s="6" t="s">
        <v>85</v>
      </c>
      <c r="E1353" s="6" t="s">
        <v>27</v>
      </c>
      <c r="F1353" s="7" t="s">
        <v>4248</v>
      </c>
      <c r="G1353" s="6" t="s">
        <v>4249</v>
      </c>
      <c r="H1353" s="6" t="s">
        <v>6</v>
      </c>
      <c r="I1353" s="8"/>
      <c r="J1353" s="8"/>
      <c r="K1353" s="8"/>
      <c r="L1353" s="9"/>
    </row>
    <row r="1354" customFormat="false" ht="15" hidden="false" customHeight="false" outlineLevel="0" collapsed="false">
      <c r="A1354" s="6" t="s">
        <v>4250</v>
      </c>
      <c r="B1354" s="6" t="s">
        <v>4247</v>
      </c>
      <c r="C1354" s="6" t="s">
        <v>21</v>
      </c>
      <c r="D1354" s="6" t="s">
        <v>85</v>
      </c>
      <c r="E1354" s="6" t="s">
        <v>27</v>
      </c>
      <c r="F1354" s="7" t="s">
        <v>4251</v>
      </c>
      <c r="G1354" s="6" t="s">
        <v>4252</v>
      </c>
      <c r="H1354" s="6" t="s">
        <v>9</v>
      </c>
      <c r="I1354" s="8"/>
      <c r="J1354" s="8"/>
      <c r="K1354" s="8"/>
      <c r="L1354" s="9"/>
    </row>
    <row r="1355" customFormat="false" ht="15" hidden="false" customHeight="false" outlineLevel="0" collapsed="false">
      <c r="A1355" s="6" t="s">
        <v>4253</v>
      </c>
      <c r="B1355" s="6" t="s">
        <v>4247</v>
      </c>
      <c r="C1355" s="6" t="s">
        <v>21</v>
      </c>
      <c r="D1355" s="6" t="s">
        <v>85</v>
      </c>
      <c r="E1355" s="6" t="s">
        <v>27</v>
      </c>
      <c r="F1355" s="7" t="s">
        <v>4254</v>
      </c>
      <c r="G1355" s="6" t="s">
        <v>4255</v>
      </c>
      <c r="H1355" s="6" t="s">
        <v>8</v>
      </c>
      <c r="I1355" s="8"/>
      <c r="J1355" s="8"/>
      <c r="K1355" s="8"/>
      <c r="L1355" s="9"/>
    </row>
    <row r="1356" customFormat="false" ht="15" hidden="false" customHeight="false" outlineLevel="0" collapsed="false">
      <c r="A1356" s="6" t="s">
        <v>4256</v>
      </c>
      <c r="B1356" s="6" t="s">
        <v>4247</v>
      </c>
      <c r="C1356" s="6" t="s">
        <v>21</v>
      </c>
      <c r="D1356" s="6" t="s">
        <v>85</v>
      </c>
      <c r="E1356" s="6" t="s">
        <v>27</v>
      </c>
      <c r="F1356" s="7" t="s">
        <v>4257</v>
      </c>
      <c r="G1356" s="6" t="s">
        <v>4258</v>
      </c>
      <c r="H1356" s="6" t="s">
        <v>9</v>
      </c>
      <c r="I1356" s="8"/>
      <c r="J1356" s="8"/>
      <c r="K1356" s="8"/>
      <c r="L1356" s="9"/>
    </row>
    <row r="1357" customFormat="false" ht="23.85" hidden="false" customHeight="false" outlineLevel="0" collapsed="false">
      <c r="A1357" s="6" t="s">
        <v>4259</v>
      </c>
      <c r="B1357" s="6" t="s">
        <v>4260</v>
      </c>
      <c r="C1357" s="6" t="s">
        <v>21</v>
      </c>
      <c r="D1357" s="6" t="s">
        <v>230</v>
      </c>
      <c r="E1357" s="6" t="s">
        <v>27</v>
      </c>
      <c r="F1357" s="7" t="s">
        <v>4261</v>
      </c>
      <c r="G1357" s="6" t="s">
        <v>4262</v>
      </c>
      <c r="H1357" s="6" t="s">
        <v>9</v>
      </c>
      <c r="I1357" s="8"/>
      <c r="J1357" s="8"/>
      <c r="K1357" s="8"/>
      <c r="L1357" s="9"/>
    </row>
    <row r="1358" customFormat="false" ht="35.05" hidden="false" customHeight="false" outlineLevel="0" collapsed="false">
      <c r="A1358" s="6" t="s">
        <v>4263</v>
      </c>
      <c r="B1358" s="6" t="s">
        <v>4264</v>
      </c>
      <c r="C1358" s="6" t="s">
        <v>21</v>
      </c>
      <c r="D1358" s="6" t="s">
        <v>44</v>
      </c>
      <c r="E1358" s="6"/>
      <c r="F1358" s="7" t="s">
        <v>4265</v>
      </c>
      <c r="G1358" s="6" t="s">
        <v>4266</v>
      </c>
      <c r="H1358" s="6" t="s">
        <v>9</v>
      </c>
      <c r="I1358" s="8"/>
      <c r="J1358" s="8"/>
      <c r="K1358" s="8"/>
      <c r="L1358" s="9"/>
    </row>
    <row r="1359" customFormat="false" ht="23.85" hidden="false" customHeight="false" outlineLevel="0" collapsed="false">
      <c r="A1359" s="6" t="s">
        <v>4267</v>
      </c>
      <c r="B1359" s="6" t="s">
        <v>4268</v>
      </c>
      <c r="C1359" s="6" t="s">
        <v>21</v>
      </c>
      <c r="D1359" s="6" t="s">
        <v>79</v>
      </c>
      <c r="E1359" s="6"/>
      <c r="F1359" s="7" t="s">
        <v>4269</v>
      </c>
      <c r="G1359" s="6" t="s">
        <v>4270</v>
      </c>
      <c r="H1359" s="6" t="s">
        <v>7</v>
      </c>
      <c r="I1359" s="8"/>
      <c r="J1359" s="8"/>
      <c r="K1359" s="8"/>
      <c r="L1359" s="9"/>
    </row>
    <row r="1360" customFormat="false" ht="23.85" hidden="false" customHeight="false" outlineLevel="0" collapsed="false">
      <c r="A1360" s="6" t="s">
        <v>4271</v>
      </c>
      <c r="B1360" s="6" t="s">
        <v>4272</v>
      </c>
      <c r="C1360" s="6" t="s">
        <v>21</v>
      </c>
      <c r="D1360" s="6" t="s">
        <v>44</v>
      </c>
      <c r="E1360" s="6"/>
      <c r="F1360" s="7" t="s">
        <v>4273</v>
      </c>
      <c r="G1360" s="6" t="s">
        <v>4274</v>
      </c>
      <c r="H1360" s="6" t="s">
        <v>9</v>
      </c>
      <c r="I1360" s="8"/>
      <c r="J1360" s="8"/>
      <c r="K1360" s="8"/>
      <c r="L1360" s="9"/>
    </row>
    <row r="1361" customFormat="false" ht="46.25" hidden="false" customHeight="false" outlineLevel="0" collapsed="false">
      <c r="A1361" s="6" t="s">
        <v>4275</v>
      </c>
      <c r="B1361" s="6" t="s">
        <v>4272</v>
      </c>
      <c r="C1361" s="6" t="s">
        <v>21</v>
      </c>
      <c r="D1361" s="6" t="s">
        <v>44</v>
      </c>
      <c r="E1361" s="6"/>
      <c r="F1361" s="7" t="s">
        <v>4276</v>
      </c>
      <c r="G1361" s="6" t="s">
        <v>4277</v>
      </c>
      <c r="H1361" s="6" t="s">
        <v>6</v>
      </c>
      <c r="I1361" s="8"/>
      <c r="J1361" s="8"/>
      <c r="K1361" s="8"/>
      <c r="L1361" s="9"/>
    </row>
    <row r="1362" customFormat="false" ht="15" hidden="false" customHeight="false" outlineLevel="0" collapsed="false">
      <c r="A1362" s="6" t="s">
        <v>4278</v>
      </c>
      <c r="B1362" s="6" t="s">
        <v>4272</v>
      </c>
      <c r="C1362" s="6" t="s">
        <v>21</v>
      </c>
      <c r="D1362" s="6" t="s">
        <v>44</v>
      </c>
      <c r="E1362" s="6"/>
      <c r="F1362" s="7" t="s">
        <v>4279</v>
      </c>
      <c r="G1362" s="6" t="s">
        <v>4280</v>
      </c>
      <c r="H1362" s="6" t="s">
        <v>9</v>
      </c>
      <c r="I1362" s="8"/>
      <c r="J1362" s="8"/>
      <c r="K1362" s="8"/>
      <c r="L1362" s="9"/>
    </row>
    <row r="1363" customFormat="false" ht="15" hidden="false" customHeight="false" outlineLevel="0" collapsed="false">
      <c r="A1363" s="6" t="s">
        <v>4281</v>
      </c>
      <c r="B1363" s="6" t="s">
        <v>4282</v>
      </c>
      <c r="C1363" s="6" t="s">
        <v>21</v>
      </c>
      <c r="D1363" s="6" t="s">
        <v>331</v>
      </c>
      <c r="E1363" s="6"/>
      <c r="F1363" s="7" t="s">
        <v>4283</v>
      </c>
      <c r="G1363" s="6" t="s">
        <v>2219</v>
      </c>
      <c r="H1363" s="6" t="s">
        <v>6</v>
      </c>
      <c r="I1363" s="8"/>
      <c r="J1363" s="8"/>
      <c r="K1363" s="8"/>
      <c r="L1363" s="9"/>
    </row>
    <row r="1364" customFormat="false" ht="23.85" hidden="false" customHeight="false" outlineLevel="0" collapsed="false">
      <c r="A1364" s="6" t="s">
        <v>4284</v>
      </c>
      <c r="B1364" s="6" t="s">
        <v>4282</v>
      </c>
      <c r="C1364" s="6" t="s">
        <v>21</v>
      </c>
      <c r="D1364" s="6" t="s">
        <v>331</v>
      </c>
      <c r="E1364" s="6"/>
      <c r="F1364" s="7" t="s">
        <v>4285</v>
      </c>
      <c r="G1364" s="6" t="s">
        <v>4286</v>
      </c>
      <c r="H1364" s="6" t="s">
        <v>8</v>
      </c>
      <c r="I1364" s="8"/>
      <c r="J1364" s="8"/>
      <c r="K1364" s="8"/>
      <c r="L1364" s="9"/>
    </row>
    <row r="1365" customFormat="false" ht="15" hidden="false" customHeight="false" outlineLevel="0" collapsed="false">
      <c r="A1365" s="6" t="s">
        <v>4287</v>
      </c>
      <c r="B1365" s="6" t="s">
        <v>4282</v>
      </c>
      <c r="C1365" s="6" t="s">
        <v>21</v>
      </c>
      <c r="D1365" s="6" t="s">
        <v>331</v>
      </c>
      <c r="E1365" s="6"/>
      <c r="F1365" s="7" t="s">
        <v>4288</v>
      </c>
      <c r="G1365" s="6" t="s">
        <v>4289</v>
      </c>
      <c r="H1365" s="6" t="s">
        <v>7</v>
      </c>
      <c r="I1365" s="8"/>
      <c r="J1365" s="8"/>
      <c r="K1365" s="8"/>
      <c r="L1365" s="9"/>
    </row>
    <row r="1366" customFormat="false" ht="23.85" hidden="false" customHeight="false" outlineLevel="0" collapsed="false">
      <c r="A1366" s="6" t="s">
        <v>4290</v>
      </c>
      <c r="B1366" s="6" t="s">
        <v>4282</v>
      </c>
      <c r="C1366" s="6" t="s">
        <v>21</v>
      </c>
      <c r="D1366" s="6" t="s">
        <v>331</v>
      </c>
      <c r="E1366" s="6"/>
      <c r="F1366" s="7" t="s">
        <v>4291</v>
      </c>
      <c r="G1366" s="6" t="s">
        <v>4292</v>
      </c>
      <c r="H1366" s="6" t="s">
        <v>6</v>
      </c>
      <c r="I1366" s="8"/>
      <c r="J1366" s="8"/>
      <c r="K1366" s="8"/>
      <c r="L1366" s="9"/>
    </row>
    <row r="1367" customFormat="false" ht="46.25" hidden="false" customHeight="false" outlineLevel="0" collapsed="false">
      <c r="A1367" s="6" t="s">
        <v>4293</v>
      </c>
      <c r="B1367" s="6" t="s">
        <v>4282</v>
      </c>
      <c r="C1367" s="6" t="s">
        <v>21</v>
      </c>
      <c r="D1367" s="6" t="s">
        <v>331</v>
      </c>
      <c r="E1367" s="6"/>
      <c r="F1367" s="7" t="s">
        <v>4294</v>
      </c>
      <c r="G1367" s="6" t="s">
        <v>4295</v>
      </c>
      <c r="H1367" s="6" t="s">
        <v>8</v>
      </c>
      <c r="I1367" s="8"/>
      <c r="J1367" s="8"/>
      <c r="K1367" s="8"/>
      <c r="L1367" s="9"/>
    </row>
    <row r="1368" customFormat="false" ht="15" hidden="false" customHeight="false" outlineLevel="0" collapsed="false">
      <c r="A1368" s="6" t="s">
        <v>4296</v>
      </c>
      <c r="B1368" s="6" t="s">
        <v>4282</v>
      </c>
      <c r="C1368" s="6" t="s">
        <v>21</v>
      </c>
      <c r="D1368" s="6" t="s">
        <v>331</v>
      </c>
      <c r="E1368" s="6"/>
      <c r="F1368" s="7" t="s">
        <v>4297</v>
      </c>
      <c r="G1368" s="6" t="s">
        <v>4298</v>
      </c>
      <c r="H1368" s="6" t="s">
        <v>8</v>
      </c>
      <c r="I1368" s="8"/>
      <c r="J1368" s="8"/>
      <c r="K1368" s="8"/>
      <c r="L1368" s="9"/>
    </row>
    <row r="1369" customFormat="false" ht="15" hidden="false" customHeight="false" outlineLevel="0" collapsed="false">
      <c r="A1369" s="6" t="s">
        <v>4299</v>
      </c>
      <c r="B1369" s="6" t="s">
        <v>4282</v>
      </c>
      <c r="C1369" s="6" t="s">
        <v>21</v>
      </c>
      <c r="D1369" s="6" t="s">
        <v>331</v>
      </c>
      <c r="E1369" s="6"/>
      <c r="F1369" s="7" t="s">
        <v>4300</v>
      </c>
      <c r="G1369" s="6" t="s">
        <v>1992</v>
      </c>
      <c r="H1369" s="6" t="s">
        <v>6</v>
      </c>
      <c r="I1369" s="8"/>
      <c r="J1369" s="8"/>
      <c r="K1369" s="8"/>
      <c r="L1369" s="9"/>
    </row>
    <row r="1370" customFormat="false" ht="15" hidden="false" customHeight="false" outlineLevel="0" collapsed="false">
      <c r="A1370" s="6" t="s">
        <v>4301</v>
      </c>
      <c r="B1370" s="6" t="s">
        <v>4282</v>
      </c>
      <c r="C1370" s="6" t="s">
        <v>21</v>
      </c>
      <c r="D1370" s="6" t="s">
        <v>331</v>
      </c>
      <c r="E1370" s="6"/>
      <c r="F1370" s="7" t="s">
        <v>4302</v>
      </c>
      <c r="G1370" s="6" t="s">
        <v>4303</v>
      </c>
      <c r="H1370" s="6" t="s">
        <v>6</v>
      </c>
      <c r="I1370" s="8"/>
      <c r="J1370" s="8"/>
      <c r="K1370" s="8"/>
      <c r="L1370" s="9"/>
    </row>
    <row r="1371" customFormat="false" ht="15" hidden="false" customHeight="false" outlineLevel="0" collapsed="false">
      <c r="A1371" s="6" t="s">
        <v>4304</v>
      </c>
      <c r="B1371" s="6" t="s">
        <v>4282</v>
      </c>
      <c r="C1371" s="6" t="s">
        <v>21</v>
      </c>
      <c r="D1371" s="6" t="s">
        <v>331</v>
      </c>
      <c r="E1371" s="6"/>
      <c r="F1371" s="7" t="s">
        <v>4305</v>
      </c>
      <c r="G1371" s="6" t="s">
        <v>4306</v>
      </c>
      <c r="H1371" s="6" t="s">
        <v>8</v>
      </c>
      <c r="I1371" s="8"/>
      <c r="J1371" s="8"/>
      <c r="K1371" s="8"/>
      <c r="L1371" s="9"/>
    </row>
    <row r="1372" customFormat="false" ht="15" hidden="false" customHeight="false" outlineLevel="0" collapsed="false">
      <c r="A1372" s="6" t="s">
        <v>4307</v>
      </c>
      <c r="B1372" s="6" t="s">
        <v>4282</v>
      </c>
      <c r="C1372" s="6" t="s">
        <v>21</v>
      </c>
      <c r="D1372" s="6" t="s">
        <v>331</v>
      </c>
      <c r="E1372" s="6"/>
      <c r="F1372" s="7" t="s">
        <v>4308</v>
      </c>
      <c r="G1372" s="6" t="s">
        <v>4309</v>
      </c>
      <c r="H1372" s="6" t="s">
        <v>8</v>
      </c>
      <c r="I1372" s="8"/>
      <c r="J1372" s="8"/>
      <c r="K1372" s="8"/>
      <c r="L1372" s="9"/>
    </row>
    <row r="1373" customFormat="false" ht="15" hidden="false" customHeight="false" outlineLevel="0" collapsed="false">
      <c r="A1373" s="6" t="s">
        <v>4310</v>
      </c>
      <c r="B1373" s="6" t="s">
        <v>4282</v>
      </c>
      <c r="C1373" s="6" t="s">
        <v>21</v>
      </c>
      <c r="D1373" s="6" t="s">
        <v>331</v>
      </c>
      <c r="E1373" s="6"/>
      <c r="F1373" s="7" t="s">
        <v>4311</v>
      </c>
      <c r="G1373" s="6" t="s">
        <v>4312</v>
      </c>
      <c r="H1373" s="6" t="s">
        <v>6</v>
      </c>
      <c r="I1373" s="8"/>
      <c r="J1373" s="8"/>
      <c r="K1373" s="8"/>
      <c r="L1373" s="9"/>
    </row>
    <row r="1374" customFormat="false" ht="35.05" hidden="false" customHeight="false" outlineLevel="0" collapsed="false">
      <c r="A1374" s="6" t="s">
        <v>4313</v>
      </c>
      <c r="B1374" s="6" t="s">
        <v>4314</v>
      </c>
      <c r="C1374" s="6" t="s">
        <v>21</v>
      </c>
      <c r="D1374" s="6" t="s">
        <v>230</v>
      </c>
      <c r="E1374" s="6" t="s">
        <v>26</v>
      </c>
      <c r="F1374" s="7" t="s">
        <v>4315</v>
      </c>
      <c r="G1374" s="6" t="s">
        <v>4316</v>
      </c>
      <c r="H1374" s="6" t="s">
        <v>9</v>
      </c>
      <c r="I1374" s="8"/>
      <c r="J1374" s="8"/>
      <c r="K1374" s="8"/>
      <c r="L1374" s="9"/>
    </row>
    <row r="1375" customFormat="false" ht="15" hidden="false" customHeight="false" outlineLevel="0" collapsed="false">
      <c r="A1375" s="6" t="s">
        <v>4317</v>
      </c>
      <c r="B1375" s="6" t="s">
        <v>4318</v>
      </c>
      <c r="C1375" s="6" t="s">
        <v>21</v>
      </c>
      <c r="D1375" s="6" t="s">
        <v>85</v>
      </c>
      <c r="E1375" s="6"/>
      <c r="F1375" s="7" t="s">
        <v>4319</v>
      </c>
      <c r="G1375" s="6" t="s">
        <v>366</v>
      </c>
      <c r="H1375" s="6" t="s">
        <v>6</v>
      </c>
      <c r="I1375" s="8"/>
      <c r="J1375" s="8"/>
      <c r="K1375" s="8"/>
      <c r="L1375" s="9"/>
    </row>
    <row r="1376" customFormat="false" ht="15" hidden="false" customHeight="false" outlineLevel="0" collapsed="false">
      <c r="A1376" s="6" t="s">
        <v>4320</v>
      </c>
      <c r="B1376" s="6" t="s">
        <v>4318</v>
      </c>
      <c r="C1376" s="6" t="s">
        <v>21</v>
      </c>
      <c r="D1376" s="6" t="s">
        <v>85</v>
      </c>
      <c r="E1376" s="6"/>
      <c r="F1376" s="7" t="s">
        <v>4321</v>
      </c>
      <c r="G1376" s="6" t="s">
        <v>177</v>
      </c>
      <c r="H1376" s="6" t="s">
        <v>6</v>
      </c>
      <c r="I1376" s="8"/>
      <c r="J1376" s="8"/>
      <c r="K1376" s="8"/>
      <c r="L1376" s="9"/>
    </row>
    <row r="1377" customFormat="false" ht="23.85" hidden="false" customHeight="false" outlineLevel="0" collapsed="false">
      <c r="A1377" s="6" t="s">
        <v>4322</v>
      </c>
      <c r="B1377" s="6" t="s">
        <v>4318</v>
      </c>
      <c r="C1377" s="6" t="s">
        <v>21</v>
      </c>
      <c r="D1377" s="6" t="s">
        <v>85</v>
      </c>
      <c r="E1377" s="6"/>
      <c r="F1377" s="7" t="s">
        <v>4323</v>
      </c>
      <c r="G1377" s="6" t="s">
        <v>4324</v>
      </c>
      <c r="H1377" s="6" t="s">
        <v>8</v>
      </c>
      <c r="I1377" s="8"/>
      <c r="J1377" s="8"/>
      <c r="K1377" s="8"/>
      <c r="L1377" s="9"/>
    </row>
    <row r="1378" customFormat="false" ht="23.85" hidden="false" customHeight="false" outlineLevel="0" collapsed="false">
      <c r="A1378" s="6" t="s">
        <v>4325</v>
      </c>
      <c r="B1378" s="6" t="s">
        <v>4326</v>
      </c>
      <c r="C1378" s="6" t="s">
        <v>21</v>
      </c>
      <c r="D1378" s="6" t="s">
        <v>1303</v>
      </c>
      <c r="E1378" s="6"/>
      <c r="F1378" s="7" t="s">
        <v>4327</v>
      </c>
      <c r="G1378" s="6" t="s">
        <v>1230</v>
      </c>
      <c r="H1378" s="6" t="s">
        <v>10</v>
      </c>
      <c r="I1378" s="8"/>
      <c r="J1378" s="8"/>
      <c r="K1378" s="8"/>
      <c r="L1378" s="9"/>
    </row>
    <row r="1379" customFormat="false" ht="35.05" hidden="false" customHeight="false" outlineLevel="0" collapsed="false">
      <c r="A1379" s="6" t="s">
        <v>4328</v>
      </c>
      <c r="B1379" s="6" t="s">
        <v>4326</v>
      </c>
      <c r="C1379" s="6" t="s">
        <v>21</v>
      </c>
      <c r="D1379" s="6" t="s">
        <v>1303</v>
      </c>
      <c r="E1379" s="6"/>
      <c r="F1379" s="7" t="s">
        <v>4329</v>
      </c>
      <c r="G1379" s="6" t="s">
        <v>4330</v>
      </c>
      <c r="H1379" s="6" t="s">
        <v>8</v>
      </c>
      <c r="I1379" s="8"/>
      <c r="J1379" s="8"/>
      <c r="K1379" s="8"/>
      <c r="L1379" s="9"/>
    </row>
    <row r="1380" customFormat="false" ht="15" hidden="false" customHeight="false" outlineLevel="0" collapsed="false">
      <c r="A1380" s="6" t="s">
        <v>4331</v>
      </c>
      <c r="B1380" s="6" t="s">
        <v>4326</v>
      </c>
      <c r="C1380" s="6" t="s">
        <v>21</v>
      </c>
      <c r="D1380" s="6" t="s">
        <v>1303</v>
      </c>
      <c r="E1380" s="6"/>
      <c r="F1380" s="7" t="s">
        <v>4332</v>
      </c>
      <c r="G1380" s="6" t="s">
        <v>4333</v>
      </c>
      <c r="H1380" s="6" t="s">
        <v>8</v>
      </c>
      <c r="I1380" s="8"/>
      <c r="J1380" s="8"/>
      <c r="K1380" s="8"/>
      <c r="L1380" s="9"/>
    </row>
    <row r="1381" customFormat="false" ht="15" hidden="false" customHeight="false" outlineLevel="0" collapsed="false">
      <c r="A1381" s="6" t="s">
        <v>4334</v>
      </c>
      <c r="B1381" s="6" t="s">
        <v>4335</v>
      </c>
      <c r="C1381" s="6" t="s">
        <v>21</v>
      </c>
      <c r="D1381" s="6" t="s">
        <v>331</v>
      </c>
      <c r="E1381" s="6" t="s">
        <v>26</v>
      </c>
      <c r="F1381" s="7" t="s">
        <v>4336</v>
      </c>
      <c r="G1381" s="6" t="s">
        <v>4337</v>
      </c>
      <c r="H1381" s="6" t="s">
        <v>6</v>
      </c>
      <c r="I1381" s="8"/>
      <c r="J1381" s="8"/>
      <c r="K1381" s="8"/>
      <c r="L1381" s="9"/>
    </row>
    <row r="1382" customFormat="false" ht="23.85" hidden="false" customHeight="false" outlineLevel="0" collapsed="false">
      <c r="A1382" s="6" t="s">
        <v>4338</v>
      </c>
      <c r="B1382" s="6" t="s">
        <v>4335</v>
      </c>
      <c r="C1382" s="6" t="s">
        <v>21</v>
      </c>
      <c r="D1382" s="6" t="s">
        <v>331</v>
      </c>
      <c r="E1382" s="6" t="s">
        <v>26</v>
      </c>
      <c r="F1382" s="7" t="s">
        <v>4339</v>
      </c>
      <c r="G1382" s="6" t="s">
        <v>4340</v>
      </c>
      <c r="H1382" s="6" t="s">
        <v>8</v>
      </c>
      <c r="I1382" s="8"/>
      <c r="J1382" s="8"/>
      <c r="K1382" s="8"/>
      <c r="L1382" s="9"/>
    </row>
    <row r="1383" customFormat="false" ht="23.85" hidden="false" customHeight="false" outlineLevel="0" collapsed="false">
      <c r="A1383" s="6" t="s">
        <v>4341</v>
      </c>
      <c r="B1383" s="6" t="s">
        <v>4335</v>
      </c>
      <c r="C1383" s="6" t="s">
        <v>21</v>
      </c>
      <c r="D1383" s="6" t="s">
        <v>331</v>
      </c>
      <c r="E1383" s="6" t="s">
        <v>26</v>
      </c>
      <c r="F1383" s="7" t="s">
        <v>4342</v>
      </c>
      <c r="G1383" s="6" t="s">
        <v>4343</v>
      </c>
      <c r="H1383" s="6" t="s">
        <v>6</v>
      </c>
      <c r="I1383" s="8"/>
      <c r="J1383" s="8"/>
      <c r="K1383" s="8"/>
      <c r="L1383" s="9"/>
    </row>
    <row r="1384" customFormat="false" ht="23.85" hidden="false" customHeight="false" outlineLevel="0" collapsed="false">
      <c r="A1384" s="6" t="s">
        <v>4344</v>
      </c>
      <c r="B1384" s="6" t="s">
        <v>4335</v>
      </c>
      <c r="C1384" s="6" t="s">
        <v>21</v>
      </c>
      <c r="D1384" s="6" t="s">
        <v>331</v>
      </c>
      <c r="E1384" s="6" t="s">
        <v>26</v>
      </c>
      <c r="F1384" s="7" t="s">
        <v>4345</v>
      </c>
      <c r="G1384" s="6" t="s">
        <v>3654</v>
      </c>
      <c r="H1384" s="6" t="s">
        <v>8</v>
      </c>
      <c r="I1384" s="8"/>
      <c r="J1384" s="8"/>
      <c r="K1384" s="8"/>
      <c r="L1384" s="9"/>
    </row>
    <row r="1385" customFormat="false" ht="35.05" hidden="false" customHeight="false" outlineLevel="0" collapsed="false">
      <c r="A1385" s="6" t="s">
        <v>4346</v>
      </c>
      <c r="B1385" s="6" t="s">
        <v>4335</v>
      </c>
      <c r="C1385" s="6" t="s">
        <v>21</v>
      </c>
      <c r="D1385" s="6" t="s">
        <v>331</v>
      </c>
      <c r="E1385" s="6" t="s">
        <v>26</v>
      </c>
      <c r="F1385" s="7" t="s">
        <v>4347</v>
      </c>
      <c r="G1385" s="6" t="s">
        <v>4348</v>
      </c>
      <c r="H1385" s="6" t="s">
        <v>8</v>
      </c>
      <c r="I1385" s="8"/>
      <c r="J1385" s="8"/>
      <c r="K1385" s="8"/>
      <c r="L1385" s="9"/>
    </row>
    <row r="1386" customFormat="false" ht="23.85" hidden="false" customHeight="false" outlineLevel="0" collapsed="false">
      <c r="A1386" s="6" t="s">
        <v>4349</v>
      </c>
      <c r="B1386" s="6" t="s">
        <v>4335</v>
      </c>
      <c r="C1386" s="6" t="s">
        <v>21</v>
      </c>
      <c r="D1386" s="6" t="s">
        <v>331</v>
      </c>
      <c r="E1386" s="6" t="s">
        <v>26</v>
      </c>
      <c r="F1386" s="7" t="s">
        <v>4350</v>
      </c>
      <c r="G1386" s="6" t="s">
        <v>4351</v>
      </c>
      <c r="H1386" s="6" t="s">
        <v>6</v>
      </c>
      <c r="I1386" s="8"/>
      <c r="J1386" s="8"/>
      <c r="K1386" s="8"/>
      <c r="L1386" s="9"/>
    </row>
    <row r="1387" customFormat="false" ht="15" hidden="false" customHeight="false" outlineLevel="0" collapsed="false">
      <c r="A1387" s="6" t="s">
        <v>4352</v>
      </c>
      <c r="B1387" s="6" t="s">
        <v>4335</v>
      </c>
      <c r="C1387" s="6" t="s">
        <v>21</v>
      </c>
      <c r="D1387" s="6" t="s">
        <v>331</v>
      </c>
      <c r="E1387" s="6" t="s">
        <v>26</v>
      </c>
      <c r="F1387" s="7" t="s">
        <v>4353</v>
      </c>
      <c r="G1387" s="6" t="s">
        <v>1720</v>
      </c>
      <c r="H1387" s="6" t="s">
        <v>9</v>
      </c>
      <c r="I1387" s="8"/>
      <c r="J1387" s="8"/>
      <c r="K1387" s="8"/>
      <c r="L1387" s="9"/>
    </row>
    <row r="1388" customFormat="false" ht="15" hidden="false" customHeight="false" outlineLevel="0" collapsed="false">
      <c r="A1388" s="6" t="s">
        <v>4354</v>
      </c>
      <c r="B1388" s="6" t="s">
        <v>4355</v>
      </c>
      <c r="C1388" s="6" t="s">
        <v>22</v>
      </c>
      <c r="D1388" s="6" t="s">
        <v>85</v>
      </c>
      <c r="E1388" s="6" t="s">
        <v>27</v>
      </c>
      <c r="F1388" s="7" t="s">
        <v>4356</v>
      </c>
      <c r="G1388" s="6" t="s">
        <v>4357</v>
      </c>
      <c r="H1388" s="6" t="s">
        <v>8</v>
      </c>
      <c r="I1388" s="8"/>
      <c r="J1388" s="8"/>
      <c r="K1388" s="8"/>
      <c r="L1388" s="9"/>
    </row>
    <row r="1389" customFormat="false" ht="15" hidden="false" customHeight="false" outlineLevel="0" collapsed="false">
      <c r="A1389" s="6" t="s">
        <v>4358</v>
      </c>
      <c r="B1389" s="6" t="s">
        <v>4355</v>
      </c>
      <c r="C1389" s="6" t="s">
        <v>22</v>
      </c>
      <c r="D1389" s="6" t="s">
        <v>85</v>
      </c>
      <c r="E1389" s="6" t="s">
        <v>27</v>
      </c>
      <c r="F1389" s="7" t="s">
        <v>4359</v>
      </c>
      <c r="G1389" s="6" t="s">
        <v>4360</v>
      </c>
      <c r="H1389" s="6" t="s">
        <v>7</v>
      </c>
      <c r="I1389" s="8"/>
      <c r="J1389" s="8"/>
      <c r="K1389" s="8"/>
      <c r="L1389" s="9"/>
    </row>
    <row r="1390" customFormat="false" ht="23.85" hidden="false" customHeight="false" outlineLevel="0" collapsed="false">
      <c r="A1390" s="6" t="s">
        <v>4361</v>
      </c>
      <c r="B1390" s="6" t="s">
        <v>4355</v>
      </c>
      <c r="C1390" s="6" t="s">
        <v>22</v>
      </c>
      <c r="D1390" s="6" t="s">
        <v>85</v>
      </c>
      <c r="E1390" s="6" t="s">
        <v>27</v>
      </c>
      <c r="F1390" s="7" t="s">
        <v>4362</v>
      </c>
      <c r="G1390" s="6" t="s">
        <v>2921</v>
      </c>
      <c r="H1390" s="6" t="s">
        <v>8</v>
      </c>
      <c r="I1390" s="8"/>
      <c r="J1390" s="8"/>
      <c r="K1390" s="8"/>
      <c r="L1390" s="9"/>
    </row>
    <row r="1391" customFormat="false" ht="15" hidden="false" customHeight="false" outlineLevel="0" collapsed="false">
      <c r="A1391" s="6" t="s">
        <v>4363</v>
      </c>
      <c r="B1391" s="6" t="s">
        <v>4355</v>
      </c>
      <c r="C1391" s="6" t="s">
        <v>22</v>
      </c>
      <c r="D1391" s="6" t="s">
        <v>85</v>
      </c>
      <c r="E1391" s="6" t="s">
        <v>27</v>
      </c>
      <c r="F1391" s="7" t="s">
        <v>4364</v>
      </c>
      <c r="G1391" s="6" t="s">
        <v>2833</v>
      </c>
      <c r="H1391" s="6" t="s">
        <v>6</v>
      </c>
      <c r="I1391" s="8"/>
      <c r="J1391" s="8"/>
      <c r="K1391" s="8"/>
      <c r="L1391" s="9"/>
    </row>
    <row r="1392" customFormat="false" ht="23.85" hidden="false" customHeight="false" outlineLevel="0" collapsed="false">
      <c r="A1392" s="6" t="s">
        <v>4365</v>
      </c>
      <c r="B1392" s="6" t="s">
        <v>4355</v>
      </c>
      <c r="C1392" s="6" t="s">
        <v>22</v>
      </c>
      <c r="D1392" s="6" t="s">
        <v>85</v>
      </c>
      <c r="E1392" s="6" t="s">
        <v>27</v>
      </c>
      <c r="F1392" s="7" t="s">
        <v>4366</v>
      </c>
      <c r="G1392" s="6" t="s">
        <v>4367</v>
      </c>
      <c r="H1392" s="6" t="s">
        <v>9</v>
      </c>
      <c r="I1392" s="8"/>
      <c r="J1392" s="8"/>
      <c r="K1392" s="8"/>
      <c r="L1392" s="9"/>
    </row>
    <row r="1393" customFormat="false" ht="23.85" hidden="false" customHeight="false" outlineLevel="0" collapsed="false">
      <c r="A1393" s="6" t="s">
        <v>4368</v>
      </c>
      <c r="B1393" s="6" t="s">
        <v>4369</v>
      </c>
      <c r="C1393" s="6" t="s">
        <v>22</v>
      </c>
      <c r="D1393" s="6" t="s">
        <v>44</v>
      </c>
      <c r="E1393" s="6" t="s">
        <v>26</v>
      </c>
      <c r="F1393" s="7" t="s">
        <v>4370</v>
      </c>
      <c r="G1393" s="6" t="s">
        <v>333</v>
      </c>
      <c r="H1393" s="6" t="s">
        <v>9</v>
      </c>
      <c r="I1393" s="8"/>
      <c r="J1393" s="8"/>
      <c r="K1393" s="8"/>
      <c r="L1393" s="9"/>
    </row>
    <row r="1394" customFormat="false" ht="23.85" hidden="false" customHeight="false" outlineLevel="0" collapsed="false">
      <c r="A1394" s="6" t="s">
        <v>4371</v>
      </c>
      <c r="B1394" s="6" t="s">
        <v>4372</v>
      </c>
      <c r="C1394" s="6" t="s">
        <v>22</v>
      </c>
      <c r="D1394" s="6" t="s">
        <v>85</v>
      </c>
      <c r="E1394" s="6"/>
      <c r="F1394" s="7" t="s">
        <v>4373</v>
      </c>
      <c r="G1394" s="6" t="s">
        <v>4374</v>
      </c>
      <c r="H1394" s="6" t="s">
        <v>6</v>
      </c>
      <c r="I1394" s="8"/>
      <c r="J1394" s="8"/>
      <c r="K1394" s="8"/>
      <c r="L1394" s="9"/>
    </row>
    <row r="1395" customFormat="false" ht="23.85" hidden="false" customHeight="false" outlineLevel="0" collapsed="false">
      <c r="A1395" s="6" t="s">
        <v>4375</v>
      </c>
      <c r="B1395" s="6" t="s">
        <v>4372</v>
      </c>
      <c r="C1395" s="6" t="s">
        <v>22</v>
      </c>
      <c r="D1395" s="6" t="s">
        <v>85</v>
      </c>
      <c r="E1395" s="6"/>
      <c r="F1395" s="7" t="s">
        <v>4376</v>
      </c>
      <c r="G1395" s="6" t="s">
        <v>2864</v>
      </c>
      <c r="H1395" s="6" t="s">
        <v>6</v>
      </c>
      <c r="I1395" s="8"/>
      <c r="J1395" s="8"/>
      <c r="K1395" s="8"/>
      <c r="L1395" s="9"/>
    </row>
    <row r="1396" customFormat="false" ht="15" hidden="false" customHeight="false" outlineLevel="0" collapsed="false">
      <c r="A1396" s="6" t="s">
        <v>4377</v>
      </c>
      <c r="B1396" s="6" t="s">
        <v>4378</v>
      </c>
      <c r="C1396" s="6" t="s">
        <v>22</v>
      </c>
      <c r="D1396" s="6" t="s">
        <v>230</v>
      </c>
      <c r="E1396" s="6"/>
      <c r="F1396" s="7" t="s">
        <v>4379</v>
      </c>
      <c r="G1396" s="6" t="s">
        <v>2921</v>
      </c>
      <c r="H1396" s="6" t="s">
        <v>9</v>
      </c>
      <c r="I1396" s="8"/>
      <c r="J1396" s="8"/>
      <c r="K1396" s="8"/>
      <c r="L1396" s="9"/>
    </row>
    <row r="1397" customFormat="false" ht="23.85" hidden="false" customHeight="false" outlineLevel="0" collapsed="false">
      <c r="A1397" s="6" t="s">
        <v>4380</v>
      </c>
      <c r="B1397" s="6" t="s">
        <v>4381</v>
      </c>
      <c r="C1397" s="6" t="s">
        <v>22</v>
      </c>
      <c r="D1397" s="6" t="s">
        <v>44</v>
      </c>
      <c r="E1397" s="6" t="s">
        <v>27</v>
      </c>
      <c r="F1397" s="7" t="s">
        <v>4382</v>
      </c>
      <c r="G1397" s="6" t="s">
        <v>4383</v>
      </c>
      <c r="H1397" s="6" t="s">
        <v>6</v>
      </c>
      <c r="I1397" s="8"/>
      <c r="J1397" s="8"/>
      <c r="K1397" s="8"/>
      <c r="L1397" s="9"/>
    </row>
    <row r="1398" customFormat="false" ht="15" hidden="false" customHeight="false" outlineLevel="0" collapsed="false">
      <c r="A1398" s="6" t="s">
        <v>4384</v>
      </c>
      <c r="B1398" s="6" t="s">
        <v>4381</v>
      </c>
      <c r="C1398" s="6" t="s">
        <v>22</v>
      </c>
      <c r="D1398" s="6" t="s">
        <v>44</v>
      </c>
      <c r="E1398" s="6" t="s">
        <v>27</v>
      </c>
      <c r="F1398" s="7" t="s">
        <v>4385</v>
      </c>
      <c r="G1398" s="6" t="s">
        <v>152</v>
      </c>
      <c r="H1398" s="6" t="s">
        <v>8</v>
      </c>
      <c r="I1398" s="8"/>
      <c r="J1398" s="8"/>
      <c r="K1398" s="8"/>
      <c r="L1398" s="9"/>
    </row>
    <row r="1399" customFormat="false" ht="23.85" hidden="false" customHeight="false" outlineLevel="0" collapsed="false">
      <c r="A1399" s="6" t="s">
        <v>4386</v>
      </c>
      <c r="B1399" s="6" t="s">
        <v>4381</v>
      </c>
      <c r="C1399" s="6" t="s">
        <v>22</v>
      </c>
      <c r="D1399" s="6" t="s">
        <v>44</v>
      </c>
      <c r="E1399" s="6" t="s">
        <v>27</v>
      </c>
      <c r="F1399" s="7" t="s">
        <v>4387</v>
      </c>
      <c r="G1399" s="6" t="s">
        <v>4388</v>
      </c>
      <c r="H1399" s="6" t="s">
        <v>6</v>
      </c>
      <c r="I1399" s="8"/>
      <c r="J1399" s="8"/>
      <c r="K1399" s="8"/>
      <c r="L1399" s="9"/>
    </row>
    <row r="1400" customFormat="false" ht="23.85" hidden="false" customHeight="false" outlineLevel="0" collapsed="false">
      <c r="A1400" s="6" t="s">
        <v>4389</v>
      </c>
      <c r="B1400" s="6" t="s">
        <v>4390</v>
      </c>
      <c r="C1400" s="6" t="s">
        <v>22</v>
      </c>
      <c r="D1400" s="6" t="s">
        <v>44</v>
      </c>
      <c r="E1400" s="6" t="s">
        <v>27</v>
      </c>
      <c r="F1400" s="7" t="s">
        <v>4391</v>
      </c>
      <c r="G1400" s="6" t="s">
        <v>4392</v>
      </c>
      <c r="H1400" s="6" t="s">
        <v>9</v>
      </c>
      <c r="I1400" s="8"/>
      <c r="J1400" s="8"/>
      <c r="K1400" s="8"/>
      <c r="L1400" s="9"/>
    </row>
    <row r="1401" customFormat="false" ht="23.85" hidden="false" customHeight="false" outlineLevel="0" collapsed="false">
      <c r="A1401" s="6" t="s">
        <v>4393</v>
      </c>
      <c r="B1401" s="6" t="s">
        <v>4394</v>
      </c>
      <c r="C1401" s="6" t="s">
        <v>22</v>
      </c>
      <c r="D1401" s="6" t="s">
        <v>44</v>
      </c>
      <c r="E1401" s="6" t="s">
        <v>27</v>
      </c>
      <c r="F1401" s="7" t="s">
        <v>4395</v>
      </c>
      <c r="G1401" s="6" t="s">
        <v>4396</v>
      </c>
      <c r="H1401" s="6" t="s">
        <v>9</v>
      </c>
      <c r="I1401" s="8"/>
      <c r="J1401" s="8"/>
      <c r="K1401" s="8"/>
      <c r="L1401" s="9"/>
    </row>
    <row r="1402" customFormat="false" ht="15" hidden="false" customHeight="false" outlineLevel="0" collapsed="false">
      <c r="A1402" s="6" t="s">
        <v>4397</v>
      </c>
      <c r="B1402" s="6" t="s">
        <v>4398</v>
      </c>
      <c r="C1402" s="6" t="s">
        <v>22</v>
      </c>
      <c r="D1402" s="6" t="s">
        <v>44</v>
      </c>
      <c r="E1402" s="6" t="s">
        <v>27</v>
      </c>
      <c r="F1402" s="7" t="s">
        <v>4399</v>
      </c>
      <c r="G1402" s="6" t="s">
        <v>4400</v>
      </c>
      <c r="H1402" s="6" t="s">
        <v>9</v>
      </c>
      <c r="I1402" s="8"/>
      <c r="J1402" s="8"/>
      <c r="K1402" s="8"/>
      <c r="L1402" s="9"/>
    </row>
    <row r="1403" customFormat="false" ht="23.85" hidden="false" customHeight="false" outlineLevel="0" collapsed="false">
      <c r="A1403" s="6" t="s">
        <v>4401</v>
      </c>
      <c r="B1403" s="6" t="s">
        <v>4402</v>
      </c>
      <c r="C1403" s="6" t="s">
        <v>22</v>
      </c>
      <c r="D1403" s="6" t="s">
        <v>85</v>
      </c>
      <c r="E1403" s="6" t="s">
        <v>27</v>
      </c>
      <c r="F1403" s="7" t="s">
        <v>4403</v>
      </c>
      <c r="G1403" s="6" t="s">
        <v>271</v>
      </c>
      <c r="H1403" s="6" t="s">
        <v>8</v>
      </c>
      <c r="I1403" s="8"/>
      <c r="J1403" s="8"/>
      <c r="K1403" s="8"/>
      <c r="L1403" s="9"/>
    </row>
    <row r="1404" customFormat="false" ht="23.85" hidden="false" customHeight="false" outlineLevel="0" collapsed="false">
      <c r="A1404" s="6" t="s">
        <v>4404</v>
      </c>
      <c r="B1404" s="6" t="s">
        <v>4402</v>
      </c>
      <c r="C1404" s="6" t="s">
        <v>22</v>
      </c>
      <c r="D1404" s="6" t="s">
        <v>85</v>
      </c>
      <c r="E1404" s="6" t="s">
        <v>27</v>
      </c>
      <c r="F1404" s="7" t="s">
        <v>4405</v>
      </c>
      <c r="G1404" s="6" t="s">
        <v>4406</v>
      </c>
      <c r="H1404" s="6" t="s">
        <v>9</v>
      </c>
      <c r="I1404" s="8"/>
      <c r="J1404" s="8"/>
      <c r="K1404" s="8"/>
      <c r="L1404" s="9"/>
    </row>
    <row r="1405" customFormat="false" ht="23.85" hidden="false" customHeight="false" outlineLevel="0" collapsed="false">
      <c r="A1405" s="6" t="s">
        <v>4407</v>
      </c>
      <c r="B1405" s="6" t="s">
        <v>4408</v>
      </c>
      <c r="C1405" s="6" t="s">
        <v>22</v>
      </c>
      <c r="D1405" s="6" t="s">
        <v>331</v>
      </c>
      <c r="E1405" s="6" t="s">
        <v>27</v>
      </c>
      <c r="F1405" s="7" t="s">
        <v>4409</v>
      </c>
      <c r="G1405" s="6" t="s">
        <v>4410</v>
      </c>
      <c r="H1405" s="6" t="s">
        <v>8</v>
      </c>
      <c r="I1405" s="8"/>
      <c r="J1405" s="8"/>
      <c r="K1405" s="8"/>
      <c r="L1405" s="9"/>
    </row>
    <row r="1406" customFormat="false" ht="15" hidden="false" customHeight="false" outlineLevel="0" collapsed="false">
      <c r="A1406" s="6" t="s">
        <v>4411</v>
      </c>
      <c r="B1406" s="6" t="s">
        <v>4408</v>
      </c>
      <c r="C1406" s="6" t="s">
        <v>22</v>
      </c>
      <c r="D1406" s="6" t="s">
        <v>331</v>
      </c>
      <c r="E1406" s="6" t="s">
        <v>27</v>
      </c>
      <c r="F1406" s="7" t="s">
        <v>4412</v>
      </c>
      <c r="G1406" s="6" t="s">
        <v>3057</v>
      </c>
      <c r="H1406" s="6" t="s">
        <v>7</v>
      </c>
      <c r="I1406" s="8"/>
      <c r="J1406" s="8"/>
      <c r="K1406" s="8"/>
      <c r="L1406" s="9"/>
    </row>
    <row r="1407" customFormat="false" ht="23.85" hidden="false" customHeight="false" outlineLevel="0" collapsed="false">
      <c r="A1407" s="6" t="s">
        <v>4413</v>
      </c>
      <c r="B1407" s="6" t="s">
        <v>4408</v>
      </c>
      <c r="C1407" s="6" t="s">
        <v>22</v>
      </c>
      <c r="D1407" s="6" t="s">
        <v>331</v>
      </c>
      <c r="E1407" s="6" t="s">
        <v>27</v>
      </c>
      <c r="F1407" s="7" t="s">
        <v>4414</v>
      </c>
      <c r="G1407" s="6" t="s">
        <v>2102</v>
      </c>
      <c r="H1407" s="6" t="s">
        <v>6</v>
      </c>
      <c r="I1407" s="8"/>
      <c r="J1407" s="8"/>
      <c r="K1407" s="8"/>
      <c r="L1407" s="9"/>
    </row>
    <row r="1408" customFormat="false" ht="23.85" hidden="false" customHeight="false" outlineLevel="0" collapsed="false">
      <c r="A1408" s="6" t="s">
        <v>4415</v>
      </c>
      <c r="B1408" s="6" t="s">
        <v>4408</v>
      </c>
      <c r="C1408" s="6" t="s">
        <v>22</v>
      </c>
      <c r="D1408" s="6" t="s">
        <v>331</v>
      </c>
      <c r="E1408" s="6" t="s">
        <v>27</v>
      </c>
      <c r="F1408" s="7" t="s">
        <v>4416</v>
      </c>
      <c r="G1408" s="6" t="s">
        <v>3275</v>
      </c>
      <c r="H1408" s="6" t="s">
        <v>8</v>
      </c>
      <c r="I1408" s="8"/>
      <c r="J1408" s="8"/>
      <c r="K1408" s="8"/>
      <c r="L1408" s="9"/>
    </row>
    <row r="1409" customFormat="false" ht="23.85" hidden="false" customHeight="false" outlineLevel="0" collapsed="false">
      <c r="A1409" s="6" t="s">
        <v>4417</v>
      </c>
      <c r="B1409" s="6" t="s">
        <v>4418</v>
      </c>
      <c r="C1409" s="6" t="s">
        <v>22</v>
      </c>
      <c r="D1409" s="6" t="s">
        <v>85</v>
      </c>
      <c r="E1409" s="6" t="s">
        <v>27</v>
      </c>
      <c r="F1409" s="7" t="s">
        <v>4419</v>
      </c>
      <c r="G1409" s="6" t="s">
        <v>4420</v>
      </c>
      <c r="H1409" s="6" t="s">
        <v>9</v>
      </c>
      <c r="I1409" s="8"/>
      <c r="J1409" s="8"/>
      <c r="K1409" s="8"/>
      <c r="L1409" s="9"/>
    </row>
    <row r="1410" customFormat="false" ht="15" hidden="false" customHeight="false" outlineLevel="0" collapsed="false">
      <c r="A1410" s="6" t="s">
        <v>4421</v>
      </c>
      <c r="B1410" s="6" t="s">
        <v>4418</v>
      </c>
      <c r="C1410" s="6" t="s">
        <v>22</v>
      </c>
      <c r="D1410" s="6" t="s">
        <v>85</v>
      </c>
      <c r="E1410" s="6" t="s">
        <v>27</v>
      </c>
      <c r="F1410" s="7" t="s">
        <v>4422</v>
      </c>
      <c r="G1410" s="6" t="s">
        <v>4423</v>
      </c>
      <c r="H1410" s="6" t="s">
        <v>8</v>
      </c>
      <c r="I1410" s="8"/>
      <c r="J1410" s="8"/>
      <c r="K1410" s="8"/>
      <c r="L1410" s="9"/>
    </row>
    <row r="1411" customFormat="false" ht="15" hidden="false" customHeight="false" outlineLevel="0" collapsed="false">
      <c r="A1411" s="6" t="s">
        <v>4424</v>
      </c>
      <c r="B1411" s="6" t="s">
        <v>4418</v>
      </c>
      <c r="C1411" s="6" t="s">
        <v>22</v>
      </c>
      <c r="D1411" s="6" t="s">
        <v>85</v>
      </c>
      <c r="E1411" s="6" t="s">
        <v>27</v>
      </c>
      <c r="F1411" s="7" t="s">
        <v>4425</v>
      </c>
      <c r="G1411" s="6" t="s">
        <v>4423</v>
      </c>
      <c r="H1411" s="6" t="s">
        <v>8</v>
      </c>
      <c r="I1411" s="8"/>
      <c r="J1411" s="8"/>
      <c r="K1411" s="8"/>
      <c r="L1411" s="9"/>
    </row>
    <row r="1412" customFormat="false" ht="15" hidden="false" customHeight="false" outlineLevel="0" collapsed="false">
      <c r="A1412" s="6" t="s">
        <v>4426</v>
      </c>
      <c r="B1412" s="6" t="s">
        <v>4418</v>
      </c>
      <c r="C1412" s="6" t="s">
        <v>22</v>
      </c>
      <c r="D1412" s="6" t="s">
        <v>85</v>
      </c>
      <c r="E1412" s="6" t="s">
        <v>27</v>
      </c>
      <c r="F1412" s="7" t="s">
        <v>4427</v>
      </c>
      <c r="G1412" s="6" t="s">
        <v>4423</v>
      </c>
      <c r="H1412" s="6" t="s">
        <v>8</v>
      </c>
      <c r="I1412" s="8"/>
      <c r="J1412" s="8"/>
      <c r="K1412" s="8"/>
      <c r="L1412" s="9"/>
    </row>
    <row r="1413" customFormat="false" ht="15" hidden="false" customHeight="false" outlineLevel="0" collapsed="false">
      <c r="A1413" s="6" t="s">
        <v>4428</v>
      </c>
      <c r="B1413" s="6" t="s">
        <v>4418</v>
      </c>
      <c r="C1413" s="6" t="s">
        <v>22</v>
      </c>
      <c r="D1413" s="6" t="s">
        <v>85</v>
      </c>
      <c r="E1413" s="6" t="s">
        <v>27</v>
      </c>
      <c r="F1413" s="7" t="s">
        <v>4429</v>
      </c>
      <c r="G1413" s="6" t="s">
        <v>4423</v>
      </c>
      <c r="H1413" s="6" t="s">
        <v>8</v>
      </c>
      <c r="I1413" s="8"/>
      <c r="J1413" s="8"/>
      <c r="K1413" s="8"/>
      <c r="L1413" s="9"/>
    </row>
    <row r="1414" customFormat="false" ht="15" hidden="false" customHeight="false" outlineLevel="0" collapsed="false">
      <c r="A1414" s="6" t="s">
        <v>4430</v>
      </c>
      <c r="B1414" s="6" t="s">
        <v>4418</v>
      </c>
      <c r="C1414" s="6" t="s">
        <v>22</v>
      </c>
      <c r="D1414" s="6" t="s">
        <v>85</v>
      </c>
      <c r="E1414" s="6" t="s">
        <v>27</v>
      </c>
      <c r="F1414" s="7" t="s">
        <v>4431</v>
      </c>
      <c r="G1414" s="6" t="s">
        <v>4423</v>
      </c>
      <c r="H1414" s="6" t="s">
        <v>8</v>
      </c>
      <c r="I1414" s="8"/>
      <c r="J1414" s="8"/>
      <c r="K1414" s="8"/>
      <c r="L1414" s="9"/>
    </row>
    <row r="1415" customFormat="false" ht="15" hidden="false" customHeight="false" outlineLevel="0" collapsed="false">
      <c r="A1415" s="6" t="s">
        <v>4432</v>
      </c>
      <c r="B1415" s="6" t="s">
        <v>4418</v>
      </c>
      <c r="C1415" s="6" t="s">
        <v>22</v>
      </c>
      <c r="D1415" s="6" t="s">
        <v>85</v>
      </c>
      <c r="E1415" s="6" t="s">
        <v>27</v>
      </c>
      <c r="F1415" s="7" t="s">
        <v>4433</v>
      </c>
      <c r="G1415" s="6" t="s">
        <v>4423</v>
      </c>
      <c r="H1415" s="6" t="s">
        <v>8</v>
      </c>
      <c r="I1415" s="8"/>
      <c r="J1415" s="8"/>
      <c r="K1415" s="8"/>
      <c r="L1415" s="9"/>
    </row>
    <row r="1416" customFormat="false" ht="15" hidden="false" customHeight="false" outlineLevel="0" collapsed="false">
      <c r="A1416" s="6" t="s">
        <v>4434</v>
      </c>
      <c r="B1416" s="6" t="s">
        <v>4418</v>
      </c>
      <c r="C1416" s="6" t="s">
        <v>22</v>
      </c>
      <c r="D1416" s="6" t="s">
        <v>85</v>
      </c>
      <c r="E1416" s="6" t="s">
        <v>27</v>
      </c>
      <c r="F1416" s="7" t="s">
        <v>4435</v>
      </c>
      <c r="G1416" s="6" t="s">
        <v>4423</v>
      </c>
      <c r="H1416" s="6" t="s">
        <v>8</v>
      </c>
      <c r="I1416" s="8"/>
      <c r="J1416" s="8"/>
      <c r="K1416" s="8"/>
      <c r="L1416" s="9"/>
    </row>
    <row r="1417" customFormat="false" ht="15" hidden="false" customHeight="false" outlineLevel="0" collapsed="false">
      <c r="A1417" s="6" t="s">
        <v>4436</v>
      </c>
      <c r="B1417" s="6" t="s">
        <v>4418</v>
      </c>
      <c r="C1417" s="6" t="s">
        <v>22</v>
      </c>
      <c r="D1417" s="6" t="s">
        <v>85</v>
      </c>
      <c r="E1417" s="6" t="s">
        <v>27</v>
      </c>
      <c r="F1417" s="7" t="s">
        <v>4437</v>
      </c>
      <c r="G1417" s="6" t="s">
        <v>4423</v>
      </c>
      <c r="H1417" s="6" t="s">
        <v>8</v>
      </c>
      <c r="I1417" s="8"/>
      <c r="J1417" s="8"/>
      <c r="K1417" s="8"/>
      <c r="L1417" s="9"/>
    </row>
    <row r="1418" customFormat="false" ht="15" hidden="false" customHeight="false" outlineLevel="0" collapsed="false">
      <c r="A1418" s="6" t="s">
        <v>4438</v>
      </c>
      <c r="B1418" s="6" t="s">
        <v>4418</v>
      </c>
      <c r="C1418" s="6" t="s">
        <v>22</v>
      </c>
      <c r="D1418" s="6" t="s">
        <v>85</v>
      </c>
      <c r="E1418" s="6" t="s">
        <v>27</v>
      </c>
      <c r="F1418" s="7" t="s">
        <v>4439</v>
      </c>
      <c r="G1418" s="6" t="s">
        <v>4423</v>
      </c>
      <c r="H1418" s="6" t="s">
        <v>8</v>
      </c>
      <c r="I1418" s="8"/>
      <c r="J1418" s="8"/>
      <c r="K1418" s="8"/>
      <c r="L1418" s="9"/>
    </row>
    <row r="1419" customFormat="false" ht="15" hidden="false" customHeight="false" outlineLevel="0" collapsed="false">
      <c r="A1419" s="6" t="s">
        <v>4440</v>
      </c>
      <c r="B1419" s="6" t="s">
        <v>4418</v>
      </c>
      <c r="C1419" s="6" t="s">
        <v>22</v>
      </c>
      <c r="D1419" s="6" t="s">
        <v>85</v>
      </c>
      <c r="E1419" s="6" t="s">
        <v>27</v>
      </c>
      <c r="F1419" s="7" t="s">
        <v>4441</v>
      </c>
      <c r="G1419" s="6" t="s">
        <v>4423</v>
      </c>
      <c r="H1419" s="6" t="s">
        <v>8</v>
      </c>
      <c r="I1419" s="8"/>
      <c r="J1419" s="8"/>
      <c r="K1419" s="8"/>
      <c r="L1419" s="9"/>
    </row>
    <row r="1420" customFormat="false" ht="15" hidden="false" customHeight="false" outlineLevel="0" collapsed="false">
      <c r="A1420" s="6" t="s">
        <v>4442</v>
      </c>
      <c r="B1420" s="6" t="s">
        <v>4418</v>
      </c>
      <c r="C1420" s="6" t="s">
        <v>22</v>
      </c>
      <c r="D1420" s="6" t="s">
        <v>85</v>
      </c>
      <c r="E1420" s="6" t="s">
        <v>27</v>
      </c>
      <c r="F1420" s="7" t="s">
        <v>4443</v>
      </c>
      <c r="G1420" s="6" t="s">
        <v>4423</v>
      </c>
      <c r="H1420" s="6" t="s">
        <v>8</v>
      </c>
      <c r="I1420" s="8"/>
      <c r="J1420" s="8"/>
      <c r="K1420" s="8"/>
      <c r="L1420" s="9"/>
    </row>
    <row r="1421" customFormat="false" ht="15" hidden="false" customHeight="false" outlineLevel="0" collapsed="false">
      <c r="A1421" s="6" t="s">
        <v>4444</v>
      </c>
      <c r="B1421" s="6" t="s">
        <v>4418</v>
      </c>
      <c r="C1421" s="6" t="s">
        <v>22</v>
      </c>
      <c r="D1421" s="6" t="s">
        <v>85</v>
      </c>
      <c r="E1421" s="6" t="s">
        <v>27</v>
      </c>
      <c r="F1421" s="7" t="s">
        <v>4445</v>
      </c>
      <c r="G1421" s="6" t="s">
        <v>4423</v>
      </c>
      <c r="H1421" s="6" t="s">
        <v>8</v>
      </c>
      <c r="I1421" s="8"/>
      <c r="J1421" s="8"/>
      <c r="K1421" s="8"/>
      <c r="L1421" s="9"/>
    </row>
    <row r="1422" customFormat="false" ht="15" hidden="false" customHeight="false" outlineLevel="0" collapsed="false">
      <c r="A1422" s="6" t="s">
        <v>4446</v>
      </c>
      <c r="B1422" s="6" t="s">
        <v>4418</v>
      </c>
      <c r="C1422" s="6" t="s">
        <v>22</v>
      </c>
      <c r="D1422" s="6" t="s">
        <v>85</v>
      </c>
      <c r="E1422" s="6" t="s">
        <v>27</v>
      </c>
      <c r="F1422" s="7" t="s">
        <v>4447</v>
      </c>
      <c r="G1422" s="6" t="s">
        <v>4423</v>
      </c>
      <c r="H1422" s="6" t="s">
        <v>8</v>
      </c>
      <c r="I1422" s="8"/>
      <c r="J1422" s="8"/>
      <c r="K1422" s="8"/>
      <c r="L1422" s="9"/>
    </row>
    <row r="1423" customFormat="false" ht="15" hidden="false" customHeight="false" outlineLevel="0" collapsed="false">
      <c r="A1423" s="6" t="s">
        <v>4448</v>
      </c>
      <c r="B1423" s="6" t="s">
        <v>4418</v>
      </c>
      <c r="C1423" s="6" t="s">
        <v>22</v>
      </c>
      <c r="D1423" s="6" t="s">
        <v>85</v>
      </c>
      <c r="E1423" s="6" t="s">
        <v>27</v>
      </c>
      <c r="F1423" s="7" t="s">
        <v>4449</v>
      </c>
      <c r="G1423" s="6" t="s">
        <v>4423</v>
      </c>
      <c r="H1423" s="6" t="s">
        <v>8</v>
      </c>
      <c r="I1423" s="8"/>
      <c r="J1423" s="8"/>
      <c r="K1423" s="8"/>
      <c r="L1423" s="9"/>
    </row>
    <row r="1424" customFormat="false" ht="15" hidden="false" customHeight="false" outlineLevel="0" collapsed="false">
      <c r="A1424" s="6" t="s">
        <v>4450</v>
      </c>
      <c r="B1424" s="6" t="s">
        <v>4418</v>
      </c>
      <c r="C1424" s="6" t="s">
        <v>22</v>
      </c>
      <c r="D1424" s="6" t="s">
        <v>85</v>
      </c>
      <c r="E1424" s="6" t="s">
        <v>27</v>
      </c>
      <c r="F1424" s="7" t="s">
        <v>4451</v>
      </c>
      <c r="G1424" s="6" t="s">
        <v>4423</v>
      </c>
      <c r="H1424" s="6" t="s">
        <v>8</v>
      </c>
      <c r="I1424" s="8"/>
      <c r="J1424" s="8"/>
      <c r="K1424" s="8"/>
      <c r="L1424" s="9"/>
    </row>
    <row r="1425" customFormat="false" ht="15" hidden="false" customHeight="false" outlineLevel="0" collapsed="false">
      <c r="A1425" s="6" t="s">
        <v>4452</v>
      </c>
      <c r="B1425" s="6" t="s">
        <v>4418</v>
      </c>
      <c r="C1425" s="6" t="s">
        <v>22</v>
      </c>
      <c r="D1425" s="6" t="s">
        <v>85</v>
      </c>
      <c r="E1425" s="6" t="s">
        <v>27</v>
      </c>
      <c r="F1425" s="7" t="s">
        <v>4453</v>
      </c>
      <c r="G1425" s="6" t="s">
        <v>4423</v>
      </c>
      <c r="H1425" s="6" t="s">
        <v>8</v>
      </c>
      <c r="I1425" s="8"/>
      <c r="J1425" s="8"/>
      <c r="K1425" s="8"/>
      <c r="L1425" s="9"/>
    </row>
    <row r="1426" customFormat="false" ht="15" hidden="false" customHeight="false" outlineLevel="0" collapsed="false">
      <c r="A1426" s="6" t="s">
        <v>4454</v>
      </c>
      <c r="B1426" s="6" t="s">
        <v>4418</v>
      </c>
      <c r="C1426" s="6" t="s">
        <v>22</v>
      </c>
      <c r="D1426" s="6" t="s">
        <v>85</v>
      </c>
      <c r="E1426" s="6" t="s">
        <v>27</v>
      </c>
      <c r="F1426" s="7" t="s">
        <v>4455</v>
      </c>
      <c r="G1426" s="6" t="s">
        <v>4423</v>
      </c>
      <c r="H1426" s="6" t="s">
        <v>8</v>
      </c>
      <c r="I1426" s="8"/>
      <c r="J1426" s="8"/>
      <c r="K1426" s="8"/>
      <c r="L1426" s="9"/>
    </row>
    <row r="1427" customFormat="false" ht="15" hidden="false" customHeight="false" outlineLevel="0" collapsed="false">
      <c r="A1427" s="6" t="s">
        <v>4456</v>
      </c>
      <c r="B1427" s="6" t="s">
        <v>4418</v>
      </c>
      <c r="C1427" s="6" t="s">
        <v>22</v>
      </c>
      <c r="D1427" s="6" t="s">
        <v>85</v>
      </c>
      <c r="E1427" s="6" t="s">
        <v>27</v>
      </c>
      <c r="F1427" s="7" t="s">
        <v>4457</v>
      </c>
      <c r="G1427" s="6" t="s">
        <v>4423</v>
      </c>
      <c r="H1427" s="6" t="s">
        <v>8</v>
      </c>
      <c r="I1427" s="8"/>
      <c r="J1427" s="8"/>
      <c r="K1427" s="8"/>
      <c r="L1427" s="9"/>
    </row>
    <row r="1428" customFormat="false" ht="15" hidden="false" customHeight="false" outlineLevel="0" collapsed="false">
      <c r="A1428" s="6" t="s">
        <v>4458</v>
      </c>
      <c r="B1428" s="6" t="s">
        <v>4418</v>
      </c>
      <c r="C1428" s="6" t="s">
        <v>22</v>
      </c>
      <c r="D1428" s="6" t="s">
        <v>85</v>
      </c>
      <c r="E1428" s="6" t="s">
        <v>27</v>
      </c>
      <c r="F1428" s="7" t="s">
        <v>4459</v>
      </c>
      <c r="G1428" s="6" t="s">
        <v>4423</v>
      </c>
      <c r="H1428" s="6" t="s">
        <v>8</v>
      </c>
      <c r="I1428" s="8"/>
      <c r="J1428" s="8"/>
      <c r="K1428" s="8"/>
      <c r="L1428" s="9"/>
    </row>
    <row r="1429" customFormat="false" ht="15" hidden="false" customHeight="false" outlineLevel="0" collapsed="false">
      <c r="A1429" s="6" t="s">
        <v>4460</v>
      </c>
      <c r="B1429" s="6" t="s">
        <v>4418</v>
      </c>
      <c r="C1429" s="6" t="s">
        <v>22</v>
      </c>
      <c r="D1429" s="6" t="s">
        <v>85</v>
      </c>
      <c r="E1429" s="6" t="s">
        <v>27</v>
      </c>
      <c r="F1429" s="7" t="s">
        <v>4461</v>
      </c>
      <c r="G1429" s="6" t="s">
        <v>4423</v>
      </c>
      <c r="H1429" s="6" t="s">
        <v>8</v>
      </c>
      <c r="I1429" s="8"/>
      <c r="J1429" s="8"/>
      <c r="K1429" s="8"/>
      <c r="L1429" s="9"/>
    </row>
    <row r="1430" customFormat="false" ht="15" hidden="false" customHeight="false" outlineLevel="0" collapsed="false">
      <c r="A1430" s="6" t="s">
        <v>4462</v>
      </c>
      <c r="B1430" s="6" t="s">
        <v>4418</v>
      </c>
      <c r="C1430" s="6" t="s">
        <v>22</v>
      </c>
      <c r="D1430" s="6" t="s">
        <v>85</v>
      </c>
      <c r="E1430" s="6" t="s">
        <v>27</v>
      </c>
      <c r="F1430" s="7" t="s">
        <v>4463</v>
      </c>
      <c r="G1430" s="6" t="s">
        <v>4423</v>
      </c>
      <c r="H1430" s="6" t="s">
        <v>8</v>
      </c>
      <c r="I1430" s="8"/>
      <c r="J1430" s="8"/>
      <c r="K1430" s="8"/>
      <c r="L1430" s="9"/>
    </row>
    <row r="1431" customFormat="false" ht="15" hidden="false" customHeight="false" outlineLevel="0" collapsed="false">
      <c r="A1431" s="6" t="s">
        <v>4464</v>
      </c>
      <c r="B1431" s="6" t="s">
        <v>4418</v>
      </c>
      <c r="C1431" s="6" t="s">
        <v>22</v>
      </c>
      <c r="D1431" s="6" t="s">
        <v>85</v>
      </c>
      <c r="E1431" s="6" t="s">
        <v>27</v>
      </c>
      <c r="F1431" s="7" t="s">
        <v>4465</v>
      </c>
      <c r="G1431" s="6" t="s">
        <v>4423</v>
      </c>
      <c r="H1431" s="6" t="s">
        <v>8</v>
      </c>
      <c r="I1431" s="8"/>
      <c r="J1431" s="8"/>
      <c r="K1431" s="8"/>
      <c r="L1431" s="9"/>
    </row>
    <row r="1432" customFormat="false" ht="15" hidden="false" customHeight="false" outlineLevel="0" collapsed="false">
      <c r="A1432" s="6" t="s">
        <v>4466</v>
      </c>
      <c r="B1432" s="6" t="s">
        <v>4418</v>
      </c>
      <c r="C1432" s="6" t="s">
        <v>22</v>
      </c>
      <c r="D1432" s="6" t="s">
        <v>85</v>
      </c>
      <c r="E1432" s="6" t="s">
        <v>27</v>
      </c>
      <c r="F1432" s="7" t="s">
        <v>4467</v>
      </c>
      <c r="G1432" s="6" t="s">
        <v>4423</v>
      </c>
      <c r="H1432" s="6" t="s">
        <v>8</v>
      </c>
      <c r="I1432" s="8"/>
      <c r="J1432" s="8"/>
      <c r="K1432" s="8"/>
      <c r="L1432" s="9"/>
    </row>
    <row r="1433" customFormat="false" ht="15" hidden="false" customHeight="false" outlineLevel="0" collapsed="false">
      <c r="A1433" s="6" t="s">
        <v>4468</v>
      </c>
      <c r="B1433" s="6" t="s">
        <v>4418</v>
      </c>
      <c r="C1433" s="6" t="s">
        <v>22</v>
      </c>
      <c r="D1433" s="6" t="s">
        <v>85</v>
      </c>
      <c r="E1433" s="6" t="s">
        <v>27</v>
      </c>
      <c r="F1433" s="7" t="s">
        <v>4469</v>
      </c>
      <c r="G1433" s="6" t="s">
        <v>4423</v>
      </c>
      <c r="H1433" s="6" t="s">
        <v>8</v>
      </c>
      <c r="I1433" s="8"/>
      <c r="J1433" s="8"/>
      <c r="K1433" s="8"/>
      <c r="L1433" s="9"/>
    </row>
    <row r="1434" customFormat="false" ht="15" hidden="false" customHeight="false" outlineLevel="0" collapsed="false">
      <c r="A1434" s="6" t="s">
        <v>4470</v>
      </c>
      <c r="B1434" s="6" t="s">
        <v>4418</v>
      </c>
      <c r="C1434" s="6" t="s">
        <v>22</v>
      </c>
      <c r="D1434" s="6" t="s">
        <v>85</v>
      </c>
      <c r="E1434" s="6" t="s">
        <v>27</v>
      </c>
      <c r="F1434" s="7" t="s">
        <v>4471</v>
      </c>
      <c r="G1434" s="6" t="s">
        <v>4423</v>
      </c>
      <c r="H1434" s="6" t="s">
        <v>8</v>
      </c>
      <c r="I1434" s="8"/>
      <c r="J1434" s="8"/>
      <c r="K1434" s="8"/>
      <c r="L1434" s="9"/>
    </row>
    <row r="1435" customFormat="false" ht="23.85" hidden="false" customHeight="false" outlineLevel="0" collapsed="false">
      <c r="A1435" s="6" t="s">
        <v>4472</v>
      </c>
      <c r="B1435" s="6" t="s">
        <v>4473</v>
      </c>
      <c r="C1435" s="6" t="s">
        <v>22</v>
      </c>
      <c r="D1435" s="6" t="s">
        <v>85</v>
      </c>
      <c r="E1435" s="6" t="s">
        <v>27</v>
      </c>
      <c r="F1435" s="7" t="s">
        <v>4474</v>
      </c>
      <c r="G1435" s="6" t="s">
        <v>4475</v>
      </c>
      <c r="H1435" s="6" t="s">
        <v>9</v>
      </c>
      <c r="I1435" s="8"/>
      <c r="J1435" s="8"/>
      <c r="K1435" s="8"/>
      <c r="L1435" s="9"/>
    </row>
    <row r="1436" customFormat="false" ht="15" hidden="false" customHeight="false" outlineLevel="0" collapsed="false">
      <c r="A1436" s="6" t="s">
        <v>4476</v>
      </c>
      <c r="B1436" s="6" t="s">
        <v>4473</v>
      </c>
      <c r="C1436" s="6" t="s">
        <v>22</v>
      </c>
      <c r="D1436" s="6" t="s">
        <v>85</v>
      </c>
      <c r="E1436" s="6" t="s">
        <v>27</v>
      </c>
      <c r="F1436" s="7" t="s">
        <v>4477</v>
      </c>
      <c r="G1436" s="6" t="s">
        <v>4478</v>
      </c>
      <c r="H1436" s="6" t="s">
        <v>8</v>
      </c>
      <c r="I1436" s="8"/>
      <c r="J1436" s="8"/>
      <c r="K1436" s="8"/>
      <c r="L1436" s="9"/>
    </row>
    <row r="1437" customFormat="false" ht="15" hidden="false" customHeight="false" outlineLevel="0" collapsed="false">
      <c r="A1437" s="6" t="s">
        <v>4479</v>
      </c>
      <c r="B1437" s="6" t="s">
        <v>4473</v>
      </c>
      <c r="C1437" s="6" t="s">
        <v>22</v>
      </c>
      <c r="D1437" s="6" t="s">
        <v>85</v>
      </c>
      <c r="E1437" s="6" t="s">
        <v>27</v>
      </c>
      <c r="F1437" s="7" t="s">
        <v>4480</v>
      </c>
      <c r="G1437" s="6" t="s">
        <v>4478</v>
      </c>
      <c r="H1437" s="6" t="s">
        <v>8</v>
      </c>
      <c r="I1437" s="8"/>
      <c r="J1437" s="8"/>
      <c r="K1437" s="8"/>
      <c r="L1437" s="9"/>
    </row>
    <row r="1438" customFormat="false" ht="15" hidden="false" customHeight="false" outlineLevel="0" collapsed="false">
      <c r="A1438" s="6" t="s">
        <v>4481</v>
      </c>
      <c r="B1438" s="6" t="s">
        <v>4473</v>
      </c>
      <c r="C1438" s="6" t="s">
        <v>22</v>
      </c>
      <c r="D1438" s="6" t="s">
        <v>85</v>
      </c>
      <c r="E1438" s="6" t="s">
        <v>27</v>
      </c>
      <c r="F1438" s="7" t="s">
        <v>4482</v>
      </c>
      <c r="G1438" s="6" t="s">
        <v>4478</v>
      </c>
      <c r="H1438" s="6" t="s">
        <v>8</v>
      </c>
      <c r="I1438" s="8"/>
      <c r="J1438" s="8"/>
      <c r="K1438" s="8"/>
      <c r="L1438" s="9"/>
    </row>
    <row r="1439" customFormat="false" ht="15" hidden="false" customHeight="false" outlineLevel="0" collapsed="false">
      <c r="A1439" s="6" t="s">
        <v>4483</v>
      </c>
      <c r="B1439" s="6" t="s">
        <v>4473</v>
      </c>
      <c r="C1439" s="6" t="s">
        <v>22</v>
      </c>
      <c r="D1439" s="6" t="s">
        <v>85</v>
      </c>
      <c r="E1439" s="6" t="s">
        <v>27</v>
      </c>
      <c r="F1439" s="7" t="s">
        <v>4484</v>
      </c>
      <c r="G1439" s="6" t="s">
        <v>4478</v>
      </c>
      <c r="H1439" s="6" t="s">
        <v>8</v>
      </c>
      <c r="I1439" s="8"/>
      <c r="J1439" s="8"/>
      <c r="K1439" s="8"/>
      <c r="L1439" s="9"/>
    </row>
    <row r="1440" customFormat="false" ht="15" hidden="false" customHeight="false" outlineLevel="0" collapsed="false">
      <c r="A1440" s="6" t="s">
        <v>4485</v>
      </c>
      <c r="B1440" s="6" t="s">
        <v>4473</v>
      </c>
      <c r="C1440" s="6" t="s">
        <v>22</v>
      </c>
      <c r="D1440" s="6" t="s">
        <v>85</v>
      </c>
      <c r="E1440" s="6" t="s">
        <v>27</v>
      </c>
      <c r="F1440" s="7" t="s">
        <v>4486</v>
      </c>
      <c r="G1440" s="6" t="s">
        <v>4478</v>
      </c>
      <c r="H1440" s="6" t="s">
        <v>8</v>
      </c>
      <c r="I1440" s="8"/>
      <c r="J1440" s="8"/>
      <c r="K1440" s="8"/>
      <c r="L1440" s="9"/>
    </row>
    <row r="1441" customFormat="false" ht="15" hidden="false" customHeight="false" outlineLevel="0" collapsed="false">
      <c r="A1441" s="6" t="s">
        <v>4487</v>
      </c>
      <c r="B1441" s="6" t="s">
        <v>4473</v>
      </c>
      <c r="C1441" s="6" t="s">
        <v>22</v>
      </c>
      <c r="D1441" s="6" t="s">
        <v>85</v>
      </c>
      <c r="E1441" s="6" t="s">
        <v>27</v>
      </c>
      <c r="F1441" s="7" t="s">
        <v>4488</v>
      </c>
      <c r="G1441" s="6" t="s">
        <v>4478</v>
      </c>
      <c r="H1441" s="6" t="s">
        <v>8</v>
      </c>
      <c r="I1441" s="8"/>
      <c r="J1441" s="8"/>
      <c r="K1441" s="8"/>
      <c r="L1441" s="9"/>
    </row>
    <row r="1442" customFormat="false" ht="15" hidden="false" customHeight="false" outlineLevel="0" collapsed="false">
      <c r="A1442" s="6" t="s">
        <v>4489</v>
      </c>
      <c r="B1442" s="6" t="s">
        <v>4473</v>
      </c>
      <c r="C1442" s="6" t="s">
        <v>22</v>
      </c>
      <c r="D1442" s="6" t="s">
        <v>85</v>
      </c>
      <c r="E1442" s="6" t="s">
        <v>27</v>
      </c>
      <c r="F1442" s="7" t="s">
        <v>4490</v>
      </c>
      <c r="G1442" s="6" t="s">
        <v>4478</v>
      </c>
      <c r="H1442" s="6" t="s">
        <v>8</v>
      </c>
      <c r="I1442" s="8"/>
      <c r="J1442" s="8"/>
      <c r="K1442" s="8"/>
      <c r="L1442" s="9"/>
    </row>
    <row r="1443" customFormat="false" ht="15" hidden="false" customHeight="false" outlineLevel="0" collapsed="false">
      <c r="A1443" s="6" t="s">
        <v>4491</v>
      </c>
      <c r="B1443" s="6" t="s">
        <v>4473</v>
      </c>
      <c r="C1443" s="6" t="s">
        <v>22</v>
      </c>
      <c r="D1443" s="6" t="s">
        <v>85</v>
      </c>
      <c r="E1443" s="6" t="s">
        <v>27</v>
      </c>
      <c r="F1443" s="7" t="s">
        <v>4492</v>
      </c>
      <c r="G1443" s="6" t="s">
        <v>4478</v>
      </c>
      <c r="H1443" s="6" t="s">
        <v>8</v>
      </c>
      <c r="I1443" s="8"/>
      <c r="J1443" s="8"/>
      <c r="K1443" s="8"/>
      <c r="L1443" s="9"/>
    </row>
    <row r="1444" customFormat="false" ht="15" hidden="false" customHeight="false" outlineLevel="0" collapsed="false">
      <c r="A1444" s="6" t="s">
        <v>4493</v>
      </c>
      <c r="B1444" s="6" t="s">
        <v>4473</v>
      </c>
      <c r="C1444" s="6" t="s">
        <v>22</v>
      </c>
      <c r="D1444" s="6" t="s">
        <v>85</v>
      </c>
      <c r="E1444" s="6" t="s">
        <v>27</v>
      </c>
      <c r="F1444" s="7" t="s">
        <v>4494</v>
      </c>
      <c r="G1444" s="6" t="s">
        <v>4478</v>
      </c>
      <c r="H1444" s="6" t="s">
        <v>8</v>
      </c>
      <c r="I1444" s="8"/>
      <c r="J1444" s="8"/>
      <c r="K1444" s="8"/>
      <c r="L1444" s="9"/>
    </row>
    <row r="1445" customFormat="false" ht="15" hidden="false" customHeight="false" outlineLevel="0" collapsed="false">
      <c r="A1445" s="6" t="s">
        <v>4495</v>
      </c>
      <c r="B1445" s="6" t="s">
        <v>4473</v>
      </c>
      <c r="C1445" s="6" t="s">
        <v>22</v>
      </c>
      <c r="D1445" s="6" t="s">
        <v>85</v>
      </c>
      <c r="E1445" s="6" t="s">
        <v>27</v>
      </c>
      <c r="F1445" s="7" t="s">
        <v>4496</v>
      </c>
      <c r="G1445" s="6" t="s">
        <v>4478</v>
      </c>
      <c r="H1445" s="6" t="s">
        <v>8</v>
      </c>
      <c r="I1445" s="8"/>
      <c r="J1445" s="8"/>
      <c r="K1445" s="8"/>
      <c r="L1445" s="9"/>
    </row>
    <row r="1446" customFormat="false" ht="15" hidden="false" customHeight="false" outlineLevel="0" collapsed="false">
      <c r="A1446" s="6" t="s">
        <v>4497</v>
      </c>
      <c r="B1446" s="6" t="s">
        <v>4473</v>
      </c>
      <c r="C1446" s="6" t="s">
        <v>22</v>
      </c>
      <c r="D1446" s="6" t="s">
        <v>85</v>
      </c>
      <c r="E1446" s="6" t="s">
        <v>27</v>
      </c>
      <c r="F1446" s="7" t="s">
        <v>4498</v>
      </c>
      <c r="G1446" s="6" t="s">
        <v>4478</v>
      </c>
      <c r="H1446" s="6" t="s">
        <v>8</v>
      </c>
      <c r="I1446" s="8"/>
      <c r="J1446" s="8"/>
      <c r="K1446" s="8"/>
      <c r="L1446" s="9"/>
    </row>
    <row r="1447" customFormat="false" ht="23.85" hidden="false" customHeight="false" outlineLevel="0" collapsed="false">
      <c r="A1447" s="6" t="s">
        <v>4499</v>
      </c>
      <c r="B1447" s="6" t="s">
        <v>4500</v>
      </c>
      <c r="C1447" s="6" t="s">
        <v>22</v>
      </c>
      <c r="D1447" s="6" t="s">
        <v>85</v>
      </c>
      <c r="E1447" s="6" t="s">
        <v>27</v>
      </c>
      <c r="F1447" s="7" t="s">
        <v>4501</v>
      </c>
      <c r="G1447" s="6" t="s">
        <v>4502</v>
      </c>
      <c r="H1447" s="6" t="s">
        <v>8</v>
      </c>
      <c r="I1447" s="8"/>
      <c r="J1447" s="8"/>
      <c r="K1447" s="8"/>
      <c r="L1447" s="9"/>
    </row>
    <row r="1448" customFormat="false" ht="15" hidden="false" customHeight="false" outlineLevel="0" collapsed="false">
      <c r="A1448" s="6" t="s">
        <v>4503</v>
      </c>
      <c r="B1448" s="6" t="s">
        <v>4500</v>
      </c>
      <c r="C1448" s="6" t="s">
        <v>22</v>
      </c>
      <c r="D1448" s="6" t="s">
        <v>85</v>
      </c>
      <c r="E1448" s="6" t="s">
        <v>27</v>
      </c>
      <c r="F1448" s="7" t="s">
        <v>4504</v>
      </c>
      <c r="G1448" s="6" t="s">
        <v>3896</v>
      </c>
      <c r="H1448" s="6" t="s">
        <v>8</v>
      </c>
      <c r="I1448" s="8"/>
      <c r="J1448" s="8"/>
      <c r="K1448" s="8"/>
      <c r="L1448" s="9"/>
    </row>
    <row r="1449" customFormat="false" ht="15" hidden="false" customHeight="false" outlineLevel="0" collapsed="false">
      <c r="A1449" s="6" t="s">
        <v>4505</v>
      </c>
      <c r="B1449" s="6" t="s">
        <v>4500</v>
      </c>
      <c r="C1449" s="6" t="s">
        <v>22</v>
      </c>
      <c r="D1449" s="6" t="s">
        <v>85</v>
      </c>
      <c r="E1449" s="6" t="s">
        <v>27</v>
      </c>
      <c r="F1449" s="7" t="s">
        <v>4506</v>
      </c>
      <c r="G1449" s="6" t="s">
        <v>4507</v>
      </c>
      <c r="H1449" s="6" t="s">
        <v>6</v>
      </c>
      <c r="I1449" s="8"/>
      <c r="J1449" s="8"/>
      <c r="K1449" s="8"/>
      <c r="L1449" s="9"/>
    </row>
    <row r="1450" customFormat="false" ht="23.85" hidden="false" customHeight="false" outlineLevel="0" collapsed="false">
      <c r="A1450" s="6" t="s">
        <v>4508</v>
      </c>
      <c r="B1450" s="6" t="s">
        <v>4500</v>
      </c>
      <c r="C1450" s="6" t="s">
        <v>22</v>
      </c>
      <c r="D1450" s="6" t="s">
        <v>85</v>
      </c>
      <c r="E1450" s="6" t="s">
        <v>27</v>
      </c>
      <c r="F1450" s="7" t="s">
        <v>4509</v>
      </c>
      <c r="G1450" s="6" t="s">
        <v>2864</v>
      </c>
      <c r="H1450" s="6" t="s">
        <v>8</v>
      </c>
      <c r="I1450" s="8"/>
      <c r="J1450" s="8"/>
      <c r="K1450" s="8"/>
      <c r="L1450" s="9"/>
    </row>
    <row r="1451" customFormat="false" ht="15" hidden="false" customHeight="false" outlineLevel="0" collapsed="false">
      <c r="A1451" s="6" t="s">
        <v>4510</v>
      </c>
      <c r="B1451" s="6" t="s">
        <v>4511</v>
      </c>
      <c r="C1451" s="6" t="s">
        <v>22</v>
      </c>
      <c r="D1451" s="6" t="s">
        <v>85</v>
      </c>
      <c r="E1451" s="6" t="s">
        <v>27</v>
      </c>
      <c r="F1451" s="7" t="s">
        <v>4512</v>
      </c>
      <c r="G1451" s="6" t="s">
        <v>4096</v>
      </c>
      <c r="H1451" s="6" t="s">
        <v>8</v>
      </c>
      <c r="I1451" s="8"/>
      <c r="J1451" s="8"/>
      <c r="K1451" s="8"/>
      <c r="L1451" s="9"/>
    </row>
    <row r="1452" customFormat="false" ht="23.85" hidden="false" customHeight="false" outlineLevel="0" collapsed="false">
      <c r="A1452" s="6" t="s">
        <v>4513</v>
      </c>
      <c r="B1452" s="6" t="s">
        <v>4511</v>
      </c>
      <c r="C1452" s="6" t="s">
        <v>22</v>
      </c>
      <c r="D1452" s="6" t="s">
        <v>85</v>
      </c>
      <c r="E1452" s="6" t="s">
        <v>27</v>
      </c>
      <c r="F1452" s="7" t="s">
        <v>4514</v>
      </c>
      <c r="G1452" s="6" t="s">
        <v>4089</v>
      </c>
      <c r="H1452" s="6" t="s">
        <v>7</v>
      </c>
      <c r="I1452" s="8"/>
      <c r="J1452" s="8"/>
      <c r="K1452" s="8"/>
      <c r="L1452" s="9"/>
    </row>
    <row r="1453" customFormat="false" ht="23.85" hidden="false" customHeight="false" outlineLevel="0" collapsed="false">
      <c r="A1453" s="6" t="s">
        <v>4515</v>
      </c>
      <c r="B1453" s="6" t="s">
        <v>4511</v>
      </c>
      <c r="C1453" s="6" t="s">
        <v>22</v>
      </c>
      <c r="D1453" s="6" t="s">
        <v>85</v>
      </c>
      <c r="E1453" s="6" t="s">
        <v>27</v>
      </c>
      <c r="F1453" s="7" t="s">
        <v>4516</v>
      </c>
      <c r="G1453" s="6" t="s">
        <v>4517</v>
      </c>
      <c r="H1453" s="6" t="s">
        <v>7</v>
      </c>
      <c r="I1453" s="8"/>
      <c r="J1453" s="8"/>
      <c r="K1453" s="8"/>
      <c r="L1453" s="9"/>
    </row>
    <row r="1454" customFormat="false" ht="15" hidden="false" customHeight="false" outlineLevel="0" collapsed="false">
      <c r="A1454" s="6" t="s">
        <v>4518</v>
      </c>
      <c r="B1454" s="6" t="s">
        <v>4519</v>
      </c>
      <c r="C1454" s="6" t="s">
        <v>22</v>
      </c>
      <c r="D1454" s="6" t="s">
        <v>85</v>
      </c>
      <c r="E1454" s="6" t="s">
        <v>27</v>
      </c>
      <c r="F1454" s="7" t="s">
        <v>4520</v>
      </c>
      <c r="G1454" s="6" t="s">
        <v>4096</v>
      </c>
      <c r="H1454" s="6" t="s">
        <v>8</v>
      </c>
      <c r="I1454" s="8"/>
      <c r="J1454" s="8"/>
      <c r="K1454" s="8"/>
      <c r="L1454" s="9"/>
    </row>
    <row r="1455" customFormat="false" ht="23.85" hidden="false" customHeight="false" outlineLevel="0" collapsed="false">
      <c r="A1455" s="6" t="s">
        <v>4521</v>
      </c>
      <c r="B1455" s="6" t="s">
        <v>4519</v>
      </c>
      <c r="C1455" s="6" t="s">
        <v>22</v>
      </c>
      <c r="D1455" s="6" t="s">
        <v>85</v>
      </c>
      <c r="E1455" s="6" t="s">
        <v>27</v>
      </c>
      <c r="F1455" s="7" t="s">
        <v>4522</v>
      </c>
      <c r="G1455" s="6" t="s">
        <v>2921</v>
      </c>
      <c r="H1455" s="6" t="s">
        <v>8</v>
      </c>
      <c r="I1455" s="8"/>
      <c r="J1455" s="8"/>
      <c r="K1455" s="8"/>
      <c r="L1455" s="9"/>
    </row>
    <row r="1456" customFormat="false" ht="15" hidden="false" customHeight="false" outlineLevel="0" collapsed="false">
      <c r="A1456" s="6" t="s">
        <v>4523</v>
      </c>
      <c r="B1456" s="6" t="s">
        <v>4519</v>
      </c>
      <c r="C1456" s="6" t="s">
        <v>22</v>
      </c>
      <c r="D1456" s="6" t="s">
        <v>85</v>
      </c>
      <c r="E1456" s="6" t="s">
        <v>27</v>
      </c>
      <c r="F1456" s="7" t="s">
        <v>4524</v>
      </c>
      <c r="G1456" s="6" t="s">
        <v>4525</v>
      </c>
      <c r="H1456" s="6" t="s">
        <v>7</v>
      </c>
      <c r="I1456" s="8"/>
      <c r="J1456" s="8"/>
      <c r="K1456" s="8"/>
      <c r="L1456" s="9"/>
    </row>
    <row r="1457" customFormat="false" ht="15" hidden="false" customHeight="false" outlineLevel="0" collapsed="false">
      <c r="A1457" s="6" t="s">
        <v>4526</v>
      </c>
      <c r="B1457" s="6" t="s">
        <v>4527</v>
      </c>
      <c r="C1457" s="6" t="s">
        <v>22</v>
      </c>
      <c r="D1457" s="6" t="s">
        <v>85</v>
      </c>
      <c r="E1457" s="6" t="s">
        <v>27</v>
      </c>
      <c r="F1457" s="7" t="s">
        <v>4528</v>
      </c>
      <c r="G1457" s="6" t="s">
        <v>4096</v>
      </c>
      <c r="H1457" s="6" t="s">
        <v>8</v>
      </c>
      <c r="I1457" s="8"/>
      <c r="J1457" s="8"/>
      <c r="K1457" s="8"/>
      <c r="L1457" s="9"/>
    </row>
    <row r="1458" customFormat="false" ht="23.85" hidden="false" customHeight="false" outlineLevel="0" collapsed="false">
      <c r="A1458" s="6" t="s">
        <v>4529</v>
      </c>
      <c r="B1458" s="6" t="s">
        <v>4527</v>
      </c>
      <c r="C1458" s="6" t="s">
        <v>22</v>
      </c>
      <c r="D1458" s="6" t="s">
        <v>85</v>
      </c>
      <c r="E1458" s="6" t="s">
        <v>27</v>
      </c>
      <c r="F1458" s="7" t="s">
        <v>4530</v>
      </c>
      <c r="G1458" s="6" t="s">
        <v>4531</v>
      </c>
      <c r="H1458" s="6" t="s">
        <v>7</v>
      </c>
      <c r="I1458" s="8"/>
      <c r="J1458" s="8"/>
      <c r="K1458" s="8"/>
      <c r="L1458" s="9"/>
    </row>
    <row r="1459" customFormat="false" ht="15" hidden="false" customHeight="false" outlineLevel="0" collapsed="false">
      <c r="A1459" s="6" t="s">
        <v>4532</v>
      </c>
      <c r="B1459" s="6" t="s">
        <v>4533</v>
      </c>
      <c r="C1459" s="6" t="s">
        <v>22</v>
      </c>
      <c r="D1459" s="6" t="s">
        <v>85</v>
      </c>
      <c r="E1459" s="6" t="s">
        <v>27</v>
      </c>
      <c r="F1459" s="7" t="s">
        <v>4534</v>
      </c>
      <c r="G1459" s="6" t="s">
        <v>4096</v>
      </c>
      <c r="H1459" s="6" t="s">
        <v>8</v>
      </c>
      <c r="I1459" s="8"/>
      <c r="J1459" s="8"/>
      <c r="K1459" s="8"/>
      <c r="L1459" s="9"/>
    </row>
    <row r="1460" customFormat="false" ht="15" hidden="false" customHeight="false" outlineLevel="0" collapsed="false">
      <c r="A1460" s="6" t="s">
        <v>4535</v>
      </c>
      <c r="B1460" s="6" t="s">
        <v>4533</v>
      </c>
      <c r="C1460" s="6" t="s">
        <v>22</v>
      </c>
      <c r="D1460" s="6" t="s">
        <v>85</v>
      </c>
      <c r="E1460" s="6" t="s">
        <v>27</v>
      </c>
      <c r="F1460" s="7" t="s">
        <v>4536</v>
      </c>
      <c r="G1460" s="6" t="s">
        <v>4531</v>
      </c>
      <c r="H1460" s="6" t="s">
        <v>7</v>
      </c>
      <c r="I1460" s="8"/>
      <c r="J1460" s="8"/>
      <c r="K1460" s="8"/>
      <c r="L1460" s="9"/>
    </row>
    <row r="1461" customFormat="false" ht="15" hidden="false" customHeight="false" outlineLevel="0" collapsed="false">
      <c r="A1461" s="6" t="s">
        <v>4537</v>
      </c>
      <c r="B1461" s="6" t="s">
        <v>4538</v>
      </c>
      <c r="C1461" s="6" t="s">
        <v>22</v>
      </c>
      <c r="D1461" s="6" t="s">
        <v>85</v>
      </c>
      <c r="E1461" s="6" t="s">
        <v>90</v>
      </c>
      <c r="F1461" s="7" t="s">
        <v>4539</v>
      </c>
      <c r="G1461" s="6" t="s">
        <v>1436</v>
      </c>
      <c r="H1461" s="6" t="s">
        <v>8</v>
      </c>
      <c r="I1461" s="8"/>
      <c r="J1461" s="8"/>
      <c r="K1461" s="8"/>
      <c r="L1461" s="9"/>
    </row>
    <row r="1462" customFormat="false" ht="15" hidden="false" customHeight="false" outlineLevel="0" collapsed="false">
      <c r="A1462" s="6" t="s">
        <v>4540</v>
      </c>
      <c r="B1462" s="6" t="s">
        <v>4538</v>
      </c>
      <c r="C1462" s="6" t="s">
        <v>22</v>
      </c>
      <c r="D1462" s="6" t="s">
        <v>85</v>
      </c>
      <c r="E1462" s="6" t="s">
        <v>90</v>
      </c>
      <c r="F1462" s="7" t="s">
        <v>4541</v>
      </c>
      <c r="G1462" s="6" t="s">
        <v>2999</v>
      </c>
      <c r="H1462" s="6" t="s">
        <v>6</v>
      </c>
      <c r="I1462" s="8"/>
      <c r="J1462" s="8"/>
      <c r="K1462" s="8"/>
      <c r="L1462" s="9"/>
    </row>
    <row r="1463" customFormat="false" ht="23.85" hidden="false" customHeight="false" outlineLevel="0" collapsed="false">
      <c r="A1463" s="6" t="s">
        <v>4542</v>
      </c>
      <c r="B1463" s="6" t="s">
        <v>4538</v>
      </c>
      <c r="C1463" s="6" t="s">
        <v>22</v>
      </c>
      <c r="D1463" s="6" t="s">
        <v>85</v>
      </c>
      <c r="E1463" s="6" t="s">
        <v>90</v>
      </c>
      <c r="F1463" s="7" t="s">
        <v>4543</v>
      </c>
      <c r="G1463" s="6" t="s">
        <v>4544</v>
      </c>
      <c r="H1463" s="6" t="s">
        <v>8</v>
      </c>
      <c r="I1463" s="8"/>
      <c r="J1463" s="8"/>
      <c r="K1463" s="8"/>
      <c r="L1463" s="9"/>
    </row>
    <row r="1464" customFormat="false" ht="15" hidden="false" customHeight="false" outlineLevel="0" collapsed="false">
      <c r="A1464" s="6" t="s">
        <v>4545</v>
      </c>
      <c r="B1464" s="6" t="s">
        <v>4546</v>
      </c>
      <c r="C1464" s="6" t="s">
        <v>22</v>
      </c>
      <c r="D1464" s="6" t="s">
        <v>230</v>
      </c>
      <c r="E1464" s="6" t="s">
        <v>27</v>
      </c>
      <c r="F1464" s="7" t="s">
        <v>4547</v>
      </c>
      <c r="G1464" s="6" t="s">
        <v>4548</v>
      </c>
      <c r="H1464" s="6" t="s">
        <v>8</v>
      </c>
      <c r="I1464" s="8"/>
      <c r="J1464" s="8"/>
      <c r="K1464" s="8"/>
      <c r="L1464" s="9"/>
    </row>
    <row r="1465" customFormat="false" ht="15" hidden="false" customHeight="false" outlineLevel="0" collapsed="false">
      <c r="A1465" s="6" t="s">
        <v>4549</v>
      </c>
      <c r="B1465" s="6" t="s">
        <v>4550</v>
      </c>
      <c r="C1465" s="6" t="s">
        <v>22</v>
      </c>
      <c r="D1465" s="6" t="s">
        <v>85</v>
      </c>
      <c r="E1465" s="6" t="s">
        <v>27</v>
      </c>
      <c r="F1465" s="7" t="s">
        <v>4551</v>
      </c>
      <c r="G1465" s="6" t="s">
        <v>698</v>
      </c>
      <c r="H1465" s="6" t="s">
        <v>8</v>
      </c>
      <c r="I1465" s="8"/>
      <c r="J1465" s="8"/>
      <c r="K1465" s="8"/>
      <c r="L1465" s="9"/>
    </row>
    <row r="1466" customFormat="false" ht="23.85" hidden="false" customHeight="false" outlineLevel="0" collapsed="false">
      <c r="A1466" s="6" t="s">
        <v>4552</v>
      </c>
      <c r="B1466" s="6" t="s">
        <v>4550</v>
      </c>
      <c r="C1466" s="6" t="s">
        <v>22</v>
      </c>
      <c r="D1466" s="6" t="s">
        <v>85</v>
      </c>
      <c r="E1466" s="6" t="s">
        <v>27</v>
      </c>
      <c r="F1466" s="7" t="s">
        <v>4553</v>
      </c>
      <c r="G1466" s="6" t="s">
        <v>4554</v>
      </c>
      <c r="H1466" s="6" t="s">
        <v>8</v>
      </c>
      <c r="I1466" s="8"/>
      <c r="J1466" s="8"/>
      <c r="K1466" s="8"/>
      <c r="L1466" s="9"/>
    </row>
    <row r="1467" customFormat="false" ht="35.05" hidden="false" customHeight="false" outlineLevel="0" collapsed="false">
      <c r="A1467" s="6" t="s">
        <v>4555</v>
      </c>
      <c r="B1467" s="6" t="s">
        <v>4550</v>
      </c>
      <c r="C1467" s="6" t="s">
        <v>22</v>
      </c>
      <c r="D1467" s="6" t="s">
        <v>85</v>
      </c>
      <c r="E1467" s="6" t="s">
        <v>27</v>
      </c>
      <c r="F1467" s="7" t="s">
        <v>4556</v>
      </c>
      <c r="G1467" s="6" t="s">
        <v>4557</v>
      </c>
      <c r="H1467" s="6" t="s">
        <v>8</v>
      </c>
      <c r="I1467" s="8"/>
      <c r="J1467" s="8"/>
      <c r="K1467" s="8"/>
      <c r="L1467" s="9"/>
    </row>
    <row r="1468" customFormat="false" ht="35.05" hidden="false" customHeight="false" outlineLevel="0" collapsed="false">
      <c r="A1468" s="6" t="s">
        <v>4558</v>
      </c>
      <c r="B1468" s="6" t="s">
        <v>4550</v>
      </c>
      <c r="C1468" s="6" t="s">
        <v>22</v>
      </c>
      <c r="D1468" s="6" t="s">
        <v>85</v>
      </c>
      <c r="E1468" s="6" t="s">
        <v>27</v>
      </c>
      <c r="F1468" s="7" t="s">
        <v>4559</v>
      </c>
      <c r="G1468" s="6" t="s">
        <v>4560</v>
      </c>
      <c r="H1468" s="6" t="s">
        <v>6</v>
      </c>
      <c r="I1468" s="8"/>
      <c r="J1468" s="8"/>
      <c r="K1468" s="8"/>
      <c r="L1468" s="9"/>
    </row>
    <row r="1469" customFormat="false" ht="15" hidden="false" customHeight="false" outlineLevel="0" collapsed="false">
      <c r="A1469" s="6" t="s">
        <v>4561</v>
      </c>
      <c r="B1469" s="6" t="s">
        <v>4550</v>
      </c>
      <c r="C1469" s="6" t="s">
        <v>22</v>
      </c>
      <c r="D1469" s="6" t="s">
        <v>85</v>
      </c>
      <c r="E1469" s="6" t="s">
        <v>27</v>
      </c>
      <c r="F1469" s="7" t="s">
        <v>4562</v>
      </c>
      <c r="G1469" s="6" t="s">
        <v>2380</v>
      </c>
      <c r="H1469" s="6" t="s">
        <v>7</v>
      </c>
      <c r="I1469" s="8"/>
      <c r="J1469" s="8"/>
      <c r="K1469" s="8"/>
      <c r="L1469" s="9"/>
    </row>
    <row r="1470" customFormat="false" ht="23.85" hidden="false" customHeight="false" outlineLevel="0" collapsed="false">
      <c r="A1470" s="6" t="s">
        <v>4563</v>
      </c>
      <c r="B1470" s="6" t="s">
        <v>4550</v>
      </c>
      <c r="C1470" s="6" t="s">
        <v>22</v>
      </c>
      <c r="D1470" s="6" t="s">
        <v>85</v>
      </c>
      <c r="E1470" s="6" t="s">
        <v>27</v>
      </c>
      <c r="F1470" s="7" t="s">
        <v>4564</v>
      </c>
      <c r="G1470" s="6" t="s">
        <v>4565</v>
      </c>
      <c r="H1470" s="6" t="s">
        <v>10</v>
      </c>
      <c r="I1470" s="8"/>
      <c r="J1470" s="8"/>
      <c r="K1470" s="8"/>
      <c r="L1470" s="9"/>
    </row>
    <row r="1471" customFormat="false" ht="35.05" hidden="false" customHeight="false" outlineLevel="0" collapsed="false">
      <c r="A1471" s="6" t="s">
        <v>4566</v>
      </c>
      <c r="B1471" s="6" t="s">
        <v>4567</v>
      </c>
      <c r="C1471" s="6" t="s">
        <v>22</v>
      </c>
      <c r="D1471" s="6" t="s">
        <v>85</v>
      </c>
      <c r="E1471" s="6" t="s">
        <v>26</v>
      </c>
      <c r="F1471" s="7" t="s">
        <v>4568</v>
      </c>
      <c r="G1471" s="6" t="s">
        <v>4569</v>
      </c>
      <c r="H1471" s="6" t="s">
        <v>8</v>
      </c>
      <c r="I1471" s="8"/>
      <c r="J1471" s="8"/>
      <c r="K1471" s="8"/>
      <c r="L1471" s="9"/>
    </row>
    <row r="1472" customFormat="false" ht="23.85" hidden="false" customHeight="false" outlineLevel="0" collapsed="false">
      <c r="A1472" s="6" t="s">
        <v>4570</v>
      </c>
      <c r="B1472" s="6" t="s">
        <v>4567</v>
      </c>
      <c r="C1472" s="6" t="s">
        <v>22</v>
      </c>
      <c r="D1472" s="6" t="s">
        <v>85</v>
      </c>
      <c r="E1472" s="6" t="s">
        <v>26</v>
      </c>
      <c r="F1472" s="7" t="s">
        <v>4571</v>
      </c>
      <c r="G1472" s="6" t="s">
        <v>4572</v>
      </c>
      <c r="H1472" s="6" t="s">
        <v>8</v>
      </c>
      <c r="I1472" s="8"/>
      <c r="J1472" s="8"/>
      <c r="K1472" s="8"/>
      <c r="L1472" s="9"/>
    </row>
    <row r="1473" customFormat="false" ht="15" hidden="false" customHeight="false" outlineLevel="0" collapsed="false">
      <c r="A1473" s="6" t="s">
        <v>4573</v>
      </c>
      <c r="B1473" s="6" t="s">
        <v>4567</v>
      </c>
      <c r="C1473" s="6" t="s">
        <v>22</v>
      </c>
      <c r="D1473" s="6" t="s">
        <v>85</v>
      </c>
      <c r="E1473" s="6" t="s">
        <v>26</v>
      </c>
      <c r="F1473" s="7" t="s">
        <v>4574</v>
      </c>
      <c r="G1473" s="6" t="s">
        <v>4575</v>
      </c>
      <c r="H1473" s="6" t="s">
        <v>8</v>
      </c>
      <c r="I1473" s="8"/>
      <c r="J1473" s="8"/>
      <c r="K1473" s="8"/>
      <c r="L1473" s="9"/>
    </row>
    <row r="1474" customFormat="false" ht="15" hidden="false" customHeight="false" outlineLevel="0" collapsed="false">
      <c r="A1474" s="6" t="s">
        <v>4576</v>
      </c>
      <c r="B1474" s="6" t="s">
        <v>4567</v>
      </c>
      <c r="C1474" s="6" t="s">
        <v>22</v>
      </c>
      <c r="D1474" s="6" t="s">
        <v>85</v>
      </c>
      <c r="E1474" s="6" t="s">
        <v>26</v>
      </c>
      <c r="F1474" s="7" t="s">
        <v>4577</v>
      </c>
      <c r="G1474" s="6" t="s">
        <v>884</v>
      </c>
      <c r="H1474" s="6" t="s">
        <v>8</v>
      </c>
      <c r="I1474" s="8"/>
      <c r="J1474" s="8"/>
      <c r="K1474" s="8"/>
      <c r="L1474" s="9"/>
    </row>
    <row r="1475" customFormat="false" ht="23.85" hidden="false" customHeight="false" outlineLevel="0" collapsed="false">
      <c r="A1475" s="6" t="s">
        <v>4578</v>
      </c>
      <c r="B1475" s="6" t="s">
        <v>4567</v>
      </c>
      <c r="C1475" s="6" t="s">
        <v>22</v>
      </c>
      <c r="D1475" s="6" t="s">
        <v>85</v>
      </c>
      <c r="E1475" s="6" t="s">
        <v>26</v>
      </c>
      <c r="F1475" s="7" t="s">
        <v>4579</v>
      </c>
      <c r="G1475" s="6" t="s">
        <v>670</v>
      </c>
      <c r="H1475" s="6" t="s">
        <v>8</v>
      </c>
      <c r="I1475" s="8"/>
      <c r="J1475" s="8"/>
      <c r="K1475" s="8"/>
      <c r="L1475" s="9"/>
    </row>
    <row r="1476" customFormat="false" ht="15" hidden="false" customHeight="false" outlineLevel="0" collapsed="false">
      <c r="A1476" s="6" t="s">
        <v>4580</v>
      </c>
      <c r="B1476" s="6" t="s">
        <v>4567</v>
      </c>
      <c r="C1476" s="6" t="s">
        <v>22</v>
      </c>
      <c r="D1476" s="6" t="s">
        <v>85</v>
      </c>
      <c r="E1476" s="6" t="s">
        <v>26</v>
      </c>
      <c r="F1476" s="7" t="s">
        <v>4581</v>
      </c>
      <c r="G1476" s="6" t="s">
        <v>4337</v>
      </c>
      <c r="H1476" s="6" t="s">
        <v>9</v>
      </c>
      <c r="I1476" s="8"/>
      <c r="J1476" s="8"/>
      <c r="K1476" s="8"/>
      <c r="L1476" s="9"/>
    </row>
    <row r="1477" customFormat="false" ht="23.85" hidden="false" customHeight="false" outlineLevel="0" collapsed="false">
      <c r="A1477" s="6" t="s">
        <v>4582</v>
      </c>
      <c r="B1477" s="6" t="s">
        <v>4583</v>
      </c>
      <c r="C1477" s="6" t="s">
        <v>22</v>
      </c>
      <c r="D1477" s="6" t="s">
        <v>331</v>
      </c>
      <c r="E1477" s="6" t="s">
        <v>26</v>
      </c>
      <c r="F1477" s="7" t="s">
        <v>4584</v>
      </c>
      <c r="G1477" s="6" t="s">
        <v>4585</v>
      </c>
      <c r="H1477" s="6" t="s">
        <v>9</v>
      </c>
      <c r="I1477" s="8"/>
      <c r="J1477" s="8"/>
      <c r="K1477" s="8"/>
      <c r="L1477" s="9"/>
    </row>
    <row r="1478" customFormat="false" ht="46.25" hidden="false" customHeight="false" outlineLevel="0" collapsed="false">
      <c r="A1478" s="6" t="s">
        <v>4586</v>
      </c>
      <c r="B1478" s="6" t="s">
        <v>4583</v>
      </c>
      <c r="C1478" s="6" t="s">
        <v>22</v>
      </c>
      <c r="D1478" s="6" t="s">
        <v>331</v>
      </c>
      <c r="E1478" s="6" t="s">
        <v>26</v>
      </c>
      <c r="F1478" s="7" t="s">
        <v>4587</v>
      </c>
      <c r="G1478" s="6" t="s">
        <v>4588</v>
      </c>
      <c r="H1478" s="6" t="s">
        <v>8</v>
      </c>
      <c r="I1478" s="8"/>
      <c r="J1478" s="8"/>
      <c r="K1478" s="8"/>
      <c r="L1478" s="9"/>
    </row>
    <row r="1479" customFormat="false" ht="15" hidden="false" customHeight="false" outlineLevel="0" collapsed="false">
      <c r="A1479" s="6" t="s">
        <v>4589</v>
      </c>
      <c r="B1479" s="6" t="s">
        <v>4583</v>
      </c>
      <c r="C1479" s="6" t="s">
        <v>22</v>
      </c>
      <c r="D1479" s="6" t="s">
        <v>331</v>
      </c>
      <c r="E1479" s="6" t="s">
        <v>26</v>
      </c>
      <c r="F1479" s="7" t="s">
        <v>4590</v>
      </c>
      <c r="G1479" s="6" t="s">
        <v>4591</v>
      </c>
      <c r="H1479" s="6" t="s">
        <v>8</v>
      </c>
      <c r="I1479" s="8"/>
      <c r="J1479" s="8"/>
      <c r="K1479" s="8"/>
      <c r="L1479" s="9"/>
    </row>
    <row r="1480" customFormat="false" ht="23.85" hidden="false" customHeight="false" outlineLevel="0" collapsed="false">
      <c r="A1480" s="6" t="s">
        <v>4592</v>
      </c>
      <c r="B1480" s="6" t="s">
        <v>4593</v>
      </c>
      <c r="C1480" s="6" t="s">
        <v>22</v>
      </c>
      <c r="D1480" s="6" t="s">
        <v>331</v>
      </c>
      <c r="E1480" s="6" t="s">
        <v>90</v>
      </c>
      <c r="F1480" s="7" t="s">
        <v>4594</v>
      </c>
      <c r="G1480" s="6" t="s">
        <v>2883</v>
      </c>
      <c r="H1480" s="6" t="s">
        <v>8</v>
      </c>
      <c r="I1480" s="8"/>
      <c r="J1480" s="8"/>
      <c r="K1480" s="8"/>
      <c r="L1480" s="9"/>
    </row>
    <row r="1481" customFormat="false" ht="23.85" hidden="false" customHeight="false" outlineLevel="0" collapsed="false">
      <c r="A1481" s="6" t="s">
        <v>4595</v>
      </c>
      <c r="B1481" s="6" t="s">
        <v>4593</v>
      </c>
      <c r="C1481" s="6" t="s">
        <v>22</v>
      </c>
      <c r="D1481" s="6" t="s">
        <v>331</v>
      </c>
      <c r="E1481" s="6" t="s">
        <v>90</v>
      </c>
      <c r="F1481" s="7" t="s">
        <v>4596</v>
      </c>
      <c r="G1481" s="6" t="s">
        <v>4597</v>
      </c>
      <c r="H1481" s="6" t="s">
        <v>6</v>
      </c>
      <c r="I1481" s="8"/>
      <c r="J1481" s="8"/>
      <c r="K1481" s="8"/>
      <c r="L1481" s="9"/>
    </row>
    <row r="1482" customFormat="false" ht="15" hidden="false" customHeight="false" outlineLevel="0" collapsed="false">
      <c r="A1482" s="6" t="s">
        <v>4598</v>
      </c>
      <c r="B1482" s="6" t="s">
        <v>4593</v>
      </c>
      <c r="C1482" s="6" t="s">
        <v>22</v>
      </c>
      <c r="D1482" s="6" t="s">
        <v>331</v>
      </c>
      <c r="E1482" s="6" t="s">
        <v>90</v>
      </c>
      <c r="F1482" s="7" t="s">
        <v>4599</v>
      </c>
      <c r="G1482" s="6" t="s">
        <v>4096</v>
      </c>
      <c r="H1482" s="6" t="s">
        <v>8</v>
      </c>
      <c r="I1482" s="8"/>
      <c r="J1482" s="8"/>
      <c r="K1482" s="8"/>
      <c r="L1482" s="9"/>
    </row>
    <row r="1483" customFormat="false" ht="15" hidden="false" customHeight="false" outlineLevel="0" collapsed="false">
      <c r="A1483" s="6" t="s">
        <v>4600</v>
      </c>
      <c r="B1483" s="6" t="s">
        <v>4593</v>
      </c>
      <c r="C1483" s="6" t="s">
        <v>22</v>
      </c>
      <c r="D1483" s="6" t="s">
        <v>331</v>
      </c>
      <c r="E1483" s="6" t="s">
        <v>90</v>
      </c>
      <c r="F1483" s="7" t="s">
        <v>4601</v>
      </c>
      <c r="G1483" s="6" t="s">
        <v>4602</v>
      </c>
      <c r="H1483" s="6" t="s">
        <v>8</v>
      </c>
      <c r="I1483" s="8"/>
      <c r="J1483" s="8"/>
      <c r="K1483" s="8"/>
      <c r="L1483" s="9"/>
    </row>
    <row r="1484" customFormat="false" ht="15" hidden="false" customHeight="false" outlineLevel="0" collapsed="false">
      <c r="A1484" s="6" t="s">
        <v>4603</v>
      </c>
      <c r="B1484" s="6" t="s">
        <v>4593</v>
      </c>
      <c r="C1484" s="6" t="s">
        <v>22</v>
      </c>
      <c r="D1484" s="6" t="s">
        <v>331</v>
      </c>
      <c r="E1484" s="6" t="s">
        <v>90</v>
      </c>
      <c r="F1484" s="7" t="s">
        <v>4604</v>
      </c>
      <c r="G1484" s="6" t="s">
        <v>4605</v>
      </c>
      <c r="H1484" s="6" t="s">
        <v>8</v>
      </c>
      <c r="I1484" s="8"/>
      <c r="J1484" s="8"/>
      <c r="K1484" s="8"/>
      <c r="L1484" s="9"/>
    </row>
    <row r="1485" customFormat="false" ht="15" hidden="false" customHeight="false" outlineLevel="0" collapsed="false">
      <c r="A1485" s="6" t="s">
        <v>4606</v>
      </c>
      <c r="B1485" s="6" t="s">
        <v>4593</v>
      </c>
      <c r="C1485" s="6" t="s">
        <v>22</v>
      </c>
      <c r="D1485" s="6" t="s">
        <v>331</v>
      </c>
      <c r="E1485" s="6" t="s">
        <v>90</v>
      </c>
      <c r="F1485" s="7" t="s">
        <v>4607</v>
      </c>
      <c r="G1485" s="6" t="s">
        <v>4608</v>
      </c>
      <c r="H1485" s="6" t="s">
        <v>8</v>
      </c>
      <c r="I1485" s="8"/>
      <c r="J1485" s="8"/>
      <c r="K1485" s="8"/>
      <c r="L1485" s="9"/>
    </row>
    <row r="1486" customFormat="false" ht="15" hidden="false" customHeight="false" outlineLevel="0" collapsed="false">
      <c r="A1486" s="6" t="s">
        <v>4609</v>
      </c>
      <c r="B1486" s="6" t="s">
        <v>4593</v>
      </c>
      <c r="C1486" s="6" t="s">
        <v>22</v>
      </c>
      <c r="D1486" s="6" t="s">
        <v>331</v>
      </c>
      <c r="E1486" s="6" t="s">
        <v>90</v>
      </c>
      <c r="F1486" s="7" t="s">
        <v>4610</v>
      </c>
      <c r="G1486" s="6" t="s">
        <v>4611</v>
      </c>
      <c r="H1486" s="6" t="s">
        <v>8</v>
      </c>
      <c r="I1486" s="8"/>
      <c r="J1486" s="8"/>
      <c r="K1486" s="8"/>
      <c r="L1486" s="9"/>
    </row>
    <row r="1487" customFormat="false" ht="15" hidden="false" customHeight="false" outlineLevel="0" collapsed="false">
      <c r="A1487" s="6" t="s">
        <v>4612</v>
      </c>
      <c r="B1487" s="6" t="s">
        <v>4593</v>
      </c>
      <c r="C1487" s="6" t="s">
        <v>22</v>
      </c>
      <c r="D1487" s="6" t="s">
        <v>331</v>
      </c>
      <c r="E1487" s="6" t="s">
        <v>90</v>
      </c>
      <c r="F1487" s="7" t="s">
        <v>4613</v>
      </c>
      <c r="G1487" s="6" t="s">
        <v>4614</v>
      </c>
      <c r="H1487" s="6" t="s">
        <v>8</v>
      </c>
      <c r="I1487" s="8"/>
      <c r="J1487" s="8"/>
      <c r="K1487" s="8"/>
      <c r="L1487" s="9"/>
    </row>
    <row r="1488" customFormat="false" ht="15" hidden="false" customHeight="false" outlineLevel="0" collapsed="false">
      <c r="A1488" s="6" t="s">
        <v>4615</v>
      </c>
      <c r="B1488" s="6" t="s">
        <v>4593</v>
      </c>
      <c r="C1488" s="6" t="s">
        <v>22</v>
      </c>
      <c r="D1488" s="6" t="s">
        <v>331</v>
      </c>
      <c r="E1488" s="6" t="s">
        <v>90</v>
      </c>
      <c r="F1488" s="7" t="s">
        <v>4616</v>
      </c>
      <c r="G1488" s="6" t="s">
        <v>4617</v>
      </c>
      <c r="H1488" s="6" t="s">
        <v>8</v>
      </c>
      <c r="I1488" s="8"/>
      <c r="J1488" s="8"/>
      <c r="K1488" s="8"/>
      <c r="L1488" s="9"/>
    </row>
    <row r="1489" customFormat="false" ht="15" hidden="false" customHeight="false" outlineLevel="0" collapsed="false">
      <c r="A1489" s="6" t="s">
        <v>4618</v>
      </c>
      <c r="B1489" s="6" t="s">
        <v>4593</v>
      </c>
      <c r="C1489" s="6" t="s">
        <v>22</v>
      </c>
      <c r="D1489" s="6" t="s">
        <v>331</v>
      </c>
      <c r="E1489" s="6" t="s">
        <v>90</v>
      </c>
      <c r="F1489" s="7" t="s">
        <v>4619</v>
      </c>
      <c r="G1489" s="6" t="s">
        <v>4620</v>
      </c>
      <c r="H1489" s="6" t="s">
        <v>8</v>
      </c>
      <c r="I1489" s="8"/>
      <c r="J1489" s="8"/>
      <c r="K1489" s="8"/>
      <c r="L1489" s="9"/>
    </row>
    <row r="1490" customFormat="false" ht="15" hidden="false" customHeight="false" outlineLevel="0" collapsed="false">
      <c r="A1490" s="6" t="s">
        <v>4621</v>
      </c>
      <c r="B1490" s="6" t="s">
        <v>4593</v>
      </c>
      <c r="C1490" s="6" t="s">
        <v>22</v>
      </c>
      <c r="D1490" s="6" t="s">
        <v>331</v>
      </c>
      <c r="E1490" s="6" t="s">
        <v>90</v>
      </c>
      <c r="F1490" s="7" t="s">
        <v>4622</v>
      </c>
      <c r="G1490" s="6" t="s">
        <v>4623</v>
      </c>
      <c r="H1490" s="6" t="s">
        <v>8</v>
      </c>
      <c r="I1490" s="8"/>
      <c r="J1490" s="8"/>
      <c r="K1490" s="8"/>
      <c r="L1490" s="9"/>
    </row>
    <row r="1491" customFormat="false" ht="15" hidden="false" customHeight="false" outlineLevel="0" collapsed="false">
      <c r="A1491" s="6" t="s">
        <v>4624</v>
      </c>
      <c r="B1491" s="6" t="s">
        <v>4593</v>
      </c>
      <c r="C1491" s="6" t="s">
        <v>22</v>
      </c>
      <c r="D1491" s="6" t="s">
        <v>331</v>
      </c>
      <c r="E1491" s="6" t="s">
        <v>90</v>
      </c>
      <c r="F1491" s="7" t="s">
        <v>4625</v>
      </c>
      <c r="G1491" s="6" t="s">
        <v>4626</v>
      </c>
      <c r="H1491" s="6" t="s">
        <v>8</v>
      </c>
      <c r="I1491" s="8"/>
      <c r="J1491" s="8"/>
      <c r="K1491" s="8"/>
      <c r="L1491" s="9"/>
    </row>
    <row r="1492" customFormat="false" ht="15" hidden="false" customHeight="false" outlineLevel="0" collapsed="false">
      <c r="A1492" s="6" t="s">
        <v>4627</v>
      </c>
      <c r="B1492" s="6" t="s">
        <v>4593</v>
      </c>
      <c r="C1492" s="6" t="s">
        <v>22</v>
      </c>
      <c r="D1492" s="6" t="s">
        <v>331</v>
      </c>
      <c r="E1492" s="6" t="s">
        <v>90</v>
      </c>
      <c r="F1492" s="7" t="s">
        <v>4628</v>
      </c>
      <c r="G1492" s="6" t="s">
        <v>4629</v>
      </c>
      <c r="H1492" s="6" t="s">
        <v>8</v>
      </c>
      <c r="I1492" s="8"/>
      <c r="J1492" s="8"/>
      <c r="K1492" s="8"/>
      <c r="L1492" s="9"/>
    </row>
    <row r="1493" customFormat="false" ht="15" hidden="false" customHeight="false" outlineLevel="0" collapsed="false">
      <c r="A1493" s="6" t="s">
        <v>4630</v>
      </c>
      <c r="B1493" s="6" t="s">
        <v>4593</v>
      </c>
      <c r="C1493" s="6" t="s">
        <v>22</v>
      </c>
      <c r="D1493" s="6" t="s">
        <v>331</v>
      </c>
      <c r="E1493" s="6" t="s">
        <v>90</v>
      </c>
      <c r="F1493" s="7" t="s">
        <v>4631</v>
      </c>
      <c r="G1493" s="6" t="s">
        <v>4632</v>
      </c>
      <c r="H1493" s="6" t="s">
        <v>8</v>
      </c>
      <c r="I1493" s="8"/>
      <c r="J1493" s="8"/>
      <c r="K1493" s="8"/>
      <c r="L1493" s="9"/>
    </row>
    <row r="1494" customFormat="false" ht="15" hidden="false" customHeight="false" outlineLevel="0" collapsed="false">
      <c r="A1494" s="6" t="s">
        <v>4633</v>
      </c>
      <c r="B1494" s="6" t="s">
        <v>4593</v>
      </c>
      <c r="C1494" s="6" t="s">
        <v>22</v>
      </c>
      <c r="D1494" s="6" t="s">
        <v>331</v>
      </c>
      <c r="E1494" s="6" t="s">
        <v>90</v>
      </c>
      <c r="F1494" s="7" t="s">
        <v>4634</v>
      </c>
      <c r="G1494" s="6" t="s">
        <v>4635</v>
      </c>
      <c r="H1494" s="6" t="s">
        <v>8</v>
      </c>
      <c r="I1494" s="8"/>
      <c r="J1494" s="8"/>
      <c r="K1494" s="8"/>
      <c r="L1494" s="9"/>
    </row>
    <row r="1495" customFormat="false" ht="15" hidden="false" customHeight="false" outlineLevel="0" collapsed="false">
      <c r="A1495" s="6" t="s">
        <v>4636</v>
      </c>
      <c r="B1495" s="6" t="s">
        <v>4593</v>
      </c>
      <c r="C1495" s="6" t="s">
        <v>22</v>
      </c>
      <c r="D1495" s="6" t="s">
        <v>331</v>
      </c>
      <c r="E1495" s="6" t="s">
        <v>90</v>
      </c>
      <c r="F1495" s="7" t="s">
        <v>4637</v>
      </c>
      <c r="G1495" s="6" t="s">
        <v>4638</v>
      </c>
      <c r="H1495" s="6" t="s">
        <v>8</v>
      </c>
      <c r="I1495" s="8"/>
      <c r="J1495" s="8"/>
      <c r="K1495" s="8"/>
      <c r="L1495" s="9"/>
    </row>
    <row r="1496" customFormat="false" ht="15" hidden="false" customHeight="false" outlineLevel="0" collapsed="false">
      <c r="A1496" s="6" t="s">
        <v>4639</v>
      </c>
      <c r="B1496" s="6" t="s">
        <v>4593</v>
      </c>
      <c r="C1496" s="6" t="s">
        <v>22</v>
      </c>
      <c r="D1496" s="6" t="s">
        <v>331</v>
      </c>
      <c r="E1496" s="6" t="s">
        <v>90</v>
      </c>
      <c r="F1496" s="7" t="s">
        <v>4640</v>
      </c>
      <c r="G1496" s="6" t="s">
        <v>4641</v>
      </c>
      <c r="H1496" s="6" t="s">
        <v>8</v>
      </c>
      <c r="I1496" s="8"/>
      <c r="J1496" s="8"/>
      <c r="K1496" s="8"/>
      <c r="L1496" s="9"/>
    </row>
    <row r="1497" customFormat="false" ht="15" hidden="false" customHeight="false" outlineLevel="0" collapsed="false">
      <c r="A1497" s="6" t="s">
        <v>4642</v>
      </c>
      <c r="B1497" s="6" t="s">
        <v>4593</v>
      </c>
      <c r="C1497" s="6" t="s">
        <v>22</v>
      </c>
      <c r="D1497" s="6" t="s">
        <v>331</v>
      </c>
      <c r="E1497" s="6" t="s">
        <v>90</v>
      </c>
      <c r="F1497" s="7" t="s">
        <v>4643</v>
      </c>
      <c r="G1497" s="6" t="s">
        <v>4644</v>
      </c>
      <c r="H1497" s="6" t="s">
        <v>8</v>
      </c>
      <c r="I1497" s="8"/>
      <c r="J1497" s="8"/>
      <c r="K1497" s="8"/>
      <c r="L1497" s="9"/>
    </row>
    <row r="1498" customFormat="false" ht="15" hidden="false" customHeight="false" outlineLevel="0" collapsed="false">
      <c r="A1498" s="6" t="s">
        <v>4645</v>
      </c>
      <c r="B1498" s="6" t="s">
        <v>4593</v>
      </c>
      <c r="C1498" s="6" t="s">
        <v>22</v>
      </c>
      <c r="D1498" s="6" t="s">
        <v>331</v>
      </c>
      <c r="E1498" s="6" t="s">
        <v>90</v>
      </c>
      <c r="F1498" s="7" t="s">
        <v>4646</v>
      </c>
      <c r="G1498" s="6" t="s">
        <v>4647</v>
      </c>
      <c r="H1498" s="6" t="s">
        <v>8</v>
      </c>
      <c r="I1498" s="8"/>
      <c r="J1498" s="8"/>
      <c r="K1498" s="8"/>
      <c r="L1498" s="9"/>
    </row>
    <row r="1499" customFormat="false" ht="15" hidden="false" customHeight="false" outlineLevel="0" collapsed="false">
      <c r="A1499" s="6" t="s">
        <v>4648</v>
      </c>
      <c r="B1499" s="6" t="s">
        <v>4593</v>
      </c>
      <c r="C1499" s="6" t="s">
        <v>22</v>
      </c>
      <c r="D1499" s="6" t="s">
        <v>331</v>
      </c>
      <c r="E1499" s="6" t="s">
        <v>90</v>
      </c>
      <c r="F1499" s="7" t="s">
        <v>4649</v>
      </c>
      <c r="G1499" s="6" t="s">
        <v>4650</v>
      </c>
      <c r="H1499" s="6" t="s">
        <v>8</v>
      </c>
      <c r="I1499" s="8"/>
      <c r="J1499" s="8"/>
      <c r="K1499" s="8"/>
      <c r="L1499" s="9"/>
    </row>
    <row r="1500" customFormat="false" ht="15" hidden="false" customHeight="false" outlineLevel="0" collapsed="false">
      <c r="A1500" s="6" t="s">
        <v>4651</v>
      </c>
      <c r="B1500" s="6" t="s">
        <v>4593</v>
      </c>
      <c r="C1500" s="6" t="s">
        <v>22</v>
      </c>
      <c r="D1500" s="6" t="s">
        <v>331</v>
      </c>
      <c r="E1500" s="6" t="s">
        <v>90</v>
      </c>
      <c r="F1500" s="7" t="s">
        <v>4652</v>
      </c>
      <c r="G1500" s="6" t="s">
        <v>4653</v>
      </c>
      <c r="H1500" s="6" t="s">
        <v>8</v>
      </c>
      <c r="I1500" s="8"/>
      <c r="J1500" s="8"/>
      <c r="K1500" s="8"/>
      <c r="L1500" s="9"/>
    </row>
    <row r="1501" customFormat="false" ht="15" hidden="false" customHeight="false" outlineLevel="0" collapsed="false">
      <c r="A1501" s="6" t="s">
        <v>4654</v>
      </c>
      <c r="B1501" s="6" t="s">
        <v>4593</v>
      </c>
      <c r="C1501" s="6" t="s">
        <v>22</v>
      </c>
      <c r="D1501" s="6" t="s">
        <v>331</v>
      </c>
      <c r="E1501" s="6" t="s">
        <v>90</v>
      </c>
      <c r="F1501" s="7" t="s">
        <v>4655</v>
      </c>
      <c r="G1501" s="6" t="s">
        <v>4656</v>
      </c>
      <c r="H1501" s="6" t="s">
        <v>8</v>
      </c>
      <c r="I1501" s="8"/>
      <c r="J1501" s="8"/>
      <c r="K1501" s="8"/>
      <c r="L1501" s="9"/>
    </row>
    <row r="1502" customFormat="false" ht="15" hidden="false" customHeight="false" outlineLevel="0" collapsed="false">
      <c r="A1502" s="6" t="s">
        <v>4657</v>
      </c>
      <c r="B1502" s="6" t="s">
        <v>4593</v>
      </c>
      <c r="C1502" s="6" t="s">
        <v>22</v>
      </c>
      <c r="D1502" s="6" t="s">
        <v>331</v>
      </c>
      <c r="E1502" s="6" t="s">
        <v>90</v>
      </c>
      <c r="F1502" s="7" t="s">
        <v>4658</v>
      </c>
      <c r="G1502" s="6" t="s">
        <v>4659</v>
      </c>
      <c r="H1502" s="6" t="s">
        <v>8</v>
      </c>
      <c r="I1502" s="8"/>
      <c r="J1502" s="8"/>
      <c r="K1502" s="8"/>
      <c r="L1502" s="9"/>
    </row>
    <row r="1503" customFormat="false" ht="15" hidden="false" customHeight="false" outlineLevel="0" collapsed="false">
      <c r="A1503" s="6" t="s">
        <v>4660</v>
      </c>
      <c r="B1503" s="6" t="s">
        <v>4593</v>
      </c>
      <c r="C1503" s="6" t="s">
        <v>22</v>
      </c>
      <c r="D1503" s="6" t="s">
        <v>331</v>
      </c>
      <c r="E1503" s="6" t="s">
        <v>90</v>
      </c>
      <c r="F1503" s="7" t="s">
        <v>4661</v>
      </c>
      <c r="G1503" s="6" t="s">
        <v>4662</v>
      </c>
      <c r="H1503" s="6" t="s">
        <v>8</v>
      </c>
      <c r="I1503" s="8"/>
      <c r="J1503" s="8"/>
      <c r="K1503" s="8"/>
      <c r="L1503" s="9"/>
    </row>
    <row r="1504" customFormat="false" ht="15" hidden="false" customHeight="false" outlineLevel="0" collapsed="false">
      <c r="A1504" s="6" t="s">
        <v>4663</v>
      </c>
      <c r="B1504" s="6" t="s">
        <v>4593</v>
      </c>
      <c r="C1504" s="6" t="s">
        <v>22</v>
      </c>
      <c r="D1504" s="6" t="s">
        <v>331</v>
      </c>
      <c r="E1504" s="6" t="s">
        <v>90</v>
      </c>
      <c r="F1504" s="7" t="s">
        <v>4664</v>
      </c>
      <c r="G1504" s="6" t="s">
        <v>4665</v>
      </c>
      <c r="H1504" s="6" t="s">
        <v>8</v>
      </c>
      <c r="I1504" s="8"/>
      <c r="J1504" s="8"/>
      <c r="K1504" s="8"/>
      <c r="L1504" s="9"/>
    </row>
    <row r="1505" customFormat="false" ht="15" hidden="false" customHeight="false" outlineLevel="0" collapsed="false">
      <c r="A1505" s="6" t="s">
        <v>4666</v>
      </c>
      <c r="B1505" s="6" t="s">
        <v>4593</v>
      </c>
      <c r="C1505" s="6" t="s">
        <v>22</v>
      </c>
      <c r="D1505" s="6" t="s">
        <v>331</v>
      </c>
      <c r="E1505" s="6" t="s">
        <v>90</v>
      </c>
      <c r="F1505" s="7" t="s">
        <v>4667</v>
      </c>
      <c r="G1505" s="6" t="s">
        <v>4668</v>
      </c>
      <c r="H1505" s="6" t="s">
        <v>8</v>
      </c>
      <c r="I1505" s="8"/>
      <c r="J1505" s="8"/>
      <c r="K1505" s="8"/>
      <c r="L1505" s="9"/>
    </row>
    <row r="1506" customFormat="false" ht="15" hidden="false" customHeight="false" outlineLevel="0" collapsed="false">
      <c r="A1506" s="6" t="s">
        <v>4669</v>
      </c>
      <c r="B1506" s="6" t="s">
        <v>4593</v>
      </c>
      <c r="C1506" s="6" t="s">
        <v>22</v>
      </c>
      <c r="D1506" s="6" t="s">
        <v>331</v>
      </c>
      <c r="E1506" s="6" t="s">
        <v>90</v>
      </c>
      <c r="F1506" s="7" t="s">
        <v>4670</v>
      </c>
      <c r="G1506" s="6" t="s">
        <v>4671</v>
      </c>
      <c r="H1506" s="6" t="s">
        <v>8</v>
      </c>
      <c r="I1506" s="8"/>
      <c r="J1506" s="8"/>
      <c r="K1506" s="8"/>
      <c r="L1506" s="9"/>
    </row>
    <row r="1507" customFormat="false" ht="23.85" hidden="false" customHeight="false" outlineLevel="0" collapsed="false">
      <c r="A1507" s="6" t="s">
        <v>4672</v>
      </c>
      <c r="B1507" s="6" t="s">
        <v>4673</v>
      </c>
      <c r="C1507" s="6" t="s">
        <v>22</v>
      </c>
      <c r="D1507" s="6" t="s">
        <v>85</v>
      </c>
      <c r="E1507" s="6" t="s">
        <v>27</v>
      </c>
      <c r="F1507" s="7" t="s">
        <v>4674</v>
      </c>
      <c r="G1507" s="6" t="s">
        <v>4675</v>
      </c>
      <c r="H1507" s="6" t="s">
        <v>7</v>
      </c>
      <c r="I1507" s="8"/>
      <c r="J1507" s="8"/>
      <c r="K1507" s="8"/>
      <c r="L1507" s="9"/>
    </row>
    <row r="1508" customFormat="false" ht="23.85" hidden="false" customHeight="false" outlineLevel="0" collapsed="false">
      <c r="A1508" s="6" t="s">
        <v>4676</v>
      </c>
      <c r="B1508" s="6" t="s">
        <v>4673</v>
      </c>
      <c r="C1508" s="6" t="s">
        <v>22</v>
      </c>
      <c r="D1508" s="6" t="s">
        <v>85</v>
      </c>
      <c r="E1508" s="6" t="s">
        <v>27</v>
      </c>
      <c r="F1508" s="7" t="s">
        <v>4677</v>
      </c>
      <c r="G1508" s="6" t="s">
        <v>4678</v>
      </c>
      <c r="H1508" s="6" t="s">
        <v>8</v>
      </c>
      <c r="I1508" s="8"/>
      <c r="J1508" s="8"/>
      <c r="K1508" s="8"/>
      <c r="L1508" s="9"/>
    </row>
    <row r="1509" customFormat="false" ht="23.85" hidden="false" customHeight="false" outlineLevel="0" collapsed="false">
      <c r="A1509" s="6" t="s">
        <v>4679</v>
      </c>
      <c r="B1509" s="6" t="s">
        <v>4673</v>
      </c>
      <c r="C1509" s="6" t="s">
        <v>22</v>
      </c>
      <c r="D1509" s="6" t="s">
        <v>85</v>
      </c>
      <c r="E1509" s="6" t="s">
        <v>27</v>
      </c>
      <c r="F1509" s="7" t="s">
        <v>4680</v>
      </c>
      <c r="G1509" s="6" t="s">
        <v>4681</v>
      </c>
      <c r="H1509" s="6" t="s">
        <v>7</v>
      </c>
      <c r="I1509" s="8"/>
      <c r="J1509" s="8"/>
      <c r="K1509" s="8"/>
      <c r="L1509" s="9"/>
    </row>
    <row r="1510" customFormat="false" ht="23.85" hidden="false" customHeight="false" outlineLevel="0" collapsed="false">
      <c r="A1510" s="6" t="s">
        <v>4682</v>
      </c>
      <c r="B1510" s="6" t="s">
        <v>4673</v>
      </c>
      <c r="C1510" s="6" t="s">
        <v>22</v>
      </c>
      <c r="D1510" s="6" t="s">
        <v>85</v>
      </c>
      <c r="E1510" s="6" t="s">
        <v>27</v>
      </c>
      <c r="F1510" s="7" t="s">
        <v>4683</v>
      </c>
      <c r="G1510" s="6" t="s">
        <v>4684</v>
      </c>
      <c r="H1510" s="6" t="s">
        <v>6</v>
      </c>
      <c r="I1510" s="8"/>
      <c r="J1510" s="8"/>
      <c r="K1510" s="8"/>
      <c r="L1510" s="9"/>
    </row>
    <row r="1511" customFormat="false" ht="23.85" hidden="false" customHeight="false" outlineLevel="0" collapsed="false">
      <c r="A1511" s="6" t="s">
        <v>4685</v>
      </c>
      <c r="B1511" s="6" t="s">
        <v>4686</v>
      </c>
      <c r="C1511" s="6" t="s">
        <v>23</v>
      </c>
      <c r="D1511" s="6" t="s">
        <v>44</v>
      </c>
      <c r="E1511" s="6"/>
      <c r="F1511" s="7" t="s">
        <v>4687</v>
      </c>
      <c r="G1511" s="6" t="s">
        <v>4688</v>
      </c>
      <c r="H1511" s="6" t="s">
        <v>10</v>
      </c>
      <c r="I1511" s="8"/>
      <c r="J1511" s="8"/>
      <c r="K1511" s="8"/>
      <c r="L1511" s="9"/>
    </row>
    <row r="1512" customFormat="false" ht="23.85" hidden="false" customHeight="false" outlineLevel="0" collapsed="false">
      <c r="A1512" s="6" t="s">
        <v>4689</v>
      </c>
      <c r="B1512" s="6" t="s">
        <v>4690</v>
      </c>
      <c r="C1512" s="6" t="s">
        <v>23</v>
      </c>
      <c r="D1512" s="6" t="s">
        <v>44</v>
      </c>
      <c r="E1512" s="6"/>
      <c r="F1512" s="7" t="s">
        <v>4691</v>
      </c>
      <c r="G1512" s="6" t="s">
        <v>4692</v>
      </c>
      <c r="H1512" s="6" t="s">
        <v>7</v>
      </c>
      <c r="I1512" s="8"/>
      <c r="J1512" s="8"/>
      <c r="K1512" s="8"/>
      <c r="L1512" s="9"/>
    </row>
    <row r="1513" customFormat="false" ht="15" hidden="false" customHeight="false" outlineLevel="0" collapsed="false">
      <c r="A1513" s="6" t="s">
        <v>4693</v>
      </c>
      <c r="B1513" s="6" t="s">
        <v>4694</v>
      </c>
      <c r="C1513" s="6" t="s">
        <v>23</v>
      </c>
      <c r="D1513" s="6" t="s">
        <v>79</v>
      </c>
      <c r="E1513" s="6"/>
      <c r="F1513" s="7" t="s">
        <v>4695</v>
      </c>
      <c r="G1513" s="6" t="s">
        <v>4696</v>
      </c>
      <c r="H1513" s="6" t="s">
        <v>9</v>
      </c>
      <c r="I1513" s="8"/>
      <c r="J1513" s="8"/>
      <c r="K1513" s="8"/>
      <c r="L1513" s="9"/>
    </row>
    <row r="1514" customFormat="false" ht="15" hidden="false" customHeight="false" outlineLevel="0" collapsed="false">
      <c r="A1514" s="6" t="s">
        <v>4697</v>
      </c>
      <c r="B1514" s="6" t="s">
        <v>4698</v>
      </c>
      <c r="C1514" s="6" t="s">
        <v>23</v>
      </c>
      <c r="D1514" s="6" t="s">
        <v>79</v>
      </c>
      <c r="E1514" s="6"/>
      <c r="F1514" s="7" t="s">
        <v>4699</v>
      </c>
      <c r="G1514" s="6" t="s">
        <v>4700</v>
      </c>
      <c r="H1514" s="6" t="s">
        <v>9</v>
      </c>
      <c r="I1514" s="8"/>
      <c r="J1514" s="8"/>
      <c r="K1514" s="8"/>
      <c r="L1514" s="9"/>
    </row>
    <row r="1515" customFormat="false" ht="15" hidden="false" customHeight="false" outlineLevel="0" collapsed="false">
      <c r="A1515" s="6" t="s">
        <v>4701</v>
      </c>
      <c r="B1515" s="6" t="s">
        <v>4702</v>
      </c>
      <c r="C1515" s="6" t="s">
        <v>23</v>
      </c>
      <c r="D1515" s="6" t="s">
        <v>79</v>
      </c>
      <c r="E1515" s="6"/>
      <c r="F1515" s="7" t="s">
        <v>4703</v>
      </c>
      <c r="G1515" s="6" t="s">
        <v>4704</v>
      </c>
      <c r="H1515" s="6" t="s">
        <v>9</v>
      </c>
      <c r="I1515" s="8"/>
      <c r="J1515" s="8"/>
      <c r="K1515" s="8"/>
      <c r="L1515" s="9"/>
    </row>
    <row r="1516" customFormat="false" ht="15" hidden="false" customHeight="false" outlineLevel="0" collapsed="false">
      <c r="A1516" s="6" t="s">
        <v>4705</v>
      </c>
      <c r="B1516" s="6" t="s">
        <v>4706</v>
      </c>
      <c r="C1516" s="6" t="s">
        <v>23</v>
      </c>
      <c r="D1516" s="6" t="s">
        <v>44</v>
      </c>
      <c r="E1516" s="6"/>
      <c r="F1516" s="7" t="s">
        <v>4707</v>
      </c>
      <c r="G1516" s="6" t="s">
        <v>3300</v>
      </c>
      <c r="H1516" s="6" t="s">
        <v>9</v>
      </c>
      <c r="I1516" s="8"/>
      <c r="J1516" s="8"/>
      <c r="K1516" s="8"/>
      <c r="L1516" s="9"/>
    </row>
    <row r="1517" customFormat="false" ht="15" hidden="false" customHeight="false" outlineLevel="0" collapsed="false">
      <c r="A1517" s="6" t="s">
        <v>4708</v>
      </c>
      <c r="B1517" s="6" t="s">
        <v>4709</v>
      </c>
      <c r="C1517" s="6" t="s">
        <v>23</v>
      </c>
      <c r="D1517" s="6" t="s">
        <v>44</v>
      </c>
      <c r="E1517" s="6"/>
      <c r="F1517" s="7" t="s">
        <v>4710</v>
      </c>
      <c r="G1517" s="6" t="s">
        <v>3300</v>
      </c>
      <c r="H1517" s="6" t="s">
        <v>9</v>
      </c>
      <c r="I1517" s="8"/>
      <c r="J1517" s="8"/>
      <c r="K1517" s="8"/>
      <c r="L1517" s="9"/>
    </row>
    <row r="1518" customFormat="false" ht="15" hidden="false" customHeight="false" outlineLevel="0" collapsed="false">
      <c r="A1518" s="6" t="s">
        <v>4711</v>
      </c>
      <c r="B1518" s="6" t="s">
        <v>4712</v>
      </c>
      <c r="C1518" s="6" t="s">
        <v>23</v>
      </c>
      <c r="D1518" s="6" t="s">
        <v>44</v>
      </c>
      <c r="E1518" s="6"/>
      <c r="F1518" s="7" t="s">
        <v>4713</v>
      </c>
      <c r="G1518" s="6" t="s">
        <v>2927</v>
      </c>
      <c r="H1518" s="6" t="s">
        <v>9</v>
      </c>
      <c r="I1518" s="8"/>
      <c r="J1518" s="8"/>
      <c r="K1518" s="8"/>
      <c r="L1518" s="9"/>
    </row>
    <row r="1519" customFormat="false" ht="15" hidden="false" customHeight="false" outlineLevel="0" collapsed="false">
      <c r="A1519" s="6" t="s">
        <v>4714</v>
      </c>
      <c r="B1519" s="6" t="s">
        <v>4715</v>
      </c>
      <c r="C1519" s="6" t="s">
        <v>23</v>
      </c>
      <c r="D1519" s="6" t="s">
        <v>79</v>
      </c>
      <c r="E1519" s="6"/>
      <c r="F1519" s="7" t="s">
        <v>4716</v>
      </c>
      <c r="G1519" s="6" t="s">
        <v>1268</v>
      </c>
      <c r="H1519" s="6" t="s">
        <v>9</v>
      </c>
      <c r="I1519" s="8"/>
      <c r="J1519" s="8"/>
      <c r="K1519" s="8"/>
      <c r="L1519" s="9"/>
    </row>
    <row r="1520" customFormat="false" ht="15" hidden="false" customHeight="false" outlineLevel="0" collapsed="false">
      <c r="A1520" s="6" t="s">
        <v>4717</v>
      </c>
      <c r="B1520" s="6" t="s">
        <v>4718</v>
      </c>
      <c r="C1520" s="6" t="s">
        <v>23</v>
      </c>
      <c r="D1520" s="6" t="s">
        <v>44</v>
      </c>
      <c r="E1520" s="6"/>
      <c r="F1520" s="7" t="s">
        <v>4719</v>
      </c>
      <c r="G1520" s="6" t="s">
        <v>4720</v>
      </c>
      <c r="H1520" s="6" t="s">
        <v>9</v>
      </c>
      <c r="I1520" s="8"/>
      <c r="J1520" s="8"/>
      <c r="K1520" s="8"/>
      <c r="L1520" s="9"/>
    </row>
    <row r="1521" customFormat="false" ht="15" hidden="false" customHeight="false" outlineLevel="0" collapsed="false">
      <c r="A1521" s="6" t="s">
        <v>4721</v>
      </c>
      <c r="B1521" s="6" t="s">
        <v>4722</v>
      </c>
      <c r="C1521" s="6" t="s">
        <v>23</v>
      </c>
      <c r="D1521" s="6" t="s">
        <v>79</v>
      </c>
      <c r="E1521" s="6"/>
      <c r="F1521" s="7" t="s">
        <v>4723</v>
      </c>
      <c r="G1521" s="6" t="s">
        <v>4724</v>
      </c>
      <c r="H1521" s="6" t="s">
        <v>9</v>
      </c>
      <c r="I1521" s="8"/>
      <c r="J1521" s="8"/>
      <c r="K1521" s="8"/>
      <c r="L1521" s="9"/>
    </row>
    <row r="1522" customFormat="false" ht="15" hidden="false" customHeight="false" outlineLevel="0" collapsed="false">
      <c r="A1522" s="6" t="s">
        <v>4725</v>
      </c>
      <c r="B1522" s="6" t="s">
        <v>4726</v>
      </c>
      <c r="C1522" s="6" t="s">
        <v>23</v>
      </c>
      <c r="D1522" s="6" t="s">
        <v>44</v>
      </c>
      <c r="E1522" s="6"/>
      <c r="F1522" s="7" t="s">
        <v>4727</v>
      </c>
      <c r="G1522" s="6" t="s">
        <v>321</v>
      </c>
      <c r="H1522" s="6" t="s">
        <v>9</v>
      </c>
      <c r="I1522" s="8"/>
      <c r="J1522" s="8"/>
      <c r="K1522" s="8"/>
      <c r="L1522" s="9"/>
    </row>
    <row r="1523" customFormat="false" ht="15" hidden="false" customHeight="false" outlineLevel="0" collapsed="false">
      <c r="A1523" s="6" t="s">
        <v>4728</v>
      </c>
      <c r="B1523" s="6" t="s">
        <v>4729</v>
      </c>
      <c r="C1523" s="6" t="s">
        <v>23</v>
      </c>
      <c r="D1523" s="6" t="s">
        <v>44</v>
      </c>
      <c r="E1523" s="6"/>
      <c r="F1523" s="7" t="s">
        <v>4730</v>
      </c>
      <c r="G1523" s="6" t="s">
        <v>4731</v>
      </c>
      <c r="H1523" s="6" t="s">
        <v>9</v>
      </c>
      <c r="I1523" s="8"/>
      <c r="J1523" s="8"/>
      <c r="K1523" s="8"/>
      <c r="L1523" s="9"/>
    </row>
    <row r="1524" customFormat="false" ht="23.85" hidden="false" customHeight="false" outlineLevel="0" collapsed="false">
      <c r="A1524" s="6" t="s">
        <v>4732</v>
      </c>
      <c r="B1524" s="6" t="s">
        <v>4733</v>
      </c>
      <c r="C1524" s="6" t="s">
        <v>23</v>
      </c>
      <c r="D1524" s="6" t="s">
        <v>79</v>
      </c>
      <c r="E1524" s="6"/>
      <c r="F1524" s="7" t="s">
        <v>4734</v>
      </c>
      <c r="G1524" s="6" t="s">
        <v>4735</v>
      </c>
      <c r="H1524" s="6" t="s">
        <v>7</v>
      </c>
      <c r="I1524" s="8"/>
      <c r="J1524" s="8"/>
      <c r="K1524" s="8"/>
      <c r="L1524" s="9"/>
    </row>
    <row r="1525" customFormat="false" ht="23.85" hidden="false" customHeight="false" outlineLevel="0" collapsed="false">
      <c r="A1525" s="6" t="s">
        <v>4736</v>
      </c>
      <c r="B1525" s="6" t="s">
        <v>4733</v>
      </c>
      <c r="C1525" s="6" t="s">
        <v>23</v>
      </c>
      <c r="D1525" s="6" t="s">
        <v>79</v>
      </c>
      <c r="E1525" s="6"/>
      <c r="F1525" s="7" t="s">
        <v>4737</v>
      </c>
      <c r="G1525" s="6" t="s">
        <v>4738</v>
      </c>
      <c r="H1525" s="6" t="s">
        <v>6</v>
      </c>
      <c r="I1525" s="8"/>
      <c r="J1525" s="8"/>
      <c r="K1525" s="8"/>
      <c r="L1525" s="9"/>
    </row>
    <row r="1526" customFormat="false" ht="15" hidden="false" customHeight="false" outlineLevel="0" collapsed="false">
      <c r="A1526" s="6" t="s">
        <v>4739</v>
      </c>
      <c r="B1526" s="6" t="s">
        <v>4740</v>
      </c>
      <c r="C1526" s="6" t="s">
        <v>23</v>
      </c>
      <c r="D1526" s="6" t="s">
        <v>44</v>
      </c>
      <c r="E1526" s="6"/>
      <c r="F1526" s="7" t="s">
        <v>4741</v>
      </c>
      <c r="G1526" s="6" t="s">
        <v>4742</v>
      </c>
      <c r="H1526" s="6" t="s">
        <v>9</v>
      </c>
      <c r="I1526" s="8"/>
      <c r="J1526" s="8"/>
      <c r="K1526" s="8"/>
      <c r="L1526" s="9"/>
    </row>
    <row r="1527" customFormat="false" ht="23.85" hidden="false" customHeight="false" outlineLevel="0" collapsed="false">
      <c r="A1527" s="6" t="s">
        <v>4743</v>
      </c>
      <c r="B1527" s="6" t="s">
        <v>4744</v>
      </c>
      <c r="C1527" s="6" t="s">
        <v>23</v>
      </c>
      <c r="D1527" s="6" t="s">
        <v>79</v>
      </c>
      <c r="E1527" s="6"/>
      <c r="F1527" s="7" t="s">
        <v>4745</v>
      </c>
      <c r="G1527" s="6" t="s">
        <v>4746</v>
      </c>
      <c r="H1527" s="6" t="s">
        <v>9</v>
      </c>
      <c r="I1527" s="8"/>
      <c r="J1527" s="8"/>
      <c r="K1527" s="8"/>
      <c r="L1527" s="9"/>
    </row>
    <row r="1528" customFormat="false" ht="23.85" hidden="false" customHeight="false" outlineLevel="0" collapsed="false">
      <c r="A1528" s="6" t="s">
        <v>4747</v>
      </c>
      <c r="B1528" s="6" t="s">
        <v>4748</v>
      </c>
      <c r="C1528" s="6" t="s">
        <v>23</v>
      </c>
      <c r="D1528" s="6" t="s">
        <v>79</v>
      </c>
      <c r="E1528" s="6"/>
      <c r="F1528" s="7" t="s">
        <v>4749</v>
      </c>
      <c r="G1528" s="6" t="s">
        <v>622</v>
      </c>
      <c r="H1528" s="6" t="s">
        <v>9</v>
      </c>
      <c r="I1528" s="8"/>
      <c r="J1528" s="8"/>
      <c r="K1528" s="8"/>
      <c r="L1528" s="9"/>
    </row>
    <row r="1529" customFormat="false" ht="15" hidden="false" customHeight="false" outlineLevel="0" collapsed="false">
      <c r="A1529" s="6" t="s">
        <v>4750</v>
      </c>
      <c r="B1529" s="6" t="s">
        <v>4751</v>
      </c>
      <c r="C1529" s="6" t="s">
        <v>23</v>
      </c>
      <c r="D1529" s="6" t="s">
        <v>79</v>
      </c>
      <c r="E1529" s="6"/>
      <c r="F1529" s="7" t="s">
        <v>4752</v>
      </c>
      <c r="G1529" s="6" t="s">
        <v>4753</v>
      </c>
      <c r="H1529" s="6" t="s">
        <v>9</v>
      </c>
      <c r="I1529" s="8"/>
      <c r="J1529" s="8"/>
      <c r="K1529" s="8"/>
      <c r="L1529" s="9"/>
    </row>
    <row r="1530" customFormat="false" ht="15" hidden="false" customHeight="false" outlineLevel="0" collapsed="false">
      <c r="A1530" s="6" t="s">
        <v>4754</v>
      </c>
      <c r="B1530" s="6" t="s">
        <v>4755</v>
      </c>
      <c r="C1530" s="6" t="s">
        <v>23</v>
      </c>
      <c r="D1530" s="6" t="s">
        <v>79</v>
      </c>
      <c r="E1530" s="6"/>
      <c r="F1530" s="7" t="s">
        <v>4756</v>
      </c>
      <c r="G1530" s="6" t="s">
        <v>4757</v>
      </c>
      <c r="H1530" s="6" t="s">
        <v>9</v>
      </c>
      <c r="I1530" s="8"/>
      <c r="J1530" s="8"/>
      <c r="K1530" s="8"/>
      <c r="L1530" s="9"/>
    </row>
    <row r="1531" customFormat="false" ht="23.85" hidden="false" customHeight="false" outlineLevel="0" collapsed="false">
      <c r="A1531" s="6" t="s">
        <v>4758</v>
      </c>
      <c r="B1531" s="6" t="s">
        <v>4759</v>
      </c>
      <c r="C1531" s="6" t="s">
        <v>23</v>
      </c>
      <c r="D1531" s="6" t="s">
        <v>79</v>
      </c>
      <c r="E1531" s="6"/>
      <c r="F1531" s="7" t="s">
        <v>4760</v>
      </c>
      <c r="G1531" s="6" t="s">
        <v>4761</v>
      </c>
      <c r="H1531" s="6" t="s">
        <v>9</v>
      </c>
      <c r="I1531" s="8"/>
      <c r="J1531" s="8"/>
      <c r="K1531" s="8"/>
      <c r="L1531" s="9"/>
    </row>
    <row r="1532" customFormat="false" ht="15" hidden="false" customHeight="false" outlineLevel="0" collapsed="false">
      <c r="A1532" s="6" t="s">
        <v>4762</v>
      </c>
      <c r="B1532" s="6" t="s">
        <v>4763</v>
      </c>
      <c r="C1532" s="6" t="s">
        <v>23</v>
      </c>
      <c r="D1532" s="6" t="s">
        <v>79</v>
      </c>
      <c r="E1532" s="6"/>
      <c r="F1532" s="7" t="s">
        <v>4764</v>
      </c>
      <c r="G1532" s="6" t="s">
        <v>3339</v>
      </c>
      <c r="H1532" s="6" t="s">
        <v>9</v>
      </c>
      <c r="I1532" s="8"/>
      <c r="J1532" s="8"/>
      <c r="K1532" s="8"/>
      <c r="L1532" s="9"/>
    </row>
    <row r="1533" customFormat="false" ht="15" hidden="false" customHeight="false" outlineLevel="0" collapsed="false">
      <c r="A1533" s="6" t="s">
        <v>4765</v>
      </c>
      <c r="B1533" s="6" t="s">
        <v>4766</v>
      </c>
      <c r="C1533" s="6" t="s">
        <v>23</v>
      </c>
      <c r="D1533" s="6" t="s">
        <v>79</v>
      </c>
      <c r="E1533" s="6"/>
      <c r="F1533" s="7" t="s">
        <v>4767</v>
      </c>
      <c r="G1533" s="6" t="s">
        <v>4768</v>
      </c>
      <c r="H1533" s="6" t="s">
        <v>9</v>
      </c>
      <c r="I1533" s="8"/>
      <c r="J1533" s="8"/>
      <c r="K1533" s="8"/>
      <c r="L1533" s="9"/>
    </row>
    <row r="1534" customFormat="false" ht="15" hidden="false" customHeight="false" outlineLevel="0" collapsed="false">
      <c r="A1534" s="6" t="s">
        <v>4769</v>
      </c>
      <c r="B1534" s="6" t="s">
        <v>4770</v>
      </c>
      <c r="C1534" s="6" t="s">
        <v>23</v>
      </c>
      <c r="D1534" s="6" t="s">
        <v>230</v>
      </c>
      <c r="E1534" s="6"/>
      <c r="F1534" s="7" t="s">
        <v>4771</v>
      </c>
      <c r="G1534" s="6" t="s">
        <v>4772</v>
      </c>
      <c r="H1534" s="6" t="s">
        <v>9</v>
      </c>
      <c r="I1534" s="8"/>
      <c r="J1534" s="8"/>
      <c r="K1534" s="8"/>
      <c r="L1534" s="9"/>
    </row>
    <row r="1535" customFormat="false" ht="15" hidden="false" customHeight="false" outlineLevel="0" collapsed="false">
      <c r="A1535" s="6" t="s">
        <v>4773</v>
      </c>
      <c r="B1535" s="6" t="s">
        <v>4774</v>
      </c>
      <c r="C1535" s="6" t="s">
        <v>23</v>
      </c>
      <c r="D1535" s="6" t="s">
        <v>79</v>
      </c>
      <c r="E1535" s="6"/>
      <c r="F1535" s="7" t="s">
        <v>4775</v>
      </c>
      <c r="G1535" s="6" t="s">
        <v>4776</v>
      </c>
      <c r="H1535" s="6" t="s">
        <v>9</v>
      </c>
      <c r="I1535" s="8"/>
      <c r="J1535" s="8"/>
      <c r="K1535" s="8"/>
      <c r="L1535" s="9"/>
    </row>
    <row r="1536" customFormat="false" ht="15" hidden="false" customHeight="false" outlineLevel="0" collapsed="false">
      <c r="A1536" s="6" t="s">
        <v>4777</v>
      </c>
      <c r="B1536" s="6" t="s">
        <v>4778</v>
      </c>
      <c r="C1536" s="6" t="s">
        <v>23</v>
      </c>
      <c r="D1536" s="6" t="s">
        <v>230</v>
      </c>
      <c r="E1536" s="6"/>
      <c r="F1536" s="7" t="s">
        <v>4779</v>
      </c>
      <c r="G1536" s="6" t="s">
        <v>3335</v>
      </c>
      <c r="H1536" s="6" t="s">
        <v>9</v>
      </c>
      <c r="I1536" s="8"/>
      <c r="J1536" s="8"/>
      <c r="K1536" s="8"/>
      <c r="L1536" s="9"/>
    </row>
    <row r="1537" customFormat="false" ht="15" hidden="false" customHeight="false" outlineLevel="0" collapsed="false">
      <c r="A1537" s="6" t="s">
        <v>4780</v>
      </c>
      <c r="B1537" s="6" t="s">
        <v>4781</v>
      </c>
      <c r="C1537" s="6" t="s">
        <v>23</v>
      </c>
      <c r="D1537" s="6" t="s">
        <v>79</v>
      </c>
      <c r="E1537" s="6" t="s">
        <v>29</v>
      </c>
      <c r="F1537" s="7" t="s">
        <v>4782</v>
      </c>
      <c r="G1537" s="6" t="s">
        <v>4783</v>
      </c>
      <c r="H1537" s="6" t="s">
        <v>7</v>
      </c>
      <c r="I1537" s="8"/>
      <c r="J1537" s="8"/>
      <c r="K1537" s="8"/>
      <c r="L1537" s="9"/>
    </row>
    <row r="1538" customFormat="false" ht="23.85" hidden="false" customHeight="false" outlineLevel="0" collapsed="false">
      <c r="A1538" s="6" t="s">
        <v>4784</v>
      </c>
      <c r="B1538" s="6" t="s">
        <v>4781</v>
      </c>
      <c r="C1538" s="6" t="s">
        <v>23</v>
      </c>
      <c r="D1538" s="6" t="s">
        <v>79</v>
      </c>
      <c r="E1538" s="6" t="s">
        <v>29</v>
      </c>
      <c r="F1538" s="7" t="s">
        <v>4785</v>
      </c>
      <c r="G1538" s="6" t="s">
        <v>271</v>
      </c>
      <c r="H1538" s="6" t="s">
        <v>8</v>
      </c>
      <c r="I1538" s="8"/>
      <c r="J1538" s="8"/>
      <c r="K1538" s="8"/>
      <c r="L1538" s="9"/>
    </row>
    <row r="1539" customFormat="false" ht="15" hidden="false" customHeight="false" outlineLevel="0" collapsed="false">
      <c r="A1539" s="6" t="s">
        <v>4786</v>
      </c>
      <c r="B1539" s="6" t="s">
        <v>4787</v>
      </c>
      <c r="C1539" s="6" t="s">
        <v>23</v>
      </c>
      <c r="D1539" s="6" t="s">
        <v>79</v>
      </c>
      <c r="E1539" s="6" t="s">
        <v>29</v>
      </c>
      <c r="F1539" s="7" t="s">
        <v>4788</v>
      </c>
      <c r="G1539" s="6" t="s">
        <v>4789</v>
      </c>
      <c r="H1539" s="6" t="s">
        <v>6</v>
      </c>
      <c r="I1539" s="8"/>
      <c r="J1539" s="8"/>
      <c r="K1539" s="8"/>
      <c r="L1539" s="9"/>
    </row>
    <row r="1540" customFormat="false" ht="15" hidden="false" customHeight="false" outlineLevel="0" collapsed="false">
      <c r="A1540" s="6" t="s">
        <v>4790</v>
      </c>
      <c r="B1540" s="6" t="s">
        <v>4787</v>
      </c>
      <c r="C1540" s="6" t="s">
        <v>23</v>
      </c>
      <c r="D1540" s="6" t="s">
        <v>79</v>
      </c>
      <c r="E1540" s="6" t="s">
        <v>29</v>
      </c>
      <c r="F1540" s="7" t="s">
        <v>4791</v>
      </c>
      <c r="G1540" s="6" t="s">
        <v>1464</v>
      </c>
      <c r="H1540" s="6" t="s">
        <v>6</v>
      </c>
      <c r="I1540" s="8"/>
      <c r="J1540" s="8"/>
      <c r="K1540" s="8"/>
      <c r="L1540" s="9"/>
    </row>
    <row r="1541" customFormat="false" ht="15" hidden="false" customHeight="false" outlineLevel="0" collapsed="false">
      <c r="A1541" s="6" t="s">
        <v>4792</v>
      </c>
      <c r="B1541" s="6" t="s">
        <v>4787</v>
      </c>
      <c r="C1541" s="6" t="s">
        <v>23</v>
      </c>
      <c r="D1541" s="6" t="s">
        <v>79</v>
      </c>
      <c r="E1541" s="6" t="s">
        <v>29</v>
      </c>
      <c r="F1541" s="7" t="s">
        <v>4793</v>
      </c>
      <c r="G1541" s="6" t="s">
        <v>271</v>
      </c>
      <c r="H1541" s="6" t="s">
        <v>6</v>
      </c>
      <c r="I1541" s="8"/>
      <c r="J1541" s="8"/>
      <c r="K1541" s="8"/>
      <c r="L1541" s="9"/>
    </row>
    <row r="1542" customFormat="false" ht="15" hidden="false" customHeight="false" outlineLevel="0" collapsed="false">
      <c r="A1542" s="6" t="s">
        <v>4794</v>
      </c>
      <c r="B1542" s="6" t="s">
        <v>4795</v>
      </c>
      <c r="C1542" s="6" t="s">
        <v>23</v>
      </c>
      <c r="D1542" s="6" t="s">
        <v>44</v>
      </c>
      <c r="E1542" s="6"/>
      <c r="F1542" s="7" t="s">
        <v>4796</v>
      </c>
      <c r="G1542" s="6" t="s">
        <v>1578</v>
      </c>
      <c r="H1542" s="6" t="s">
        <v>9</v>
      </c>
      <c r="I1542" s="8"/>
      <c r="J1542" s="8"/>
      <c r="K1542" s="8"/>
      <c r="L1542" s="9"/>
    </row>
    <row r="1543" customFormat="false" ht="15" hidden="false" customHeight="false" outlineLevel="0" collapsed="false">
      <c r="A1543" s="6" t="s">
        <v>4797</v>
      </c>
      <c r="B1543" s="6" t="s">
        <v>4798</v>
      </c>
      <c r="C1543" s="6" t="s">
        <v>23</v>
      </c>
      <c r="D1543" s="6" t="s">
        <v>44</v>
      </c>
      <c r="E1543" s="6"/>
      <c r="F1543" s="7" t="s">
        <v>4799</v>
      </c>
      <c r="G1543" s="6" t="s">
        <v>1578</v>
      </c>
      <c r="H1543" s="6" t="s">
        <v>9</v>
      </c>
      <c r="I1543" s="8"/>
      <c r="J1543" s="8"/>
      <c r="K1543" s="8"/>
      <c r="L1543" s="9"/>
    </row>
    <row r="1544" customFormat="false" ht="15" hidden="false" customHeight="false" outlineLevel="0" collapsed="false">
      <c r="A1544" s="6" t="s">
        <v>4800</v>
      </c>
      <c r="B1544" s="6" t="s">
        <v>4801</v>
      </c>
      <c r="C1544" s="6" t="s">
        <v>23</v>
      </c>
      <c r="D1544" s="6" t="s">
        <v>44</v>
      </c>
      <c r="E1544" s="6"/>
      <c r="F1544" s="7" t="s">
        <v>4802</v>
      </c>
      <c r="G1544" s="6" t="s">
        <v>1300</v>
      </c>
      <c r="H1544" s="6" t="s">
        <v>9</v>
      </c>
      <c r="I1544" s="8"/>
      <c r="J1544" s="8"/>
      <c r="K1544" s="8"/>
      <c r="L1544" s="9"/>
    </row>
    <row r="1545" customFormat="false" ht="15" hidden="false" customHeight="false" outlineLevel="0" collapsed="false">
      <c r="A1545" s="6" t="s">
        <v>4803</v>
      </c>
      <c r="B1545" s="6" t="s">
        <v>4804</v>
      </c>
      <c r="C1545" s="6" t="s">
        <v>23</v>
      </c>
      <c r="D1545" s="6" t="s">
        <v>44</v>
      </c>
      <c r="E1545" s="6"/>
      <c r="F1545" s="7" t="s">
        <v>4802</v>
      </c>
      <c r="G1545" s="6" t="s">
        <v>1300</v>
      </c>
      <c r="H1545" s="6" t="s">
        <v>9</v>
      </c>
      <c r="I1545" s="8"/>
      <c r="J1545" s="8"/>
      <c r="K1545" s="8"/>
      <c r="L1545" s="9"/>
    </row>
    <row r="1546" customFormat="false" ht="15" hidden="false" customHeight="false" outlineLevel="0" collapsed="false">
      <c r="A1546" s="6" t="s">
        <v>4805</v>
      </c>
      <c r="B1546" s="6" t="s">
        <v>4806</v>
      </c>
      <c r="C1546" s="6" t="s">
        <v>23</v>
      </c>
      <c r="D1546" s="6" t="s">
        <v>44</v>
      </c>
      <c r="E1546" s="6"/>
      <c r="F1546" s="7" t="s">
        <v>4807</v>
      </c>
      <c r="G1546" s="6" t="s">
        <v>1300</v>
      </c>
      <c r="H1546" s="6" t="s">
        <v>9</v>
      </c>
      <c r="I1546" s="8"/>
      <c r="J1546" s="8"/>
      <c r="K1546" s="8"/>
      <c r="L1546" s="9"/>
    </row>
    <row r="1547" customFormat="false" ht="15" hidden="false" customHeight="false" outlineLevel="0" collapsed="false">
      <c r="A1547" s="6" t="s">
        <v>4808</v>
      </c>
      <c r="B1547" s="6" t="s">
        <v>4809</v>
      </c>
      <c r="C1547" s="6" t="s">
        <v>23</v>
      </c>
      <c r="D1547" s="6" t="s">
        <v>44</v>
      </c>
      <c r="E1547" s="6"/>
      <c r="F1547" s="7" t="s">
        <v>4807</v>
      </c>
      <c r="G1547" s="6" t="s">
        <v>3296</v>
      </c>
      <c r="H1547" s="6" t="s">
        <v>9</v>
      </c>
      <c r="I1547" s="8"/>
      <c r="J1547" s="8"/>
      <c r="K1547" s="8"/>
      <c r="L1547" s="9"/>
    </row>
    <row r="1548" customFormat="false" ht="15" hidden="false" customHeight="false" outlineLevel="0" collapsed="false">
      <c r="A1548" s="6" t="s">
        <v>4810</v>
      </c>
      <c r="B1548" s="6" t="s">
        <v>4811</v>
      </c>
      <c r="C1548" s="6" t="s">
        <v>23</v>
      </c>
      <c r="D1548" s="6" t="s">
        <v>44</v>
      </c>
      <c r="E1548" s="6"/>
      <c r="F1548" s="7" t="s">
        <v>4812</v>
      </c>
      <c r="G1548" s="6" t="s">
        <v>4813</v>
      </c>
      <c r="H1548" s="6" t="s">
        <v>9</v>
      </c>
      <c r="I1548" s="8"/>
      <c r="J1548" s="8"/>
      <c r="K1548" s="8"/>
      <c r="L1548" s="9"/>
    </row>
    <row r="1549" customFormat="false" ht="15" hidden="false" customHeight="false" outlineLevel="0" collapsed="false">
      <c r="A1549" s="6" t="s">
        <v>4814</v>
      </c>
      <c r="B1549" s="6" t="s">
        <v>4815</v>
      </c>
      <c r="C1549" s="6" t="s">
        <v>23</v>
      </c>
      <c r="D1549" s="6" t="s">
        <v>44</v>
      </c>
      <c r="E1549" s="6"/>
      <c r="F1549" s="7" t="s">
        <v>4816</v>
      </c>
      <c r="G1549" s="6" t="s">
        <v>4817</v>
      </c>
      <c r="H1549" s="6" t="s">
        <v>9</v>
      </c>
      <c r="I1549" s="8"/>
      <c r="J1549" s="8"/>
      <c r="K1549" s="8"/>
      <c r="L1549" s="9"/>
    </row>
    <row r="1550" customFormat="false" ht="15" hidden="false" customHeight="false" outlineLevel="0" collapsed="false">
      <c r="A1550" s="6" t="s">
        <v>4818</v>
      </c>
      <c r="B1550" s="6" t="s">
        <v>4819</v>
      </c>
      <c r="C1550" s="6" t="s">
        <v>23</v>
      </c>
      <c r="D1550" s="6" t="s">
        <v>44</v>
      </c>
      <c r="E1550" s="6"/>
      <c r="F1550" s="7" t="s">
        <v>4820</v>
      </c>
      <c r="G1550" s="6" t="s">
        <v>4817</v>
      </c>
      <c r="H1550" s="6" t="s">
        <v>9</v>
      </c>
      <c r="I1550" s="8"/>
      <c r="J1550" s="8"/>
      <c r="K1550" s="8"/>
      <c r="L1550" s="9"/>
    </row>
    <row r="1551" customFormat="false" ht="15" hidden="false" customHeight="false" outlineLevel="0" collapsed="false">
      <c r="A1551" s="6" t="s">
        <v>4821</v>
      </c>
      <c r="B1551" s="6" t="s">
        <v>4822</v>
      </c>
      <c r="C1551" s="6" t="s">
        <v>23</v>
      </c>
      <c r="D1551" s="6" t="s">
        <v>44</v>
      </c>
      <c r="E1551" s="6"/>
      <c r="F1551" s="7" t="s">
        <v>4823</v>
      </c>
      <c r="G1551" s="6" t="s">
        <v>663</v>
      </c>
      <c r="H1551" s="6" t="s">
        <v>7</v>
      </c>
      <c r="I1551" s="8"/>
      <c r="J1551" s="8"/>
      <c r="K1551" s="8"/>
      <c r="L1551" s="9"/>
    </row>
    <row r="1552" customFormat="false" ht="15" hidden="false" customHeight="false" outlineLevel="0" collapsed="false">
      <c r="A1552" s="6" t="s">
        <v>4824</v>
      </c>
      <c r="B1552" s="6" t="s">
        <v>4822</v>
      </c>
      <c r="C1552" s="6" t="s">
        <v>23</v>
      </c>
      <c r="D1552" s="6" t="s">
        <v>44</v>
      </c>
      <c r="E1552" s="6"/>
      <c r="F1552" s="7" t="s">
        <v>4825</v>
      </c>
      <c r="G1552" s="6" t="s">
        <v>4826</v>
      </c>
      <c r="H1552" s="6" t="s">
        <v>7</v>
      </c>
      <c r="I1552" s="8"/>
      <c r="J1552" s="8"/>
      <c r="K1552" s="8"/>
      <c r="L1552" s="9"/>
    </row>
    <row r="1553" customFormat="false" ht="15" hidden="false" customHeight="false" outlineLevel="0" collapsed="false">
      <c r="A1553" s="6" t="s">
        <v>4827</v>
      </c>
      <c r="B1553" s="6" t="s">
        <v>4828</v>
      </c>
      <c r="C1553" s="6" t="s">
        <v>23</v>
      </c>
      <c r="D1553" s="6" t="s">
        <v>79</v>
      </c>
      <c r="E1553" s="6"/>
      <c r="F1553" s="7" t="s">
        <v>4829</v>
      </c>
      <c r="G1553" s="6" t="s">
        <v>4830</v>
      </c>
      <c r="H1553" s="6" t="s">
        <v>9</v>
      </c>
      <c r="I1553" s="8"/>
      <c r="J1553" s="8"/>
      <c r="K1553" s="8"/>
      <c r="L1553" s="9"/>
    </row>
    <row r="1554" customFormat="false" ht="15" hidden="false" customHeight="false" outlineLevel="0" collapsed="false">
      <c r="A1554" s="6" t="s">
        <v>4831</v>
      </c>
      <c r="B1554" s="6" t="s">
        <v>4832</v>
      </c>
      <c r="C1554" s="6" t="s">
        <v>23</v>
      </c>
      <c r="D1554" s="6" t="s">
        <v>44</v>
      </c>
      <c r="E1554" s="6"/>
      <c r="F1554" s="7" t="s">
        <v>4833</v>
      </c>
      <c r="G1554" s="6" t="s">
        <v>4834</v>
      </c>
      <c r="H1554" s="6" t="s">
        <v>9</v>
      </c>
      <c r="I1554" s="8"/>
      <c r="J1554" s="8"/>
      <c r="K1554" s="8"/>
      <c r="L1554" s="9"/>
    </row>
    <row r="1555" customFormat="false" ht="15" hidden="false" customHeight="false" outlineLevel="0" collapsed="false">
      <c r="A1555" s="6" t="s">
        <v>4835</v>
      </c>
      <c r="B1555" s="6" t="s">
        <v>4836</v>
      </c>
      <c r="C1555" s="6" t="s">
        <v>23</v>
      </c>
      <c r="D1555" s="6" t="s">
        <v>44</v>
      </c>
      <c r="E1555" s="6"/>
      <c r="F1555" s="7" t="s">
        <v>4837</v>
      </c>
      <c r="G1555" s="6" t="s">
        <v>3836</v>
      </c>
      <c r="H1555" s="6" t="s">
        <v>9</v>
      </c>
      <c r="I1555" s="8"/>
      <c r="J1555" s="8"/>
      <c r="K1555" s="8"/>
      <c r="L1555" s="9"/>
    </row>
    <row r="1556" customFormat="false" ht="15" hidden="false" customHeight="false" outlineLevel="0" collapsed="false">
      <c r="A1556" s="6" t="s">
        <v>4838</v>
      </c>
      <c r="B1556" s="6" t="s">
        <v>4839</v>
      </c>
      <c r="C1556" s="6" t="s">
        <v>23</v>
      </c>
      <c r="D1556" s="6" t="s">
        <v>44</v>
      </c>
      <c r="E1556" s="6"/>
      <c r="F1556" s="7" t="s">
        <v>4840</v>
      </c>
      <c r="G1556" s="6" t="s">
        <v>4841</v>
      </c>
      <c r="H1556" s="6" t="s">
        <v>9</v>
      </c>
      <c r="I1556" s="8"/>
      <c r="J1556" s="8"/>
      <c r="K1556" s="8"/>
      <c r="L1556" s="9"/>
    </row>
    <row r="1557" customFormat="false" ht="23.85" hidden="false" customHeight="false" outlineLevel="0" collapsed="false">
      <c r="A1557" s="6" t="s">
        <v>4842</v>
      </c>
      <c r="B1557" s="6" t="s">
        <v>4843</v>
      </c>
      <c r="C1557" s="6" t="s">
        <v>23</v>
      </c>
      <c r="D1557" s="6" t="s">
        <v>44</v>
      </c>
      <c r="E1557" s="6"/>
      <c r="F1557" s="7" t="s">
        <v>4844</v>
      </c>
      <c r="G1557" s="6" t="s">
        <v>4845</v>
      </c>
      <c r="H1557" s="6" t="s">
        <v>9</v>
      </c>
      <c r="I1557" s="8"/>
      <c r="J1557" s="8"/>
      <c r="K1557" s="8"/>
      <c r="L1557" s="9"/>
    </row>
    <row r="1558" customFormat="false" ht="15" hidden="false" customHeight="false" outlineLevel="0" collapsed="false">
      <c r="A1558" s="6" t="s">
        <v>4846</v>
      </c>
      <c r="B1558" s="6" t="s">
        <v>4847</v>
      </c>
      <c r="C1558" s="6" t="s">
        <v>23</v>
      </c>
      <c r="D1558" s="6" t="s">
        <v>230</v>
      </c>
      <c r="E1558" s="6"/>
      <c r="F1558" s="7" t="s">
        <v>4848</v>
      </c>
      <c r="G1558" s="6" t="s">
        <v>4849</v>
      </c>
      <c r="H1558" s="6" t="s">
        <v>9</v>
      </c>
      <c r="I1558" s="8"/>
      <c r="J1558" s="8"/>
      <c r="K1558" s="8"/>
      <c r="L1558" s="9"/>
    </row>
    <row r="1559" customFormat="false" ht="15" hidden="false" customHeight="false" outlineLevel="0" collapsed="false">
      <c r="A1559" s="6" t="s">
        <v>4850</v>
      </c>
      <c r="B1559" s="6" t="s">
        <v>4851</v>
      </c>
      <c r="C1559" s="6" t="s">
        <v>23</v>
      </c>
      <c r="D1559" s="6" t="s">
        <v>230</v>
      </c>
      <c r="E1559" s="6"/>
      <c r="F1559" s="7" t="s">
        <v>4852</v>
      </c>
      <c r="G1559" s="6" t="s">
        <v>4853</v>
      </c>
      <c r="H1559" s="6" t="s">
        <v>9</v>
      </c>
      <c r="I1559" s="8"/>
      <c r="J1559" s="8"/>
      <c r="K1559" s="8"/>
      <c r="L1559" s="9"/>
    </row>
    <row r="1560" customFormat="false" ht="15" hidden="false" customHeight="false" outlineLevel="0" collapsed="false">
      <c r="A1560" s="6" t="s">
        <v>4854</v>
      </c>
      <c r="B1560" s="6" t="s">
        <v>4855</v>
      </c>
      <c r="C1560" s="6" t="s">
        <v>23</v>
      </c>
      <c r="D1560" s="6" t="s">
        <v>230</v>
      </c>
      <c r="E1560" s="6"/>
      <c r="F1560" s="7" t="s">
        <v>4856</v>
      </c>
      <c r="G1560" s="6" t="s">
        <v>1227</v>
      </c>
      <c r="H1560" s="6" t="s">
        <v>9</v>
      </c>
      <c r="I1560" s="8"/>
      <c r="J1560" s="8"/>
      <c r="K1560" s="8"/>
      <c r="L1560" s="9"/>
    </row>
    <row r="1561" customFormat="false" ht="15" hidden="false" customHeight="false" outlineLevel="0" collapsed="false">
      <c r="A1561" s="6" t="s">
        <v>4857</v>
      </c>
      <c r="B1561" s="6" t="s">
        <v>4858</v>
      </c>
      <c r="C1561" s="6" t="s">
        <v>23</v>
      </c>
      <c r="D1561" s="6" t="s">
        <v>230</v>
      </c>
      <c r="E1561" s="6"/>
      <c r="F1561" s="7" t="s">
        <v>4859</v>
      </c>
      <c r="G1561" s="6" t="s">
        <v>4813</v>
      </c>
      <c r="H1561" s="6" t="s">
        <v>9</v>
      </c>
      <c r="I1561" s="8"/>
      <c r="J1561" s="8"/>
      <c r="K1561" s="8"/>
      <c r="L1561" s="9"/>
    </row>
    <row r="1562" customFormat="false" ht="15" hidden="false" customHeight="false" outlineLevel="0" collapsed="false">
      <c r="A1562" s="6" t="s">
        <v>4860</v>
      </c>
      <c r="B1562" s="6" t="s">
        <v>4861</v>
      </c>
      <c r="C1562" s="6" t="s">
        <v>23</v>
      </c>
      <c r="D1562" s="6" t="s">
        <v>230</v>
      </c>
      <c r="E1562" s="6"/>
      <c r="F1562" s="7" t="s">
        <v>4856</v>
      </c>
      <c r="G1562" s="6" t="s">
        <v>4862</v>
      </c>
      <c r="H1562" s="6" t="s">
        <v>9</v>
      </c>
      <c r="I1562" s="8"/>
      <c r="J1562" s="8"/>
      <c r="K1562" s="8"/>
      <c r="L1562" s="9"/>
    </row>
    <row r="1563" customFormat="false" ht="35.05" hidden="false" customHeight="false" outlineLevel="0" collapsed="false">
      <c r="A1563" s="6" t="s">
        <v>4863</v>
      </c>
      <c r="B1563" s="6" t="s">
        <v>4864</v>
      </c>
      <c r="C1563" s="6" t="s">
        <v>23</v>
      </c>
      <c r="D1563" s="6" t="s">
        <v>44</v>
      </c>
      <c r="E1563" s="6"/>
      <c r="F1563" s="7" t="s">
        <v>4865</v>
      </c>
      <c r="G1563" s="6" t="s">
        <v>4866</v>
      </c>
      <c r="H1563" s="6" t="s">
        <v>8</v>
      </c>
      <c r="I1563" s="8"/>
      <c r="J1563" s="8"/>
      <c r="K1563" s="8"/>
      <c r="L1563" s="9"/>
    </row>
    <row r="1564" customFormat="false" ht="23.85" hidden="false" customHeight="false" outlineLevel="0" collapsed="false">
      <c r="A1564" s="6" t="s">
        <v>4867</v>
      </c>
      <c r="B1564" s="6" t="s">
        <v>4864</v>
      </c>
      <c r="C1564" s="6" t="s">
        <v>23</v>
      </c>
      <c r="D1564" s="6" t="s">
        <v>44</v>
      </c>
      <c r="E1564" s="6"/>
      <c r="F1564" s="7" t="s">
        <v>4868</v>
      </c>
      <c r="G1564" s="6" t="s">
        <v>316</v>
      </c>
      <c r="H1564" s="6" t="s">
        <v>6</v>
      </c>
      <c r="I1564" s="8"/>
      <c r="J1564" s="8"/>
      <c r="K1564" s="8"/>
      <c r="L1564" s="9"/>
    </row>
    <row r="1565" customFormat="false" ht="23.85" hidden="false" customHeight="false" outlineLevel="0" collapsed="false">
      <c r="A1565" s="6" t="s">
        <v>4869</v>
      </c>
      <c r="B1565" s="6" t="s">
        <v>4870</v>
      </c>
      <c r="C1565" s="6" t="s">
        <v>23</v>
      </c>
      <c r="D1565" s="6" t="s">
        <v>44</v>
      </c>
      <c r="E1565" s="6"/>
      <c r="F1565" s="7" t="s">
        <v>4871</v>
      </c>
      <c r="G1565" s="6" t="s">
        <v>4872</v>
      </c>
      <c r="H1565" s="6" t="s">
        <v>9</v>
      </c>
      <c r="I1565" s="8"/>
      <c r="J1565" s="8"/>
      <c r="K1565" s="8"/>
      <c r="L1565" s="9"/>
    </row>
    <row r="1566" customFormat="false" ht="23.85" hidden="false" customHeight="false" outlineLevel="0" collapsed="false">
      <c r="A1566" s="6" t="s">
        <v>4873</v>
      </c>
      <c r="B1566" s="6" t="s">
        <v>4874</v>
      </c>
      <c r="C1566" s="6" t="s">
        <v>23</v>
      </c>
      <c r="D1566" s="6" t="s">
        <v>44</v>
      </c>
      <c r="E1566" s="6"/>
      <c r="F1566" s="7" t="s">
        <v>4875</v>
      </c>
      <c r="G1566" s="6" t="s">
        <v>4876</v>
      </c>
      <c r="H1566" s="6" t="s">
        <v>11</v>
      </c>
      <c r="I1566" s="8"/>
      <c r="J1566" s="8"/>
      <c r="K1566" s="8"/>
      <c r="L1566" s="9"/>
    </row>
    <row r="1567" customFormat="false" ht="15" hidden="false" customHeight="false" outlineLevel="0" collapsed="false">
      <c r="A1567" s="6" t="s">
        <v>4877</v>
      </c>
      <c r="B1567" s="6" t="s">
        <v>4878</v>
      </c>
      <c r="C1567" s="6" t="s">
        <v>23</v>
      </c>
      <c r="D1567" s="6" t="s">
        <v>44</v>
      </c>
      <c r="E1567" s="6"/>
      <c r="F1567" s="7" t="s">
        <v>4859</v>
      </c>
      <c r="G1567" s="6" t="s">
        <v>1578</v>
      </c>
      <c r="H1567" s="6" t="s">
        <v>9</v>
      </c>
      <c r="I1567" s="8"/>
      <c r="J1567" s="8"/>
      <c r="K1567" s="8"/>
      <c r="L1567" s="9"/>
    </row>
    <row r="1568" customFormat="false" ht="15" hidden="false" customHeight="false" outlineLevel="0" collapsed="false">
      <c r="A1568" s="6" t="s">
        <v>4879</v>
      </c>
      <c r="B1568" s="6" t="s">
        <v>4880</v>
      </c>
      <c r="C1568" s="6" t="s">
        <v>23</v>
      </c>
      <c r="D1568" s="6" t="s">
        <v>44</v>
      </c>
      <c r="E1568" s="6"/>
      <c r="F1568" s="7" t="s">
        <v>4881</v>
      </c>
      <c r="G1568" s="6" t="s">
        <v>296</v>
      </c>
      <c r="H1568" s="6" t="s">
        <v>10</v>
      </c>
      <c r="I1568" s="8"/>
      <c r="J1568" s="8"/>
      <c r="K1568" s="8"/>
      <c r="L1568" s="9"/>
    </row>
  </sheetData>
  <autoFilter ref="A1:L1568"/>
  <dataValidations count="1">
    <dataValidation allowBlank="true" errorStyle="stop" operator="between" showDropDown="false" showErrorMessage="false" showInputMessage="false" sqref="I2:I1568" type="list">
      <formula1>"KEEP,SIMPLIFY,OBSOLETE,OBSOLETE-INTEGRATION,WAREHOUSE-ONLY,DEFER,DONE IN PIV2"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18"/>
    <col collapsed="false" customWidth="true" hidden="false" outlineLevel="0" max="4" min="4" style="0" width="7"/>
    <col collapsed="false" customWidth="true" hidden="false" outlineLevel="0" max="5" min="5" style="0" width="22"/>
    <col collapsed="false" customWidth="true" hidden="false" outlineLevel="0" max="6" min="6" style="0" width="7"/>
    <col collapsed="false" customWidth="true" hidden="false" outlineLevel="0" max="7" min="7" style="0" width="10"/>
    <col collapsed="false" customWidth="true" hidden="false" outlineLevel="0" max="8" min="8" style="0" width="70"/>
    <col collapsed="false" customWidth="true" hidden="false" outlineLevel="0" max="9" min="9" style="0" width="40"/>
    <col collapsed="false" customWidth="true" hidden="false" outlineLevel="0" max="10" min="10" style="0" width="30"/>
    <col collapsed="false" customWidth="true" hidden="false" outlineLevel="0" max="11" min="11" style="0" width="60"/>
  </cols>
  <sheetData>
    <row r="1" customFormat="false" ht="15" hidden="false" customHeight="false" outlineLevel="0" collapsed="false">
      <c r="A1" s="10" t="s">
        <v>32</v>
      </c>
      <c r="B1" s="10" t="s">
        <v>3</v>
      </c>
      <c r="C1" s="10" t="s">
        <v>33</v>
      </c>
      <c r="D1" s="10" t="s">
        <v>4882</v>
      </c>
      <c r="E1" s="10" t="s">
        <v>34</v>
      </c>
      <c r="F1" s="10" t="s">
        <v>5</v>
      </c>
      <c r="G1" s="10" t="s">
        <v>4883</v>
      </c>
      <c r="H1" s="10" t="s">
        <v>4884</v>
      </c>
      <c r="I1" s="10" t="s">
        <v>4885</v>
      </c>
      <c r="J1" s="10" t="s">
        <v>4886</v>
      </c>
      <c r="K1" s="10" t="s">
        <v>4887</v>
      </c>
    </row>
    <row r="2" customFormat="false" ht="46.25" hidden="false" customHeight="false" outlineLevel="0" collapsed="false">
      <c r="A2" s="6" t="s">
        <v>4355</v>
      </c>
      <c r="B2" s="6" t="s">
        <v>22</v>
      </c>
      <c r="C2" s="6" t="s">
        <v>85</v>
      </c>
      <c r="D2" s="6" t="n">
        <v>40</v>
      </c>
      <c r="E2" s="6" t="s">
        <v>27</v>
      </c>
      <c r="F2" s="6" t="n">
        <f aca="false">COUNTIF(Rules!$B$2:$B$1568,A2)</f>
        <v>5</v>
      </c>
      <c r="G2" s="6" t="n">
        <f aca="false">COUNTIFS(Rules!$B$2:$B$1568,A2,Rules!$H$2:$H$1568,"QUESTION")</f>
        <v>2</v>
      </c>
      <c r="H2" s="7" t="s">
        <v>4888</v>
      </c>
      <c r="I2" s="7" t="s">
        <v>4889</v>
      </c>
      <c r="J2" s="7" t="s">
        <v>4890</v>
      </c>
      <c r="K2" s="7" t="s">
        <v>4891</v>
      </c>
    </row>
    <row r="3" customFormat="false" ht="23.85" hidden="false" customHeight="false" outlineLevel="0" collapsed="false">
      <c r="A3" s="6" t="s">
        <v>2790</v>
      </c>
      <c r="B3" s="6" t="s">
        <v>20</v>
      </c>
      <c r="C3" s="6" t="s">
        <v>44</v>
      </c>
      <c r="D3" s="6" t="n">
        <v>9</v>
      </c>
      <c r="E3" s="6"/>
      <c r="F3" s="6" t="n">
        <f aca="false">COUNTIF(Rules!$B$2:$B$1568,A3)</f>
        <v>1</v>
      </c>
      <c r="G3" s="6" t="n">
        <f aca="false">COUNTIFS(Rules!$B$2:$B$1568,A3,Rules!$H$2:$H$1568,"QUESTION")</f>
        <v>1</v>
      </c>
      <c r="H3" s="7" t="s">
        <v>4892</v>
      </c>
      <c r="I3" s="7" t="s">
        <v>4893</v>
      </c>
      <c r="J3" s="7" t="s">
        <v>4894</v>
      </c>
      <c r="K3" s="7" t="s">
        <v>4895</v>
      </c>
    </row>
    <row r="4" customFormat="false" ht="46.25" hidden="false" customHeight="false" outlineLevel="0" collapsed="false">
      <c r="A4" s="6" t="s">
        <v>263</v>
      </c>
      <c r="B4" s="6" t="s">
        <v>16</v>
      </c>
      <c r="C4" s="6" t="s">
        <v>44</v>
      </c>
      <c r="D4" s="6" t="n">
        <v>25</v>
      </c>
      <c r="E4" s="6" t="s">
        <v>264</v>
      </c>
      <c r="F4" s="6" t="n">
        <f aca="false">COUNTIF(Rules!$B$2:$B$1568,A4)</f>
        <v>3</v>
      </c>
      <c r="G4" s="6" t="n">
        <f aca="false">COUNTIFS(Rules!$B$2:$B$1568,A4,Rules!$H$2:$H$1568,"QUESTION")</f>
        <v>2</v>
      </c>
      <c r="H4" s="7" t="s">
        <v>4896</v>
      </c>
      <c r="I4" s="7" t="s">
        <v>4897</v>
      </c>
      <c r="J4" s="7" t="s">
        <v>4898</v>
      </c>
      <c r="K4" s="7" t="s">
        <v>4899</v>
      </c>
    </row>
    <row r="5" customFormat="false" ht="46.25" hidden="false" customHeight="false" outlineLevel="0" collapsed="false">
      <c r="A5" s="6" t="s">
        <v>138</v>
      </c>
      <c r="B5" s="6" t="s">
        <v>15</v>
      </c>
      <c r="C5" s="6" t="s">
        <v>49</v>
      </c>
      <c r="D5" s="6" t="n">
        <v>126</v>
      </c>
      <c r="E5" s="6" t="s">
        <v>50</v>
      </c>
      <c r="F5" s="6" t="n">
        <f aca="false">COUNTIF(Rules!$B$2:$B$1568,A5)</f>
        <v>11</v>
      </c>
      <c r="G5" s="6" t="n">
        <f aca="false">COUNTIFS(Rules!$B$2:$B$1568,A5,Rules!$H$2:$H$1568,"QUESTION")</f>
        <v>2</v>
      </c>
      <c r="H5" s="7" t="s">
        <v>4900</v>
      </c>
      <c r="I5" s="7" t="s">
        <v>4901</v>
      </c>
      <c r="J5" s="7" t="s">
        <v>4902</v>
      </c>
      <c r="K5" s="7" t="s">
        <v>4903</v>
      </c>
    </row>
    <row r="6" customFormat="false" ht="35.05" hidden="false" customHeight="false" outlineLevel="0" collapsed="false">
      <c r="A6" s="6" t="s">
        <v>172</v>
      </c>
      <c r="B6" s="6" t="s">
        <v>15</v>
      </c>
      <c r="C6" s="6" t="s">
        <v>49</v>
      </c>
      <c r="D6" s="6" t="n">
        <v>38</v>
      </c>
      <c r="E6" s="6" t="s">
        <v>26</v>
      </c>
      <c r="F6" s="6" t="n">
        <f aca="false">COUNTIF(Rules!$B$2:$B$1568,A6)</f>
        <v>4</v>
      </c>
      <c r="G6" s="6" t="n">
        <f aca="false">COUNTIFS(Rules!$B$2:$B$1568,A6,Rules!$H$2:$H$1568,"QUESTION")</f>
        <v>1</v>
      </c>
      <c r="H6" s="7" t="s">
        <v>4904</v>
      </c>
      <c r="I6" s="7" t="s">
        <v>4905</v>
      </c>
      <c r="J6" s="7" t="s">
        <v>4894</v>
      </c>
      <c r="K6" s="7" t="s">
        <v>4906</v>
      </c>
    </row>
    <row r="7" customFormat="false" ht="35.05" hidden="false" customHeight="false" outlineLevel="0" collapsed="false">
      <c r="A7" s="6" t="s">
        <v>3330</v>
      </c>
      <c r="B7" s="6" t="s">
        <v>21</v>
      </c>
      <c r="C7" s="6" t="s">
        <v>44</v>
      </c>
      <c r="D7" s="6" t="n">
        <v>18</v>
      </c>
      <c r="E7" s="6"/>
      <c r="F7" s="6" t="n">
        <f aca="false">COUNTIF(Rules!$B$2:$B$1568,A7)</f>
        <v>2</v>
      </c>
      <c r="G7" s="6" t="n">
        <f aca="false">COUNTIFS(Rules!$B$2:$B$1568,A7,Rules!$H$2:$H$1568,"QUESTION")</f>
        <v>2</v>
      </c>
      <c r="H7" s="7" t="s">
        <v>4907</v>
      </c>
      <c r="I7" s="7" t="s">
        <v>4908</v>
      </c>
      <c r="J7" s="7" t="s">
        <v>4909</v>
      </c>
      <c r="K7" s="7" t="s">
        <v>4910</v>
      </c>
    </row>
    <row r="8" customFormat="false" ht="23.85" hidden="false" customHeight="false" outlineLevel="0" collapsed="false">
      <c r="A8" s="6" t="s">
        <v>3337</v>
      </c>
      <c r="B8" s="6" t="s">
        <v>21</v>
      </c>
      <c r="C8" s="6" t="s">
        <v>44</v>
      </c>
      <c r="D8" s="6" t="n">
        <v>10</v>
      </c>
      <c r="E8" s="6"/>
      <c r="F8" s="6" t="n">
        <f aca="false">COUNTIF(Rules!$B$2:$B$1568,A8)</f>
        <v>2</v>
      </c>
      <c r="G8" s="6" t="n">
        <f aca="false">COUNTIFS(Rules!$B$2:$B$1568,A8,Rules!$H$2:$H$1568,"QUESTION")</f>
        <v>1</v>
      </c>
      <c r="H8" s="7" t="s">
        <v>4911</v>
      </c>
      <c r="I8" s="7" t="s">
        <v>4912</v>
      </c>
      <c r="J8" s="7" t="s">
        <v>4913</v>
      </c>
      <c r="K8" s="7" t="s">
        <v>4914</v>
      </c>
    </row>
    <row r="9" customFormat="false" ht="57.45" hidden="false" customHeight="false" outlineLevel="0" collapsed="false">
      <c r="A9" s="6" t="s">
        <v>3343</v>
      </c>
      <c r="B9" s="6" t="s">
        <v>21</v>
      </c>
      <c r="C9" s="6" t="s">
        <v>49</v>
      </c>
      <c r="D9" s="6" t="n">
        <v>433</v>
      </c>
      <c r="E9" s="6"/>
      <c r="F9" s="6" t="n">
        <f aca="false">COUNTIF(Rules!$B$2:$B$1568,A9)</f>
        <v>10</v>
      </c>
      <c r="G9" s="6" t="n">
        <f aca="false">COUNTIFS(Rules!$B$2:$B$1568,A9,Rules!$H$2:$H$1568,"QUESTION")</f>
        <v>3</v>
      </c>
      <c r="H9" s="7" t="s">
        <v>4915</v>
      </c>
      <c r="I9" s="7" t="s">
        <v>4916</v>
      </c>
      <c r="J9" s="7" t="s">
        <v>4917</v>
      </c>
      <c r="K9" s="7" t="s">
        <v>4918</v>
      </c>
    </row>
    <row r="10" customFormat="false" ht="102.2" hidden="false" customHeight="false" outlineLevel="0" collapsed="false">
      <c r="A10" s="6" t="s">
        <v>3374</v>
      </c>
      <c r="B10" s="6" t="s">
        <v>21</v>
      </c>
      <c r="C10" s="6" t="s">
        <v>49</v>
      </c>
      <c r="D10" s="6" t="n">
        <v>1137</v>
      </c>
      <c r="E10" s="6" t="s">
        <v>26</v>
      </c>
      <c r="F10" s="6" t="n">
        <f aca="false">COUNTIF(Rules!$B$2:$B$1568,A10)</f>
        <v>33</v>
      </c>
      <c r="G10" s="6" t="n">
        <f aca="false">COUNTIFS(Rules!$B$2:$B$1568,A10,Rules!$H$2:$H$1568,"QUESTION")</f>
        <v>9</v>
      </c>
      <c r="H10" s="7" t="s">
        <v>4919</v>
      </c>
      <c r="I10" s="7" t="s">
        <v>4920</v>
      </c>
      <c r="J10" s="7" t="s">
        <v>4921</v>
      </c>
      <c r="K10" s="7" t="s">
        <v>4922</v>
      </c>
    </row>
    <row r="11" customFormat="false" ht="23.85" hidden="false" customHeight="false" outlineLevel="0" collapsed="false">
      <c r="A11" s="6" t="s">
        <v>3474</v>
      </c>
      <c r="B11" s="6" t="s">
        <v>21</v>
      </c>
      <c r="C11" s="6" t="s">
        <v>79</v>
      </c>
      <c r="D11" s="6" t="n">
        <v>107</v>
      </c>
      <c r="E11" s="6"/>
      <c r="F11" s="6" t="n">
        <f aca="false">COUNTIF(Rules!$B$2:$B$1568,A11)</f>
        <v>2</v>
      </c>
      <c r="G11" s="6" t="n">
        <f aca="false">COUNTIFS(Rules!$B$2:$B$1568,A11,Rules!$H$2:$H$1568,"QUESTION")</f>
        <v>0</v>
      </c>
      <c r="H11" s="7" t="s">
        <v>4923</v>
      </c>
      <c r="I11" s="7" t="s">
        <v>4924</v>
      </c>
      <c r="J11" s="7" t="s">
        <v>4925</v>
      </c>
      <c r="K11" s="7" t="s">
        <v>4926</v>
      </c>
    </row>
    <row r="12" customFormat="false" ht="46.25" hidden="false" customHeight="false" outlineLevel="0" collapsed="false">
      <c r="A12" s="6" t="s">
        <v>3481</v>
      </c>
      <c r="B12" s="6" t="s">
        <v>21</v>
      </c>
      <c r="C12" s="6" t="s">
        <v>85</v>
      </c>
      <c r="D12" s="6" t="n">
        <v>167</v>
      </c>
      <c r="E12" s="6" t="s">
        <v>26</v>
      </c>
      <c r="F12" s="6" t="n">
        <f aca="false">COUNTIF(Rules!$B$2:$B$1568,A12)</f>
        <v>3</v>
      </c>
      <c r="G12" s="6" t="n">
        <f aca="false">COUNTIFS(Rules!$B$2:$B$1568,A12,Rules!$H$2:$H$1568,"QUESTION")</f>
        <v>0</v>
      </c>
      <c r="H12" s="7" t="s">
        <v>4927</v>
      </c>
      <c r="I12" s="7" t="s">
        <v>4928</v>
      </c>
      <c r="J12" s="7" t="s">
        <v>4929</v>
      </c>
      <c r="K12" s="7" t="s">
        <v>4930</v>
      </c>
    </row>
    <row r="13" customFormat="false" ht="35.05" hidden="false" customHeight="false" outlineLevel="0" collapsed="false">
      <c r="A13" s="6" t="s">
        <v>3491</v>
      </c>
      <c r="B13" s="6" t="s">
        <v>21</v>
      </c>
      <c r="C13" s="6" t="s">
        <v>85</v>
      </c>
      <c r="D13" s="6" t="n">
        <v>83</v>
      </c>
      <c r="E13" s="6" t="s">
        <v>50</v>
      </c>
      <c r="F13" s="6" t="n">
        <f aca="false">COUNTIF(Rules!$B$2:$B$1568,A13)</f>
        <v>5</v>
      </c>
      <c r="G13" s="6" t="n">
        <f aca="false">COUNTIFS(Rules!$B$2:$B$1568,A13,Rules!$H$2:$H$1568,"QUESTION")</f>
        <v>2</v>
      </c>
      <c r="H13" s="7" t="s">
        <v>4931</v>
      </c>
      <c r="I13" s="7" t="s">
        <v>4932</v>
      </c>
      <c r="J13" s="7" t="s">
        <v>4933</v>
      </c>
      <c r="K13" s="7" t="s">
        <v>4934</v>
      </c>
    </row>
    <row r="14" customFormat="false" ht="23.85" hidden="false" customHeight="false" outlineLevel="0" collapsed="false">
      <c r="A14" s="6" t="s">
        <v>3506</v>
      </c>
      <c r="B14" s="6" t="s">
        <v>21</v>
      </c>
      <c r="C14" s="6" t="s">
        <v>85</v>
      </c>
      <c r="D14" s="6" t="n">
        <v>46</v>
      </c>
      <c r="E14" s="6"/>
      <c r="F14" s="6" t="n">
        <f aca="false">COUNTIF(Rules!$B$2:$B$1568,A14)</f>
        <v>1</v>
      </c>
      <c r="G14" s="6" t="n">
        <f aca="false">COUNTIFS(Rules!$B$2:$B$1568,A14,Rules!$H$2:$H$1568,"QUESTION")</f>
        <v>0</v>
      </c>
      <c r="H14" s="7" t="s">
        <v>4935</v>
      </c>
      <c r="I14" s="7" t="s">
        <v>4936</v>
      </c>
      <c r="J14" s="7" t="s">
        <v>4937</v>
      </c>
      <c r="K14" s="7" t="s">
        <v>4938</v>
      </c>
    </row>
    <row r="15" customFormat="false" ht="57.45" hidden="false" customHeight="false" outlineLevel="0" collapsed="false">
      <c r="A15" s="6" t="s">
        <v>2794</v>
      </c>
      <c r="B15" s="6" t="s">
        <v>20</v>
      </c>
      <c r="C15" s="6" t="s">
        <v>49</v>
      </c>
      <c r="D15" s="6" t="n">
        <v>436</v>
      </c>
      <c r="E15" s="6"/>
      <c r="F15" s="6" t="n">
        <f aca="false">COUNTIF(Rules!$B$2:$B$1568,A15)</f>
        <v>11</v>
      </c>
      <c r="G15" s="6" t="n">
        <f aca="false">COUNTIFS(Rules!$B$2:$B$1568,A15,Rules!$H$2:$H$1568,"QUESTION")</f>
        <v>2</v>
      </c>
      <c r="H15" s="7" t="s">
        <v>4939</v>
      </c>
      <c r="I15" s="7" t="s">
        <v>4940</v>
      </c>
      <c r="J15" s="7" t="s">
        <v>4941</v>
      </c>
      <c r="K15" s="7" t="s">
        <v>4942</v>
      </c>
    </row>
    <row r="16" customFormat="false" ht="23.85" hidden="false" customHeight="false" outlineLevel="0" collapsed="false">
      <c r="A16" s="6" t="s">
        <v>3510</v>
      </c>
      <c r="B16" s="6" t="s">
        <v>21</v>
      </c>
      <c r="C16" s="6" t="s">
        <v>44</v>
      </c>
      <c r="D16" s="6" t="n">
        <v>38</v>
      </c>
      <c r="E16" s="6"/>
      <c r="F16" s="6" t="n">
        <f aca="false">COUNTIF(Rules!$B$2:$B$1568,A16)</f>
        <v>1</v>
      </c>
      <c r="G16" s="6" t="n">
        <f aca="false">COUNTIFS(Rules!$B$2:$B$1568,A16,Rules!$H$2:$H$1568,"QUESTION")</f>
        <v>0</v>
      </c>
      <c r="H16" s="7" t="s">
        <v>4943</v>
      </c>
      <c r="I16" s="7" t="s">
        <v>4944</v>
      </c>
      <c r="J16" s="7" t="s">
        <v>4945</v>
      </c>
      <c r="K16" s="7" t="s">
        <v>4946</v>
      </c>
    </row>
    <row r="17" customFormat="false" ht="68.65" hidden="false" customHeight="false" outlineLevel="0" collapsed="false">
      <c r="A17" s="6" t="s">
        <v>3514</v>
      </c>
      <c r="B17" s="6" t="s">
        <v>21</v>
      </c>
      <c r="C17" s="6" t="s">
        <v>79</v>
      </c>
      <c r="D17" s="6" t="n">
        <v>793</v>
      </c>
      <c r="E17" s="6" t="s">
        <v>26</v>
      </c>
      <c r="F17" s="6" t="n">
        <f aca="false">COUNTIF(Rules!$B$2:$B$1568,A17)</f>
        <v>13</v>
      </c>
      <c r="G17" s="6" t="n">
        <f aca="false">COUNTIFS(Rules!$B$2:$B$1568,A17,Rules!$H$2:$H$1568,"QUESTION")</f>
        <v>3</v>
      </c>
      <c r="H17" s="7" t="s">
        <v>4947</v>
      </c>
      <c r="I17" s="7" t="s">
        <v>4948</v>
      </c>
      <c r="J17" s="7" t="s">
        <v>4949</v>
      </c>
      <c r="K17" s="7" t="s">
        <v>4950</v>
      </c>
    </row>
    <row r="18" customFormat="false" ht="35.05" hidden="false" customHeight="false" outlineLevel="0" collapsed="false">
      <c r="A18" s="6" t="s">
        <v>2828</v>
      </c>
      <c r="B18" s="6" t="s">
        <v>20</v>
      </c>
      <c r="C18" s="6" t="s">
        <v>49</v>
      </c>
      <c r="D18" s="6" t="n">
        <v>124</v>
      </c>
      <c r="E18" s="6"/>
      <c r="F18" s="6" t="n">
        <f aca="false">COUNTIF(Rules!$B$2:$B$1568,A18)</f>
        <v>11</v>
      </c>
      <c r="G18" s="6" t="n">
        <f aca="false">COUNTIFS(Rules!$B$2:$B$1568,A18,Rules!$H$2:$H$1568,"QUESTION")</f>
        <v>5</v>
      </c>
      <c r="H18" s="7" t="s">
        <v>4951</v>
      </c>
      <c r="I18" s="7" t="s">
        <v>4952</v>
      </c>
      <c r="J18" s="7" t="s">
        <v>4894</v>
      </c>
      <c r="K18" s="7" t="s">
        <v>4953</v>
      </c>
    </row>
    <row r="19" customFormat="false" ht="46.25" hidden="false" customHeight="false" outlineLevel="0" collapsed="false">
      <c r="A19" s="6" t="s">
        <v>3553</v>
      </c>
      <c r="B19" s="6" t="s">
        <v>21</v>
      </c>
      <c r="C19" s="6" t="s">
        <v>331</v>
      </c>
      <c r="D19" s="6" t="n">
        <v>28</v>
      </c>
      <c r="E19" s="6"/>
      <c r="F19" s="6" t="n">
        <f aca="false">COUNTIF(Rules!$B$2:$B$1568,A19)</f>
        <v>3</v>
      </c>
      <c r="G19" s="6" t="n">
        <f aca="false">COUNTIFS(Rules!$B$2:$B$1568,A19,Rules!$H$2:$H$1568,"QUESTION")</f>
        <v>0</v>
      </c>
      <c r="H19" s="7" t="s">
        <v>4954</v>
      </c>
      <c r="I19" s="7" t="s">
        <v>4955</v>
      </c>
      <c r="J19" s="7" t="s">
        <v>4956</v>
      </c>
      <c r="K19" s="7" t="s">
        <v>4957</v>
      </c>
    </row>
    <row r="20" customFormat="false" ht="23.85" hidden="false" customHeight="false" outlineLevel="0" collapsed="false">
      <c r="A20" s="6" t="s">
        <v>3562</v>
      </c>
      <c r="B20" s="6" t="s">
        <v>21</v>
      </c>
      <c r="C20" s="6" t="s">
        <v>44</v>
      </c>
      <c r="D20" s="6" t="n">
        <v>26</v>
      </c>
      <c r="E20" s="6"/>
      <c r="F20" s="6" t="n">
        <f aca="false">COUNTIF(Rules!$B$2:$B$1568,A20)</f>
        <v>1</v>
      </c>
      <c r="G20" s="6" t="n">
        <f aca="false">COUNTIFS(Rules!$B$2:$B$1568,A20,Rules!$H$2:$H$1568,"QUESTION")</f>
        <v>0</v>
      </c>
      <c r="H20" s="7" t="s">
        <v>4958</v>
      </c>
      <c r="I20" s="7" t="s">
        <v>4959</v>
      </c>
      <c r="J20" s="7" t="s">
        <v>4894</v>
      </c>
      <c r="K20" s="7" t="s">
        <v>4960</v>
      </c>
    </row>
    <row r="21" customFormat="false" ht="46.25" hidden="false" customHeight="false" outlineLevel="0" collapsed="false">
      <c r="A21" s="6" t="s">
        <v>3566</v>
      </c>
      <c r="B21" s="6" t="s">
        <v>21</v>
      </c>
      <c r="C21" s="6" t="s">
        <v>331</v>
      </c>
      <c r="D21" s="6" t="n">
        <v>67</v>
      </c>
      <c r="E21" s="6" t="s">
        <v>90</v>
      </c>
      <c r="F21" s="6" t="n">
        <f aca="false">COUNTIF(Rules!$B$2:$B$1568,A21)</f>
        <v>6</v>
      </c>
      <c r="G21" s="6" t="n">
        <f aca="false">COUNTIFS(Rules!$B$2:$B$1568,A21,Rules!$H$2:$H$1568,"QUESTION")</f>
        <v>2</v>
      </c>
      <c r="H21" s="7" t="s">
        <v>4961</v>
      </c>
      <c r="I21" s="7" t="s">
        <v>4962</v>
      </c>
      <c r="J21" s="7" t="s">
        <v>4894</v>
      </c>
      <c r="K21" s="7" t="s">
        <v>4963</v>
      </c>
    </row>
    <row r="22" customFormat="false" ht="23.85" hidden="false" customHeight="false" outlineLevel="0" collapsed="false">
      <c r="A22" s="6" t="s">
        <v>2860</v>
      </c>
      <c r="B22" s="6" t="s">
        <v>20</v>
      </c>
      <c r="C22" s="6" t="s">
        <v>85</v>
      </c>
      <c r="D22" s="6" t="n">
        <v>33</v>
      </c>
      <c r="E22" s="6"/>
      <c r="F22" s="6" t="n">
        <f aca="false">COUNTIF(Rules!$B$2:$B$1568,A22)</f>
        <v>4</v>
      </c>
      <c r="G22" s="6" t="n">
        <f aca="false">COUNTIFS(Rules!$B$2:$B$1568,A22,Rules!$H$2:$H$1568,"QUESTION")</f>
        <v>2</v>
      </c>
      <c r="H22" s="7" t="s">
        <v>4964</v>
      </c>
      <c r="I22" s="7" t="s">
        <v>4965</v>
      </c>
      <c r="J22" s="7" t="s">
        <v>4894</v>
      </c>
      <c r="K22" s="7" t="s">
        <v>4966</v>
      </c>
    </row>
    <row r="23" customFormat="false" ht="23.85" hidden="false" customHeight="false" outlineLevel="0" collapsed="false">
      <c r="A23" s="6" t="s">
        <v>2870</v>
      </c>
      <c r="B23" s="6" t="s">
        <v>20</v>
      </c>
      <c r="C23" s="6" t="s">
        <v>44</v>
      </c>
      <c r="D23" s="6" t="n">
        <v>18</v>
      </c>
      <c r="E23" s="6"/>
      <c r="F23" s="6" t="n">
        <f aca="false">COUNTIF(Rules!$B$2:$B$1568,A23)</f>
        <v>1</v>
      </c>
      <c r="G23" s="6" t="n">
        <f aca="false">COUNTIFS(Rules!$B$2:$B$1568,A23,Rules!$H$2:$H$1568,"QUESTION")</f>
        <v>1</v>
      </c>
      <c r="H23" s="7" t="s">
        <v>4967</v>
      </c>
      <c r="I23" s="7" t="s">
        <v>4968</v>
      </c>
      <c r="J23" s="7" t="s">
        <v>4894</v>
      </c>
      <c r="K23" s="7" t="s">
        <v>4969</v>
      </c>
    </row>
    <row r="24" customFormat="false" ht="23.85" hidden="false" customHeight="false" outlineLevel="0" collapsed="false">
      <c r="A24" s="6" t="s">
        <v>2874</v>
      </c>
      <c r="B24" s="6" t="s">
        <v>20</v>
      </c>
      <c r="C24" s="6" t="s">
        <v>44</v>
      </c>
      <c r="D24" s="6" t="n">
        <v>13</v>
      </c>
      <c r="E24" s="6"/>
      <c r="F24" s="6" t="n">
        <f aca="false">COUNTIF(Rules!$B$2:$B$1568,A24)</f>
        <v>1</v>
      </c>
      <c r="G24" s="6" t="n">
        <f aca="false">COUNTIFS(Rules!$B$2:$B$1568,A24,Rules!$H$2:$H$1568,"QUESTION")</f>
        <v>1</v>
      </c>
      <c r="H24" s="7" t="s">
        <v>4970</v>
      </c>
      <c r="I24" s="7" t="s">
        <v>4894</v>
      </c>
      <c r="J24" s="7" t="s">
        <v>4894</v>
      </c>
      <c r="K24" s="7" t="s">
        <v>4971</v>
      </c>
    </row>
    <row r="25" customFormat="false" ht="15" hidden="false" customHeight="false" outlineLevel="0" collapsed="false">
      <c r="A25" s="6" t="s">
        <v>2878</v>
      </c>
      <c r="B25" s="6" t="s">
        <v>20</v>
      </c>
      <c r="C25" s="6" t="s">
        <v>49</v>
      </c>
      <c r="D25" s="6" t="n">
        <v>34</v>
      </c>
      <c r="E25" s="6"/>
      <c r="F25" s="6" t="n">
        <f aca="false">COUNTIF(Rules!$B$2:$B$1568,A25)</f>
        <v>2</v>
      </c>
      <c r="G25" s="6" t="n">
        <f aca="false">COUNTIFS(Rules!$B$2:$B$1568,A25,Rules!$H$2:$H$1568,"QUESTION")</f>
        <v>1</v>
      </c>
      <c r="H25" s="7" t="s">
        <v>4972</v>
      </c>
      <c r="I25" s="7" t="s">
        <v>4908</v>
      </c>
      <c r="J25" s="7" t="s">
        <v>4894</v>
      </c>
      <c r="K25" s="7" t="s">
        <v>4973</v>
      </c>
    </row>
    <row r="26" customFormat="false" ht="23.85" hidden="false" customHeight="false" outlineLevel="0" collapsed="false">
      <c r="A26" s="6" t="s">
        <v>43</v>
      </c>
      <c r="B26" s="6" t="s">
        <v>14</v>
      </c>
      <c r="C26" s="6" t="s">
        <v>44</v>
      </c>
      <c r="D26" s="6" t="n">
        <v>27</v>
      </c>
      <c r="E26" s="6" t="s">
        <v>26</v>
      </c>
      <c r="F26" s="6" t="n">
        <f aca="false">COUNTIF(Rules!$B$2:$B$1568,A26)</f>
        <v>1</v>
      </c>
      <c r="G26" s="6" t="n">
        <f aca="false">COUNTIFS(Rules!$B$2:$B$1568,A26,Rules!$H$2:$H$1568,"QUESTION")</f>
        <v>1</v>
      </c>
      <c r="H26" s="7" t="s">
        <v>4974</v>
      </c>
      <c r="I26" s="7" t="s">
        <v>4975</v>
      </c>
      <c r="J26" s="7" t="s">
        <v>4894</v>
      </c>
      <c r="K26" s="7" t="s">
        <v>4976</v>
      </c>
    </row>
    <row r="27" customFormat="false" ht="23.85" hidden="false" customHeight="false" outlineLevel="0" collapsed="false">
      <c r="A27" s="6" t="s">
        <v>2885</v>
      </c>
      <c r="B27" s="6" t="s">
        <v>20</v>
      </c>
      <c r="C27" s="6" t="s">
        <v>49</v>
      </c>
      <c r="D27" s="6" t="n">
        <v>55</v>
      </c>
      <c r="E27" s="6" t="s">
        <v>26</v>
      </c>
      <c r="F27" s="6" t="n">
        <f aca="false">COUNTIF(Rules!$B$2:$B$1568,A27)</f>
        <v>4</v>
      </c>
      <c r="G27" s="6" t="n">
        <f aca="false">COUNTIFS(Rules!$B$2:$B$1568,A27,Rules!$H$2:$H$1568,"QUESTION")</f>
        <v>1</v>
      </c>
      <c r="H27" s="7" t="s">
        <v>4977</v>
      </c>
      <c r="I27" s="7" t="s">
        <v>4978</v>
      </c>
      <c r="J27" s="7" t="s">
        <v>4894</v>
      </c>
      <c r="K27" s="7" t="s">
        <v>4979</v>
      </c>
    </row>
    <row r="28" customFormat="false" ht="35.05" hidden="false" customHeight="false" outlineLevel="0" collapsed="false">
      <c r="A28" s="6" t="s">
        <v>2897</v>
      </c>
      <c r="B28" s="6" t="s">
        <v>20</v>
      </c>
      <c r="C28" s="6" t="s">
        <v>49</v>
      </c>
      <c r="D28" s="6" t="n">
        <v>128</v>
      </c>
      <c r="E28" s="6" t="s">
        <v>80</v>
      </c>
      <c r="F28" s="6" t="n">
        <f aca="false">COUNTIF(Rules!$B$2:$B$1568,A28)</f>
        <v>6</v>
      </c>
      <c r="G28" s="6" t="n">
        <f aca="false">COUNTIFS(Rules!$B$2:$B$1568,A28,Rules!$H$2:$H$1568,"QUESTION")</f>
        <v>0</v>
      </c>
      <c r="H28" s="7" t="s">
        <v>4980</v>
      </c>
      <c r="I28" s="7" t="s">
        <v>4981</v>
      </c>
      <c r="J28" s="7" t="s">
        <v>4781</v>
      </c>
      <c r="K28" s="7" t="s">
        <v>4982</v>
      </c>
    </row>
    <row r="29" customFormat="false" ht="23.85" hidden="false" customHeight="false" outlineLevel="0" collapsed="false">
      <c r="A29" s="6" t="s">
        <v>2916</v>
      </c>
      <c r="B29" s="6" t="s">
        <v>20</v>
      </c>
      <c r="C29" s="6" t="s">
        <v>49</v>
      </c>
      <c r="D29" s="6" t="n">
        <v>120</v>
      </c>
      <c r="E29" s="6"/>
      <c r="F29" s="6" t="n">
        <f aca="false">COUNTIF(Rules!$B$2:$B$1568,A29)</f>
        <v>4</v>
      </c>
      <c r="G29" s="6" t="n">
        <f aca="false">COUNTIFS(Rules!$B$2:$B$1568,A29,Rules!$H$2:$H$1568,"QUESTION")</f>
        <v>2</v>
      </c>
      <c r="H29" s="7" t="s">
        <v>4983</v>
      </c>
      <c r="I29" s="7" t="s">
        <v>4984</v>
      </c>
      <c r="J29" s="7" t="s">
        <v>4894</v>
      </c>
      <c r="K29" s="7" t="s">
        <v>4985</v>
      </c>
    </row>
    <row r="30" customFormat="false" ht="23.85" hidden="false" customHeight="false" outlineLevel="0" collapsed="false">
      <c r="A30" s="6" t="s">
        <v>2929</v>
      </c>
      <c r="B30" s="6" t="s">
        <v>20</v>
      </c>
      <c r="C30" s="6" t="s">
        <v>49</v>
      </c>
      <c r="D30" s="6" t="n">
        <v>137</v>
      </c>
      <c r="E30" s="6"/>
      <c r="F30" s="6" t="n">
        <f aca="false">COUNTIF(Rules!$B$2:$B$1568,A30)</f>
        <v>6</v>
      </c>
      <c r="G30" s="6" t="n">
        <f aca="false">COUNTIFS(Rules!$B$2:$B$1568,A30,Rules!$H$2:$H$1568,"QUESTION")</f>
        <v>3</v>
      </c>
      <c r="H30" s="7" t="s">
        <v>4986</v>
      </c>
      <c r="I30" s="7" t="s">
        <v>4987</v>
      </c>
      <c r="J30" s="7" t="s">
        <v>4894</v>
      </c>
      <c r="K30" s="7" t="s">
        <v>4988</v>
      </c>
    </row>
    <row r="31" customFormat="false" ht="23.85" hidden="false" customHeight="false" outlineLevel="0" collapsed="false">
      <c r="A31" s="6" t="s">
        <v>3582</v>
      </c>
      <c r="B31" s="6" t="s">
        <v>21</v>
      </c>
      <c r="C31" s="6" t="s">
        <v>85</v>
      </c>
      <c r="D31" s="6" t="n">
        <v>71</v>
      </c>
      <c r="E31" s="6" t="s">
        <v>50</v>
      </c>
      <c r="F31" s="6" t="n">
        <f aca="false">COUNTIF(Rules!$B$2:$B$1568,A31)</f>
        <v>5</v>
      </c>
      <c r="G31" s="6" t="n">
        <f aca="false">COUNTIFS(Rules!$B$2:$B$1568,A31,Rules!$H$2:$H$1568,"QUESTION")</f>
        <v>1</v>
      </c>
      <c r="H31" s="7" t="s">
        <v>4989</v>
      </c>
      <c r="I31" s="7" t="s">
        <v>4990</v>
      </c>
      <c r="J31" s="7" t="s">
        <v>4991</v>
      </c>
      <c r="K31" s="7" t="s">
        <v>4992</v>
      </c>
    </row>
    <row r="32" customFormat="false" ht="35.05" hidden="false" customHeight="false" outlineLevel="0" collapsed="false">
      <c r="A32" s="6" t="s">
        <v>2947</v>
      </c>
      <c r="B32" s="6" t="s">
        <v>20</v>
      </c>
      <c r="C32" s="6" t="s">
        <v>49</v>
      </c>
      <c r="D32" s="6" t="n">
        <v>36</v>
      </c>
      <c r="E32" s="6"/>
      <c r="F32" s="6" t="n">
        <f aca="false">COUNTIF(Rules!$B$2:$B$1568,A32)</f>
        <v>2</v>
      </c>
      <c r="G32" s="6" t="n">
        <f aca="false">COUNTIFS(Rules!$B$2:$B$1568,A32,Rules!$H$2:$H$1568,"QUESTION")</f>
        <v>1</v>
      </c>
      <c r="H32" s="7" t="s">
        <v>4993</v>
      </c>
      <c r="I32" s="7" t="s">
        <v>4994</v>
      </c>
      <c r="J32" s="7" t="s">
        <v>4894</v>
      </c>
      <c r="K32" s="7" t="s">
        <v>4995</v>
      </c>
    </row>
    <row r="33" customFormat="false" ht="23.85" hidden="false" customHeight="false" outlineLevel="0" collapsed="false">
      <c r="A33" s="6" t="s">
        <v>2954</v>
      </c>
      <c r="B33" s="6" t="s">
        <v>20</v>
      </c>
      <c r="C33" s="6" t="s">
        <v>44</v>
      </c>
      <c r="D33" s="6" t="n">
        <v>17</v>
      </c>
      <c r="E33" s="6" t="s">
        <v>26</v>
      </c>
      <c r="F33" s="6" t="n">
        <f aca="false">COUNTIF(Rules!$B$2:$B$1568,A33)</f>
        <v>1</v>
      </c>
      <c r="G33" s="6" t="n">
        <f aca="false">COUNTIFS(Rules!$B$2:$B$1568,A33,Rules!$H$2:$H$1568,"QUESTION")</f>
        <v>0</v>
      </c>
      <c r="H33" s="7" t="s">
        <v>4996</v>
      </c>
      <c r="I33" s="7" t="s">
        <v>4997</v>
      </c>
      <c r="J33" s="7" t="s">
        <v>4894</v>
      </c>
      <c r="K33" s="7" t="s">
        <v>4998</v>
      </c>
    </row>
    <row r="34" customFormat="false" ht="68.65" hidden="false" customHeight="false" outlineLevel="0" collapsed="false">
      <c r="A34" s="6" t="s">
        <v>3598</v>
      </c>
      <c r="B34" s="6" t="s">
        <v>21</v>
      </c>
      <c r="C34" s="6" t="s">
        <v>49</v>
      </c>
      <c r="D34" s="6" t="n">
        <v>285</v>
      </c>
      <c r="E34" s="6"/>
      <c r="F34" s="6" t="n">
        <f aca="false">COUNTIF(Rules!$B$2:$B$1568,A34)</f>
        <v>16</v>
      </c>
      <c r="G34" s="6" t="n">
        <f aca="false">COUNTIFS(Rules!$B$2:$B$1568,A34,Rules!$H$2:$H$1568,"QUESTION")</f>
        <v>6</v>
      </c>
      <c r="H34" s="7" t="s">
        <v>4999</v>
      </c>
      <c r="I34" s="7" t="s">
        <v>5000</v>
      </c>
      <c r="J34" s="7" t="s">
        <v>5001</v>
      </c>
      <c r="K34" s="7" t="s">
        <v>5002</v>
      </c>
    </row>
    <row r="35" customFormat="false" ht="57.45" hidden="false" customHeight="false" outlineLevel="0" collapsed="false">
      <c r="A35" s="6" t="s">
        <v>3646</v>
      </c>
      <c r="B35" s="6" t="s">
        <v>21</v>
      </c>
      <c r="C35" s="6" t="s">
        <v>331</v>
      </c>
      <c r="D35" s="6" t="n">
        <v>76</v>
      </c>
      <c r="E35" s="6" t="s">
        <v>27</v>
      </c>
      <c r="F35" s="6" t="n">
        <f aca="false">COUNTIF(Rules!$B$2:$B$1568,A35)</f>
        <v>8</v>
      </c>
      <c r="G35" s="6" t="n">
        <f aca="false">COUNTIFS(Rules!$B$2:$B$1568,A35,Rules!$H$2:$H$1568,"QUESTION")</f>
        <v>2</v>
      </c>
      <c r="H35" s="7" t="s">
        <v>5003</v>
      </c>
      <c r="I35" s="7" t="s">
        <v>5004</v>
      </c>
      <c r="J35" s="7" t="s">
        <v>4894</v>
      </c>
      <c r="K35" s="7" t="s">
        <v>5005</v>
      </c>
    </row>
    <row r="36" customFormat="false" ht="35.05" hidden="false" customHeight="false" outlineLevel="0" collapsed="false">
      <c r="A36" s="6" t="s">
        <v>3671</v>
      </c>
      <c r="B36" s="6" t="s">
        <v>21</v>
      </c>
      <c r="C36" s="6" t="s">
        <v>85</v>
      </c>
      <c r="D36" s="6" t="n">
        <v>107</v>
      </c>
      <c r="E36" s="6"/>
      <c r="F36" s="6" t="n">
        <f aca="false">COUNTIF(Rules!$B$2:$B$1568,A36)</f>
        <v>7</v>
      </c>
      <c r="G36" s="6" t="n">
        <f aca="false">COUNTIFS(Rules!$B$2:$B$1568,A36,Rules!$H$2:$H$1568,"QUESTION")</f>
        <v>0</v>
      </c>
      <c r="H36" s="7" t="s">
        <v>5006</v>
      </c>
      <c r="I36" s="7" t="s">
        <v>5007</v>
      </c>
      <c r="J36" s="7" t="s">
        <v>4991</v>
      </c>
      <c r="K36" s="7" t="s">
        <v>5008</v>
      </c>
    </row>
    <row r="37" customFormat="false" ht="35.05" hidden="false" customHeight="false" outlineLevel="0" collapsed="false">
      <c r="A37" s="6" t="s">
        <v>3689</v>
      </c>
      <c r="B37" s="6" t="s">
        <v>21</v>
      </c>
      <c r="C37" s="6" t="s">
        <v>230</v>
      </c>
      <c r="D37" s="6" t="n">
        <v>151</v>
      </c>
      <c r="E37" s="6" t="s">
        <v>26</v>
      </c>
      <c r="F37" s="6" t="n">
        <f aca="false">COUNTIF(Rules!$B$2:$B$1568,A37)</f>
        <v>3</v>
      </c>
      <c r="G37" s="6" t="n">
        <f aca="false">COUNTIFS(Rules!$B$2:$B$1568,A37,Rules!$H$2:$H$1568,"QUESTION")</f>
        <v>0</v>
      </c>
      <c r="H37" s="7" t="s">
        <v>5009</v>
      </c>
      <c r="I37" s="7" t="s">
        <v>5010</v>
      </c>
      <c r="J37" s="7" t="s">
        <v>4894</v>
      </c>
      <c r="K37" s="7" t="s">
        <v>5011</v>
      </c>
    </row>
    <row r="38" customFormat="false" ht="35.05" hidden="false" customHeight="false" outlineLevel="0" collapsed="false">
      <c r="A38" s="6" t="s">
        <v>3699</v>
      </c>
      <c r="B38" s="6" t="s">
        <v>21</v>
      </c>
      <c r="C38" s="6" t="s">
        <v>230</v>
      </c>
      <c r="D38" s="6" t="n">
        <v>152</v>
      </c>
      <c r="E38" s="6" t="s">
        <v>26</v>
      </c>
      <c r="F38" s="6" t="n">
        <f aca="false">COUNTIF(Rules!$B$2:$B$1568,A38)</f>
        <v>3</v>
      </c>
      <c r="G38" s="6" t="n">
        <f aca="false">COUNTIFS(Rules!$B$2:$B$1568,A38,Rules!$H$2:$H$1568,"QUESTION")</f>
        <v>2</v>
      </c>
      <c r="H38" s="7" t="s">
        <v>5012</v>
      </c>
      <c r="I38" s="7" t="s">
        <v>5013</v>
      </c>
      <c r="J38" s="7" t="s">
        <v>4894</v>
      </c>
      <c r="K38" s="7" t="s">
        <v>5014</v>
      </c>
    </row>
    <row r="39" customFormat="false" ht="35.05" hidden="false" customHeight="false" outlineLevel="0" collapsed="false">
      <c r="A39" s="6" t="s">
        <v>3708</v>
      </c>
      <c r="B39" s="6" t="s">
        <v>21</v>
      </c>
      <c r="C39" s="6" t="s">
        <v>230</v>
      </c>
      <c r="D39" s="6" t="n">
        <v>154</v>
      </c>
      <c r="E39" s="6"/>
      <c r="F39" s="6" t="n">
        <f aca="false">COUNTIF(Rules!$B$2:$B$1568,A39)</f>
        <v>1</v>
      </c>
      <c r="G39" s="6" t="n">
        <f aca="false">COUNTIFS(Rules!$B$2:$B$1568,A39,Rules!$H$2:$H$1568,"QUESTION")</f>
        <v>0</v>
      </c>
      <c r="H39" s="7" t="s">
        <v>5015</v>
      </c>
      <c r="I39" s="7" t="s">
        <v>5010</v>
      </c>
      <c r="J39" s="7" t="s">
        <v>4894</v>
      </c>
      <c r="K39" s="7" t="s">
        <v>5016</v>
      </c>
    </row>
    <row r="40" customFormat="false" ht="23.85" hidden="false" customHeight="false" outlineLevel="0" collapsed="false">
      <c r="A40" s="6" t="s">
        <v>4369</v>
      </c>
      <c r="B40" s="6" t="s">
        <v>22</v>
      </c>
      <c r="C40" s="6" t="s">
        <v>44</v>
      </c>
      <c r="D40" s="6" t="n">
        <v>21</v>
      </c>
      <c r="E40" s="6" t="s">
        <v>26</v>
      </c>
      <c r="F40" s="6" t="n">
        <f aca="false">COUNTIF(Rules!$B$2:$B$1568,A40)</f>
        <v>1</v>
      </c>
      <c r="G40" s="6" t="n">
        <f aca="false">COUNTIFS(Rules!$B$2:$B$1568,A40,Rules!$H$2:$H$1568,"QUESTION")</f>
        <v>0</v>
      </c>
      <c r="H40" s="7" t="s">
        <v>5017</v>
      </c>
      <c r="I40" s="7" t="s">
        <v>5018</v>
      </c>
      <c r="J40" s="7" t="s">
        <v>5019</v>
      </c>
      <c r="K40" s="7" t="s">
        <v>5020</v>
      </c>
    </row>
    <row r="41" customFormat="false" ht="68.65" hidden="false" customHeight="false" outlineLevel="0" collapsed="false">
      <c r="A41" s="6" t="s">
        <v>3712</v>
      </c>
      <c r="B41" s="6" t="s">
        <v>21</v>
      </c>
      <c r="C41" s="6" t="s">
        <v>49</v>
      </c>
      <c r="D41" s="6" t="n">
        <v>398</v>
      </c>
      <c r="E41" s="6" t="s">
        <v>2506</v>
      </c>
      <c r="F41" s="6" t="n">
        <f aca="false">COUNTIF(Rules!$B$2:$B$1568,A41)</f>
        <v>28</v>
      </c>
      <c r="G41" s="6" t="n">
        <f aca="false">COUNTIFS(Rules!$B$2:$B$1568,A41,Rules!$H$2:$H$1568,"QUESTION")</f>
        <v>12</v>
      </c>
      <c r="H41" s="7" t="s">
        <v>5021</v>
      </c>
      <c r="I41" s="7" t="s">
        <v>5022</v>
      </c>
      <c r="J41" s="7" t="s">
        <v>5023</v>
      </c>
      <c r="K41" s="7" t="s">
        <v>5024</v>
      </c>
    </row>
    <row r="42" customFormat="false" ht="57.45" hidden="false" customHeight="false" outlineLevel="0" collapsed="false">
      <c r="A42" s="6" t="s">
        <v>2957</v>
      </c>
      <c r="B42" s="6" t="s">
        <v>20</v>
      </c>
      <c r="C42" s="6" t="s">
        <v>331</v>
      </c>
      <c r="D42" s="6" t="n">
        <v>119</v>
      </c>
      <c r="E42" s="6" t="s">
        <v>27</v>
      </c>
      <c r="F42" s="6" t="n">
        <f aca="false">COUNTIF(Rules!$B$2:$B$1568,A42)</f>
        <v>11</v>
      </c>
      <c r="G42" s="6" t="n">
        <f aca="false">COUNTIFS(Rules!$B$2:$B$1568,A42,Rules!$H$2:$H$1568,"QUESTION")</f>
        <v>4</v>
      </c>
      <c r="H42" s="7" t="s">
        <v>5025</v>
      </c>
      <c r="I42" s="7" t="s">
        <v>5026</v>
      </c>
      <c r="J42" s="7" t="s">
        <v>5027</v>
      </c>
      <c r="K42" s="7" t="s">
        <v>5028</v>
      </c>
    </row>
    <row r="43" customFormat="false" ht="35.05" hidden="false" customHeight="false" outlineLevel="0" collapsed="false">
      <c r="A43" s="6" t="s">
        <v>4372</v>
      </c>
      <c r="B43" s="6" t="s">
        <v>22</v>
      </c>
      <c r="C43" s="6" t="s">
        <v>85</v>
      </c>
      <c r="D43" s="6" t="n">
        <v>29</v>
      </c>
      <c r="E43" s="6"/>
      <c r="F43" s="6" t="n">
        <f aca="false">COUNTIF(Rules!$B$2:$B$1568,A43)</f>
        <v>2</v>
      </c>
      <c r="G43" s="6" t="n">
        <f aca="false">COUNTIFS(Rules!$B$2:$B$1568,A43,Rules!$H$2:$H$1568,"QUESTION")</f>
        <v>0</v>
      </c>
      <c r="H43" s="7" t="s">
        <v>5029</v>
      </c>
      <c r="I43" s="7" t="s">
        <v>5030</v>
      </c>
      <c r="J43" s="7" t="s">
        <v>4894</v>
      </c>
      <c r="K43" s="7" t="s">
        <v>5031</v>
      </c>
    </row>
    <row r="44" customFormat="false" ht="15" hidden="false" customHeight="false" outlineLevel="0" collapsed="false">
      <c r="A44" s="6" t="s">
        <v>4378</v>
      </c>
      <c r="B44" s="6" t="s">
        <v>22</v>
      </c>
      <c r="C44" s="6" t="s">
        <v>230</v>
      </c>
      <c r="D44" s="6" t="n">
        <v>29</v>
      </c>
      <c r="E44" s="6"/>
      <c r="F44" s="6" t="n">
        <f aca="false">COUNTIF(Rules!$B$2:$B$1568,A44)</f>
        <v>1</v>
      </c>
      <c r="G44" s="6" t="n">
        <f aca="false">COUNTIFS(Rules!$B$2:$B$1568,A44,Rules!$H$2:$H$1568,"QUESTION")</f>
        <v>0</v>
      </c>
      <c r="H44" s="7" t="s">
        <v>5032</v>
      </c>
      <c r="I44" s="7" t="s">
        <v>5033</v>
      </c>
      <c r="J44" s="7" t="s">
        <v>4894</v>
      </c>
      <c r="K44" s="7" t="s">
        <v>5034</v>
      </c>
    </row>
    <row r="45" customFormat="false" ht="15" hidden="false" customHeight="false" outlineLevel="0" collapsed="false">
      <c r="A45" s="6" t="s">
        <v>3796</v>
      </c>
      <c r="B45" s="6" t="s">
        <v>21</v>
      </c>
      <c r="C45" s="6" t="s">
        <v>44</v>
      </c>
      <c r="D45" s="6" t="n">
        <v>9</v>
      </c>
      <c r="E45" s="6"/>
      <c r="F45" s="6" t="n">
        <f aca="false">COUNTIF(Rules!$B$2:$B$1568,A45)</f>
        <v>1</v>
      </c>
      <c r="G45" s="6" t="n">
        <f aca="false">COUNTIFS(Rules!$B$2:$B$1568,A45,Rules!$H$2:$H$1568,"QUESTION")</f>
        <v>1</v>
      </c>
      <c r="H45" s="7" t="s">
        <v>5035</v>
      </c>
      <c r="I45" s="7" t="s">
        <v>5036</v>
      </c>
      <c r="J45" s="7" t="s">
        <v>5037</v>
      </c>
      <c r="K45" s="7" t="s">
        <v>5038</v>
      </c>
    </row>
    <row r="46" customFormat="false" ht="68.65" hidden="false" customHeight="false" outlineLevel="0" collapsed="false">
      <c r="A46" s="6" t="s">
        <v>1302</v>
      </c>
      <c r="B46" s="6" t="s">
        <v>18</v>
      </c>
      <c r="C46" s="6" t="s">
        <v>1303</v>
      </c>
      <c r="D46" s="6" t="n">
        <v>172</v>
      </c>
      <c r="E46" s="6" t="s">
        <v>1304</v>
      </c>
      <c r="F46" s="6" t="n">
        <f aca="false">COUNTIF(Rules!$B$2:$B$1568,A46)</f>
        <v>11</v>
      </c>
      <c r="G46" s="6" t="n">
        <f aca="false">COUNTIFS(Rules!$B$2:$B$1568,A46,Rules!$H$2:$H$1568,"QUESTION")</f>
        <v>5</v>
      </c>
      <c r="H46" s="7" t="s">
        <v>5039</v>
      </c>
      <c r="I46" s="7" t="s">
        <v>5040</v>
      </c>
      <c r="J46" s="7" t="s">
        <v>5041</v>
      </c>
      <c r="K46" s="7" t="s">
        <v>5042</v>
      </c>
    </row>
    <row r="47" customFormat="false" ht="35.05" hidden="false" customHeight="false" outlineLevel="0" collapsed="false">
      <c r="A47" s="6" t="s">
        <v>273</v>
      </c>
      <c r="B47" s="6" t="s">
        <v>16</v>
      </c>
      <c r="C47" s="6" t="s">
        <v>274</v>
      </c>
      <c r="D47" s="6" t="n">
        <v>44</v>
      </c>
      <c r="E47" s="6" t="s">
        <v>264</v>
      </c>
      <c r="F47" s="6" t="n">
        <f aca="false">COUNTIF(Rules!$B$2:$B$1568,A47)</f>
        <v>4</v>
      </c>
      <c r="G47" s="6" t="n">
        <f aca="false">COUNTIFS(Rules!$B$2:$B$1568,A47,Rules!$H$2:$H$1568,"QUESTION")</f>
        <v>1</v>
      </c>
      <c r="H47" s="7" t="s">
        <v>5043</v>
      </c>
      <c r="I47" s="7" t="s">
        <v>5044</v>
      </c>
      <c r="J47" s="7" t="s">
        <v>5045</v>
      </c>
      <c r="K47" s="7" t="s">
        <v>5046</v>
      </c>
    </row>
    <row r="48" customFormat="false" ht="35.05" hidden="false" customHeight="false" outlineLevel="0" collapsed="false">
      <c r="A48" s="6" t="s">
        <v>287</v>
      </c>
      <c r="B48" s="6" t="s">
        <v>16</v>
      </c>
      <c r="C48" s="6" t="s">
        <v>274</v>
      </c>
      <c r="D48" s="6" t="n">
        <v>46</v>
      </c>
      <c r="E48" s="6" t="s">
        <v>264</v>
      </c>
      <c r="F48" s="6" t="n">
        <f aca="false">COUNTIF(Rules!$B$2:$B$1568,A48)</f>
        <v>2</v>
      </c>
      <c r="G48" s="6" t="n">
        <f aca="false">COUNTIFS(Rules!$B$2:$B$1568,A48,Rules!$H$2:$H$1568,"QUESTION")</f>
        <v>0</v>
      </c>
      <c r="H48" s="7" t="s">
        <v>5047</v>
      </c>
      <c r="I48" s="7" t="s">
        <v>5048</v>
      </c>
      <c r="J48" s="7" t="s">
        <v>5049</v>
      </c>
      <c r="K48" s="7" t="s">
        <v>5050</v>
      </c>
    </row>
    <row r="49" customFormat="false" ht="35.05" hidden="false" customHeight="false" outlineLevel="0" collapsed="false">
      <c r="A49" s="6" t="s">
        <v>693</v>
      </c>
      <c r="B49" s="6" t="s">
        <v>17</v>
      </c>
      <c r="C49" s="6" t="s">
        <v>44</v>
      </c>
      <c r="D49" s="6" t="n">
        <v>33</v>
      </c>
      <c r="E49" s="6" t="s">
        <v>694</v>
      </c>
      <c r="F49" s="6" t="n">
        <f aca="false">COUNTIF(Rules!$B$2:$B$1568,A49)</f>
        <v>4</v>
      </c>
      <c r="G49" s="6" t="n">
        <f aca="false">COUNTIFS(Rules!$B$2:$B$1568,A49,Rules!$H$2:$H$1568,"QUESTION")</f>
        <v>2</v>
      </c>
      <c r="H49" s="7" t="s">
        <v>5051</v>
      </c>
      <c r="I49" s="7" t="s">
        <v>5052</v>
      </c>
      <c r="J49" s="7" t="s">
        <v>5053</v>
      </c>
      <c r="K49" s="7" t="s">
        <v>5054</v>
      </c>
    </row>
    <row r="50" customFormat="false" ht="23.85" hidden="false" customHeight="false" outlineLevel="0" collapsed="false">
      <c r="A50" s="6" t="s">
        <v>4381</v>
      </c>
      <c r="B50" s="6" t="s">
        <v>22</v>
      </c>
      <c r="C50" s="6" t="s">
        <v>44</v>
      </c>
      <c r="D50" s="6" t="n">
        <v>70</v>
      </c>
      <c r="E50" s="6" t="s">
        <v>27</v>
      </c>
      <c r="F50" s="6" t="n">
        <f aca="false">COUNTIF(Rules!$B$2:$B$1568,A50)</f>
        <v>3</v>
      </c>
      <c r="G50" s="6" t="n">
        <f aca="false">COUNTIFS(Rules!$B$2:$B$1568,A50,Rules!$H$2:$H$1568,"QUESTION")</f>
        <v>1</v>
      </c>
      <c r="H50" s="7" t="s">
        <v>5055</v>
      </c>
      <c r="I50" s="7" t="s">
        <v>5056</v>
      </c>
      <c r="J50" s="7" t="s">
        <v>5057</v>
      </c>
      <c r="K50" s="7" t="s">
        <v>5058</v>
      </c>
    </row>
    <row r="51" customFormat="false" ht="23.85" hidden="false" customHeight="false" outlineLevel="0" collapsed="false">
      <c r="A51" s="6" t="s">
        <v>4390</v>
      </c>
      <c r="B51" s="6" t="s">
        <v>22</v>
      </c>
      <c r="C51" s="6" t="s">
        <v>44</v>
      </c>
      <c r="D51" s="6" t="n">
        <v>52</v>
      </c>
      <c r="E51" s="6" t="s">
        <v>27</v>
      </c>
      <c r="F51" s="6" t="n">
        <f aca="false">COUNTIF(Rules!$B$2:$B$1568,A51)</f>
        <v>1</v>
      </c>
      <c r="G51" s="6" t="n">
        <f aca="false">COUNTIFS(Rules!$B$2:$B$1568,A51,Rules!$H$2:$H$1568,"QUESTION")</f>
        <v>0</v>
      </c>
      <c r="H51" s="7" t="s">
        <v>5059</v>
      </c>
      <c r="I51" s="7" t="s">
        <v>5060</v>
      </c>
      <c r="J51" s="7" t="s">
        <v>5061</v>
      </c>
      <c r="K51" s="7" t="s">
        <v>5062</v>
      </c>
    </row>
    <row r="52" customFormat="false" ht="57.45" hidden="false" customHeight="false" outlineLevel="0" collapsed="false">
      <c r="A52" s="6" t="s">
        <v>1338</v>
      </c>
      <c r="B52" s="6" t="s">
        <v>18</v>
      </c>
      <c r="C52" s="6" t="s">
        <v>1303</v>
      </c>
      <c r="D52" s="6" t="n">
        <v>137</v>
      </c>
      <c r="E52" s="6"/>
      <c r="F52" s="6" t="n">
        <f aca="false">COUNTIF(Rules!$B$2:$B$1568,A52)</f>
        <v>5</v>
      </c>
      <c r="G52" s="6" t="n">
        <f aca="false">COUNTIFS(Rules!$B$2:$B$1568,A52,Rules!$H$2:$H$1568,"QUESTION")</f>
        <v>0</v>
      </c>
      <c r="H52" s="7" t="s">
        <v>5063</v>
      </c>
      <c r="I52" s="7" t="s">
        <v>5064</v>
      </c>
      <c r="J52" s="7" t="s">
        <v>5065</v>
      </c>
      <c r="K52" s="7" t="s">
        <v>5066</v>
      </c>
    </row>
    <row r="53" customFormat="false" ht="35.05" hidden="false" customHeight="false" outlineLevel="0" collapsed="false">
      <c r="A53" s="6" t="s">
        <v>294</v>
      </c>
      <c r="B53" s="6" t="s">
        <v>16</v>
      </c>
      <c r="C53" s="6" t="s">
        <v>44</v>
      </c>
      <c r="D53" s="6" t="n">
        <v>24</v>
      </c>
      <c r="E53" s="6" t="s">
        <v>27</v>
      </c>
      <c r="F53" s="6" t="n">
        <f aca="false">COUNTIF(Rules!$B$2:$B$1568,A53)</f>
        <v>2</v>
      </c>
      <c r="G53" s="6" t="n">
        <f aca="false">COUNTIFS(Rules!$B$2:$B$1568,A53,Rules!$H$2:$H$1568,"QUESTION")</f>
        <v>1</v>
      </c>
      <c r="H53" s="7" t="s">
        <v>5067</v>
      </c>
      <c r="I53" s="7" t="s">
        <v>5068</v>
      </c>
      <c r="J53" s="7" t="s">
        <v>4894</v>
      </c>
      <c r="K53" s="7" t="s">
        <v>5069</v>
      </c>
    </row>
    <row r="54" customFormat="false" ht="35.05" hidden="false" customHeight="false" outlineLevel="0" collapsed="false">
      <c r="A54" s="6" t="s">
        <v>2991</v>
      </c>
      <c r="B54" s="6" t="s">
        <v>20</v>
      </c>
      <c r="C54" s="6" t="s">
        <v>44</v>
      </c>
      <c r="D54" s="6" t="n">
        <v>35</v>
      </c>
      <c r="E54" s="6" t="s">
        <v>27</v>
      </c>
      <c r="F54" s="6" t="n">
        <f aca="false">COUNTIF(Rules!$B$2:$B$1568,A54)</f>
        <v>5</v>
      </c>
      <c r="G54" s="6" t="n">
        <f aca="false">COUNTIFS(Rules!$B$2:$B$1568,A54,Rules!$H$2:$H$1568,"QUESTION")</f>
        <v>4</v>
      </c>
      <c r="H54" s="7" t="s">
        <v>5070</v>
      </c>
      <c r="I54" s="7" t="s">
        <v>5071</v>
      </c>
      <c r="J54" s="7" t="s">
        <v>5072</v>
      </c>
      <c r="K54" s="7" t="s">
        <v>5073</v>
      </c>
    </row>
    <row r="55" customFormat="false" ht="23.85" hidden="false" customHeight="false" outlineLevel="0" collapsed="false">
      <c r="A55" s="6" t="s">
        <v>3005</v>
      </c>
      <c r="B55" s="6" t="s">
        <v>20</v>
      </c>
      <c r="C55" s="6" t="s">
        <v>230</v>
      </c>
      <c r="D55" s="6" t="n">
        <v>35</v>
      </c>
      <c r="E55" s="6" t="s">
        <v>27</v>
      </c>
      <c r="F55" s="6" t="n">
        <f aca="false">COUNTIF(Rules!$B$2:$B$1568,A55)</f>
        <v>1</v>
      </c>
      <c r="G55" s="6" t="n">
        <f aca="false">COUNTIFS(Rules!$B$2:$B$1568,A55,Rules!$H$2:$H$1568,"QUESTION")</f>
        <v>0</v>
      </c>
      <c r="H55" s="7" t="s">
        <v>5074</v>
      </c>
      <c r="I55" s="7" t="s">
        <v>5075</v>
      </c>
      <c r="J55" s="7" t="s">
        <v>5076</v>
      </c>
      <c r="K55" s="7" t="s">
        <v>5077</v>
      </c>
    </row>
    <row r="56" customFormat="false" ht="23.85" hidden="false" customHeight="false" outlineLevel="0" collapsed="false">
      <c r="A56" s="6" t="s">
        <v>300</v>
      </c>
      <c r="B56" s="6" t="s">
        <v>16</v>
      </c>
      <c r="C56" s="6" t="s">
        <v>44</v>
      </c>
      <c r="D56" s="6" t="n">
        <v>28</v>
      </c>
      <c r="E56" s="6" t="s">
        <v>90</v>
      </c>
      <c r="F56" s="6" t="n">
        <f aca="false">COUNTIF(Rules!$B$2:$B$1568,A56)</f>
        <v>3</v>
      </c>
      <c r="G56" s="6" t="n">
        <f aca="false">COUNTIFS(Rules!$B$2:$B$1568,A56,Rules!$H$2:$H$1568,"QUESTION")</f>
        <v>2</v>
      </c>
      <c r="H56" s="7" t="s">
        <v>5078</v>
      </c>
      <c r="I56" s="7" t="s">
        <v>5079</v>
      </c>
      <c r="J56" s="7" t="s">
        <v>5080</v>
      </c>
      <c r="K56" s="7" t="s">
        <v>5081</v>
      </c>
    </row>
    <row r="57" customFormat="false" ht="23.85" hidden="false" customHeight="false" outlineLevel="0" collapsed="false">
      <c r="A57" s="6" t="s">
        <v>4394</v>
      </c>
      <c r="B57" s="6" t="s">
        <v>22</v>
      </c>
      <c r="C57" s="6" t="s">
        <v>44</v>
      </c>
      <c r="D57" s="6" t="n">
        <v>38</v>
      </c>
      <c r="E57" s="6" t="s">
        <v>27</v>
      </c>
      <c r="F57" s="6" t="n">
        <f aca="false">COUNTIF(Rules!$B$2:$B$1568,A57)</f>
        <v>1</v>
      </c>
      <c r="G57" s="6" t="n">
        <f aca="false">COUNTIFS(Rules!$B$2:$B$1568,A57,Rules!$H$2:$H$1568,"QUESTION")</f>
        <v>0</v>
      </c>
      <c r="H57" s="7" t="s">
        <v>5082</v>
      </c>
      <c r="I57" s="7" t="s">
        <v>5083</v>
      </c>
      <c r="J57" s="7" t="s">
        <v>4894</v>
      </c>
      <c r="K57" s="7" t="s">
        <v>5084</v>
      </c>
    </row>
    <row r="58" customFormat="false" ht="35.05" hidden="false" customHeight="false" outlineLevel="0" collapsed="false">
      <c r="A58" s="6" t="s">
        <v>4686</v>
      </c>
      <c r="B58" s="6" t="s">
        <v>23</v>
      </c>
      <c r="C58" s="6" t="s">
        <v>44</v>
      </c>
      <c r="D58" s="6" t="n">
        <v>59</v>
      </c>
      <c r="E58" s="6"/>
      <c r="F58" s="6" t="n">
        <f aca="false">COUNTIF(Rules!$B$2:$B$1568,A58)</f>
        <v>1</v>
      </c>
      <c r="G58" s="6" t="n">
        <f aca="false">COUNTIFS(Rules!$B$2:$B$1568,A58,Rules!$H$2:$H$1568,"QUESTION")</f>
        <v>0</v>
      </c>
      <c r="H58" s="7" t="s">
        <v>5085</v>
      </c>
      <c r="I58" s="7" t="s">
        <v>5086</v>
      </c>
      <c r="J58" s="7" t="s">
        <v>5087</v>
      </c>
      <c r="K58" s="7" t="s">
        <v>5088</v>
      </c>
    </row>
    <row r="59" customFormat="false" ht="23.85" hidden="false" customHeight="false" outlineLevel="0" collapsed="false">
      <c r="A59" s="6" t="s">
        <v>310</v>
      </c>
      <c r="B59" s="6" t="s">
        <v>16</v>
      </c>
      <c r="C59" s="6" t="s">
        <v>49</v>
      </c>
      <c r="D59" s="6" t="n">
        <v>13</v>
      </c>
      <c r="E59" s="6" t="s">
        <v>27</v>
      </c>
      <c r="F59" s="6" t="n">
        <f aca="false">COUNTIF(Rules!$B$2:$B$1568,A59)</f>
        <v>1</v>
      </c>
      <c r="G59" s="6" t="n">
        <f aca="false">COUNTIFS(Rules!$B$2:$B$1568,A59,Rules!$H$2:$H$1568,"QUESTION")</f>
        <v>0</v>
      </c>
      <c r="H59" s="7" t="s">
        <v>5089</v>
      </c>
      <c r="I59" s="7" t="s">
        <v>5090</v>
      </c>
      <c r="J59" s="7" t="s">
        <v>4894</v>
      </c>
      <c r="K59" s="7" t="s">
        <v>5091</v>
      </c>
    </row>
    <row r="60" customFormat="false" ht="15" hidden="false" customHeight="false" outlineLevel="0" collapsed="false">
      <c r="A60" s="6" t="s">
        <v>3008</v>
      </c>
      <c r="B60" s="6" t="s">
        <v>20</v>
      </c>
      <c r="C60" s="6" t="s">
        <v>44</v>
      </c>
      <c r="D60" s="6" t="n">
        <v>8</v>
      </c>
      <c r="E60" s="6"/>
      <c r="F60" s="6" t="n">
        <f aca="false">COUNTIF(Rules!$B$2:$B$1568,A60)</f>
        <v>1</v>
      </c>
      <c r="G60" s="6" t="n">
        <f aca="false">COUNTIFS(Rules!$B$2:$B$1568,A60,Rules!$H$2:$H$1568,"QUESTION")</f>
        <v>0</v>
      </c>
      <c r="H60" s="7" t="s">
        <v>5092</v>
      </c>
      <c r="I60" s="7" t="s">
        <v>5093</v>
      </c>
      <c r="J60" s="7" t="s">
        <v>4894</v>
      </c>
      <c r="K60" s="7" t="s">
        <v>5094</v>
      </c>
    </row>
    <row r="61" customFormat="false" ht="35.05" hidden="false" customHeight="false" outlineLevel="0" collapsed="false">
      <c r="A61" s="6" t="s">
        <v>1354</v>
      </c>
      <c r="B61" s="6" t="s">
        <v>18</v>
      </c>
      <c r="C61" s="6" t="s">
        <v>49</v>
      </c>
      <c r="D61" s="6" t="n">
        <v>119</v>
      </c>
      <c r="E61" s="6" t="s">
        <v>28</v>
      </c>
      <c r="F61" s="6" t="n">
        <f aca="false">COUNTIF(Rules!$B$2:$B$1568,A61)</f>
        <v>5</v>
      </c>
      <c r="G61" s="6" t="n">
        <f aca="false">COUNTIFS(Rules!$B$2:$B$1568,A61,Rules!$H$2:$H$1568,"QUESTION")</f>
        <v>1</v>
      </c>
      <c r="H61" s="7" t="s">
        <v>5095</v>
      </c>
      <c r="I61" s="7" t="s">
        <v>5096</v>
      </c>
      <c r="J61" s="7" t="s">
        <v>5097</v>
      </c>
      <c r="K61" s="7" t="s">
        <v>5098</v>
      </c>
    </row>
    <row r="62" customFormat="false" ht="57.45" hidden="false" customHeight="false" outlineLevel="0" collapsed="false">
      <c r="A62" s="6" t="s">
        <v>1369</v>
      </c>
      <c r="B62" s="6" t="s">
        <v>18</v>
      </c>
      <c r="C62" s="6" t="s">
        <v>44</v>
      </c>
      <c r="D62" s="6" t="n">
        <v>60</v>
      </c>
      <c r="E62" s="6" t="s">
        <v>694</v>
      </c>
      <c r="F62" s="6" t="n">
        <f aca="false">COUNTIF(Rules!$B$2:$B$1568,A62)</f>
        <v>5</v>
      </c>
      <c r="G62" s="6" t="n">
        <f aca="false">COUNTIFS(Rules!$B$2:$B$1568,A62,Rules!$H$2:$H$1568,"QUESTION")</f>
        <v>3</v>
      </c>
      <c r="H62" s="7" t="s">
        <v>5099</v>
      </c>
      <c r="I62" s="7" t="s">
        <v>5100</v>
      </c>
      <c r="J62" s="7" t="s">
        <v>5101</v>
      </c>
      <c r="K62" s="7" t="s">
        <v>5102</v>
      </c>
    </row>
    <row r="63" customFormat="false" ht="23.85" hidden="false" customHeight="false" outlineLevel="0" collapsed="false">
      <c r="A63" s="6" t="s">
        <v>1385</v>
      </c>
      <c r="B63" s="6" t="s">
        <v>18</v>
      </c>
      <c r="C63" s="6" t="s">
        <v>44</v>
      </c>
      <c r="D63" s="6" t="n">
        <v>31</v>
      </c>
      <c r="E63" s="6" t="s">
        <v>28</v>
      </c>
      <c r="F63" s="6" t="n">
        <f aca="false">COUNTIF(Rules!$B$2:$B$1568,A63)</f>
        <v>2</v>
      </c>
      <c r="G63" s="6" t="n">
        <f aca="false">COUNTIFS(Rules!$B$2:$B$1568,A63,Rules!$H$2:$H$1568,"QUESTION")</f>
        <v>2</v>
      </c>
      <c r="H63" s="7" t="s">
        <v>5103</v>
      </c>
      <c r="I63" s="7" t="s">
        <v>5104</v>
      </c>
      <c r="J63" s="7" t="s">
        <v>5105</v>
      </c>
      <c r="K63" s="7" t="s">
        <v>5106</v>
      </c>
    </row>
    <row r="64" customFormat="false" ht="23.85" hidden="false" customHeight="false" outlineLevel="0" collapsed="false">
      <c r="A64" s="6" t="s">
        <v>3011</v>
      </c>
      <c r="B64" s="6" t="s">
        <v>20</v>
      </c>
      <c r="C64" s="6" t="s">
        <v>85</v>
      </c>
      <c r="D64" s="6" t="n">
        <v>46</v>
      </c>
      <c r="E64" s="6"/>
      <c r="F64" s="6" t="n">
        <f aca="false">COUNTIF(Rules!$B$2:$B$1568,A64)</f>
        <v>1</v>
      </c>
      <c r="G64" s="6" t="n">
        <f aca="false">COUNTIFS(Rules!$B$2:$B$1568,A64,Rules!$H$2:$H$1568,"QUESTION")</f>
        <v>0</v>
      </c>
      <c r="H64" s="7" t="s">
        <v>5107</v>
      </c>
      <c r="I64" s="7" t="s">
        <v>5108</v>
      </c>
      <c r="J64" s="7" t="s">
        <v>5109</v>
      </c>
      <c r="K64" s="7" t="s">
        <v>5110</v>
      </c>
    </row>
    <row r="65" customFormat="false" ht="35.05" hidden="false" customHeight="false" outlineLevel="0" collapsed="false">
      <c r="A65" s="6" t="s">
        <v>3800</v>
      </c>
      <c r="B65" s="6" t="s">
        <v>21</v>
      </c>
      <c r="C65" s="6" t="s">
        <v>331</v>
      </c>
      <c r="D65" s="6" t="n">
        <v>25</v>
      </c>
      <c r="E65" s="6"/>
      <c r="F65" s="6" t="n">
        <f aca="false">COUNTIF(Rules!$B$2:$B$1568,A65)</f>
        <v>1</v>
      </c>
      <c r="G65" s="6" t="n">
        <f aca="false">COUNTIFS(Rules!$B$2:$B$1568,A65,Rules!$H$2:$H$1568,"QUESTION")</f>
        <v>1</v>
      </c>
      <c r="H65" s="7" t="s">
        <v>5111</v>
      </c>
      <c r="I65" s="7" t="s">
        <v>5112</v>
      </c>
      <c r="J65" s="7" t="s">
        <v>5113</v>
      </c>
      <c r="K65" s="7" t="s">
        <v>5114</v>
      </c>
    </row>
    <row r="66" customFormat="false" ht="23.85" hidden="false" customHeight="false" outlineLevel="0" collapsed="false">
      <c r="A66" s="6" t="s">
        <v>3804</v>
      </c>
      <c r="B66" s="6" t="s">
        <v>21</v>
      </c>
      <c r="C66" s="6" t="s">
        <v>44</v>
      </c>
      <c r="D66" s="6" t="n">
        <v>16</v>
      </c>
      <c r="E66" s="6"/>
      <c r="F66" s="6" t="n">
        <f aca="false">COUNTIF(Rules!$B$2:$B$1568,A66)</f>
        <v>1</v>
      </c>
      <c r="G66" s="6" t="n">
        <f aca="false">COUNTIFS(Rules!$B$2:$B$1568,A66,Rules!$H$2:$H$1568,"QUESTION")</f>
        <v>0</v>
      </c>
      <c r="H66" s="7" t="s">
        <v>5115</v>
      </c>
      <c r="I66" s="7" t="s">
        <v>5116</v>
      </c>
      <c r="J66" s="7" t="s">
        <v>5117</v>
      </c>
      <c r="K66" s="7" t="s">
        <v>5118</v>
      </c>
    </row>
    <row r="67" customFormat="false" ht="23.85" hidden="false" customHeight="false" outlineLevel="0" collapsed="false">
      <c r="A67" s="6" t="s">
        <v>4398</v>
      </c>
      <c r="B67" s="6" t="s">
        <v>22</v>
      </c>
      <c r="C67" s="6" t="s">
        <v>44</v>
      </c>
      <c r="D67" s="6" t="n">
        <v>32</v>
      </c>
      <c r="E67" s="6" t="s">
        <v>27</v>
      </c>
      <c r="F67" s="6" t="n">
        <f aca="false">COUNTIF(Rules!$B$2:$B$1568,A67)</f>
        <v>1</v>
      </c>
      <c r="G67" s="6" t="n">
        <f aca="false">COUNTIFS(Rules!$B$2:$B$1568,A67,Rules!$H$2:$H$1568,"QUESTION")</f>
        <v>0</v>
      </c>
      <c r="H67" s="7" t="s">
        <v>5119</v>
      </c>
      <c r="I67" s="7" t="s">
        <v>5120</v>
      </c>
      <c r="J67" s="7" t="s">
        <v>4894</v>
      </c>
      <c r="K67" s="7" t="s">
        <v>5121</v>
      </c>
    </row>
    <row r="68" customFormat="false" ht="23.85" hidden="false" customHeight="false" outlineLevel="0" collapsed="false">
      <c r="A68" s="6" t="s">
        <v>3807</v>
      </c>
      <c r="B68" s="6" t="s">
        <v>21</v>
      </c>
      <c r="C68" s="6" t="s">
        <v>44</v>
      </c>
      <c r="D68" s="6" t="n">
        <v>26</v>
      </c>
      <c r="E68" s="6"/>
      <c r="F68" s="6" t="n">
        <f aca="false">COUNTIF(Rules!$B$2:$B$1568,A68)</f>
        <v>1</v>
      </c>
      <c r="G68" s="6" t="n">
        <f aca="false">COUNTIFS(Rules!$B$2:$B$1568,A68,Rules!$H$2:$H$1568,"QUESTION")</f>
        <v>0</v>
      </c>
      <c r="H68" s="7" t="s">
        <v>5122</v>
      </c>
      <c r="I68" s="7" t="s">
        <v>5123</v>
      </c>
      <c r="J68" s="7" t="s">
        <v>5124</v>
      </c>
      <c r="K68" s="7" t="s">
        <v>5125</v>
      </c>
    </row>
    <row r="69" customFormat="false" ht="35.05" hidden="false" customHeight="false" outlineLevel="0" collapsed="false">
      <c r="A69" s="6" t="s">
        <v>1392</v>
      </c>
      <c r="B69" s="6" t="s">
        <v>18</v>
      </c>
      <c r="C69" s="6" t="s">
        <v>49</v>
      </c>
      <c r="D69" s="6" t="n">
        <v>41</v>
      </c>
      <c r="E69" s="6" t="s">
        <v>28</v>
      </c>
      <c r="F69" s="6" t="n">
        <f aca="false">COUNTIF(Rules!$B$2:$B$1568,A69)</f>
        <v>2</v>
      </c>
      <c r="G69" s="6" t="n">
        <f aca="false">COUNTIFS(Rules!$B$2:$B$1568,A69,Rules!$H$2:$H$1568,"QUESTION")</f>
        <v>1</v>
      </c>
      <c r="H69" s="7" t="s">
        <v>5126</v>
      </c>
      <c r="I69" s="7" t="s">
        <v>5096</v>
      </c>
      <c r="J69" s="7" t="s">
        <v>5105</v>
      </c>
      <c r="K69" s="7" t="s">
        <v>5127</v>
      </c>
    </row>
    <row r="70" customFormat="false" ht="57.45" hidden="false" customHeight="false" outlineLevel="0" collapsed="false">
      <c r="A70" s="6" t="s">
        <v>3811</v>
      </c>
      <c r="B70" s="6" t="s">
        <v>21</v>
      </c>
      <c r="C70" s="6" t="s">
        <v>44</v>
      </c>
      <c r="D70" s="6" t="n">
        <v>86</v>
      </c>
      <c r="E70" s="6"/>
      <c r="F70" s="6" t="n">
        <f aca="false">COUNTIF(Rules!$B$2:$B$1568,A70)</f>
        <v>3</v>
      </c>
      <c r="G70" s="6" t="n">
        <f aca="false">COUNTIFS(Rules!$B$2:$B$1568,A70,Rules!$H$2:$H$1568,"QUESTION")</f>
        <v>3</v>
      </c>
      <c r="H70" s="7" t="s">
        <v>5128</v>
      </c>
      <c r="I70" s="7" t="s">
        <v>5129</v>
      </c>
      <c r="J70" s="7" t="s">
        <v>5130</v>
      </c>
      <c r="K70" s="7" t="s">
        <v>5131</v>
      </c>
    </row>
    <row r="71" customFormat="false" ht="35.05" hidden="false" customHeight="false" outlineLevel="0" collapsed="false">
      <c r="A71" s="6" t="s">
        <v>1399</v>
      </c>
      <c r="B71" s="6" t="s">
        <v>18</v>
      </c>
      <c r="C71" s="6" t="s">
        <v>49</v>
      </c>
      <c r="D71" s="6" t="n">
        <v>62</v>
      </c>
      <c r="E71" s="6" t="s">
        <v>714</v>
      </c>
      <c r="F71" s="6" t="n">
        <f aca="false">COUNTIF(Rules!$B$2:$B$1568,A71)</f>
        <v>3</v>
      </c>
      <c r="G71" s="6" t="n">
        <f aca="false">COUNTIFS(Rules!$B$2:$B$1568,A71,Rules!$H$2:$H$1568,"QUESTION")</f>
        <v>1</v>
      </c>
      <c r="H71" s="7" t="s">
        <v>5132</v>
      </c>
      <c r="I71" s="7" t="s">
        <v>5133</v>
      </c>
      <c r="J71" s="7" t="s">
        <v>4894</v>
      </c>
      <c r="K71" s="7" t="s">
        <v>5134</v>
      </c>
    </row>
    <row r="72" customFormat="false" ht="23.85" hidden="false" customHeight="false" outlineLevel="0" collapsed="false">
      <c r="A72" s="6" t="s">
        <v>314</v>
      </c>
      <c r="B72" s="6" t="s">
        <v>16</v>
      </c>
      <c r="C72" s="6" t="s">
        <v>44</v>
      </c>
      <c r="D72" s="6" t="n">
        <v>13</v>
      </c>
      <c r="E72" s="6" t="s">
        <v>27</v>
      </c>
      <c r="F72" s="6" t="n">
        <f aca="false">COUNTIF(Rules!$B$2:$B$1568,A72)</f>
        <v>1</v>
      </c>
      <c r="G72" s="6" t="n">
        <f aca="false">COUNTIFS(Rules!$B$2:$B$1568,A72,Rules!$H$2:$H$1568,"QUESTION")</f>
        <v>0</v>
      </c>
      <c r="H72" s="7" t="s">
        <v>5135</v>
      </c>
      <c r="I72" s="7" t="s">
        <v>5090</v>
      </c>
      <c r="J72" s="7" t="s">
        <v>4894</v>
      </c>
      <c r="K72" s="7" t="s">
        <v>5136</v>
      </c>
    </row>
    <row r="73" customFormat="false" ht="35.05" hidden="false" customHeight="false" outlineLevel="0" collapsed="false">
      <c r="A73" s="6" t="s">
        <v>318</v>
      </c>
      <c r="B73" s="6" t="s">
        <v>16</v>
      </c>
      <c r="C73" s="6" t="s">
        <v>274</v>
      </c>
      <c r="D73" s="6" t="n">
        <v>7</v>
      </c>
      <c r="E73" s="6" t="s">
        <v>319</v>
      </c>
      <c r="F73" s="6" t="n">
        <f aca="false">COUNTIF(Rules!$B$2:$B$1568,A73)</f>
        <v>2</v>
      </c>
      <c r="G73" s="6" t="n">
        <f aca="false">COUNTIFS(Rules!$B$2:$B$1568,A73,Rules!$H$2:$H$1568,"QUESTION")</f>
        <v>1</v>
      </c>
      <c r="H73" s="7" t="s">
        <v>5137</v>
      </c>
      <c r="I73" s="7" t="s">
        <v>5138</v>
      </c>
      <c r="J73" s="7" t="s">
        <v>5139</v>
      </c>
      <c r="K73" s="7" t="s">
        <v>5140</v>
      </c>
    </row>
    <row r="74" customFormat="false" ht="23.85" hidden="false" customHeight="false" outlineLevel="0" collapsed="false">
      <c r="A74" s="6" t="s">
        <v>4402</v>
      </c>
      <c r="B74" s="6" t="s">
        <v>22</v>
      </c>
      <c r="C74" s="6" t="s">
        <v>85</v>
      </c>
      <c r="D74" s="6" t="n">
        <v>44</v>
      </c>
      <c r="E74" s="6" t="s">
        <v>27</v>
      </c>
      <c r="F74" s="6" t="n">
        <f aca="false">COUNTIF(Rules!$B$2:$B$1568,A74)</f>
        <v>2</v>
      </c>
      <c r="G74" s="6" t="n">
        <f aca="false">COUNTIFS(Rules!$B$2:$B$1568,A74,Rules!$H$2:$H$1568,"QUESTION")</f>
        <v>1</v>
      </c>
      <c r="H74" s="7" t="s">
        <v>5141</v>
      </c>
      <c r="I74" s="7" t="s">
        <v>5142</v>
      </c>
      <c r="J74" s="7" t="s">
        <v>5143</v>
      </c>
      <c r="K74" s="7" t="s">
        <v>5144</v>
      </c>
    </row>
    <row r="75" customFormat="false" ht="23.85" hidden="false" customHeight="false" outlineLevel="0" collapsed="false">
      <c r="A75" s="6" t="s">
        <v>326</v>
      </c>
      <c r="B75" s="6" t="s">
        <v>16</v>
      </c>
      <c r="C75" s="6" t="s">
        <v>79</v>
      </c>
      <c r="D75" s="6" t="n">
        <v>18</v>
      </c>
      <c r="E75" s="6" t="s">
        <v>27</v>
      </c>
      <c r="F75" s="6" t="n">
        <f aca="false">COUNTIF(Rules!$B$2:$B$1568,A75)</f>
        <v>1</v>
      </c>
      <c r="G75" s="6" t="n">
        <f aca="false">COUNTIFS(Rules!$B$2:$B$1568,A75,Rules!$H$2:$H$1568,"QUESTION")</f>
        <v>0</v>
      </c>
      <c r="H75" s="7" t="s">
        <v>5145</v>
      </c>
      <c r="I75" s="7" t="s">
        <v>5146</v>
      </c>
      <c r="J75" s="7" t="s">
        <v>4894</v>
      </c>
      <c r="K75" s="7" t="s">
        <v>5147</v>
      </c>
    </row>
    <row r="76" customFormat="false" ht="23.85" hidden="false" customHeight="false" outlineLevel="0" collapsed="false">
      <c r="A76" s="6" t="s">
        <v>3015</v>
      </c>
      <c r="B76" s="6" t="s">
        <v>20</v>
      </c>
      <c r="C76" s="6" t="s">
        <v>85</v>
      </c>
      <c r="D76" s="6" t="n">
        <v>13</v>
      </c>
      <c r="E76" s="6"/>
      <c r="F76" s="6" t="n">
        <f aca="false">COUNTIF(Rules!$B$2:$B$1568,A76)</f>
        <v>1</v>
      </c>
      <c r="G76" s="6" t="n">
        <f aca="false">COUNTIFS(Rules!$B$2:$B$1568,A76,Rules!$H$2:$H$1568,"QUESTION")</f>
        <v>0</v>
      </c>
      <c r="H76" s="7" t="s">
        <v>5148</v>
      </c>
      <c r="I76" s="7" t="s">
        <v>4894</v>
      </c>
      <c r="J76" s="7" t="s">
        <v>4894</v>
      </c>
      <c r="K76" s="7" t="s">
        <v>5149</v>
      </c>
    </row>
    <row r="77" customFormat="false" ht="23.85" hidden="false" customHeight="false" outlineLevel="0" collapsed="false">
      <c r="A77" s="6" t="s">
        <v>3018</v>
      </c>
      <c r="B77" s="6" t="s">
        <v>20</v>
      </c>
      <c r="C77" s="6" t="s">
        <v>49</v>
      </c>
      <c r="D77" s="6" t="n">
        <v>37</v>
      </c>
      <c r="E77" s="6"/>
      <c r="F77" s="6" t="n">
        <f aca="false">COUNTIF(Rules!$B$2:$B$1568,A77)</f>
        <v>2</v>
      </c>
      <c r="G77" s="6" t="n">
        <f aca="false">COUNTIFS(Rules!$B$2:$B$1568,A77,Rules!$H$2:$H$1568,"QUESTION")</f>
        <v>1</v>
      </c>
      <c r="H77" s="7" t="s">
        <v>5150</v>
      </c>
      <c r="I77" s="7" t="s">
        <v>5151</v>
      </c>
      <c r="J77" s="7" t="s">
        <v>4894</v>
      </c>
      <c r="K77" s="7" t="s">
        <v>5152</v>
      </c>
    </row>
    <row r="78" customFormat="false" ht="57.45" hidden="false" customHeight="false" outlineLevel="0" collapsed="false">
      <c r="A78" s="6" t="s">
        <v>1408</v>
      </c>
      <c r="B78" s="6" t="s">
        <v>18</v>
      </c>
      <c r="C78" s="6" t="s">
        <v>274</v>
      </c>
      <c r="D78" s="6" t="n">
        <v>100</v>
      </c>
      <c r="E78" s="6" t="s">
        <v>28</v>
      </c>
      <c r="F78" s="6" t="n">
        <f aca="false">COUNTIF(Rules!$B$2:$B$1568,A78)</f>
        <v>7</v>
      </c>
      <c r="G78" s="6" t="n">
        <f aca="false">COUNTIFS(Rules!$B$2:$B$1568,A78,Rules!$H$2:$H$1568,"QUESTION")</f>
        <v>3</v>
      </c>
      <c r="H78" s="7" t="s">
        <v>5153</v>
      </c>
      <c r="I78" s="7" t="s">
        <v>5154</v>
      </c>
      <c r="J78" s="7" t="s">
        <v>5155</v>
      </c>
      <c r="K78" s="7" t="s">
        <v>5156</v>
      </c>
    </row>
    <row r="79" customFormat="false" ht="46.25" hidden="false" customHeight="false" outlineLevel="0" collapsed="false">
      <c r="A79" s="6" t="s">
        <v>3024</v>
      </c>
      <c r="B79" s="6" t="s">
        <v>20</v>
      </c>
      <c r="C79" s="6" t="s">
        <v>49</v>
      </c>
      <c r="D79" s="6" t="n">
        <v>114</v>
      </c>
      <c r="E79" s="6" t="s">
        <v>264</v>
      </c>
      <c r="F79" s="6" t="n">
        <f aca="false">COUNTIF(Rules!$B$2:$B$1568,A79)</f>
        <v>5</v>
      </c>
      <c r="G79" s="6" t="n">
        <f aca="false">COUNTIFS(Rules!$B$2:$B$1568,A79,Rules!$H$2:$H$1568,"QUESTION")</f>
        <v>0</v>
      </c>
      <c r="H79" s="7" t="s">
        <v>5157</v>
      </c>
      <c r="I79" s="7" t="s">
        <v>5158</v>
      </c>
      <c r="J79" s="7" t="s">
        <v>4894</v>
      </c>
      <c r="K79" s="7" t="s">
        <v>5159</v>
      </c>
    </row>
    <row r="80" customFormat="false" ht="23.85" hidden="false" customHeight="false" outlineLevel="0" collapsed="false">
      <c r="A80" s="6" t="s">
        <v>185</v>
      </c>
      <c r="B80" s="6" t="s">
        <v>15</v>
      </c>
      <c r="C80" s="6" t="s">
        <v>85</v>
      </c>
      <c r="D80" s="6" t="n">
        <v>70</v>
      </c>
      <c r="E80" s="6" t="s">
        <v>27</v>
      </c>
      <c r="F80" s="6" t="n">
        <f aca="false">COUNTIF(Rules!$B$2:$B$1568,A80)</f>
        <v>5</v>
      </c>
      <c r="G80" s="6" t="n">
        <f aca="false">COUNTIFS(Rules!$B$2:$B$1568,A80,Rules!$H$2:$H$1568,"QUESTION")</f>
        <v>2</v>
      </c>
      <c r="H80" s="7" t="s">
        <v>5160</v>
      </c>
      <c r="I80" s="7" t="s">
        <v>5161</v>
      </c>
      <c r="J80" s="7" t="s">
        <v>5162</v>
      </c>
      <c r="K80" s="7" t="s">
        <v>5163</v>
      </c>
    </row>
    <row r="81" customFormat="false" ht="23.85" hidden="false" customHeight="false" outlineLevel="0" collapsed="false">
      <c r="A81" s="6" t="s">
        <v>201</v>
      </c>
      <c r="B81" s="6" t="s">
        <v>15</v>
      </c>
      <c r="C81" s="6" t="s">
        <v>49</v>
      </c>
      <c r="D81" s="6" t="n">
        <v>114</v>
      </c>
      <c r="E81" s="6" t="s">
        <v>27</v>
      </c>
      <c r="F81" s="6" t="n">
        <f aca="false">COUNTIF(Rules!$B$2:$B$1568,A81)</f>
        <v>9</v>
      </c>
      <c r="G81" s="6" t="n">
        <f aca="false">COUNTIFS(Rules!$B$2:$B$1568,A81,Rules!$H$2:$H$1568,"QUESTION")</f>
        <v>1</v>
      </c>
      <c r="H81" s="7" t="s">
        <v>5164</v>
      </c>
      <c r="I81" s="7" t="s">
        <v>5158</v>
      </c>
      <c r="J81" s="7" t="s">
        <v>4894</v>
      </c>
      <c r="K81" s="7" t="s">
        <v>5165</v>
      </c>
    </row>
    <row r="82" customFormat="false" ht="23.85" hidden="false" customHeight="false" outlineLevel="0" collapsed="false">
      <c r="A82" s="6" t="s">
        <v>229</v>
      </c>
      <c r="B82" s="6" t="s">
        <v>15</v>
      </c>
      <c r="C82" s="6" t="s">
        <v>230</v>
      </c>
      <c r="D82" s="6" t="n">
        <v>114</v>
      </c>
      <c r="E82" s="6" t="s">
        <v>27</v>
      </c>
      <c r="F82" s="6" t="n">
        <f aca="false">COUNTIF(Rules!$B$2:$B$1568,A82)</f>
        <v>2</v>
      </c>
      <c r="G82" s="6" t="n">
        <f aca="false">COUNTIFS(Rules!$B$2:$B$1568,A82,Rules!$H$2:$H$1568,"QUESTION")</f>
        <v>1</v>
      </c>
      <c r="H82" s="7" t="s">
        <v>5166</v>
      </c>
      <c r="I82" s="7" t="s">
        <v>5158</v>
      </c>
      <c r="J82" s="7" t="s">
        <v>4894</v>
      </c>
      <c r="K82" s="7" t="s">
        <v>5167</v>
      </c>
    </row>
    <row r="83" customFormat="false" ht="23.85" hidden="false" customHeight="false" outlineLevel="0" collapsed="false">
      <c r="A83" s="6" t="s">
        <v>237</v>
      </c>
      <c r="B83" s="6" t="s">
        <v>15</v>
      </c>
      <c r="C83" s="6" t="s">
        <v>230</v>
      </c>
      <c r="D83" s="6" t="n">
        <v>92</v>
      </c>
      <c r="E83" s="6" t="s">
        <v>27</v>
      </c>
      <c r="F83" s="6" t="n">
        <f aca="false">COUNTIF(Rules!$B$2:$B$1568,A83)</f>
        <v>1</v>
      </c>
      <c r="G83" s="6" t="n">
        <f aca="false">COUNTIFS(Rules!$B$2:$B$1568,A83,Rules!$H$2:$H$1568,"QUESTION")</f>
        <v>0</v>
      </c>
      <c r="H83" s="7" t="s">
        <v>5168</v>
      </c>
      <c r="I83" s="7" t="s">
        <v>5158</v>
      </c>
      <c r="J83" s="7" t="s">
        <v>4894</v>
      </c>
      <c r="K83" s="7" t="s">
        <v>5169</v>
      </c>
    </row>
    <row r="84" customFormat="false" ht="23.85" hidden="false" customHeight="false" outlineLevel="0" collapsed="false">
      <c r="A84" s="6" t="s">
        <v>241</v>
      </c>
      <c r="B84" s="6" t="s">
        <v>15</v>
      </c>
      <c r="C84" s="6" t="s">
        <v>230</v>
      </c>
      <c r="D84" s="6" t="n">
        <v>79</v>
      </c>
      <c r="E84" s="6" t="s">
        <v>27</v>
      </c>
      <c r="F84" s="6" t="n">
        <f aca="false">COUNTIF(Rules!$B$2:$B$1568,A84)</f>
        <v>2</v>
      </c>
      <c r="G84" s="6" t="n">
        <f aca="false">COUNTIFS(Rules!$B$2:$B$1568,A84,Rules!$H$2:$H$1568,"QUESTION")</f>
        <v>1</v>
      </c>
      <c r="H84" s="7" t="s">
        <v>5170</v>
      </c>
      <c r="I84" s="7" t="s">
        <v>5171</v>
      </c>
      <c r="J84" s="7" t="s">
        <v>4894</v>
      </c>
      <c r="K84" s="7" t="s">
        <v>5172</v>
      </c>
    </row>
    <row r="85" customFormat="false" ht="23.85" hidden="false" customHeight="false" outlineLevel="0" collapsed="false">
      <c r="A85" s="6" t="s">
        <v>3819</v>
      </c>
      <c r="B85" s="6" t="s">
        <v>21</v>
      </c>
      <c r="C85" s="6" t="s">
        <v>44</v>
      </c>
      <c r="D85" s="6" t="n">
        <v>42</v>
      </c>
      <c r="E85" s="6"/>
      <c r="F85" s="6" t="n">
        <f aca="false">COUNTIF(Rules!$B$2:$B$1568,A85)</f>
        <v>4</v>
      </c>
      <c r="G85" s="6" t="n">
        <f aca="false">COUNTIFS(Rules!$B$2:$B$1568,A85,Rules!$H$2:$H$1568,"QUESTION")</f>
        <v>1</v>
      </c>
      <c r="H85" s="7" t="s">
        <v>5173</v>
      </c>
      <c r="I85" s="7" t="s">
        <v>5174</v>
      </c>
      <c r="J85" s="7" t="s">
        <v>4909</v>
      </c>
      <c r="K85" s="7" t="s">
        <v>5175</v>
      </c>
    </row>
    <row r="86" customFormat="false" ht="23.85" hidden="false" customHeight="false" outlineLevel="0" collapsed="false">
      <c r="A86" s="6" t="s">
        <v>1430</v>
      </c>
      <c r="B86" s="6" t="s">
        <v>18</v>
      </c>
      <c r="C86" s="6" t="s">
        <v>44</v>
      </c>
      <c r="D86" s="6" t="n">
        <v>24</v>
      </c>
      <c r="E86" s="6" t="s">
        <v>28</v>
      </c>
      <c r="F86" s="6" t="n">
        <f aca="false">COUNTIF(Rules!$B$2:$B$1568,A86)</f>
        <v>3</v>
      </c>
      <c r="G86" s="6" t="n">
        <f aca="false">COUNTIFS(Rules!$B$2:$B$1568,A86,Rules!$H$2:$H$1568,"QUESTION")</f>
        <v>2</v>
      </c>
      <c r="H86" s="7" t="s">
        <v>5176</v>
      </c>
      <c r="I86" s="7" t="s">
        <v>5177</v>
      </c>
      <c r="J86" s="7" t="s">
        <v>4894</v>
      </c>
      <c r="K86" s="7" t="s">
        <v>5178</v>
      </c>
    </row>
    <row r="87" customFormat="false" ht="23.85" hidden="false" customHeight="false" outlineLevel="0" collapsed="false">
      <c r="A87" s="6" t="s">
        <v>3039</v>
      </c>
      <c r="B87" s="6" t="s">
        <v>20</v>
      </c>
      <c r="C87" s="6" t="s">
        <v>44</v>
      </c>
      <c r="D87" s="6" t="n">
        <v>46</v>
      </c>
      <c r="E87" s="6"/>
      <c r="F87" s="6" t="n">
        <f aca="false">COUNTIF(Rules!$B$2:$B$1568,A87)</f>
        <v>4</v>
      </c>
      <c r="G87" s="6" t="n">
        <f aca="false">COUNTIFS(Rules!$B$2:$B$1568,A87,Rules!$H$2:$H$1568,"QUESTION")</f>
        <v>4</v>
      </c>
      <c r="H87" s="7" t="s">
        <v>5179</v>
      </c>
      <c r="I87" s="7" t="s">
        <v>5180</v>
      </c>
      <c r="J87" s="7" t="s">
        <v>4909</v>
      </c>
      <c r="K87" s="7" t="s">
        <v>5181</v>
      </c>
    </row>
    <row r="88" customFormat="false" ht="23.85" hidden="false" customHeight="false" outlineLevel="0" collapsed="false">
      <c r="A88" s="6" t="s">
        <v>4690</v>
      </c>
      <c r="B88" s="6" t="s">
        <v>23</v>
      </c>
      <c r="C88" s="6" t="s">
        <v>44</v>
      </c>
      <c r="D88" s="6" t="n">
        <v>53</v>
      </c>
      <c r="E88" s="6"/>
      <c r="F88" s="6" t="n">
        <f aca="false">COUNTIF(Rules!$B$2:$B$1568,A88)</f>
        <v>1</v>
      </c>
      <c r="G88" s="6" t="n">
        <f aca="false">COUNTIFS(Rules!$B$2:$B$1568,A88,Rules!$H$2:$H$1568,"QUESTION")</f>
        <v>0</v>
      </c>
      <c r="H88" s="7" t="s">
        <v>5182</v>
      </c>
      <c r="I88" s="7" t="s">
        <v>5183</v>
      </c>
      <c r="J88" s="7" t="s">
        <v>4894</v>
      </c>
      <c r="K88" s="7" t="s">
        <v>5184</v>
      </c>
    </row>
    <row r="89" customFormat="false" ht="35.05" hidden="false" customHeight="false" outlineLevel="0" collapsed="false">
      <c r="A89" s="6" t="s">
        <v>330</v>
      </c>
      <c r="B89" s="6" t="s">
        <v>16</v>
      </c>
      <c r="C89" s="6" t="s">
        <v>331</v>
      </c>
      <c r="D89" s="6" t="n">
        <v>61</v>
      </c>
      <c r="E89" s="6" t="s">
        <v>319</v>
      </c>
      <c r="F89" s="6" t="n">
        <f aca="false">COUNTIF(Rules!$B$2:$B$1568,A89)</f>
        <v>5</v>
      </c>
      <c r="G89" s="6" t="n">
        <f aca="false">COUNTIFS(Rules!$B$2:$B$1568,A89,Rules!$H$2:$H$1568,"QUESTION")</f>
        <v>5</v>
      </c>
      <c r="H89" s="7" t="s">
        <v>5185</v>
      </c>
      <c r="I89" s="7" t="s">
        <v>5186</v>
      </c>
      <c r="J89" s="7" t="s">
        <v>5187</v>
      </c>
      <c r="K89" s="7" t="s">
        <v>5188</v>
      </c>
    </row>
    <row r="90" customFormat="false" ht="35.05" hidden="false" customHeight="false" outlineLevel="0" collapsed="false">
      <c r="A90" s="6" t="s">
        <v>3052</v>
      </c>
      <c r="B90" s="6" t="s">
        <v>20</v>
      </c>
      <c r="C90" s="6" t="s">
        <v>85</v>
      </c>
      <c r="D90" s="6" t="n">
        <v>80</v>
      </c>
      <c r="E90" s="6"/>
      <c r="F90" s="6" t="n">
        <f aca="false">COUNTIF(Rules!$B$2:$B$1568,A90)</f>
        <v>9</v>
      </c>
      <c r="G90" s="6" t="n">
        <f aca="false">COUNTIFS(Rules!$B$2:$B$1568,A90,Rules!$H$2:$H$1568,"QUESTION")</f>
        <v>4</v>
      </c>
      <c r="H90" s="7" t="s">
        <v>5189</v>
      </c>
      <c r="I90" s="7" t="s">
        <v>5190</v>
      </c>
      <c r="J90" s="7" t="s">
        <v>5191</v>
      </c>
      <c r="K90" s="7" t="s">
        <v>5192</v>
      </c>
    </row>
    <row r="91" customFormat="false" ht="15" hidden="false" customHeight="false" outlineLevel="0" collapsed="false">
      <c r="A91" s="6" t="s">
        <v>4694</v>
      </c>
      <c r="B91" s="6" t="s">
        <v>23</v>
      </c>
      <c r="C91" s="6" t="s">
        <v>79</v>
      </c>
      <c r="D91" s="6" t="n">
        <v>29</v>
      </c>
      <c r="E91" s="6"/>
      <c r="F91" s="6" t="n">
        <f aca="false">COUNTIF(Rules!$B$2:$B$1568,A91)</f>
        <v>1</v>
      </c>
      <c r="G91" s="6" t="n">
        <f aca="false">COUNTIFS(Rules!$B$2:$B$1568,A91,Rules!$H$2:$H$1568,"QUESTION")</f>
        <v>0</v>
      </c>
      <c r="H91" s="7" t="s">
        <v>5193</v>
      </c>
      <c r="I91" s="7" t="s">
        <v>5194</v>
      </c>
      <c r="J91" s="7" t="s">
        <v>4894</v>
      </c>
      <c r="K91" s="7" t="s">
        <v>4894</v>
      </c>
    </row>
    <row r="92" customFormat="false" ht="23.85" hidden="false" customHeight="false" outlineLevel="0" collapsed="false">
      <c r="A92" s="6" t="s">
        <v>4698</v>
      </c>
      <c r="B92" s="6" t="s">
        <v>23</v>
      </c>
      <c r="C92" s="6" t="s">
        <v>79</v>
      </c>
      <c r="D92" s="6" t="n">
        <v>37</v>
      </c>
      <c r="E92" s="6"/>
      <c r="F92" s="6" t="n">
        <f aca="false">COUNTIF(Rules!$B$2:$B$1568,A92)</f>
        <v>1</v>
      </c>
      <c r="G92" s="6" t="n">
        <f aca="false">COUNTIFS(Rules!$B$2:$B$1568,A92,Rules!$H$2:$H$1568,"QUESTION")</f>
        <v>0</v>
      </c>
      <c r="H92" s="7" t="s">
        <v>5195</v>
      </c>
      <c r="I92" s="7" t="s">
        <v>4894</v>
      </c>
      <c r="J92" s="7" t="s">
        <v>4894</v>
      </c>
      <c r="K92" s="7" t="s">
        <v>4894</v>
      </c>
    </row>
    <row r="93" customFormat="false" ht="57.45" hidden="false" customHeight="false" outlineLevel="0" collapsed="false">
      <c r="A93" s="6" t="s">
        <v>2464</v>
      </c>
      <c r="B93" s="6" t="s">
        <v>19</v>
      </c>
      <c r="C93" s="6" t="s">
        <v>1303</v>
      </c>
      <c r="D93" s="6" t="n">
        <v>194</v>
      </c>
      <c r="E93" s="6" t="s">
        <v>50</v>
      </c>
      <c r="F93" s="6" t="n">
        <f aca="false">COUNTIF(Rules!$B$2:$B$1568,A93)</f>
        <v>14</v>
      </c>
      <c r="G93" s="6" t="n">
        <f aca="false">COUNTIFS(Rules!$B$2:$B$1568,A93,Rules!$H$2:$H$1568,"QUESTION")</f>
        <v>7</v>
      </c>
      <c r="H93" s="7" t="s">
        <v>5196</v>
      </c>
      <c r="I93" s="7" t="s">
        <v>5197</v>
      </c>
      <c r="J93" s="7" t="s">
        <v>4894</v>
      </c>
      <c r="K93" s="7" t="s">
        <v>5198</v>
      </c>
    </row>
    <row r="94" customFormat="false" ht="91" hidden="false" customHeight="false" outlineLevel="0" collapsed="false">
      <c r="A94" s="6" t="s">
        <v>2505</v>
      </c>
      <c r="B94" s="6" t="s">
        <v>19</v>
      </c>
      <c r="C94" s="6" t="s">
        <v>230</v>
      </c>
      <c r="D94" s="6" t="n">
        <v>343</v>
      </c>
      <c r="E94" s="6" t="s">
        <v>2506</v>
      </c>
      <c r="F94" s="6" t="n">
        <f aca="false">COUNTIF(Rules!$B$2:$B$1568,A94)</f>
        <v>23</v>
      </c>
      <c r="G94" s="6" t="n">
        <f aca="false">COUNTIFS(Rules!$B$2:$B$1568,A94,Rules!$H$2:$H$1568,"QUESTION")</f>
        <v>13</v>
      </c>
      <c r="H94" s="7" t="s">
        <v>5199</v>
      </c>
      <c r="I94" s="7" t="s">
        <v>5200</v>
      </c>
      <c r="J94" s="7" t="s">
        <v>4894</v>
      </c>
      <c r="K94" s="7" t="s">
        <v>5201</v>
      </c>
    </row>
    <row r="95" customFormat="false" ht="91" hidden="false" customHeight="false" outlineLevel="0" collapsed="false">
      <c r="A95" s="6" t="s">
        <v>2573</v>
      </c>
      <c r="B95" s="6" t="s">
        <v>19</v>
      </c>
      <c r="C95" s="6" t="s">
        <v>1303</v>
      </c>
      <c r="D95" s="6" t="n">
        <v>413</v>
      </c>
      <c r="E95" s="6" t="s">
        <v>2506</v>
      </c>
      <c r="F95" s="6" t="n">
        <f aca="false">COUNTIF(Rules!$B$2:$B$1568,A95)</f>
        <v>30</v>
      </c>
      <c r="G95" s="6" t="n">
        <f aca="false">COUNTIFS(Rules!$B$2:$B$1568,A95,Rules!$H$2:$H$1568,"QUESTION")</f>
        <v>12</v>
      </c>
      <c r="H95" s="7" t="s">
        <v>5202</v>
      </c>
      <c r="I95" s="7" t="s">
        <v>5203</v>
      </c>
      <c r="J95" s="7" t="s">
        <v>5204</v>
      </c>
      <c r="K95" s="7" t="s">
        <v>5205</v>
      </c>
    </row>
    <row r="96" customFormat="false" ht="23.85" hidden="false" customHeight="false" outlineLevel="0" collapsed="false">
      <c r="A96" s="6" t="s">
        <v>4702</v>
      </c>
      <c r="B96" s="6" t="s">
        <v>23</v>
      </c>
      <c r="C96" s="6" t="s">
        <v>79</v>
      </c>
      <c r="D96" s="6" t="n">
        <v>75</v>
      </c>
      <c r="E96" s="6"/>
      <c r="F96" s="6" t="n">
        <f aca="false">COUNTIF(Rules!$B$2:$B$1568,A96)</f>
        <v>1</v>
      </c>
      <c r="G96" s="6" t="n">
        <f aca="false">COUNTIFS(Rules!$B$2:$B$1568,A96,Rules!$H$2:$H$1568,"QUESTION")</f>
        <v>0</v>
      </c>
      <c r="H96" s="7" t="s">
        <v>5206</v>
      </c>
      <c r="I96" s="7" t="s">
        <v>4894</v>
      </c>
      <c r="J96" s="7" t="s">
        <v>5207</v>
      </c>
      <c r="K96" s="7" t="s">
        <v>5208</v>
      </c>
    </row>
    <row r="97" customFormat="false" ht="46.25" hidden="false" customHeight="false" outlineLevel="0" collapsed="false">
      <c r="A97" s="6" t="s">
        <v>4408</v>
      </c>
      <c r="B97" s="6" t="s">
        <v>22</v>
      </c>
      <c r="C97" s="6" t="s">
        <v>331</v>
      </c>
      <c r="D97" s="6" t="n">
        <v>45</v>
      </c>
      <c r="E97" s="6" t="s">
        <v>27</v>
      </c>
      <c r="F97" s="6" t="n">
        <f aca="false">COUNTIF(Rules!$B$2:$B$1568,A97)</f>
        <v>4</v>
      </c>
      <c r="G97" s="6" t="n">
        <f aca="false">COUNTIFS(Rules!$B$2:$B$1568,A97,Rules!$H$2:$H$1568,"QUESTION")</f>
        <v>2</v>
      </c>
      <c r="H97" s="7" t="s">
        <v>5209</v>
      </c>
      <c r="I97" s="7" t="s">
        <v>5210</v>
      </c>
      <c r="J97" s="7" t="s">
        <v>5211</v>
      </c>
      <c r="K97" s="7" t="s">
        <v>5212</v>
      </c>
    </row>
    <row r="98" customFormat="false" ht="23.85" hidden="false" customHeight="false" outlineLevel="0" collapsed="false">
      <c r="A98" s="6" t="s">
        <v>3079</v>
      </c>
      <c r="B98" s="6" t="s">
        <v>20</v>
      </c>
      <c r="C98" s="6" t="s">
        <v>49</v>
      </c>
      <c r="D98" s="6" t="n">
        <v>17</v>
      </c>
      <c r="E98" s="6" t="s">
        <v>29</v>
      </c>
      <c r="F98" s="6" t="n">
        <f aca="false">COUNTIF(Rules!$B$2:$B$1568,A98)</f>
        <v>2</v>
      </c>
      <c r="G98" s="6" t="n">
        <f aca="false">COUNTIFS(Rules!$B$2:$B$1568,A98,Rules!$H$2:$H$1568,"QUESTION")</f>
        <v>1</v>
      </c>
      <c r="H98" s="7" t="s">
        <v>5213</v>
      </c>
      <c r="I98" s="7" t="s">
        <v>5214</v>
      </c>
      <c r="J98" s="7" t="s">
        <v>4894</v>
      </c>
      <c r="K98" s="7" t="s">
        <v>5215</v>
      </c>
    </row>
    <row r="99" customFormat="false" ht="23.85" hidden="false" customHeight="false" outlineLevel="0" collapsed="false">
      <c r="A99" s="6" t="s">
        <v>3831</v>
      </c>
      <c r="B99" s="6" t="s">
        <v>21</v>
      </c>
      <c r="C99" s="6" t="s">
        <v>274</v>
      </c>
      <c r="D99" s="6" t="n">
        <v>28</v>
      </c>
      <c r="E99" s="6"/>
      <c r="F99" s="6" t="n">
        <f aca="false">COUNTIF(Rules!$B$2:$B$1568,A99)</f>
        <v>2</v>
      </c>
      <c r="G99" s="6" t="n">
        <f aca="false">COUNTIFS(Rules!$B$2:$B$1568,A99,Rules!$H$2:$H$1568,"QUESTION")</f>
        <v>0</v>
      </c>
      <c r="H99" s="7" t="s">
        <v>5216</v>
      </c>
      <c r="I99" s="7" t="s">
        <v>5217</v>
      </c>
      <c r="J99" s="7" t="s">
        <v>5218</v>
      </c>
      <c r="K99" s="7" t="s">
        <v>5219</v>
      </c>
    </row>
    <row r="100" customFormat="false" ht="23.85" hidden="false" customHeight="false" outlineLevel="0" collapsed="false">
      <c r="A100" s="6" t="s">
        <v>3838</v>
      </c>
      <c r="B100" s="6" t="s">
        <v>21</v>
      </c>
      <c r="C100" s="6" t="s">
        <v>274</v>
      </c>
      <c r="D100" s="6" t="n">
        <v>41</v>
      </c>
      <c r="E100" s="6"/>
      <c r="F100" s="6" t="n">
        <f aca="false">COUNTIF(Rules!$B$2:$B$1568,A100)</f>
        <v>3</v>
      </c>
      <c r="G100" s="6" t="n">
        <f aca="false">COUNTIFS(Rules!$B$2:$B$1568,A100,Rules!$H$2:$H$1568,"QUESTION")</f>
        <v>0</v>
      </c>
      <c r="H100" s="7" t="s">
        <v>5220</v>
      </c>
      <c r="I100" s="7" t="s">
        <v>5221</v>
      </c>
      <c r="J100" s="7" t="s">
        <v>5222</v>
      </c>
      <c r="K100" s="7" t="s">
        <v>5223</v>
      </c>
    </row>
    <row r="101" customFormat="false" ht="15" hidden="false" customHeight="false" outlineLevel="0" collapsed="false">
      <c r="A101" s="6" t="s">
        <v>347</v>
      </c>
      <c r="B101" s="6" t="s">
        <v>16</v>
      </c>
      <c r="C101" s="6" t="s">
        <v>49</v>
      </c>
      <c r="D101" s="6" t="n">
        <v>17</v>
      </c>
      <c r="E101" s="6" t="s">
        <v>27</v>
      </c>
      <c r="F101" s="6" t="n">
        <f aca="false">COUNTIF(Rules!$B$2:$B$1568,A101)</f>
        <v>1</v>
      </c>
      <c r="G101" s="6" t="n">
        <f aca="false">COUNTIFS(Rules!$B$2:$B$1568,A101,Rules!$H$2:$H$1568,"QUESTION")</f>
        <v>0</v>
      </c>
      <c r="H101" s="7" t="s">
        <v>5224</v>
      </c>
      <c r="I101" s="7" t="s">
        <v>5225</v>
      </c>
      <c r="J101" s="7" t="s">
        <v>4894</v>
      </c>
      <c r="K101" s="7" t="s">
        <v>5226</v>
      </c>
    </row>
    <row r="102" customFormat="false" ht="15" hidden="false" customHeight="false" outlineLevel="0" collapsed="false">
      <c r="A102" s="6" t="s">
        <v>3083</v>
      </c>
      <c r="B102" s="6" t="s">
        <v>20</v>
      </c>
      <c r="C102" s="6" t="s">
        <v>230</v>
      </c>
      <c r="D102" s="6" t="n">
        <v>15</v>
      </c>
      <c r="E102" s="6" t="s">
        <v>29</v>
      </c>
      <c r="F102" s="6" t="n">
        <f aca="false">COUNTIF(Rules!$B$2:$B$1568,A102)</f>
        <v>1</v>
      </c>
      <c r="G102" s="6" t="n">
        <f aca="false">COUNTIFS(Rules!$B$2:$B$1568,A102,Rules!$H$2:$H$1568,"QUESTION")</f>
        <v>1</v>
      </c>
      <c r="H102" s="7" t="s">
        <v>5227</v>
      </c>
      <c r="I102" s="7" t="s">
        <v>5214</v>
      </c>
      <c r="J102" s="7" t="s">
        <v>4894</v>
      </c>
      <c r="K102" s="7" t="s">
        <v>4894</v>
      </c>
    </row>
    <row r="103" customFormat="false" ht="23.85" hidden="false" customHeight="false" outlineLevel="0" collapsed="false">
      <c r="A103" s="6" t="s">
        <v>1438</v>
      </c>
      <c r="B103" s="6" t="s">
        <v>18</v>
      </c>
      <c r="C103" s="6" t="s">
        <v>49</v>
      </c>
      <c r="D103" s="6" t="n">
        <v>153</v>
      </c>
      <c r="E103" s="6"/>
      <c r="F103" s="6" t="n">
        <f aca="false">COUNTIF(Rules!$B$2:$B$1568,A103)</f>
        <v>4</v>
      </c>
      <c r="G103" s="6" t="n">
        <f aca="false">COUNTIFS(Rules!$B$2:$B$1568,A103,Rules!$H$2:$H$1568,"QUESTION")</f>
        <v>0</v>
      </c>
      <c r="H103" s="7" t="s">
        <v>5228</v>
      </c>
      <c r="I103" s="7" t="s">
        <v>5229</v>
      </c>
      <c r="J103" s="7" t="s">
        <v>5230</v>
      </c>
      <c r="K103" s="7" t="s">
        <v>5231</v>
      </c>
    </row>
    <row r="104" customFormat="false" ht="15" hidden="false" customHeight="false" outlineLevel="0" collapsed="false">
      <c r="A104" s="6" t="s">
        <v>4706</v>
      </c>
      <c r="B104" s="6" t="s">
        <v>23</v>
      </c>
      <c r="C104" s="6" t="s">
        <v>44</v>
      </c>
      <c r="D104" s="6" t="n">
        <v>8</v>
      </c>
      <c r="E104" s="6"/>
      <c r="F104" s="6" t="n">
        <f aca="false">COUNTIF(Rules!$B$2:$B$1568,A104)</f>
        <v>1</v>
      </c>
      <c r="G104" s="6" t="n">
        <f aca="false">COUNTIFS(Rules!$B$2:$B$1568,A104,Rules!$H$2:$H$1568,"QUESTION")</f>
        <v>0</v>
      </c>
      <c r="H104" s="7" t="s">
        <v>5232</v>
      </c>
      <c r="I104" s="7" t="s">
        <v>5233</v>
      </c>
      <c r="J104" s="7"/>
      <c r="K104" s="7" t="s">
        <v>4894</v>
      </c>
    </row>
    <row r="105" customFormat="false" ht="15" hidden="false" customHeight="false" outlineLevel="0" collapsed="false">
      <c r="A105" s="6" t="s">
        <v>4709</v>
      </c>
      <c r="B105" s="6" t="s">
        <v>23</v>
      </c>
      <c r="C105" s="6" t="s">
        <v>44</v>
      </c>
      <c r="D105" s="6" t="n">
        <v>8</v>
      </c>
      <c r="E105" s="6"/>
      <c r="F105" s="6" t="n">
        <f aca="false">COUNTIF(Rules!$B$2:$B$1568,A105)</f>
        <v>1</v>
      </c>
      <c r="G105" s="6" t="n">
        <f aca="false">COUNTIFS(Rules!$B$2:$B$1568,A105,Rules!$H$2:$H$1568,"QUESTION")</f>
        <v>0</v>
      </c>
      <c r="H105" s="7" t="s">
        <v>5234</v>
      </c>
      <c r="I105" s="7" t="s">
        <v>5233</v>
      </c>
      <c r="J105" s="7"/>
      <c r="K105" s="7" t="s">
        <v>4894</v>
      </c>
    </row>
    <row r="106" customFormat="false" ht="15" hidden="false" customHeight="false" outlineLevel="0" collapsed="false">
      <c r="A106" s="6" t="s">
        <v>4712</v>
      </c>
      <c r="B106" s="6" t="s">
        <v>23</v>
      </c>
      <c r="C106" s="6" t="s">
        <v>44</v>
      </c>
      <c r="D106" s="6" t="n">
        <v>7</v>
      </c>
      <c r="E106" s="6"/>
      <c r="F106" s="6" t="n">
        <f aca="false">COUNTIF(Rules!$B$2:$B$1568,A106)</f>
        <v>1</v>
      </c>
      <c r="G106" s="6" t="n">
        <f aca="false">COUNTIFS(Rules!$B$2:$B$1568,A106,Rules!$H$2:$H$1568,"QUESTION")</f>
        <v>0</v>
      </c>
      <c r="H106" s="7" t="s">
        <v>5235</v>
      </c>
      <c r="I106" s="7" t="s">
        <v>5233</v>
      </c>
      <c r="J106" s="7"/>
      <c r="K106" s="7" t="s">
        <v>4894</v>
      </c>
    </row>
    <row r="107" customFormat="false" ht="15" hidden="false" customHeight="false" outlineLevel="0" collapsed="false">
      <c r="A107" s="6" t="s">
        <v>4715</v>
      </c>
      <c r="B107" s="6" t="s">
        <v>23</v>
      </c>
      <c r="C107" s="6" t="s">
        <v>79</v>
      </c>
      <c r="D107" s="6" t="n">
        <v>12</v>
      </c>
      <c r="E107" s="6"/>
      <c r="F107" s="6" t="n">
        <f aca="false">COUNTIF(Rules!$B$2:$B$1568,A107)</f>
        <v>1</v>
      </c>
      <c r="G107" s="6" t="n">
        <f aca="false">COUNTIFS(Rules!$B$2:$B$1568,A107,Rules!$H$2:$H$1568,"QUESTION")</f>
        <v>0</v>
      </c>
      <c r="H107" s="7" t="s">
        <v>5236</v>
      </c>
      <c r="I107" s="7" t="s">
        <v>5237</v>
      </c>
      <c r="J107" s="7"/>
      <c r="K107" s="7" t="s">
        <v>4894</v>
      </c>
    </row>
    <row r="108" customFormat="false" ht="15" hidden="false" customHeight="false" outlineLevel="0" collapsed="false">
      <c r="A108" s="6" t="s">
        <v>4718</v>
      </c>
      <c r="B108" s="6" t="s">
        <v>23</v>
      </c>
      <c r="C108" s="6" t="s">
        <v>44</v>
      </c>
      <c r="D108" s="6" t="n">
        <v>7</v>
      </c>
      <c r="E108" s="6"/>
      <c r="F108" s="6" t="n">
        <f aca="false">COUNTIF(Rules!$B$2:$B$1568,A108)</f>
        <v>1</v>
      </c>
      <c r="G108" s="6" t="n">
        <f aca="false">COUNTIFS(Rules!$B$2:$B$1568,A108,Rules!$H$2:$H$1568,"QUESTION")</f>
        <v>0</v>
      </c>
      <c r="H108" s="7" t="s">
        <v>5238</v>
      </c>
      <c r="I108" s="7" t="s">
        <v>5233</v>
      </c>
      <c r="J108" s="7"/>
      <c r="K108" s="7" t="s">
        <v>4894</v>
      </c>
    </row>
    <row r="109" customFormat="false" ht="23.85" hidden="false" customHeight="false" outlineLevel="0" collapsed="false">
      <c r="A109" s="6" t="s">
        <v>3847</v>
      </c>
      <c r="B109" s="6" t="s">
        <v>21</v>
      </c>
      <c r="C109" s="6" t="s">
        <v>44</v>
      </c>
      <c r="D109" s="6" t="n">
        <v>24</v>
      </c>
      <c r="E109" s="6"/>
      <c r="F109" s="6" t="n">
        <f aca="false">COUNTIF(Rules!$B$2:$B$1568,A109)</f>
        <v>1</v>
      </c>
      <c r="G109" s="6" t="n">
        <f aca="false">COUNTIFS(Rules!$B$2:$B$1568,A109,Rules!$H$2:$H$1568,"QUESTION")</f>
        <v>0</v>
      </c>
      <c r="H109" s="7" t="s">
        <v>5239</v>
      </c>
      <c r="I109" s="7" t="s">
        <v>5240</v>
      </c>
      <c r="J109" s="7" t="s">
        <v>5241</v>
      </c>
      <c r="K109" s="7" t="s">
        <v>5242</v>
      </c>
    </row>
    <row r="110" customFormat="false" ht="23.85" hidden="false" customHeight="false" outlineLevel="0" collapsed="false">
      <c r="A110" s="6" t="s">
        <v>3851</v>
      </c>
      <c r="B110" s="6" t="s">
        <v>21</v>
      </c>
      <c r="C110" s="6" t="s">
        <v>44</v>
      </c>
      <c r="D110" s="6" t="n">
        <v>34</v>
      </c>
      <c r="E110" s="6"/>
      <c r="F110" s="6" t="n">
        <f aca="false">COUNTIF(Rules!$B$2:$B$1568,A110)</f>
        <v>1</v>
      </c>
      <c r="G110" s="6" t="n">
        <f aca="false">COUNTIFS(Rules!$B$2:$B$1568,A110,Rules!$H$2:$H$1568,"QUESTION")</f>
        <v>0</v>
      </c>
      <c r="H110" s="7" t="s">
        <v>5243</v>
      </c>
      <c r="I110" s="7" t="s">
        <v>5244</v>
      </c>
      <c r="J110" s="7" t="s">
        <v>4945</v>
      </c>
      <c r="K110" s="7" t="s">
        <v>5245</v>
      </c>
    </row>
    <row r="111" customFormat="false" ht="23.85" hidden="false" customHeight="false" outlineLevel="0" collapsed="false">
      <c r="A111" s="6" t="s">
        <v>3854</v>
      </c>
      <c r="B111" s="6" t="s">
        <v>21</v>
      </c>
      <c r="C111" s="6" t="s">
        <v>44</v>
      </c>
      <c r="D111" s="6" t="n">
        <v>24</v>
      </c>
      <c r="E111" s="6"/>
      <c r="F111" s="6" t="n">
        <f aca="false">COUNTIF(Rules!$B$2:$B$1568,A111)</f>
        <v>1</v>
      </c>
      <c r="G111" s="6" t="n">
        <f aca="false">COUNTIFS(Rules!$B$2:$B$1568,A111,Rules!$H$2:$H$1568,"QUESTION")</f>
        <v>1</v>
      </c>
      <c r="H111" s="7" t="s">
        <v>5246</v>
      </c>
      <c r="I111" s="7" t="s">
        <v>5247</v>
      </c>
      <c r="J111" s="7" t="s">
        <v>5248</v>
      </c>
      <c r="K111" s="7" t="s">
        <v>5249</v>
      </c>
    </row>
    <row r="112" customFormat="false" ht="23.85" hidden="false" customHeight="false" outlineLevel="0" collapsed="false">
      <c r="A112" s="6" t="s">
        <v>3858</v>
      </c>
      <c r="B112" s="6" t="s">
        <v>21</v>
      </c>
      <c r="C112" s="6" t="s">
        <v>44</v>
      </c>
      <c r="D112" s="6" t="n">
        <v>19</v>
      </c>
      <c r="E112" s="6"/>
      <c r="F112" s="6" t="n">
        <f aca="false">COUNTIF(Rules!$B$2:$B$1568,A112)</f>
        <v>1</v>
      </c>
      <c r="G112" s="6" t="n">
        <f aca="false">COUNTIFS(Rules!$B$2:$B$1568,A112,Rules!$H$2:$H$1568,"QUESTION")</f>
        <v>0</v>
      </c>
      <c r="H112" s="7" t="s">
        <v>5250</v>
      </c>
      <c r="I112" s="7" t="s">
        <v>5247</v>
      </c>
      <c r="J112" s="7" t="s">
        <v>5251</v>
      </c>
      <c r="K112" s="7" t="s">
        <v>5252</v>
      </c>
    </row>
    <row r="113" customFormat="false" ht="46.25" hidden="false" customHeight="false" outlineLevel="0" collapsed="false">
      <c r="A113" s="6" t="s">
        <v>3862</v>
      </c>
      <c r="B113" s="6" t="s">
        <v>21</v>
      </c>
      <c r="C113" s="6" t="s">
        <v>44</v>
      </c>
      <c r="D113" s="6" t="n">
        <v>100</v>
      </c>
      <c r="E113" s="6"/>
      <c r="F113" s="6" t="n">
        <f aca="false">COUNTIF(Rules!$B$2:$B$1568,A113)</f>
        <v>3</v>
      </c>
      <c r="G113" s="6" t="n">
        <f aca="false">COUNTIFS(Rules!$B$2:$B$1568,A113,Rules!$H$2:$H$1568,"QUESTION")</f>
        <v>2</v>
      </c>
      <c r="H113" s="7" t="s">
        <v>5253</v>
      </c>
      <c r="I113" s="7" t="s">
        <v>5254</v>
      </c>
      <c r="J113" s="7" t="s">
        <v>5255</v>
      </c>
      <c r="K113" s="7" t="s">
        <v>5256</v>
      </c>
    </row>
    <row r="114" customFormat="false" ht="35.05" hidden="false" customHeight="false" outlineLevel="0" collapsed="false">
      <c r="A114" s="6" t="s">
        <v>1451</v>
      </c>
      <c r="B114" s="6" t="s">
        <v>18</v>
      </c>
      <c r="C114" s="6" t="s">
        <v>44</v>
      </c>
      <c r="D114" s="6" t="n">
        <v>75</v>
      </c>
      <c r="E114" s="6"/>
      <c r="F114" s="6" t="n">
        <f aca="false">COUNTIF(Rules!$B$2:$B$1568,A114)</f>
        <v>3</v>
      </c>
      <c r="G114" s="6" t="n">
        <f aca="false">COUNTIFS(Rules!$B$2:$B$1568,A114,Rules!$H$2:$H$1568,"QUESTION")</f>
        <v>0</v>
      </c>
      <c r="H114" s="7" t="s">
        <v>5257</v>
      </c>
      <c r="I114" s="7" t="s">
        <v>5258</v>
      </c>
      <c r="J114" s="7" t="s">
        <v>4894</v>
      </c>
      <c r="K114" s="7" t="s">
        <v>5259</v>
      </c>
    </row>
    <row r="115" customFormat="false" ht="23.85" hidden="false" customHeight="false" outlineLevel="0" collapsed="false">
      <c r="A115" s="6" t="s">
        <v>1461</v>
      </c>
      <c r="B115" s="6" t="s">
        <v>18</v>
      </c>
      <c r="C115" s="6" t="s">
        <v>44</v>
      </c>
      <c r="D115" s="6" t="n">
        <v>27</v>
      </c>
      <c r="E115" s="6" t="s">
        <v>1462</v>
      </c>
      <c r="F115" s="6" t="n">
        <f aca="false">COUNTIF(Rules!$B$2:$B$1568,A115)</f>
        <v>3</v>
      </c>
      <c r="G115" s="6" t="n">
        <f aca="false">COUNTIFS(Rules!$B$2:$B$1568,A115,Rules!$H$2:$H$1568,"QUESTION")</f>
        <v>1</v>
      </c>
      <c r="H115" s="7" t="s">
        <v>5260</v>
      </c>
      <c r="I115" s="7" t="s">
        <v>5261</v>
      </c>
      <c r="J115" s="7" t="s">
        <v>5251</v>
      </c>
      <c r="K115" s="7" t="s">
        <v>5262</v>
      </c>
    </row>
    <row r="116" customFormat="false" ht="35.05" hidden="false" customHeight="false" outlineLevel="0" collapsed="false">
      <c r="A116" s="6" t="s">
        <v>1472</v>
      </c>
      <c r="B116" s="6" t="s">
        <v>18</v>
      </c>
      <c r="C116" s="6" t="s">
        <v>44</v>
      </c>
      <c r="D116" s="6" t="n">
        <v>205</v>
      </c>
      <c r="E116" s="6" t="s">
        <v>356</v>
      </c>
      <c r="F116" s="6" t="n">
        <f aca="false">COUNTIF(Rules!$B$2:$B$1568,A116)</f>
        <v>3</v>
      </c>
      <c r="G116" s="6" t="n">
        <f aca="false">COUNTIFS(Rules!$B$2:$B$1568,A116,Rules!$H$2:$H$1568,"QUESTION")</f>
        <v>1</v>
      </c>
      <c r="H116" s="7" t="s">
        <v>5263</v>
      </c>
      <c r="I116" s="7" t="s">
        <v>5264</v>
      </c>
      <c r="J116" s="7" t="s">
        <v>5265</v>
      </c>
      <c r="K116" s="7" t="s">
        <v>5266</v>
      </c>
    </row>
    <row r="117" customFormat="false" ht="23.85" hidden="false" customHeight="false" outlineLevel="0" collapsed="false">
      <c r="A117" s="6" t="s">
        <v>3871</v>
      </c>
      <c r="B117" s="6" t="s">
        <v>21</v>
      </c>
      <c r="C117" s="6" t="s">
        <v>44</v>
      </c>
      <c r="D117" s="6" t="n">
        <v>31</v>
      </c>
      <c r="E117" s="6" t="s">
        <v>28</v>
      </c>
      <c r="F117" s="6" t="n">
        <f aca="false">COUNTIF(Rules!$B$2:$B$1568,A117)</f>
        <v>1</v>
      </c>
      <c r="G117" s="6" t="n">
        <f aca="false">COUNTIFS(Rules!$B$2:$B$1568,A117,Rules!$H$2:$H$1568,"QUESTION")</f>
        <v>0</v>
      </c>
      <c r="H117" s="7" t="s">
        <v>5267</v>
      </c>
      <c r="I117" s="7" t="s">
        <v>5268</v>
      </c>
      <c r="J117" s="7" t="s">
        <v>4894</v>
      </c>
      <c r="K117" s="7" t="s">
        <v>5269</v>
      </c>
    </row>
    <row r="118" customFormat="false" ht="23.85" hidden="false" customHeight="false" outlineLevel="0" collapsed="false">
      <c r="A118" s="6" t="s">
        <v>705</v>
      </c>
      <c r="B118" s="6" t="s">
        <v>17</v>
      </c>
      <c r="C118" s="6" t="s">
        <v>44</v>
      </c>
      <c r="D118" s="6" t="n">
        <v>25</v>
      </c>
      <c r="E118" s="6" t="s">
        <v>28</v>
      </c>
      <c r="F118" s="6" t="n">
        <f aca="false">COUNTIF(Rules!$B$2:$B$1568,A118)</f>
        <v>1</v>
      </c>
      <c r="G118" s="6" t="n">
        <f aca="false">COUNTIFS(Rules!$B$2:$B$1568,A118,Rules!$H$2:$H$1568,"QUESTION")</f>
        <v>0</v>
      </c>
      <c r="H118" s="7" t="s">
        <v>5270</v>
      </c>
      <c r="I118" s="7" t="s">
        <v>5271</v>
      </c>
      <c r="J118" s="7" t="s">
        <v>5251</v>
      </c>
      <c r="K118" s="7" t="s">
        <v>5272</v>
      </c>
    </row>
    <row r="119" customFormat="false" ht="23.85" hidden="false" customHeight="false" outlineLevel="0" collapsed="false">
      <c r="A119" s="6" t="s">
        <v>351</v>
      </c>
      <c r="B119" s="6" t="s">
        <v>16</v>
      </c>
      <c r="C119" s="6" t="s">
        <v>44</v>
      </c>
      <c r="D119" s="6" t="n">
        <v>23</v>
      </c>
      <c r="E119" s="6" t="s">
        <v>27</v>
      </c>
      <c r="F119" s="6" t="n">
        <f aca="false">COUNTIF(Rules!$B$2:$B$1568,A119)</f>
        <v>1</v>
      </c>
      <c r="G119" s="6" t="n">
        <f aca="false">COUNTIFS(Rules!$B$2:$B$1568,A119,Rules!$H$2:$H$1568,"QUESTION")</f>
        <v>0</v>
      </c>
      <c r="H119" s="7" t="s">
        <v>5273</v>
      </c>
      <c r="I119" s="7" t="s">
        <v>5274</v>
      </c>
      <c r="J119" s="7" t="s">
        <v>4894</v>
      </c>
      <c r="K119" s="7" t="s">
        <v>4894</v>
      </c>
    </row>
    <row r="120" customFormat="false" ht="23.85" hidden="false" customHeight="false" outlineLevel="0" collapsed="false">
      <c r="A120" s="6" t="s">
        <v>3086</v>
      </c>
      <c r="B120" s="6" t="s">
        <v>20</v>
      </c>
      <c r="C120" s="6" t="s">
        <v>44</v>
      </c>
      <c r="D120" s="6" t="n">
        <v>26</v>
      </c>
      <c r="E120" s="6"/>
      <c r="F120" s="6" t="n">
        <f aca="false">COUNTIF(Rules!$B$2:$B$1568,A120)</f>
        <v>1</v>
      </c>
      <c r="G120" s="6" t="n">
        <f aca="false">COUNTIFS(Rules!$B$2:$B$1568,A120,Rules!$H$2:$H$1568,"QUESTION")</f>
        <v>0</v>
      </c>
      <c r="H120" s="7" t="s">
        <v>5275</v>
      </c>
      <c r="I120" s="7" t="s">
        <v>5276</v>
      </c>
      <c r="J120" s="7" t="s">
        <v>5277</v>
      </c>
      <c r="K120" s="7" t="s">
        <v>5278</v>
      </c>
    </row>
    <row r="121" customFormat="false" ht="23.85" hidden="false" customHeight="false" outlineLevel="0" collapsed="false">
      <c r="A121" s="6" t="s">
        <v>355</v>
      </c>
      <c r="B121" s="6" t="s">
        <v>16</v>
      </c>
      <c r="C121" s="6" t="s">
        <v>44</v>
      </c>
      <c r="D121" s="6" t="n">
        <v>24</v>
      </c>
      <c r="E121" s="6" t="s">
        <v>356</v>
      </c>
      <c r="F121" s="6" t="n">
        <f aca="false">COUNTIF(Rules!$B$2:$B$1568,A121)</f>
        <v>1</v>
      </c>
      <c r="G121" s="6" t="n">
        <f aca="false">COUNTIFS(Rules!$B$2:$B$1568,A121,Rules!$H$2:$H$1568,"QUESTION")</f>
        <v>0</v>
      </c>
      <c r="H121" s="7" t="s">
        <v>5279</v>
      </c>
      <c r="I121" s="7" t="s">
        <v>5280</v>
      </c>
      <c r="J121" s="7" t="s">
        <v>5281</v>
      </c>
      <c r="K121" s="7" t="s">
        <v>5282</v>
      </c>
    </row>
    <row r="122" customFormat="false" ht="15" hidden="false" customHeight="false" outlineLevel="0" collapsed="false">
      <c r="A122" s="6" t="s">
        <v>248</v>
      </c>
      <c r="B122" s="6" t="s">
        <v>15</v>
      </c>
      <c r="C122" s="6" t="s">
        <v>44</v>
      </c>
      <c r="D122" s="6" t="n">
        <v>10</v>
      </c>
      <c r="E122" s="6"/>
      <c r="F122" s="6" t="n">
        <f aca="false">COUNTIF(Rules!$B$2:$B$1568,A122)</f>
        <v>1</v>
      </c>
      <c r="G122" s="6" t="n">
        <f aca="false">COUNTIFS(Rules!$B$2:$B$1568,A122,Rules!$H$2:$H$1568,"QUESTION")</f>
        <v>0</v>
      </c>
      <c r="H122" s="7" t="s">
        <v>5283</v>
      </c>
      <c r="I122" s="7" t="s">
        <v>5284</v>
      </c>
      <c r="J122" s="7" t="s">
        <v>5285</v>
      </c>
      <c r="K122" s="7" t="s">
        <v>5286</v>
      </c>
    </row>
    <row r="123" customFormat="false" ht="15" hidden="false" customHeight="false" outlineLevel="0" collapsed="false">
      <c r="A123" s="6" t="s">
        <v>709</v>
      </c>
      <c r="B123" s="6" t="s">
        <v>17</v>
      </c>
      <c r="C123" s="6" t="s">
        <v>44</v>
      </c>
      <c r="D123" s="6" t="n">
        <v>25</v>
      </c>
      <c r="E123" s="6" t="s">
        <v>27</v>
      </c>
      <c r="F123" s="6" t="n">
        <f aca="false">COUNTIF(Rules!$B$2:$B$1568,A123)</f>
        <v>1</v>
      </c>
      <c r="G123" s="6" t="n">
        <f aca="false">COUNTIFS(Rules!$B$2:$B$1568,A123,Rules!$H$2:$H$1568,"QUESTION")</f>
        <v>0</v>
      </c>
      <c r="H123" s="7" t="s">
        <v>5287</v>
      </c>
      <c r="I123" s="7" t="s">
        <v>5288</v>
      </c>
      <c r="J123" s="7" t="s">
        <v>4894</v>
      </c>
      <c r="K123" s="7" t="s">
        <v>5289</v>
      </c>
    </row>
    <row r="124" customFormat="false" ht="46.25" hidden="false" customHeight="false" outlineLevel="0" collapsed="false">
      <c r="A124" s="6" t="s">
        <v>3090</v>
      </c>
      <c r="B124" s="6" t="s">
        <v>20</v>
      </c>
      <c r="C124" s="6" t="s">
        <v>44</v>
      </c>
      <c r="D124" s="6" t="n">
        <v>90</v>
      </c>
      <c r="E124" s="6" t="s">
        <v>29</v>
      </c>
      <c r="F124" s="6" t="n">
        <f aca="false">COUNTIF(Rules!$B$2:$B$1568,A124)</f>
        <v>4</v>
      </c>
      <c r="G124" s="6" t="n">
        <f aca="false">COUNTIFS(Rules!$B$2:$B$1568,A124,Rules!$H$2:$H$1568,"QUESTION")</f>
        <v>2</v>
      </c>
      <c r="H124" s="7" t="s">
        <v>5290</v>
      </c>
      <c r="I124" s="7" t="s">
        <v>5291</v>
      </c>
      <c r="J124" s="7" t="s">
        <v>4909</v>
      </c>
      <c r="K124" s="7" t="s">
        <v>5292</v>
      </c>
    </row>
    <row r="125" customFormat="false" ht="15" hidden="false" customHeight="false" outlineLevel="0" collapsed="false">
      <c r="A125" s="6" t="s">
        <v>713</v>
      </c>
      <c r="B125" s="6" t="s">
        <v>17</v>
      </c>
      <c r="C125" s="6" t="s">
        <v>44</v>
      </c>
      <c r="D125" s="6" t="n">
        <v>29</v>
      </c>
      <c r="E125" s="6" t="s">
        <v>714</v>
      </c>
      <c r="F125" s="6" t="n">
        <f aca="false">COUNTIF(Rules!$B$2:$B$1568,A125)</f>
        <v>2</v>
      </c>
      <c r="G125" s="6" t="n">
        <f aca="false">COUNTIFS(Rules!$B$2:$B$1568,A125,Rules!$H$2:$H$1568,"QUESTION")</f>
        <v>1</v>
      </c>
      <c r="H125" s="7" t="s">
        <v>5293</v>
      </c>
      <c r="I125" s="7" t="s">
        <v>5294</v>
      </c>
      <c r="J125" s="7" t="s">
        <v>4894</v>
      </c>
      <c r="K125" s="7" t="s">
        <v>5295</v>
      </c>
    </row>
    <row r="126" customFormat="false" ht="23.85" hidden="false" customHeight="false" outlineLevel="0" collapsed="false">
      <c r="A126" s="6" t="s">
        <v>360</v>
      </c>
      <c r="B126" s="6" t="s">
        <v>16</v>
      </c>
      <c r="C126" s="6" t="s">
        <v>44</v>
      </c>
      <c r="D126" s="6" t="n">
        <v>20</v>
      </c>
      <c r="E126" s="6" t="s">
        <v>27</v>
      </c>
      <c r="F126" s="6" t="n">
        <f aca="false">COUNTIF(Rules!$B$2:$B$1568,A126)</f>
        <v>1</v>
      </c>
      <c r="G126" s="6" t="n">
        <f aca="false">COUNTIFS(Rules!$B$2:$B$1568,A126,Rules!$H$2:$H$1568,"QUESTION")</f>
        <v>0</v>
      </c>
      <c r="H126" s="7" t="s">
        <v>5296</v>
      </c>
      <c r="I126" s="7" t="s">
        <v>5297</v>
      </c>
      <c r="J126" s="7" t="s">
        <v>5298</v>
      </c>
      <c r="K126" s="7" t="s">
        <v>5299</v>
      </c>
    </row>
    <row r="127" customFormat="false" ht="23.85" hidden="false" customHeight="false" outlineLevel="0" collapsed="false">
      <c r="A127" s="6" t="s">
        <v>4418</v>
      </c>
      <c r="B127" s="6" t="s">
        <v>22</v>
      </c>
      <c r="C127" s="6" t="s">
        <v>85</v>
      </c>
      <c r="D127" s="6" t="n">
        <v>53</v>
      </c>
      <c r="E127" s="6" t="s">
        <v>27</v>
      </c>
      <c r="F127" s="6" t="n">
        <f aca="false">COUNTIF(Rules!$B$2:$B$1568,A127)</f>
        <v>26</v>
      </c>
      <c r="G127" s="6" t="n">
        <f aca="false">COUNTIFS(Rules!$B$2:$B$1568,A127,Rules!$H$2:$H$1568,"QUESTION")</f>
        <v>25</v>
      </c>
      <c r="H127" s="7" t="s">
        <v>5300</v>
      </c>
      <c r="I127" s="7" t="s">
        <v>5301</v>
      </c>
      <c r="J127" s="7" t="s">
        <v>5302</v>
      </c>
      <c r="K127" s="7" t="s">
        <v>5303</v>
      </c>
    </row>
    <row r="128" customFormat="false" ht="35.05" hidden="false" customHeight="false" outlineLevel="0" collapsed="false">
      <c r="A128" s="6" t="s">
        <v>4473</v>
      </c>
      <c r="B128" s="6" t="s">
        <v>22</v>
      </c>
      <c r="C128" s="6" t="s">
        <v>85</v>
      </c>
      <c r="D128" s="6" t="n">
        <v>47</v>
      </c>
      <c r="E128" s="6" t="s">
        <v>27</v>
      </c>
      <c r="F128" s="6" t="n">
        <f aca="false">COUNTIF(Rules!$B$2:$B$1568,A128)</f>
        <v>12</v>
      </c>
      <c r="G128" s="6" t="n">
        <f aca="false">COUNTIFS(Rules!$B$2:$B$1568,A128,Rules!$H$2:$H$1568,"QUESTION")</f>
        <v>11</v>
      </c>
      <c r="H128" s="7" t="s">
        <v>5304</v>
      </c>
      <c r="I128" s="7" t="s">
        <v>5305</v>
      </c>
      <c r="J128" s="7" t="s">
        <v>5306</v>
      </c>
      <c r="K128" s="7" t="s">
        <v>5307</v>
      </c>
    </row>
    <row r="129" customFormat="false" ht="23.85" hidden="false" customHeight="false" outlineLevel="0" collapsed="false">
      <c r="A129" s="6" t="s">
        <v>3875</v>
      </c>
      <c r="B129" s="6" t="s">
        <v>21</v>
      </c>
      <c r="C129" s="6" t="s">
        <v>44</v>
      </c>
      <c r="D129" s="6" t="n">
        <v>23</v>
      </c>
      <c r="E129" s="6" t="s">
        <v>714</v>
      </c>
      <c r="F129" s="6" t="n">
        <f aca="false">COUNTIF(Rules!$B$2:$B$1568,A129)</f>
        <v>1</v>
      </c>
      <c r="G129" s="6" t="n">
        <f aca="false">COUNTIFS(Rules!$B$2:$B$1568,A129,Rules!$H$2:$H$1568,"QUESTION")</f>
        <v>0</v>
      </c>
      <c r="H129" s="7" t="s">
        <v>5308</v>
      </c>
      <c r="I129" s="7" t="s">
        <v>5233</v>
      </c>
      <c r="J129" s="7"/>
      <c r="K129" s="7" t="s">
        <v>4894</v>
      </c>
    </row>
    <row r="130" customFormat="false" ht="23.85" hidden="false" customHeight="false" outlineLevel="0" collapsed="false">
      <c r="A130" s="6" t="s">
        <v>4722</v>
      </c>
      <c r="B130" s="6" t="s">
        <v>23</v>
      </c>
      <c r="C130" s="6" t="s">
        <v>79</v>
      </c>
      <c r="D130" s="6" t="n">
        <v>10</v>
      </c>
      <c r="E130" s="6"/>
      <c r="F130" s="6" t="n">
        <f aca="false">COUNTIF(Rules!$B$2:$B$1568,A130)</f>
        <v>1</v>
      </c>
      <c r="G130" s="6" t="n">
        <f aca="false">COUNTIFS(Rules!$B$2:$B$1568,A130,Rules!$H$2:$H$1568,"QUESTION")</f>
        <v>0</v>
      </c>
      <c r="H130" s="7" t="s">
        <v>5309</v>
      </c>
      <c r="I130" s="7" t="s">
        <v>5310</v>
      </c>
      <c r="J130" s="7"/>
      <c r="K130" s="7" t="s">
        <v>5311</v>
      </c>
    </row>
    <row r="131" customFormat="false" ht="35.05" hidden="false" customHeight="false" outlineLevel="0" collapsed="false">
      <c r="A131" s="6" t="s">
        <v>3103</v>
      </c>
      <c r="B131" s="6" t="s">
        <v>20</v>
      </c>
      <c r="C131" s="6" t="s">
        <v>85</v>
      </c>
      <c r="D131" s="6" t="s">
        <v>5312</v>
      </c>
      <c r="E131" s="6" t="s">
        <v>3104</v>
      </c>
      <c r="F131" s="6" t="n">
        <f aca="false">COUNTIF(Rules!$B$2:$B$1568,A131)</f>
        <v>2</v>
      </c>
      <c r="G131" s="6" t="n">
        <f aca="false">COUNTIFS(Rules!$B$2:$B$1568,A131,Rules!$H$2:$H$1568,"QUESTION")</f>
        <v>2</v>
      </c>
      <c r="H131" s="7" t="s">
        <v>5313</v>
      </c>
      <c r="I131" s="7" t="s">
        <v>5314</v>
      </c>
      <c r="J131" s="7" t="s">
        <v>5315</v>
      </c>
      <c r="K131" s="7" t="s">
        <v>5316</v>
      </c>
    </row>
    <row r="132" customFormat="false" ht="15" hidden="false" customHeight="false" outlineLevel="0" collapsed="false">
      <c r="A132" s="6" t="s">
        <v>4726</v>
      </c>
      <c r="B132" s="6" t="s">
        <v>23</v>
      </c>
      <c r="C132" s="6" t="s">
        <v>44</v>
      </c>
      <c r="D132" s="6" t="n">
        <v>5</v>
      </c>
      <c r="E132" s="6"/>
      <c r="F132" s="6" t="n">
        <f aca="false">COUNTIF(Rules!$B$2:$B$1568,A132)</f>
        <v>1</v>
      </c>
      <c r="G132" s="6" t="n">
        <f aca="false">COUNTIFS(Rules!$B$2:$B$1568,A132,Rules!$H$2:$H$1568,"QUESTION")</f>
        <v>0</v>
      </c>
      <c r="H132" s="7" t="s">
        <v>5317</v>
      </c>
      <c r="I132" s="7" t="s">
        <v>5233</v>
      </c>
      <c r="J132" s="7"/>
      <c r="K132" s="7" t="s">
        <v>4894</v>
      </c>
    </row>
    <row r="133" customFormat="false" ht="15" hidden="false" customHeight="false" outlineLevel="0" collapsed="false">
      <c r="A133" s="6" t="s">
        <v>4729</v>
      </c>
      <c r="B133" s="6" t="s">
        <v>23</v>
      </c>
      <c r="C133" s="6" t="s">
        <v>44</v>
      </c>
      <c r="D133" s="6" t="n">
        <v>7</v>
      </c>
      <c r="E133" s="6"/>
      <c r="F133" s="6" t="n">
        <f aca="false">COUNTIF(Rules!$B$2:$B$1568,A133)</f>
        <v>1</v>
      </c>
      <c r="G133" s="6" t="n">
        <f aca="false">COUNTIFS(Rules!$B$2:$B$1568,A133,Rules!$H$2:$H$1568,"QUESTION")</f>
        <v>0</v>
      </c>
      <c r="H133" s="7" t="s">
        <v>5318</v>
      </c>
      <c r="I133" s="7" t="s">
        <v>5319</v>
      </c>
      <c r="J133" s="7"/>
      <c r="K133" s="7" t="s">
        <v>4894</v>
      </c>
    </row>
    <row r="134" customFormat="false" ht="23.85" hidden="false" customHeight="false" outlineLevel="0" collapsed="false">
      <c r="A134" s="6" t="s">
        <v>4733</v>
      </c>
      <c r="B134" s="6" t="s">
        <v>23</v>
      </c>
      <c r="C134" s="6" t="s">
        <v>79</v>
      </c>
      <c r="D134" s="6" t="n">
        <v>50</v>
      </c>
      <c r="E134" s="6"/>
      <c r="F134" s="6" t="n">
        <f aca="false">COUNTIF(Rules!$B$2:$B$1568,A134)</f>
        <v>2</v>
      </c>
      <c r="G134" s="6" t="n">
        <f aca="false">COUNTIFS(Rules!$B$2:$B$1568,A134,Rules!$H$2:$H$1568,"QUESTION")</f>
        <v>0</v>
      </c>
      <c r="H134" s="7" t="s">
        <v>5320</v>
      </c>
      <c r="I134" s="7" t="s">
        <v>5233</v>
      </c>
      <c r="J134" s="7"/>
      <c r="K134" s="7" t="s">
        <v>5321</v>
      </c>
    </row>
    <row r="135" customFormat="false" ht="46.25" hidden="false" customHeight="false" outlineLevel="0" collapsed="false">
      <c r="A135" s="6" t="s">
        <v>720</v>
      </c>
      <c r="B135" s="6" t="s">
        <v>17</v>
      </c>
      <c r="C135" s="6" t="s">
        <v>49</v>
      </c>
      <c r="D135" s="6" t="n">
        <v>156</v>
      </c>
      <c r="E135" s="6" t="s">
        <v>27</v>
      </c>
      <c r="F135" s="6" t="n">
        <f aca="false">COUNTIF(Rules!$B$2:$B$1568,A135)</f>
        <v>5</v>
      </c>
      <c r="G135" s="6" t="n">
        <f aca="false">COUNTIFS(Rules!$B$2:$B$1568,A135,Rules!$H$2:$H$1568,"QUESTION")</f>
        <v>1</v>
      </c>
      <c r="H135" s="7" t="s">
        <v>5322</v>
      </c>
      <c r="I135" s="7" t="s">
        <v>5323</v>
      </c>
      <c r="J135" s="7" t="s">
        <v>5324</v>
      </c>
      <c r="K135" s="7" t="s">
        <v>5325</v>
      </c>
    </row>
    <row r="136" customFormat="false" ht="23.85" hidden="false" customHeight="false" outlineLevel="0" collapsed="false">
      <c r="A136" s="6" t="s">
        <v>364</v>
      </c>
      <c r="B136" s="6" t="s">
        <v>16</v>
      </c>
      <c r="C136" s="6" t="s">
        <v>49</v>
      </c>
      <c r="D136" s="6" t="n">
        <v>21</v>
      </c>
      <c r="E136" s="6" t="s">
        <v>27</v>
      </c>
      <c r="F136" s="6" t="n">
        <f aca="false">COUNTIF(Rules!$B$2:$B$1568,A136)</f>
        <v>1</v>
      </c>
      <c r="G136" s="6" t="n">
        <f aca="false">COUNTIFS(Rules!$B$2:$B$1568,A136,Rules!$H$2:$H$1568,"QUESTION")</f>
        <v>0</v>
      </c>
      <c r="H136" s="7" t="s">
        <v>5326</v>
      </c>
      <c r="I136" s="7" t="s">
        <v>5327</v>
      </c>
      <c r="J136" s="7" t="s">
        <v>4894</v>
      </c>
      <c r="K136" s="7" t="s">
        <v>5328</v>
      </c>
    </row>
    <row r="137" customFormat="false" ht="15" hidden="false" customHeight="false" outlineLevel="0" collapsed="false">
      <c r="A137" s="6" t="s">
        <v>368</v>
      </c>
      <c r="B137" s="6" t="s">
        <v>16</v>
      </c>
      <c r="C137" s="6" t="s">
        <v>49</v>
      </c>
      <c r="D137" s="6" t="n">
        <v>18</v>
      </c>
      <c r="E137" s="6" t="s">
        <v>369</v>
      </c>
      <c r="F137" s="6" t="n">
        <f aca="false">COUNTIF(Rules!$B$2:$B$1568,A137)</f>
        <v>1</v>
      </c>
      <c r="G137" s="6" t="n">
        <f aca="false">COUNTIFS(Rules!$B$2:$B$1568,A137,Rules!$H$2:$H$1568,"QUESTION")</f>
        <v>1</v>
      </c>
      <c r="H137" s="7" t="s">
        <v>5329</v>
      </c>
      <c r="I137" s="7" t="s">
        <v>5330</v>
      </c>
      <c r="J137" s="7" t="s">
        <v>4894</v>
      </c>
      <c r="K137" s="7" t="s">
        <v>5331</v>
      </c>
    </row>
    <row r="138" customFormat="false" ht="35.05" hidden="false" customHeight="false" outlineLevel="0" collapsed="false">
      <c r="A138" s="6" t="s">
        <v>2662</v>
      </c>
      <c r="B138" s="6" t="s">
        <v>19</v>
      </c>
      <c r="C138" s="6" t="s">
        <v>274</v>
      </c>
      <c r="D138" s="6" t="n">
        <v>58</v>
      </c>
      <c r="E138" s="6" t="s">
        <v>26</v>
      </c>
      <c r="F138" s="6" t="n">
        <f aca="false">COUNTIF(Rules!$B$2:$B$1568,A138)</f>
        <v>5</v>
      </c>
      <c r="G138" s="6" t="n">
        <f aca="false">COUNTIFS(Rules!$B$2:$B$1568,A138,Rules!$H$2:$H$1568,"QUESTION")</f>
        <v>2</v>
      </c>
      <c r="H138" s="7" t="s">
        <v>5332</v>
      </c>
      <c r="I138" s="7" t="s">
        <v>5333</v>
      </c>
      <c r="J138" s="7" t="s">
        <v>5334</v>
      </c>
      <c r="K138" s="7" t="s">
        <v>5335</v>
      </c>
    </row>
    <row r="139" customFormat="false" ht="57.45" hidden="false" customHeight="false" outlineLevel="0" collapsed="false">
      <c r="A139" s="6" t="s">
        <v>3111</v>
      </c>
      <c r="B139" s="6" t="s">
        <v>20</v>
      </c>
      <c r="C139" s="6" t="s">
        <v>44</v>
      </c>
      <c r="D139" s="6" t="n">
        <v>87</v>
      </c>
      <c r="E139" s="6" t="s">
        <v>28</v>
      </c>
      <c r="F139" s="6" t="n">
        <f aca="false">COUNTIF(Rules!$B$2:$B$1568,A139)</f>
        <v>7</v>
      </c>
      <c r="G139" s="6" t="n">
        <f aca="false">COUNTIFS(Rules!$B$2:$B$1568,A139,Rules!$H$2:$H$1568,"QUESTION")</f>
        <v>3</v>
      </c>
      <c r="H139" s="7" t="s">
        <v>5336</v>
      </c>
      <c r="I139" s="7" t="s">
        <v>5337</v>
      </c>
      <c r="J139" s="7" t="s">
        <v>5338</v>
      </c>
      <c r="K139" s="7" t="s">
        <v>5339</v>
      </c>
    </row>
    <row r="140" customFormat="false" ht="68.65" hidden="false" customHeight="false" outlineLevel="0" collapsed="false">
      <c r="A140" s="6" t="s">
        <v>736</v>
      </c>
      <c r="B140" s="6" t="s">
        <v>17</v>
      </c>
      <c r="C140" s="6" t="s">
        <v>49</v>
      </c>
      <c r="D140" s="6" t="n">
        <v>573</v>
      </c>
      <c r="E140" s="6" t="s">
        <v>264</v>
      </c>
      <c r="F140" s="6" t="n">
        <f aca="false">COUNTIF(Rules!$B$2:$B$1568,A140)</f>
        <v>17</v>
      </c>
      <c r="G140" s="6" t="n">
        <f aca="false">COUNTIFS(Rules!$B$2:$B$1568,A140,Rules!$H$2:$H$1568,"QUESTION")</f>
        <v>3</v>
      </c>
      <c r="H140" s="7" t="s">
        <v>5340</v>
      </c>
      <c r="I140" s="7" t="s">
        <v>5341</v>
      </c>
      <c r="J140" s="7" t="s">
        <v>5342</v>
      </c>
      <c r="K140" s="7" t="s">
        <v>5343</v>
      </c>
    </row>
    <row r="141" customFormat="false" ht="46.25" hidden="false" customHeight="false" outlineLevel="0" collapsed="false">
      <c r="A141" s="6" t="s">
        <v>373</v>
      </c>
      <c r="B141" s="6" t="s">
        <v>16</v>
      </c>
      <c r="C141" s="6" t="s">
        <v>49</v>
      </c>
      <c r="D141" s="6" t="n">
        <v>78</v>
      </c>
      <c r="E141" s="6" t="s">
        <v>374</v>
      </c>
      <c r="F141" s="6" t="n">
        <f aca="false">COUNTIF(Rules!$B$2:$B$1568,A141)</f>
        <v>6</v>
      </c>
      <c r="G141" s="6" t="n">
        <f aca="false">COUNTIFS(Rules!$B$2:$B$1568,A141,Rules!$H$2:$H$1568,"QUESTION")</f>
        <v>2</v>
      </c>
      <c r="H141" s="7" t="s">
        <v>5344</v>
      </c>
      <c r="I141" s="7" t="s">
        <v>5345</v>
      </c>
      <c r="J141" s="7" t="s">
        <v>5346</v>
      </c>
      <c r="K141" s="7" t="s">
        <v>5347</v>
      </c>
    </row>
    <row r="142" customFormat="false" ht="46.25" hidden="false" customHeight="false" outlineLevel="0" collapsed="false">
      <c r="A142" s="6" t="s">
        <v>3879</v>
      </c>
      <c r="B142" s="6" t="s">
        <v>21</v>
      </c>
      <c r="C142" s="6" t="s">
        <v>274</v>
      </c>
      <c r="D142" s="6" t="n">
        <v>69</v>
      </c>
      <c r="E142" s="6" t="s">
        <v>28</v>
      </c>
      <c r="F142" s="6" t="n">
        <f aca="false">COUNTIF(Rules!$B$2:$B$1568,A142)</f>
        <v>4</v>
      </c>
      <c r="G142" s="6" t="n">
        <f aca="false">COUNTIFS(Rules!$B$2:$B$1568,A142,Rules!$H$2:$H$1568,"QUESTION")</f>
        <v>2</v>
      </c>
      <c r="H142" s="7" t="s">
        <v>5348</v>
      </c>
      <c r="I142" s="7" t="s">
        <v>5349</v>
      </c>
      <c r="J142" s="7" t="s">
        <v>5350</v>
      </c>
      <c r="K142" s="7" t="s">
        <v>5351</v>
      </c>
    </row>
    <row r="143" customFormat="false" ht="46.25" hidden="false" customHeight="false" outlineLevel="0" collapsed="false">
      <c r="A143" s="6" t="s">
        <v>393</v>
      </c>
      <c r="B143" s="6" t="s">
        <v>16</v>
      </c>
      <c r="C143" s="6" t="s">
        <v>49</v>
      </c>
      <c r="D143" s="6" t="n">
        <v>310</v>
      </c>
      <c r="E143" s="6" t="s">
        <v>394</v>
      </c>
      <c r="F143" s="6" t="n">
        <f aca="false">COUNTIF(Rules!$B$2:$B$1568,A143)</f>
        <v>12</v>
      </c>
      <c r="G143" s="6" t="n">
        <f aca="false">COUNTIFS(Rules!$B$2:$B$1568,A143,Rules!$H$2:$H$1568,"QUESTION")</f>
        <v>4</v>
      </c>
      <c r="H143" s="7" t="s">
        <v>5352</v>
      </c>
      <c r="I143" s="7" t="s">
        <v>5353</v>
      </c>
      <c r="J143" s="7" t="s">
        <v>5354</v>
      </c>
      <c r="K143" s="7" t="s">
        <v>5355</v>
      </c>
    </row>
    <row r="144" customFormat="false" ht="35.05" hidden="false" customHeight="false" outlineLevel="0" collapsed="false">
      <c r="A144" s="6" t="s">
        <v>788</v>
      </c>
      <c r="B144" s="6" t="s">
        <v>17</v>
      </c>
      <c r="C144" s="6" t="s">
        <v>49</v>
      </c>
      <c r="D144" s="6" t="n">
        <v>77</v>
      </c>
      <c r="E144" s="6" t="s">
        <v>789</v>
      </c>
      <c r="F144" s="6" t="n">
        <f aca="false">COUNTIF(Rules!$B$2:$B$1568,A144)</f>
        <v>6</v>
      </c>
      <c r="G144" s="6" t="n">
        <f aca="false">COUNTIFS(Rules!$B$2:$B$1568,A144,Rules!$H$2:$H$1568,"QUESTION")</f>
        <v>1</v>
      </c>
      <c r="H144" s="7" t="s">
        <v>5356</v>
      </c>
      <c r="I144" s="7" t="s">
        <v>5357</v>
      </c>
      <c r="J144" s="7" t="s">
        <v>4894</v>
      </c>
      <c r="K144" s="7" t="s">
        <v>5358</v>
      </c>
    </row>
    <row r="145" customFormat="false" ht="57.45" hidden="false" customHeight="false" outlineLevel="0" collapsed="false">
      <c r="A145" s="6" t="s">
        <v>1482</v>
      </c>
      <c r="B145" s="6" t="s">
        <v>18</v>
      </c>
      <c r="C145" s="6" t="s">
        <v>49</v>
      </c>
      <c r="D145" s="6" t="n">
        <v>270</v>
      </c>
      <c r="E145" s="6" t="s">
        <v>27</v>
      </c>
      <c r="F145" s="6" t="n">
        <f aca="false">COUNTIF(Rules!$B$2:$B$1568,A145)</f>
        <v>15</v>
      </c>
      <c r="G145" s="6" t="n">
        <f aca="false">COUNTIFS(Rules!$B$2:$B$1568,A145,Rules!$H$2:$H$1568,"QUESTION")</f>
        <v>5</v>
      </c>
      <c r="H145" s="7" t="s">
        <v>5359</v>
      </c>
      <c r="I145" s="7" t="s">
        <v>5360</v>
      </c>
      <c r="J145" s="7" t="s">
        <v>5361</v>
      </c>
      <c r="K145" s="7" t="s">
        <v>5362</v>
      </c>
    </row>
    <row r="146" customFormat="false" ht="35.05" hidden="false" customHeight="false" outlineLevel="0" collapsed="false">
      <c r="A146" s="6" t="s">
        <v>1527</v>
      </c>
      <c r="B146" s="6" t="s">
        <v>18</v>
      </c>
      <c r="C146" s="6" t="s">
        <v>49</v>
      </c>
      <c r="D146" s="6" t="n">
        <v>52</v>
      </c>
      <c r="E146" s="6"/>
      <c r="F146" s="6" t="n">
        <f aca="false">COUNTIF(Rules!$B$2:$B$1568,A146)</f>
        <v>3</v>
      </c>
      <c r="G146" s="6" t="n">
        <f aca="false">COUNTIFS(Rules!$B$2:$B$1568,A146,Rules!$H$2:$H$1568,"QUESTION")</f>
        <v>1</v>
      </c>
      <c r="H146" s="7" t="s">
        <v>5363</v>
      </c>
      <c r="I146" s="7" t="s">
        <v>5364</v>
      </c>
      <c r="J146" s="7" t="s">
        <v>5365</v>
      </c>
      <c r="K146" s="7" t="s">
        <v>5366</v>
      </c>
    </row>
    <row r="147" customFormat="false" ht="23.85" hidden="false" customHeight="false" outlineLevel="0" collapsed="false">
      <c r="A147" s="6" t="s">
        <v>4740</v>
      </c>
      <c r="B147" s="6" t="s">
        <v>23</v>
      </c>
      <c r="C147" s="6" t="s">
        <v>44</v>
      </c>
      <c r="D147" s="6" t="n">
        <v>32</v>
      </c>
      <c r="E147" s="6"/>
      <c r="F147" s="6" t="n">
        <f aca="false">COUNTIF(Rules!$B$2:$B$1568,A147)</f>
        <v>1</v>
      </c>
      <c r="G147" s="6" t="n">
        <f aca="false">COUNTIFS(Rules!$B$2:$B$1568,A147,Rules!$H$2:$H$1568,"QUESTION")</f>
        <v>0</v>
      </c>
      <c r="H147" s="7" t="s">
        <v>5367</v>
      </c>
      <c r="I147" s="7" t="s">
        <v>5368</v>
      </c>
      <c r="J147" s="7"/>
      <c r="K147" s="7" t="s">
        <v>4894</v>
      </c>
    </row>
    <row r="148" customFormat="false" ht="79.85" hidden="false" customHeight="false" outlineLevel="0" collapsed="false">
      <c r="A148" s="6" t="s">
        <v>431</v>
      </c>
      <c r="B148" s="6" t="s">
        <v>16</v>
      </c>
      <c r="C148" s="6" t="s">
        <v>49</v>
      </c>
      <c r="D148" s="6" t="n">
        <v>675</v>
      </c>
      <c r="E148" s="6" t="s">
        <v>394</v>
      </c>
      <c r="F148" s="6" t="n">
        <f aca="false">COUNTIF(Rules!$B$2:$B$1568,A148)</f>
        <v>18</v>
      </c>
      <c r="G148" s="6" t="n">
        <f aca="false">COUNTIFS(Rules!$B$2:$B$1568,A148,Rules!$H$2:$H$1568,"QUESTION")</f>
        <v>3</v>
      </c>
      <c r="H148" s="7" t="s">
        <v>5369</v>
      </c>
      <c r="I148" s="7" t="s">
        <v>5370</v>
      </c>
      <c r="J148" s="7" t="s">
        <v>5371</v>
      </c>
      <c r="K148" s="7" t="s">
        <v>5372</v>
      </c>
    </row>
    <row r="149" customFormat="false" ht="102.2" hidden="false" customHeight="false" outlineLevel="0" collapsed="false">
      <c r="A149" s="6" t="s">
        <v>486</v>
      </c>
      <c r="B149" s="6" t="s">
        <v>16</v>
      </c>
      <c r="C149" s="6" t="s">
        <v>49</v>
      </c>
      <c r="D149" s="6" t="n">
        <v>1116</v>
      </c>
      <c r="E149" s="6" t="s">
        <v>487</v>
      </c>
      <c r="F149" s="6" t="n">
        <f aca="false">COUNTIF(Rules!$B$2:$B$1568,A149)</f>
        <v>19</v>
      </c>
      <c r="G149" s="6" t="n">
        <f aca="false">COUNTIFS(Rules!$B$2:$B$1568,A149,Rules!$H$2:$H$1568,"QUESTION")</f>
        <v>5</v>
      </c>
      <c r="H149" s="7" t="s">
        <v>5373</v>
      </c>
      <c r="I149" s="7" t="s">
        <v>5374</v>
      </c>
      <c r="J149" s="7" t="s">
        <v>5375</v>
      </c>
      <c r="K149" s="7" t="s">
        <v>5376</v>
      </c>
    </row>
    <row r="150" customFormat="false" ht="23.85" hidden="false" customHeight="false" outlineLevel="0" collapsed="false">
      <c r="A150" s="6" t="s">
        <v>545</v>
      </c>
      <c r="B150" s="6" t="s">
        <v>16</v>
      </c>
      <c r="C150" s="6" t="s">
        <v>230</v>
      </c>
      <c r="D150" s="6" t="n">
        <v>1088</v>
      </c>
      <c r="E150" s="6" t="s">
        <v>264</v>
      </c>
      <c r="F150" s="6" t="n">
        <f aca="false">COUNTIF(Rules!$B$2:$B$1568,A150)</f>
        <v>1</v>
      </c>
      <c r="G150" s="6" t="n">
        <f aca="false">COUNTIFS(Rules!$B$2:$B$1568,A150,Rules!$H$2:$H$1568,"QUESTION")</f>
        <v>0</v>
      </c>
      <c r="H150" s="7" t="s">
        <v>5377</v>
      </c>
      <c r="I150" s="7" t="s">
        <v>5378</v>
      </c>
      <c r="J150" s="7" t="s">
        <v>5379</v>
      </c>
      <c r="K150" s="7" t="s">
        <v>5380</v>
      </c>
    </row>
    <row r="151" customFormat="false" ht="91" hidden="false" customHeight="false" outlineLevel="0" collapsed="false">
      <c r="A151" s="6" t="s">
        <v>808</v>
      </c>
      <c r="B151" s="6" t="s">
        <v>17</v>
      </c>
      <c r="C151" s="6" t="s">
        <v>49</v>
      </c>
      <c r="D151" s="6" t="n">
        <v>360</v>
      </c>
      <c r="E151" s="6" t="s">
        <v>809</v>
      </c>
      <c r="F151" s="6" t="n">
        <f aca="false">COUNTIF(Rules!$B$2:$B$1568,A151)</f>
        <v>21</v>
      </c>
      <c r="G151" s="6" t="n">
        <f aca="false">COUNTIFS(Rules!$B$2:$B$1568,A151,Rules!$H$2:$H$1568,"QUESTION")</f>
        <v>5</v>
      </c>
      <c r="H151" s="7" t="s">
        <v>5381</v>
      </c>
      <c r="I151" s="7" t="s">
        <v>5382</v>
      </c>
      <c r="J151" s="7" t="s">
        <v>5383</v>
      </c>
      <c r="K151" s="7" t="s">
        <v>5384</v>
      </c>
    </row>
    <row r="152" customFormat="false" ht="46.25" hidden="false" customHeight="false" outlineLevel="0" collapsed="false">
      <c r="A152" s="6" t="s">
        <v>872</v>
      </c>
      <c r="B152" s="6" t="s">
        <v>17</v>
      </c>
      <c r="C152" s="6" t="s">
        <v>230</v>
      </c>
      <c r="D152" s="6" t="n">
        <v>523</v>
      </c>
      <c r="E152" s="6" t="s">
        <v>873</v>
      </c>
      <c r="F152" s="6" t="n">
        <f aca="false">COUNTIF(Rules!$B$2:$B$1568,A152)</f>
        <v>4</v>
      </c>
      <c r="G152" s="6" t="n">
        <f aca="false">COUNTIFS(Rules!$B$2:$B$1568,A152,Rules!$H$2:$H$1568,"QUESTION")</f>
        <v>1</v>
      </c>
      <c r="H152" s="7" t="s">
        <v>5385</v>
      </c>
      <c r="I152" s="7" t="s">
        <v>5386</v>
      </c>
      <c r="J152" s="7" t="s">
        <v>5387</v>
      </c>
      <c r="K152" s="7" t="s">
        <v>5388</v>
      </c>
    </row>
    <row r="153" customFormat="false" ht="35.05" hidden="false" customHeight="false" outlineLevel="0" collapsed="false">
      <c r="A153" s="6" t="s">
        <v>886</v>
      </c>
      <c r="B153" s="6" t="s">
        <v>17</v>
      </c>
      <c r="C153" s="6" t="s">
        <v>49</v>
      </c>
      <c r="D153" s="6" t="n">
        <v>46</v>
      </c>
      <c r="E153" s="6" t="s">
        <v>27</v>
      </c>
      <c r="F153" s="6" t="n">
        <f aca="false">COUNTIF(Rules!$B$2:$B$1568,A153)</f>
        <v>4</v>
      </c>
      <c r="G153" s="6" t="n">
        <f aca="false">COUNTIFS(Rules!$B$2:$B$1568,A153,Rules!$H$2:$H$1568,"QUESTION")</f>
        <v>1</v>
      </c>
      <c r="H153" s="7" t="s">
        <v>5389</v>
      </c>
      <c r="I153" s="7" t="s">
        <v>5390</v>
      </c>
      <c r="J153" s="7" t="s">
        <v>5391</v>
      </c>
      <c r="K153" s="7" t="s">
        <v>5392</v>
      </c>
    </row>
    <row r="154" customFormat="false" ht="68.65" hidden="false" customHeight="false" outlineLevel="0" collapsed="false">
      <c r="A154" s="6" t="s">
        <v>1537</v>
      </c>
      <c r="B154" s="6" t="s">
        <v>18</v>
      </c>
      <c r="C154" s="6" t="s">
        <v>85</v>
      </c>
      <c r="D154" s="6" t="n">
        <v>132</v>
      </c>
      <c r="E154" s="6" t="s">
        <v>50</v>
      </c>
      <c r="F154" s="6" t="n">
        <f aca="false">COUNTIF(Rules!$B$2:$B$1568,A154)</f>
        <v>9</v>
      </c>
      <c r="G154" s="6" t="n">
        <f aca="false">COUNTIFS(Rules!$B$2:$B$1568,A154,Rules!$H$2:$H$1568,"QUESTION")</f>
        <v>5</v>
      </c>
      <c r="H154" s="7" t="s">
        <v>5393</v>
      </c>
      <c r="I154" s="7" t="s">
        <v>5394</v>
      </c>
      <c r="J154" s="7" t="s">
        <v>5395</v>
      </c>
      <c r="K154" s="7" t="s">
        <v>5396</v>
      </c>
    </row>
    <row r="155" customFormat="false" ht="46.25" hidden="false" customHeight="false" outlineLevel="0" collapsed="false">
      <c r="A155" s="6" t="s">
        <v>1564</v>
      </c>
      <c r="B155" s="6" t="s">
        <v>18</v>
      </c>
      <c r="C155" s="6" t="s">
        <v>230</v>
      </c>
      <c r="D155" s="6" t="n">
        <v>102</v>
      </c>
      <c r="E155" s="6"/>
      <c r="F155" s="6" t="n">
        <f aca="false">COUNTIF(Rules!$B$2:$B$1568,A155)</f>
        <v>4</v>
      </c>
      <c r="G155" s="6" t="n">
        <f aca="false">COUNTIFS(Rules!$B$2:$B$1568,A155,Rules!$H$2:$H$1568,"QUESTION")</f>
        <v>2</v>
      </c>
      <c r="H155" s="7" t="s">
        <v>5397</v>
      </c>
      <c r="I155" s="7" t="s">
        <v>5398</v>
      </c>
      <c r="J155" s="7" t="s">
        <v>4894</v>
      </c>
      <c r="K155" s="7" t="s">
        <v>5399</v>
      </c>
    </row>
    <row r="156" customFormat="false" ht="23.85" hidden="false" customHeight="false" outlineLevel="0" collapsed="false">
      <c r="A156" s="6" t="s">
        <v>1576</v>
      </c>
      <c r="B156" s="6" t="s">
        <v>18</v>
      </c>
      <c r="C156" s="6" t="s">
        <v>44</v>
      </c>
      <c r="D156" s="6" t="n">
        <v>1</v>
      </c>
      <c r="E156" s="6"/>
      <c r="F156" s="6" t="n">
        <f aca="false">COUNTIF(Rules!$B$2:$B$1568,A156)</f>
        <v>1</v>
      </c>
      <c r="G156" s="6" t="n">
        <f aca="false">COUNTIFS(Rules!$B$2:$B$1568,A156,Rules!$H$2:$H$1568,"QUESTION")</f>
        <v>0</v>
      </c>
      <c r="H156" s="7" t="s">
        <v>5400</v>
      </c>
      <c r="I156" s="7" t="s">
        <v>5401</v>
      </c>
      <c r="J156" s="7" t="s">
        <v>5402</v>
      </c>
      <c r="K156" s="7" t="s">
        <v>4894</v>
      </c>
    </row>
    <row r="157" customFormat="false" ht="46.25" hidden="false" customHeight="false" outlineLevel="0" collapsed="false">
      <c r="A157" s="6" t="s">
        <v>549</v>
      </c>
      <c r="B157" s="6" t="s">
        <v>16</v>
      </c>
      <c r="C157" s="6" t="s">
        <v>44</v>
      </c>
      <c r="D157" s="6" t="n">
        <v>11</v>
      </c>
      <c r="E157" s="6" t="s">
        <v>550</v>
      </c>
      <c r="F157" s="6" t="n">
        <f aca="false">COUNTIF(Rules!$B$2:$B$1568,A157)</f>
        <v>1</v>
      </c>
      <c r="G157" s="6" t="n">
        <f aca="false">COUNTIFS(Rules!$B$2:$B$1568,A157,Rules!$H$2:$H$1568,"QUESTION")</f>
        <v>0</v>
      </c>
      <c r="H157" s="7" t="s">
        <v>5403</v>
      </c>
      <c r="I157" s="7" t="s">
        <v>5404</v>
      </c>
      <c r="J157" s="7" t="s">
        <v>4894</v>
      </c>
      <c r="K157" s="7" t="s">
        <v>5405</v>
      </c>
    </row>
    <row r="158" customFormat="false" ht="23.85" hidden="false" customHeight="false" outlineLevel="0" collapsed="false">
      <c r="A158" s="6" t="s">
        <v>1580</v>
      </c>
      <c r="B158" s="6" t="s">
        <v>18</v>
      </c>
      <c r="C158" s="6" t="s">
        <v>44</v>
      </c>
      <c r="D158" s="6" t="n">
        <v>1</v>
      </c>
      <c r="E158" s="6"/>
      <c r="F158" s="6" t="n">
        <f aca="false">COUNTIF(Rules!$B$2:$B$1568,A158)</f>
        <v>1</v>
      </c>
      <c r="G158" s="6" t="n">
        <f aca="false">COUNTIFS(Rules!$B$2:$B$1568,A158,Rules!$H$2:$H$1568,"QUESTION")</f>
        <v>0</v>
      </c>
      <c r="H158" s="7" t="s">
        <v>5406</v>
      </c>
      <c r="I158" s="7" t="s">
        <v>5401</v>
      </c>
      <c r="J158" s="7" t="s">
        <v>5407</v>
      </c>
      <c r="K158" s="7" t="s">
        <v>4894</v>
      </c>
    </row>
    <row r="159" customFormat="false" ht="46.25" hidden="false" customHeight="false" outlineLevel="0" collapsed="false">
      <c r="A159" s="6" t="s">
        <v>898</v>
      </c>
      <c r="B159" s="6" t="s">
        <v>17</v>
      </c>
      <c r="C159" s="6" t="s">
        <v>79</v>
      </c>
      <c r="D159" s="6" t="n">
        <v>101</v>
      </c>
      <c r="E159" s="6" t="s">
        <v>264</v>
      </c>
      <c r="F159" s="6" t="n">
        <f aca="false">COUNTIF(Rules!$B$2:$B$1568,A159)</f>
        <v>5</v>
      </c>
      <c r="G159" s="6" t="n">
        <f aca="false">COUNTIFS(Rules!$B$2:$B$1568,A159,Rules!$H$2:$H$1568,"QUESTION")</f>
        <v>4</v>
      </c>
      <c r="H159" s="7" t="s">
        <v>5408</v>
      </c>
      <c r="I159" s="7" t="s">
        <v>5409</v>
      </c>
      <c r="J159" s="7" t="s">
        <v>5410</v>
      </c>
      <c r="K159" s="7" t="s">
        <v>5411</v>
      </c>
    </row>
    <row r="160" customFormat="false" ht="68.65" hidden="false" customHeight="false" outlineLevel="0" collapsed="false">
      <c r="A160" s="6" t="s">
        <v>3891</v>
      </c>
      <c r="B160" s="6" t="s">
        <v>21</v>
      </c>
      <c r="C160" s="6" t="s">
        <v>274</v>
      </c>
      <c r="D160" s="6" t="n">
        <v>87</v>
      </c>
      <c r="E160" s="6" t="s">
        <v>26</v>
      </c>
      <c r="F160" s="6" t="n">
        <f aca="false">COUNTIF(Rules!$B$2:$B$1568,A160)</f>
        <v>4</v>
      </c>
      <c r="G160" s="6" t="n">
        <f aca="false">COUNTIFS(Rules!$B$2:$B$1568,A160,Rules!$H$2:$H$1568,"QUESTION")</f>
        <v>2</v>
      </c>
      <c r="H160" s="7" t="s">
        <v>5412</v>
      </c>
      <c r="I160" s="7" t="s">
        <v>5413</v>
      </c>
      <c r="J160" s="7" t="s">
        <v>4894</v>
      </c>
      <c r="K160" s="7" t="s">
        <v>5414</v>
      </c>
    </row>
    <row r="161" customFormat="false" ht="46.25" hidden="false" customHeight="false" outlineLevel="0" collapsed="false">
      <c r="A161" s="6" t="s">
        <v>3904</v>
      </c>
      <c r="B161" s="6" t="s">
        <v>21</v>
      </c>
      <c r="C161" s="6" t="s">
        <v>274</v>
      </c>
      <c r="D161" s="6" t="n">
        <v>111</v>
      </c>
      <c r="E161" s="6" t="s">
        <v>50</v>
      </c>
      <c r="F161" s="6" t="n">
        <f aca="false">COUNTIF(Rules!$B$2:$B$1568,A161)</f>
        <v>8</v>
      </c>
      <c r="G161" s="6" t="n">
        <f aca="false">COUNTIFS(Rules!$B$2:$B$1568,A161,Rules!$H$2:$H$1568,"QUESTION")</f>
        <v>4</v>
      </c>
      <c r="H161" s="7" t="s">
        <v>5415</v>
      </c>
      <c r="I161" s="7" t="s">
        <v>5416</v>
      </c>
      <c r="J161" s="7" t="s">
        <v>4894</v>
      </c>
      <c r="K161" s="7" t="s">
        <v>5417</v>
      </c>
    </row>
    <row r="162" customFormat="false" ht="23.85" hidden="false" customHeight="false" outlineLevel="0" collapsed="false">
      <c r="A162" s="6" t="s">
        <v>3927</v>
      </c>
      <c r="B162" s="6" t="s">
        <v>21</v>
      </c>
      <c r="C162" s="6" t="s">
        <v>230</v>
      </c>
      <c r="D162" s="6" t="n">
        <v>87</v>
      </c>
      <c r="E162" s="6" t="s">
        <v>26</v>
      </c>
      <c r="F162" s="6" t="n">
        <f aca="false">COUNTIF(Rules!$B$2:$B$1568,A162)</f>
        <v>1</v>
      </c>
      <c r="G162" s="6" t="n">
        <f aca="false">COUNTIFS(Rules!$B$2:$B$1568,A162,Rules!$H$2:$H$1568,"QUESTION")</f>
        <v>0</v>
      </c>
      <c r="H162" s="7" t="s">
        <v>5418</v>
      </c>
      <c r="I162" s="7" t="s">
        <v>5416</v>
      </c>
      <c r="J162" s="7" t="s">
        <v>4894</v>
      </c>
      <c r="K162" s="7" t="s">
        <v>5419</v>
      </c>
    </row>
    <row r="163" customFormat="false" ht="68.65" hidden="false" customHeight="false" outlineLevel="0" collapsed="false">
      <c r="A163" s="6" t="s">
        <v>914</v>
      </c>
      <c r="B163" s="6" t="s">
        <v>17</v>
      </c>
      <c r="C163" s="6" t="s">
        <v>331</v>
      </c>
      <c r="D163" s="6" t="n">
        <v>89</v>
      </c>
      <c r="E163" s="6" t="s">
        <v>264</v>
      </c>
      <c r="F163" s="6" t="n">
        <f aca="false">COUNTIF(Rules!$B$2:$B$1568,A163)</f>
        <v>7</v>
      </c>
      <c r="G163" s="6" t="n">
        <f aca="false">COUNTIFS(Rules!$B$2:$B$1568,A163,Rules!$H$2:$H$1568,"QUESTION")</f>
        <v>1</v>
      </c>
      <c r="H163" s="7" t="s">
        <v>5420</v>
      </c>
      <c r="I163" s="7" t="s">
        <v>5421</v>
      </c>
      <c r="J163" s="7" t="s">
        <v>5422</v>
      </c>
      <c r="K163" s="7" t="s">
        <v>5423</v>
      </c>
    </row>
    <row r="164" customFormat="false" ht="35.05" hidden="false" customHeight="false" outlineLevel="0" collapsed="false">
      <c r="A164" s="6" t="s">
        <v>935</v>
      </c>
      <c r="B164" s="6" t="s">
        <v>17</v>
      </c>
      <c r="C164" s="6" t="s">
        <v>230</v>
      </c>
      <c r="D164" s="6" t="n">
        <v>101</v>
      </c>
      <c r="E164" s="6" t="s">
        <v>264</v>
      </c>
      <c r="F164" s="6" t="n">
        <f aca="false">COUNTIF(Rules!$B$2:$B$1568,A164)</f>
        <v>4</v>
      </c>
      <c r="G164" s="6" t="n">
        <f aca="false">COUNTIFS(Rules!$B$2:$B$1568,A164,Rules!$H$2:$H$1568,"QUESTION")</f>
        <v>2</v>
      </c>
      <c r="H164" s="7" t="s">
        <v>5424</v>
      </c>
      <c r="I164" s="7" t="s">
        <v>5425</v>
      </c>
      <c r="J164" s="7" t="s">
        <v>5426</v>
      </c>
      <c r="K164" s="7" t="s">
        <v>5427</v>
      </c>
    </row>
    <row r="165" customFormat="false" ht="102.2" hidden="false" customHeight="false" outlineLevel="0" collapsed="false">
      <c r="A165" s="6" t="s">
        <v>3931</v>
      </c>
      <c r="B165" s="6" t="s">
        <v>21</v>
      </c>
      <c r="C165" s="6" t="s">
        <v>331</v>
      </c>
      <c r="D165" s="6" t="n">
        <v>97</v>
      </c>
      <c r="E165" s="6" t="s">
        <v>3932</v>
      </c>
      <c r="F165" s="6" t="n">
        <f aca="false">COUNTIF(Rules!$B$2:$B$1568,A165)</f>
        <v>12</v>
      </c>
      <c r="G165" s="6" t="n">
        <f aca="false">COUNTIFS(Rules!$B$2:$B$1568,A165,Rules!$H$2:$H$1568,"QUESTION")</f>
        <v>4</v>
      </c>
      <c r="H165" s="7" t="s">
        <v>5428</v>
      </c>
      <c r="I165" s="7" t="s">
        <v>5429</v>
      </c>
      <c r="J165" s="7" t="s">
        <v>5430</v>
      </c>
      <c r="K165" s="7" t="s">
        <v>5431</v>
      </c>
    </row>
    <row r="166" customFormat="false" ht="147" hidden="false" customHeight="false" outlineLevel="0" collapsed="false">
      <c r="A166" s="6" t="s">
        <v>1583</v>
      </c>
      <c r="B166" s="6" t="s">
        <v>18</v>
      </c>
      <c r="C166" s="6" t="s">
        <v>331</v>
      </c>
      <c r="D166" s="6" t="n">
        <v>476</v>
      </c>
      <c r="E166" s="6" t="s">
        <v>1304</v>
      </c>
      <c r="F166" s="6" t="n">
        <f aca="false">COUNTIF(Rules!$B$2:$B$1568,A166)</f>
        <v>34</v>
      </c>
      <c r="G166" s="6" t="n">
        <f aca="false">COUNTIFS(Rules!$B$2:$B$1568,A166,Rules!$H$2:$H$1568,"QUESTION")</f>
        <v>14</v>
      </c>
      <c r="H166" s="7" t="s">
        <v>5432</v>
      </c>
      <c r="I166" s="7" t="s">
        <v>5433</v>
      </c>
      <c r="J166" s="7" t="s">
        <v>5434</v>
      </c>
      <c r="K166" s="7" t="s">
        <v>5435</v>
      </c>
    </row>
    <row r="167" customFormat="false" ht="35.05" hidden="false" customHeight="false" outlineLevel="0" collapsed="false">
      <c r="A167" s="6" t="s">
        <v>1686</v>
      </c>
      <c r="B167" s="6" t="s">
        <v>18</v>
      </c>
      <c r="C167" s="6" t="s">
        <v>230</v>
      </c>
      <c r="D167" s="6" t="n">
        <v>378</v>
      </c>
      <c r="E167" s="6" t="s">
        <v>1462</v>
      </c>
      <c r="F167" s="6" t="n">
        <f aca="false">COUNTIF(Rules!$B$2:$B$1568,A167)</f>
        <v>3</v>
      </c>
      <c r="G167" s="6" t="n">
        <f aca="false">COUNTIFS(Rules!$B$2:$B$1568,A167,Rules!$H$2:$H$1568,"QUESTION")</f>
        <v>1</v>
      </c>
      <c r="H167" s="7" t="s">
        <v>5436</v>
      </c>
      <c r="I167" s="7" t="s">
        <v>5437</v>
      </c>
      <c r="J167" s="7" t="s">
        <v>4894</v>
      </c>
      <c r="K167" s="7" t="s">
        <v>5438</v>
      </c>
    </row>
    <row r="168" customFormat="false" ht="23.85" hidden="false" customHeight="false" outlineLevel="0" collapsed="false">
      <c r="A168" s="6" t="s">
        <v>1696</v>
      </c>
      <c r="B168" s="6" t="s">
        <v>18</v>
      </c>
      <c r="C168" s="6" t="s">
        <v>230</v>
      </c>
      <c r="D168" s="6" t="n">
        <v>402</v>
      </c>
      <c r="E168" s="6" t="s">
        <v>1462</v>
      </c>
      <c r="F168" s="6" t="n">
        <f aca="false">COUNTIF(Rules!$B$2:$B$1568,A168)</f>
        <v>3</v>
      </c>
      <c r="G168" s="6" t="n">
        <f aca="false">COUNTIFS(Rules!$B$2:$B$1568,A168,Rules!$H$2:$H$1568,"QUESTION")</f>
        <v>2</v>
      </c>
      <c r="H168" s="7" t="s">
        <v>5439</v>
      </c>
      <c r="I168" s="7" t="s">
        <v>5440</v>
      </c>
      <c r="J168" s="7" t="s">
        <v>4894</v>
      </c>
      <c r="K168" s="7" t="s">
        <v>5441</v>
      </c>
    </row>
    <row r="169" customFormat="false" ht="46.25" hidden="false" customHeight="false" outlineLevel="0" collapsed="false">
      <c r="A169" s="6" t="s">
        <v>554</v>
      </c>
      <c r="B169" s="6" t="s">
        <v>16</v>
      </c>
      <c r="C169" s="6" t="s">
        <v>49</v>
      </c>
      <c r="D169" s="6" t="n">
        <v>230</v>
      </c>
      <c r="E169" s="6" t="s">
        <v>487</v>
      </c>
      <c r="F169" s="6" t="n">
        <f aca="false">COUNTIF(Rules!$B$2:$B$1568,A169)</f>
        <v>13</v>
      </c>
      <c r="G169" s="6" t="n">
        <f aca="false">COUNTIFS(Rules!$B$2:$B$1568,A169,Rules!$H$2:$H$1568,"QUESTION")</f>
        <v>6</v>
      </c>
      <c r="H169" s="7" t="s">
        <v>5442</v>
      </c>
      <c r="I169" s="7" t="s">
        <v>5443</v>
      </c>
      <c r="J169" s="7" t="s">
        <v>5444</v>
      </c>
      <c r="K169" s="7" t="s">
        <v>5445</v>
      </c>
    </row>
    <row r="170" customFormat="false" ht="46.25" hidden="false" customHeight="false" outlineLevel="0" collapsed="false">
      <c r="A170" s="6" t="s">
        <v>1706</v>
      </c>
      <c r="B170" s="6" t="s">
        <v>18</v>
      </c>
      <c r="C170" s="6" t="s">
        <v>85</v>
      </c>
      <c r="D170" s="6" t="n">
        <v>99</v>
      </c>
      <c r="E170" s="6" t="s">
        <v>26</v>
      </c>
      <c r="F170" s="6" t="n">
        <f aca="false">COUNTIF(Rules!$B$2:$B$1568,A170)</f>
        <v>9</v>
      </c>
      <c r="G170" s="6" t="n">
        <f aca="false">COUNTIFS(Rules!$B$2:$B$1568,A170,Rules!$H$2:$H$1568,"QUESTION")</f>
        <v>2</v>
      </c>
      <c r="H170" s="7" t="s">
        <v>5446</v>
      </c>
      <c r="I170" s="7" t="s">
        <v>5447</v>
      </c>
      <c r="J170" s="7" t="s">
        <v>5448</v>
      </c>
      <c r="K170" s="7" t="s">
        <v>5449</v>
      </c>
    </row>
    <row r="171" customFormat="false" ht="35.05" hidden="false" customHeight="false" outlineLevel="0" collapsed="false">
      <c r="A171" s="6" t="s">
        <v>1732</v>
      </c>
      <c r="B171" s="6" t="s">
        <v>18</v>
      </c>
      <c r="C171" s="6" t="s">
        <v>85</v>
      </c>
      <c r="D171" s="6" t="n">
        <v>134</v>
      </c>
      <c r="E171" s="6" t="s">
        <v>90</v>
      </c>
      <c r="F171" s="6" t="n">
        <f aca="false">COUNTIF(Rules!$B$2:$B$1568,A171)</f>
        <v>6</v>
      </c>
      <c r="G171" s="6" t="n">
        <f aca="false">COUNTIFS(Rules!$B$2:$B$1568,A171,Rules!$H$2:$H$1568,"QUESTION")</f>
        <v>3</v>
      </c>
      <c r="H171" s="7" t="s">
        <v>5450</v>
      </c>
      <c r="I171" s="7" t="s">
        <v>5451</v>
      </c>
      <c r="J171" s="7" t="s">
        <v>5452</v>
      </c>
      <c r="K171" s="7" t="s">
        <v>5453</v>
      </c>
    </row>
    <row r="172" customFormat="false" ht="23.85" hidden="false" customHeight="false" outlineLevel="0" collapsed="false">
      <c r="A172" s="6" t="s">
        <v>1751</v>
      </c>
      <c r="B172" s="6" t="s">
        <v>18</v>
      </c>
      <c r="C172" s="6" t="s">
        <v>230</v>
      </c>
      <c r="D172" s="6" t="n">
        <v>84</v>
      </c>
      <c r="E172" s="6"/>
      <c r="F172" s="6" t="n">
        <f aca="false">COUNTIF(Rules!$B$2:$B$1568,A172)</f>
        <v>2</v>
      </c>
      <c r="G172" s="6" t="n">
        <f aca="false">COUNTIFS(Rules!$B$2:$B$1568,A172,Rules!$H$2:$H$1568,"QUESTION")</f>
        <v>1</v>
      </c>
      <c r="H172" s="7" t="s">
        <v>5454</v>
      </c>
      <c r="I172" s="7" t="s">
        <v>5455</v>
      </c>
      <c r="J172" s="7" t="s">
        <v>4894</v>
      </c>
      <c r="K172" s="7" t="s">
        <v>5456</v>
      </c>
    </row>
    <row r="173" customFormat="false" ht="46.25" hidden="false" customHeight="false" outlineLevel="0" collapsed="false">
      <c r="A173" s="6" t="s">
        <v>1758</v>
      </c>
      <c r="B173" s="6" t="s">
        <v>18</v>
      </c>
      <c r="C173" s="6" t="s">
        <v>85</v>
      </c>
      <c r="D173" s="6" t="n">
        <v>146</v>
      </c>
      <c r="E173" s="6" t="s">
        <v>27</v>
      </c>
      <c r="F173" s="6" t="n">
        <f aca="false">COUNTIF(Rules!$B$2:$B$1568,A173)</f>
        <v>7</v>
      </c>
      <c r="G173" s="6" t="n">
        <f aca="false">COUNTIFS(Rules!$B$2:$B$1568,A173,Rules!$H$2:$H$1568,"QUESTION")</f>
        <v>1</v>
      </c>
      <c r="H173" s="7" t="s">
        <v>5457</v>
      </c>
      <c r="I173" s="7" t="s">
        <v>5458</v>
      </c>
      <c r="J173" s="7" t="s">
        <v>5459</v>
      </c>
      <c r="K173" s="7" t="s">
        <v>5460</v>
      </c>
    </row>
    <row r="174" customFormat="false" ht="91" hidden="false" customHeight="false" outlineLevel="0" collapsed="false">
      <c r="A174" s="6" t="s">
        <v>1780</v>
      </c>
      <c r="B174" s="6" t="s">
        <v>18</v>
      </c>
      <c r="C174" s="6" t="s">
        <v>331</v>
      </c>
      <c r="D174" s="6" t="n">
        <v>320</v>
      </c>
      <c r="E174" s="6" t="s">
        <v>27</v>
      </c>
      <c r="F174" s="6" t="n">
        <f aca="false">COUNTIF(Rules!$B$2:$B$1568,A174)</f>
        <v>16</v>
      </c>
      <c r="G174" s="6" t="n">
        <f aca="false">COUNTIFS(Rules!$B$2:$B$1568,A174,Rules!$H$2:$H$1568,"QUESTION")</f>
        <v>8</v>
      </c>
      <c r="H174" s="7" t="s">
        <v>5461</v>
      </c>
      <c r="I174" s="7" t="s">
        <v>5462</v>
      </c>
      <c r="J174" s="7" t="s">
        <v>5463</v>
      </c>
      <c r="K174" s="7" t="s">
        <v>5464</v>
      </c>
    </row>
    <row r="175" customFormat="false" ht="35.05" hidden="false" customHeight="false" outlineLevel="0" collapsed="false">
      <c r="A175" s="6" t="s">
        <v>1828</v>
      </c>
      <c r="B175" s="6" t="s">
        <v>18</v>
      </c>
      <c r="C175" s="6" t="s">
        <v>230</v>
      </c>
      <c r="D175" s="6" t="n">
        <v>171</v>
      </c>
      <c r="E175" s="6" t="s">
        <v>27</v>
      </c>
      <c r="F175" s="6" t="n">
        <f aca="false">COUNTIF(Rules!$B$2:$B$1568,A175)</f>
        <v>5</v>
      </c>
      <c r="G175" s="6" t="n">
        <f aca="false">COUNTIFS(Rules!$B$2:$B$1568,A175,Rules!$H$2:$H$1568,"QUESTION")</f>
        <v>2</v>
      </c>
      <c r="H175" s="7" t="s">
        <v>5465</v>
      </c>
      <c r="I175" s="7" t="s">
        <v>5466</v>
      </c>
      <c r="J175" s="7" t="s">
        <v>5467</v>
      </c>
      <c r="K175" s="7" t="s">
        <v>5468</v>
      </c>
    </row>
    <row r="176" customFormat="false" ht="15" hidden="false" customHeight="false" outlineLevel="0" collapsed="false">
      <c r="A176" s="6" t="s">
        <v>1843</v>
      </c>
      <c r="B176" s="6" t="s">
        <v>18</v>
      </c>
      <c r="C176" s="6" t="s">
        <v>230</v>
      </c>
      <c r="D176" s="6" t="n">
        <v>157</v>
      </c>
      <c r="E176" s="6"/>
      <c r="F176" s="6" t="n">
        <f aca="false">COUNTIF(Rules!$B$2:$B$1568,A176)</f>
        <v>2</v>
      </c>
      <c r="G176" s="6" t="n">
        <f aca="false">COUNTIFS(Rules!$B$2:$B$1568,A176,Rules!$H$2:$H$1568,"QUESTION")</f>
        <v>0</v>
      </c>
      <c r="H176" s="7" t="s">
        <v>5469</v>
      </c>
      <c r="I176" s="7" t="s">
        <v>5470</v>
      </c>
      <c r="J176" s="7" t="s">
        <v>5471</v>
      </c>
      <c r="K176" s="7" t="s">
        <v>5472</v>
      </c>
    </row>
    <row r="177" customFormat="false" ht="46.25" hidden="false" customHeight="false" outlineLevel="0" collapsed="false">
      <c r="A177" s="6" t="s">
        <v>1850</v>
      </c>
      <c r="B177" s="6" t="s">
        <v>18</v>
      </c>
      <c r="C177" s="6" t="s">
        <v>44</v>
      </c>
      <c r="D177" s="6" t="n">
        <v>23</v>
      </c>
      <c r="E177" s="6"/>
      <c r="F177" s="6" t="n">
        <f aca="false">COUNTIF(Rules!$B$2:$B$1568,A177)</f>
        <v>1</v>
      </c>
      <c r="G177" s="6" t="n">
        <f aca="false">COUNTIFS(Rules!$B$2:$B$1568,A177,Rules!$H$2:$H$1568,"QUESTION")</f>
        <v>1</v>
      </c>
      <c r="H177" s="7" t="s">
        <v>5473</v>
      </c>
      <c r="I177" s="7" t="s">
        <v>5474</v>
      </c>
      <c r="J177" s="7" t="s">
        <v>4894</v>
      </c>
      <c r="K177" s="7" t="s">
        <v>5475</v>
      </c>
    </row>
    <row r="178" customFormat="false" ht="46.25" hidden="false" customHeight="false" outlineLevel="0" collapsed="false">
      <c r="A178" s="6" t="s">
        <v>948</v>
      </c>
      <c r="B178" s="6" t="s">
        <v>17</v>
      </c>
      <c r="C178" s="6" t="s">
        <v>44</v>
      </c>
      <c r="D178" s="6" t="n">
        <v>25</v>
      </c>
      <c r="E178" s="6" t="s">
        <v>27</v>
      </c>
      <c r="F178" s="6" t="n">
        <f aca="false">COUNTIF(Rules!$B$2:$B$1568,A178)</f>
        <v>2</v>
      </c>
      <c r="G178" s="6" t="n">
        <f aca="false">COUNTIFS(Rules!$B$2:$B$1568,A178,Rules!$H$2:$H$1568,"QUESTION")</f>
        <v>1</v>
      </c>
      <c r="H178" s="7" t="s">
        <v>5476</v>
      </c>
      <c r="I178" s="7" t="s">
        <v>5477</v>
      </c>
      <c r="J178" s="7" t="s">
        <v>4894</v>
      </c>
      <c r="K178" s="7" t="s">
        <v>5478</v>
      </c>
    </row>
    <row r="179" customFormat="false" ht="68.65" hidden="false" customHeight="false" outlineLevel="0" collapsed="false">
      <c r="A179" s="6" t="s">
        <v>594</v>
      </c>
      <c r="B179" s="6" t="s">
        <v>16</v>
      </c>
      <c r="C179" s="6" t="s">
        <v>49</v>
      </c>
      <c r="D179" s="6" t="n">
        <v>50</v>
      </c>
      <c r="E179" s="6" t="s">
        <v>319</v>
      </c>
      <c r="F179" s="6" t="n">
        <f aca="false">COUNTIF(Rules!$B$2:$B$1568,A179)</f>
        <v>4</v>
      </c>
      <c r="G179" s="6" t="n">
        <f aca="false">COUNTIFS(Rules!$B$2:$B$1568,A179,Rules!$H$2:$H$1568,"QUESTION")</f>
        <v>1</v>
      </c>
      <c r="H179" s="7" t="s">
        <v>5479</v>
      </c>
      <c r="I179" s="7" t="s">
        <v>5480</v>
      </c>
      <c r="J179" s="7" t="s">
        <v>4894</v>
      </c>
      <c r="K179" s="7" t="s">
        <v>5481</v>
      </c>
    </row>
    <row r="180" customFormat="false" ht="35.05" hidden="false" customHeight="false" outlineLevel="0" collapsed="false">
      <c r="A180" s="6" t="s">
        <v>607</v>
      </c>
      <c r="B180" s="6" t="s">
        <v>16</v>
      </c>
      <c r="C180" s="6" t="s">
        <v>49</v>
      </c>
      <c r="D180" s="6" t="n">
        <v>54</v>
      </c>
      <c r="E180" s="6" t="s">
        <v>27</v>
      </c>
      <c r="F180" s="6" t="n">
        <f aca="false">COUNTIF(Rules!$B$2:$B$1568,A180)</f>
        <v>4</v>
      </c>
      <c r="G180" s="6" t="n">
        <f aca="false">COUNTIFS(Rules!$B$2:$B$1568,A180,Rules!$H$2:$H$1568,"QUESTION")</f>
        <v>0</v>
      </c>
      <c r="H180" s="7" t="s">
        <v>5482</v>
      </c>
      <c r="I180" s="7" t="s">
        <v>5483</v>
      </c>
      <c r="J180" s="7" t="s">
        <v>4894</v>
      </c>
      <c r="K180" s="7" t="s">
        <v>5484</v>
      </c>
    </row>
    <row r="181" customFormat="false" ht="35.05" hidden="false" customHeight="false" outlineLevel="0" collapsed="false">
      <c r="A181" s="6" t="s">
        <v>955</v>
      </c>
      <c r="B181" s="6" t="s">
        <v>17</v>
      </c>
      <c r="C181" s="6" t="s">
        <v>44</v>
      </c>
      <c r="D181" s="6" t="n">
        <v>18</v>
      </c>
      <c r="E181" s="6" t="s">
        <v>28</v>
      </c>
      <c r="F181" s="6" t="n">
        <f aca="false">COUNTIF(Rules!$B$2:$B$1568,A181)</f>
        <v>3</v>
      </c>
      <c r="G181" s="6" t="n">
        <f aca="false">COUNTIFS(Rules!$B$2:$B$1568,A181,Rules!$H$2:$H$1568,"QUESTION")</f>
        <v>1</v>
      </c>
      <c r="H181" s="7" t="s">
        <v>5485</v>
      </c>
      <c r="I181" s="7" t="s">
        <v>5486</v>
      </c>
      <c r="J181" s="7" t="s">
        <v>5487</v>
      </c>
      <c r="K181" s="7" t="s">
        <v>5488</v>
      </c>
    </row>
    <row r="182" customFormat="false" ht="23.85" hidden="false" customHeight="false" outlineLevel="0" collapsed="false">
      <c r="A182" s="6" t="s">
        <v>1854</v>
      </c>
      <c r="B182" s="6" t="s">
        <v>18</v>
      </c>
      <c r="C182" s="6" t="s">
        <v>85</v>
      </c>
      <c r="D182" s="6" t="n">
        <v>49</v>
      </c>
      <c r="E182" s="6" t="s">
        <v>27</v>
      </c>
      <c r="F182" s="6" t="n">
        <f aca="false">COUNTIF(Rules!$B$2:$B$1568,A182)</f>
        <v>2</v>
      </c>
      <c r="G182" s="6" t="n">
        <f aca="false">COUNTIFS(Rules!$B$2:$B$1568,A182,Rules!$H$2:$H$1568,"QUESTION")</f>
        <v>0</v>
      </c>
      <c r="H182" s="7" t="s">
        <v>5489</v>
      </c>
      <c r="I182" s="7" t="s">
        <v>5490</v>
      </c>
      <c r="J182" s="7" t="s">
        <v>5491</v>
      </c>
      <c r="K182" s="7" t="s">
        <v>5492</v>
      </c>
    </row>
    <row r="183" customFormat="false" ht="23.85" hidden="false" customHeight="false" outlineLevel="0" collapsed="false">
      <c r="A183" s="6" t="s">
        <v>964</v>
      </c>
      <c r="B183" s="6" t="s">
        <v>17</v>
      </c>
      <c r="C183" s="6" t="s">
        <v>49</v>
      </c>
      <c r="D183" s="6" t="n">
        <v>35</v>
      </c>
      <c r="E183" s="6" t="s">
        <v>356</v>
      </c>
      <c r="F183" s="6" t="n">
        <f aca="false">COUNTIF(Rules!$B$2:$B$1568,A183)</f>
        <v>2</v>
      </c>
      <c r="G183" s="6" t="n">
        <f aca="false">COUNTIFS(Rules!$B$2:$B$1568,A183,Rules!$H$2:$H$1568,"QUESTION")</f>
        <v>2</v>
      </c>
      <c r="H183" s="7" t="s">
        <v>5493</v>
      </c>
      <c r="I183" s="7" t="s">
        <v>5494</v>
      </c>
      <c r="J183" s="7" t="s">
        <v>4894</v>
      </c>
      <c r="K183" s="7" t="s">
        <v>5495</v>
      </c>
    </row>
    <row r="184" customFormat="false" ht="79.85" hidden="false" customHeight="false" outlineLevel="0" collapsed="false">
      <c r="A184" s="6" t="s">
        <v>48</v>
      </c>
      <c r="B184" s="6" t="s">
        <v>14</v>
      </c>
      <c r="C184" s="6" t="s">
        <v>49</v>
      </c>
      <c r="D184" s="6" t="n">
        <v>191</v>
      </c>
      <c r="E184" s="6" t="s">
        <v>50</v>
      </c>
      <c r="F184" s="6" t="n">
        <f aca="false">COUNTIF(Rules!$B$2:$B$1568,A184)</f>
        <v>9</v>
      </c>
      <c r="G184" s="6" t="n">
        <f aca="false">COUNTIFS(Rules!$B$2:$B$1568,A184,Rules!$H$2:$H$1568,"QUESTION")</f>
        <v>3</v>
      </c>
      <c r="H184" s="7" t="s">
        <v>5496</v>
      </c>
      <c r="I184" s="7" t="s">
        <v>5497</v>
      </c>
      <c r="J184" s="7" t="s">
        <v>4894</v>
      </c>
      <c r="K184" s="7" t="s">
        <v>5498</v>
      </c>
    </row>
    <row r="185" customFormat="false" ht="35.05" hidden="false" customHeight="false" outlineLevel="0" collapsed="false">
      <c r="A185" s="6" t="s">
        <v>971</v>
      </c>
      <c r="B185" s="6" t="s">
        <v>17</v>
      </c>
      <c r="C185" s="6" t="s">
        <v>85</v>
      </c>
      <c r="D185" s="6" t="n">
        <v>53</v>
      </c>
      <c r="E185" s="6" t="s">
        <v>972</v>
      </c>
      <c r="F185" s="6" t="n">
        <f aca="false">COUNTIF(Rules!$B$2:$B$1568,A185)</f>
        <v>3</v>
      </c>
      <c r="G185" s="6" t="n">
        <f aca="false">COUNTIFS(Rules!$B$2:$B$1568,A185,Rules!$H$2:$H$1568,"QUESTION")</f>
        <v>1</v>
      </c>
      <c r="H185" s="7" t="s">
        <v>5499</v>
      </c>
      <c r="I185" s="7" t="s">
        <v>5494</v>
      </c>
      <c r="J185" s="7" t="s">
        <v>4894</v>
      </c>
      <c r="K185" s="7" t="s">
        <v>5500</v>
      </c>
    </row>
    <row r="186" customFormat="false" ht="46.25" hidden="false" customHeight="false" outlineLevel="0" collapsed="false">
      <c r="A186" s="6" t="s">
        <v>982</v>
      </c>
      <c r="B186" s="6" t="s">
        <v>17</v>
      </c>
      <c r="C186" s="6" t="s">
        <v>331</v>
      </c>
      <c r="D186" s="6" t="n">
        <v>70</v>
      </c>
      <c r="E186" s="6" t="s">
        <v>356</v>
      </c>
      <c r="F186" s="6" t="n">
        <f aca="false">COUNTIF(Rules!$B$2:$B$1568,A186)</f>
        <v>10</v>
      </c>
      <c r="G186" s="6" t="n">
        <f aca="false">COUNTIFS(Rules!$B$2:$B$1568,A186,Rules!$H$2:$H$1568,"QUESTION")</f>
        <v>6</v>
      </c>
      <c r="H186" s="7" t="s">
        <v>5501</v>
      </c>
      <c r="I186" s="7" t="s">
        <v>5502</v>
      </c>
      <c r="J186" s="7" t="s">
        <v>5503</v>
      </c>
      <c r="K186" s="7" t="s">
        <v>5504</v>
      </c>
    </row>
    <row r="187" customFormat="false" ht="23.85" hidden="false" customHeight="false" outlineLevel="0" collapsed="false">
      <c r="A187" s="6" t="s">
        <v>620</v>
      </c>
      <c r="B187" s="6" t="s">
        <v>16</v>
      </c>
      <c r="C187" s="6" t="s">
        <v>49</v>
      </c>
      <c r="D187" s="6" t="n">
        <v>15</v>
      </c>
      <c r="E187" s="6" t="s">
        <v>27</v>
      </c>
      <c r="F187" s="6" t="n">
        <f aca="false">COUNTIF(Rules!$B$2:$B$1568,A187)</f>
        <v>1</v>
      </c>
      <c r="G187" s="6" t="n">
        <f aca="false">COUNTIFS(Rules!$B$2:$B$1568,A187,Rules!$H$2:$H$1568,"QUESTION")</f>
        <v>0</v>
      </c>
      <c r="H187" s="7" t="s">
        <v>5505</v>
      </c>
      <c r="I187" s="7" t="s">
        <v>5506</v>
      </c>
      <c r="J187" s="7" t="s">
        <v>4894</v>
      </c>
      <c r="K187" s="7" t="s">
        <v>5507</v>
      </c>
    </row>
    <row r="188" customFormat="false" ht="102.2" hidden="false" customHeight="false" outlineLevel="0" collapsed="false">
      <c r="A188" s="6" t="s">
        <v>1861</v>
      </c>
      <c r="B188" s="6" t="s">
        <v>18</v>
      </c>
      <c r="C188" s="6" t="s">
        <v>49</v>
      </c>
      <c r="D188" s="6" t="n">
        <v>645</v>
      </c>
      <c r="E188" s="6" t="s">
        <v>1862</v>
      </c>
      <c r="F188" s="6" t="n">
        <f aca="false">COUNTIF(Rules!$B$2:$B$1568,A188)</f>
        <v>26</v>
      </c>
      <c r="G188" s="6" t="n">
        <f aca="false">COUNTIFS(Rules!$B$2:$B$1568,A188,Rules!$H$2:$H$1568,"QUESTION")</f>
        <v>8</v>
      </c>
      <c r="H188" s="7" t="s">
        <v>5508</v>
      </c>
      <c r="I188" s="7" t="s">
        <v>5509</v>
      </c>
      <c r="J188" s="7" t="s">
        <v>5510</v>
      </c>
      <c r="K188" s="7" t="s">
        <v>5511</v>
      </c>
    </row>
    <row r="189" customFormat="false" ht="23.85" hidden="false" customHeight="false" outlineLevel="0" collapsed="false">
      <c r="A189" s="6" t="s">
        <v>1941</v>
      </c>
      <c r="B189" s="6" t="s">
        <v>18</v>
      </c>
      <c r="C189" s="6" t="s">
        <v>230</v>
      </c>
      <c r="D189" s="6" t="n">
        <v>418</v>
      </c>
      <c r="E189" s="6" t="s">
        <v>29</v>
      </c>
      <c r="F189" s="6" t="n">
        <f aca="false">COUNTIF(Rules!$B$2:$B$1568,A189)</f>
        <v>2</v>
      </c>
      <c r="G189" s="6" t="n">
        <f aca="false">COUNTIFS(Rules!$B$2:$B$1568,A189,Rules!$H$2:$H$1568,"QUESTION")</f>
        <v>1</v>
      </c>
      <c r="H189" s="7" t="s">
        <v>5512</v>
      </c>
      <c r="I189" s="7" t="s">
        <v>5513</v>
      </c>
      <c r="J189" s="7" t="s">
        <v>5514</v>
      </c>
      <c r="K189" s="7" t="s">
        <v>5515</v>
      </c>
    </row>
    <row r="190" customFormat="false" ht="23.85" hidden="false" customHeight="false" outlineLevel="0" collapsed="false">
      <c r="A190" s="6" t="s">
        <v>1948</v>
      </c>
      <c r="B190" s="6" t="s">
        <v>18</v>
      </c>
      <c r="C190" s="6" t="s">
        <v>230</v>
      </c>
      <c r="D190" s="6" t="n">
        <v>419</v>
      </c>
      <c r="E190" s="6" t="s">
        <v>29</v>
      </c>
      <c r="F190" s="6" t="n">
        <f aca="false">COUNTIF(Rules!$B$2:$B$1568,A190)</f>
        <v>1</v>
      </c>
      <c r="G190" s="6" t="n">
        <f aca="false">COUNTIFS(Rules!$B$2:$B$1568,A190,Rules!$H$2:$H$1568,"QUESTION")</f>
        <v>0</v>
      </c>
      <c r="H190" s="7" t="s">
        <v>5516</v>
      </c>
      <c r="I190" s="7" t="s">
        <v>5517</v>
      </c>
      <c r="J190" s="7" t="s">
        <v>5518</v>
      </c>
      <c r="K190" s="7" t="s">
        <v>5515</v>
      </c>
    </row>
    <row r="191" customFormat="false" ht="15" hidden="false" customHeight="false" outlineLevel="0" collapsed="false">
      <c r="A191" s="6" t="s">
        <v>1952</v>
      </c>
      <c r="B191" s="6" t="s">
        <v>18</v>
      </c>
      <c r="C191" s="6" t="s">
        <v>230</v>
      </c>
      <c r="D191" s="6" t="n">
        <v>384</v>
      </c>
      <c r="E191" s="6" t="s">
        <v>29</v>
      </c>
      <c r="F191" s="6" t="n">
        <f aca="false">COUNTIF(Rules!$B$2:$B$1568,A191)</f>
        <v>2</v>
      </c>
      <c r="G191" s="6" t="n">
        <f aca="false">COUNTIFS(Rules!$B$2:$B$1568,A191,Rules!$H$2:$H$1568,"QUESTION")</f>
        <v>0</v>
      </c>
      <c r="H191" s="7" t="s">
        <v>5519</v>
      </c>
      <c r="I191" s="7" t="s">
        <v>5517</v>
      </c>
      <c r="J191" s="7" t="s">
        <v>5518</v>
      </c>
      <c r="K191" s="7" t="s">
        <v>5515</v>
      </c>
    </row>
    <row r="192" customFormat="false" ht="57.45" hidden="false" customHeight="false" outlineLevel="0" collapsed="false">
      <c r="A192" s="6" t="s">
        <v>1959</v>
      </c>
      <c r="B192" s="6" t="s">
        <v>18</v>
      </c>
      <c r="C192" s="6" t="s">
        <v>331</v>
      </c>
      <c r="D192" s="6" t="n">
        <v>98</v>
      </c>
      <c r="E192" s="6" t="s">
        <v>550</v>
      </c>
      <c r="F192" s="6" t="n">
        <f aca="false">COUNTIF(Rules!$B$2:$B$1568,A192)</f>
        <v>4</v>
      </c>
      <c r="G192" s="6" t="n">
        <f aca="false">COUNTIFS(Rules!$B$2:$B$1568,A192,Rules!$H$2:$H$1568,"QUESTION")</f>
        <v>2</v>
      </c>
      <c r="H192" s="7" t="s">
        <v>5520</v>
      </c>
      <c r="I192" s="7" t="s">
        <v>5521</v>
      </c>
      <c r="J192" s="7" t="s">
        <v>5522</v>
      </c>
      <c r="K192" s="7" t="s">
        <v>5523</v>
      </c>
    </row>
    <row r="193" customFormat="false" ht="57.45" hidden="false" customHeight="false" outlineLevel="0" collapsed="false">
      <c r="A193" s="6" t="s">
        <v>1972</v>
      </c>
      <c r="B193" s="6" t="s">
        <v>18</v>
      </c>
      <c r="C193" s="6" t="s">
        <v>49</v>
      </c>
      <c r="D193" s="6" t="n">
        <v>369</v>
      </c>
      <c r="E193" s="6" t="s">
        <v>1973</v>
      </c>
      <c r="F193" s="6" t="n">
        <f aca="false">COUNTIF(Rules!$B$2:$B$1568,A193)</f>
        <v>15</v>
      </c>
      <c r="G193" s="6" t="n">
        <f aca="false">COUNTIFS(Rules!$B$2:$B$1568,A193,Rules!$H$2:$H$1568,"QUESTION")</f>
        <v>8</v>
      </c>
      <c r="H193" s="7" t="s">
        <v>5524</v>
      </c>
      <c r="I193" s="7" t="s">
        <v>5525</v>
      </c>
      <c r="J193" s="7" t="s">
        <v>4894</v>
      </c>
      <c r="K193" s="7" t="s">
        <v>5526</v>
      </c>
    </row>
    <row r="194" customFormat="false" ht="23.85" hidden="false" customHeight="false" outlineLevel="0" collapsed="false">
      <c r="A194" s="6" t="s">
        <v>2018</v>
      </c>
      <c r="B194" s="6" t="s">
        <v>18</v>
      </c>
      <c r="C194" s="6" t="s">
        <v>230</v>
      </c>
      <c r="D194" s="6" t="n">
        <v>290</v>
      </c>
      <c r="E194" s="6" t="s">
        <v>29</v>
      </c>
      <c r="F194" s="6" t="n">
        <f aca="false">COUNTIF(Rules!$B$2:$B$1568,A194)</f>
        <v>1</v>
      </c>
      <c r="G194" s="6" t="n">
        <f aca="false">COUNTIFS(Rules!$B$2:$B$1568,A194,Rules!$H$2:$H$1568,"QUESTION")</f>
        <v>0</v>
      </c>
      <c r="H194" s="7" t="s">
        <v>5527</v>
      </c>
      <c r="I194" s="7" t="s">
        <v>5528</v>
      </c>
      <c r="J194" s="7" t="s">
        <v>4894</v>
      </c>
      <c r="K194" s="7" t="s">
        <v>5529</v>
      </c>
    </row>
    <row r="195" customFormat="false" ht="46.25" hidden="false" customHeight="false" outlineLevel="0" collapsed="false">
      <c r="A195" s="6" t="s">
        <v>1011</v>
      </c>
      <c r="B195" s="6" t="s">
        <v>17</v>
      </c>
      <c r="C195" s="6" t="s">
        <v>85</v>
      </c>
      <c r="D195" s="6" t="n">
        <v>247</v>
      </c>
      <c r="E195" s="6" t="s">
        <v>1012</v>
      </c>
      <c r="F195" s="6" t="n">
        <f aca="false">COUNTIF(Rules!$B$2:$B$1568,A195)</f>
        <v>8</v>
      </c>
      <c r="G195" s="6" t="n">
        <f aca="false">COUNTIFS(Rules!$B$2:$B$1568,A195,Rules!$H$2:$H$1568,"QUESTION")</f>
        <v>4</v>
      </c>
      <c r="H195" s="7" t="s">
        <v>5530</v>
      </c>
      <c r="I195" s="7" t="s">
        <v>5531</v>
      </c>
      <c r="J195" s="7" t="s">
        <v>5532</v>
      </c>
      <c r="K195" s="7" t="s">
        <v>5533</v>
      </c>
    </row>
    <row r="196" customFormat="false" ht="68.65" hidden="false" customHeight="false" outlineLevel="0" collapsed="false">
      <c r="A196" s="6" t="s">
        <v>1036</v>
      </c>
      <c r="B196" s="6" t="s">
        <v>17</v>
      </c>
      <c r="C196" s="6" t="s">
        <v>49</v>
      </c>
      <c r="D196" s="6" t="n">
        <v>311</v>
      </c>
      <c r="E196" s="6" t="s">
        <v>972</v>
      </c>
      <c r="F196" s="6" t="n">
        <f aca="false">COUNTIF(Rules!$B$2:$B$1568,A196)</f>
        <v>11</v>
      </c>
      <c r="G196" s="6" t="n">
        <f aca="false">COUNTIFS(Rules!$B$2:$B$1568,A196,Rules!$H$2:$H$1568,"QUESTION")</f>
        <v>6</v>
      </c>
      <c r="H196" s="7" t="s">
        <v>5534</v>
      </c>
      <c r="I196" s="7" t="s">
        <v>5535</v>
      </c>
      <c r="J196" s="7" t="s">
        <v>5536</v>
      </c>
      <c r="K196" s="7" t="s">
        <v>5537</v>
      </c>
    </row>
    <row r="197" customFormat="false" ht="23.85" hidden="false" customHeight="false" outlineLevel="0" collapsed="false">
      <c r="A197" s="6" t="s">
        <v>78</v>
      </c>
      <c r="B197" s="6" t="s">
        <v>14</v>
      </c>
      <c r="C197" s="6" t="s">
        <v>79</v>
      </c>
      <c r="D197" s="6" t="n">
        <v>277</v>
      </c>
      <c r="E197" s="6" t="s">
        <v>80</v>
      </c>
      <c r="F197" s="6" t="n">
        <f aca="false">COUNTIF(Rules!$B$2:$B$1568,A197)</f>
        <v>1</v>
      </c>
      <c r="G197" s="6" t="n">
        <f aca="false">COUNTIFS(Rules!$B$2:$B$1568,A197,Rules!$H$2:$H$1568,"QUESTION")</f>
        <v>1</v>
      </c>
      <c r="H197" s="7" t="s">
        <v>5538</v>
      </c>
      <c r="I197" s="7" t="s">
        <v>5539</v>
      </c>
      <c r="J197" s="7" t="s">
        <v>5540</v>
      </c>
      <c r="K197" s="7" t="s">
        <v>5541</v>
      </c>
    </row>
    <row r="198" customFormat="false" ht="23.85" hidden="false" customHeight="false" outlineLevel="0" collapsed="false">
      <c r="A198" s="6" t="s">
        <v>1070</v>
      </c>
      <c r="B198" s="6" t="s">
        <v>17</v>
      </c>
      <c r="C198" s="6" t="s">
        <v>79</v>
      </c>
      <c r="D198" s="6" t="n">
        <v>16</v>
      </c>
      <c r="E198" s="6" t="s">
        <v>972</v>
      </c>
      <c r="F198" s="6" t="n">
        <f aca="false">COUNTIF(Rules!$B$2:$B$1568,A198)</f>
        <v>1</v>
      </c>
      <c r="G198" s="6" t="n">
        <f aca="false">COUNTIFS(Rules!$B$2:$B$1568,A198,Rules!$H$2:$H$1568,"QUESTION")</f>
        <v>0</v>
      </c>
      <c r="H198" s="7" t="s">
        <v>5542</v>
      </c>
      <c r="I198" s="7" t="s">
        <v>5543</v>
      </c>
      <c r="J198" s="7" t="s">
        <v>4894</v>
      </c>
      <c r="K198" s="7" t="s">
        <v>4894</v>
      </c>
    </row>
    <row r="199" customFormat="false" ht="79.85" hidden="false" customHeight="false" outlineLevel="0" collapsed="false">
      <c r="A199" s="6" t="s">
        <v>1074</v>
      </c>
      <c r="B199" s="6" t="s">
        <v>17</v>
      </c>
      <c r="C199" s="6" t="s">
        <v>79</v>
      </c>
      <c r="D199" s="6" t="n">
        <v>1003</v>
      </c>
      <c r="E199" s="6" t="s">
        <v>1075</v>
      </c>
      <c r="F199" s="6" t="n">
        <f aca="false">COUNTIF(Rules!$B$2:$B$1568,A199)</f>
        <v>14</v>
      </c>
      <c r="G199" s="6" t="n">
        <f aca="false">COUNTIFS(Rules!$B$2:$B$1568,A199,Rules!$H$2:$H$1568,"QUESTION")</f>
        <v>7</v>
      </c>
      <c r="H199" s="7" t="s">
        <v>5544</v>
      </c>
      <c r="I199" s="7" t="s">
        <v>5545</v>
      </c>
      <c r="J199" s="7" t="s">
        <v>5546</v>
      </c>
      <c r="K199" s="7" t="s">
        <v>5547</v>
      </c>
    </row>
    <row r="200" customFormat="false" ht="57.45" hidden="false" customHeight="false" outlineLevel="0" collapsed="false">
      <c r="A200" s="6" t="s">
        <v>2022</v>
      </c>
      <c r="B200" s="6" t="s">
        <v>18</v>
      </c>
      <c r="C200" s="6" t="s">
        <v>79</v>
      </c>
      <c r="D200" s="6" t="n">
        <v>629</v>
      </c>
      <c r="E200" s="6" t="s">
        <v>714</v>
      </c>
      <c r="F200" s="6" t="n">
        <f aca="false">COUNTIF(Rules!$B$2:$B$1568,A200)</f>
        <v>6</v>
      </c>
      <c r="G200" s="6" t="n">
        <f aca="false">COUNTIFS(Rules!$B$2:$B$1568,A200,Rules!$H$2:$H$1568,"QUESTION")</f>
        <v>2</v>
      </c>
      <c r="H200" s="7" t="s">
        <v>5548</v>
      </c>
      <c r="I200" s="7" t="s">
        <v>5549</v>
      </c>
      <c r="J200" s="7" t="s">
        <v>5550</v>
      </c>
      <c r="K200" s="7" t="s">
        <v>5551</v>
      </c>
    </row>
    <row r="201" customFormat="false" ht="46.25" hidden="false" customHeight="false" outlineLevel="0" collapsed="false">
      <c r="A201" s="6" t="s">
        <v>3967</v>
      </c>
      <c r="B201" s="6" t="s">
        <v>21</v>
      </c>
      <c r="C201" s="6" t="s">
        <v>230</v>
      </c>
      <c r="D201" s="6" t="n">
        <v>117</v>
      </c>
      <c r="E201" s="6" t="s">
        <v>3104</v>
      </c>
      <c r="F201" s="6" t="n">
        <f aca="false">COUNTIF(Rules!$B$2:$B$1568,A201)</f>
        <v>1</v>
      </c>
      <c r="G201" s="6" t="n">
        <f aca="false">COUNTIFS(Rules!$B$2:$B$1568,A201,Rules!$H$2:$H$1568,"QUESTION")</f>
        <v>0</v>
      </c>
      <c r="H201" s="7" t="s">
        <v>5552</v>
      </c>
      <c r="I201" s="7" t="s">
        <v>5553</v>
      </c>
      <c r="J201" s="7" t="s">
        <v>4894</v>
      </c>
      <c r="K201" s="7" t="s">
        <v>5554</v>
      </c>
    </row>
    <row r="202" customFormat="false" ht="46.25" hidden="false" customHeight="false" outlineLevel="0" collapsed="false">
      <c r="A202" s="6" t="s">
        <v>3970</v>
      </c>
      <c r="B202" s="6" t="s">
        <v>21</v>
      </c>
      <c r="C202" s="6" t="s">
        <v>49</v>
      </c>
      <c r="D202" s="6" t="n">
        <v>127</v>
      </c>
      <c r="E202" s="6" t="s">
        <v>3932</v>
      </c>
      <c r="F202" s="6" t="n">
        <f aca="false">COUNTIF(Rules!$B$2:$B$1568,A202)</f>
        <v>9</v>
      </c>
      <c r="G202" s="6" t="n">
        <f aca="false">COUNTIFS(Rules!$B$2:$B$1568,A202,Rules!$H$2:$H$1568,"QUESTION")</f>
        <v>5</v>
      </c>
      <c r="H202" s="7" t="s">
        <v>5555</v>
      </c>
      <c r="I202" s="7" t="s">
        <v>5556</v>
      </c>
      <c r="J202" s="7" t="s">
        <v>4894</v>
      </c>
      <c r="K202" s="7" t="s">
        <v>5557</v>
      </c>
    </row>
    <row r="203" customFormat="false" ht="57.45" hidden="false" customHeight="false" outlineLevel="0" collapsed="false">
      <c r="A203" s="6" t="s">
        <v>2041</v>
      </c>
      <c r="B203" s="6" t="s">
        <v>18</v>
      </c>
      <c r="C203" s="6" t="s">
        <v>49</v>
      </c>
      <c r="D203" s="6" t="n">
        <v>293</v>
      </c>
      <c r="E203" s="6" t="s">
        <v>1862</v>
      </c>
      <c r="F203" s="6" t="n">
        <f aca="false">COUNTIF(Rules!$B$2:$B$1568,A203)</f>
        <v>11</v>
      </c>
      <c r="G203" s="6" t="n">
        <f aca="false">COUNTIFS(Rules!$B$2:$B$1568,A203,Rules!$H$2:$H$1568,"QUESTION")</f>
        <v>3</v>
      </c>
      <c r="H203" s="7" t="s">
        <v>5558</v>
      </c>
      <c r="I203" s="7" t="s">
        <v>5559</v>
      </c>
      <c r="J203" s="7" t="s">
        <v>5560</v>
      </c>
      <c r="K203" s="7" t="s">
        <v>5561</v>
      </c>
    </row>
    <row r="204" customFormat="false" ht="91" hidden="false" customHeight="false" outlineLevel="0" collapsed="false">
      <c r="A204" s="6" t="s">
        <v>1118</v>
      </c>
      <c r="B204" s="6" t="s">
        <v>17</v>
      </c>
      <c r="C204" s="6" t="s">
        <v>49</v>
      </c>
      <c r="D204" s="6" t="n">
        <v>787</v>
      </c>
      <c r="E204" s="6" t="s">
        <v>873</v>
      </c>
      <c r="F204" s="6" t="n">
        <f aca="false">COUNTIF(Rules!$B$2:$B$1568,A204)</f>
        <v>8</v>
      </c>
      <c r="G204" s="6" t="n">
        <f aca="false">COUNTIFS(Rules!$B$2:$B$1568,A204,Rules!$H$2:$H$1568,"QUESTION")</f>
        <v>2</v>
      </c>
      <c r="H204" s="7" t="s">
        <v>5562</v>
      </c>
      <c r="I204" s="7" t="s">
        <v>5563</v>
      </c>
      <c r="J204" s="7" t="s">
        <v>5564</v>
      </c>
      <c r="K204" s="7" t="s">
        <v>5565</v>
      </c>
    </row>
    <row r="205" customFormat="false" ht="91" hidden="false" customHeight="false" outlineLevel="0" collapsed="false">
      <c r="A205" s="6" t="s">
        <v>1143</v>
      </c>
      <c r="B205" s="6" t="s">
        <v>17</v>
      </c>
      <c r="C205" s="6" t="s">
        <v>49</v>
      </c>
      <c r="D205" s="6" t="n">
        <v>116</v>
      </c>
      <c r="E205" s="6" t="s">
        <v>972</v>
      </c>
      <c r="F205" s="6" t="n">
        <f aca="false">COUNTIF(Rules!$B$2:$B$1568,A205)</f>
        <v>4</v>
      </c>
      <c r="G205" s="6" t="n">
        <f aca="false">COUNTIFS(Rules!$B$2:$B$1568,A205,Rules!$H$2:$H$1568,"QUESTION")</f>
        <v>2</v>
      </c>
      <c r="H205" s="7" t="s">
        <v>5566</v>
      </c>
      <c r="I205" s="7" t="s">
        <v>5567</v>
      </c>
      <c r="J205" s="7" t="s">
        <v>4894</v>
      </c>
      <c r="K205" s="7" t="s">
        <v>5568</v>
      </c>
    </row>
    <row r="206" customFormat="false" ht="35.05" hidden="false" customHeight="false" outlineLevel="0" collapsed="false">
      <c r="A206" s="6" t="s">
        <v>1156</v>
      </c>
      <c r="B206" s="6" t="s">
        <v>17</v>
      </c>
      <c r="C206" s="6" t="s">
        <v>49</v>
      </c>
      <c r="D206" s="6" t="n">
        <v>199</v>
      </c>
      <c r="E206" s="6" t="s">
        <v>356</v>
      </c>
      <c r="F206" s="6" t="n">
        <f aca="false">COUNTIF(Rules!$B$2:$B$1568,A206)</f>
        <v>5</v>
      </c>
      <c r="G206" s="6" t="n">
        <f aca="false">COUNTIFS(Rules!$B$2:$B$1568,A206,Rules!$H$2:$H$1568,"QUESTION")</f>
        <v>2</v>
      </c>
      <c r="H206" s="7" t="s">
        <v>5569</v>
      </c>
      <c r="I206" s="7" t="s">
        <v>5570</v>
      </c>
      <c r="J206" s="7" t="s">
        <v>4894</v>
      </c>
      <c r="K206" s="7" t="s">
        <v>5571</v>
      </c>
    </row>
    <row r="207" customFormat="false" ht="35.05" hidden="false" customHeight="false" outlineLevel="0" collapsed="false">
      <c r="A207" s="6" t="s">
        <v>1172</v>
      </c>
      <c r="B207" s="6" t="s">
        <v>17</v>
      </c>
      <c r="C207" s="6" t="s">
        <v>230</v>
      </c>
      <c r="D207" s="6" t="n">
        <v>312</v>
      </c>
      <c r="E207" s="6" t="s">
        <v>714</v>
      </c>
      <c r="F207" s="6" t="n">
        <f aca="false">COUNTIF(Rules!$B$2:$B$1568,A207)</f>
        <v>2</v>
      </c>
      <c r="G207" s="6" t="n">
        <f aca="false">COUNTIFS(Rules!$B$2:$B$1568,A207,Rules!$H$2:$H$1568,"QUESTION")</f>
        <v>0</v>
      </c>
      <c r="H207" s="7" t="s">
        <v>5572</v>
      </c>
      <c r="I207" s="7" t="s">
        <v>5573</v>
      </c>
      <c r="J207" s="7" t="s">
        <v>5574</v>
      </c>
      <c r="K207" s="7" t="s">
        <v>5575</v>
      </c>
    </row>
    <row r="208" customFormat="false" ht="57.45" hidden="false" customHeight="false" outlineLevel="0" collapsed="false">
      <c r="A208" s="6" t="s">
        <v>1179</v>
      </c>
      <c r="B208" s="6" t="s">
        <v>17</v>
      </c>
      <c r="C208" s="6" t="s">
        <v>230</v>
      </c>
      <c r="D208" s="6" t="n">
        <v>182</v>
      </c>
      <c r="E208" s="6" t="s">
        <v>714</v>
      </c>
      <c r="F208" s="6" t="n">
        <f aca="false">COUNTIF(Rules!$B$2:$B$1568,A208)</f>
        <v>3</v>
      </c>
      <c r="G208" s="6" t="n">
        <f aca="false">COUNTIFS(Rules!$B$2:$B$1568,A208,Rules!$H$2:$H$1568,"QUESTION")</f>
        <v>1</v>
      </c>
      <c r="H208" s="7" t="s">
        <v>5576</v>
      </c>
      <c r="I208" s="7" t="s">
        <v>5577</v>
      </c>
      <c r="J208" s="7" t="s">
        <v>4894</v>
      </c>
      <c r="K208" s="7" t="s">
        <v>5578</v>
      </c>
    </row>
    <row r="209" customFormat="false" ht="57.45" hidden="false" customHeight="false" outlineLevel="0" collapsed="false">
      <c r="A209" s="6" t="s">
        <v>1189</v>
      </c>
      <c r="B209" s="6" t="s">
        <v>17</v>
      </c>
      <c r="C209" s="6" t="s">
        <v>49</v>
      </c>
      <c r="D209" s="6" t="n">
        <v>222</v>
      </c>
      <c r="E209" s="6" t="s">
        <v>1190</v>
      </c>
      <c r="F209" s="6" t="n">
        <f aca="false">COUNTIF(Rules!$B$2:$B$1568,A209)</f>
        <v>8</v>
      </c>
      <c r="G209" s="6" t="n">
        <f aca="false">COUNTIFS(Rules!$B$2:$B$1568,A209,Rules!$H$2:$H$1568,"QUESTION")</f>
        <v>1</v>
      </c>
      <c r="H209" s="7" t="s">
        <v>5579</v>
      </c>
      <c r="I209" s="7" t="s">
        <v>5580</v>
      </c>
      <c r="J209" s="7" t="s">
        <v>4894</v>
      </c>
      <c r="K209" s="7" t="s">
        <v>5581</v>
      </c>
    </row>
    <row r="210" customFormat="false" ht="57.45" hidden="false" customHeight="false" outlineLevel="0" collapsed="false">
      <c r="A210" s="6" t="s">
        <v>2075</v>
      </c>
      <c r="B210" s="6" t="s">
        <v>18</v>
      </c>
      <c r="C210" s="6" t="s">
        <v>49</v>
      </c>
      <c r="D210" s="6" t="n">
        <v>74</v>
      </c>
      <c r="E210" s="6" t="s">
        <v>1462</v>
      </c>
      <c r="F210" s="6" t="n">
        <f aca="false">COUNTIF(Rules!$B$2:$B$1568,A210)</f>
        <v>4</v>
      </c>
      <c r="G210" s="6" t="n">
        <f aca="false">COUNTIFS(Rules!$B$2:$B$1568,A210,Rules!$H$2:$H$1568,"QUESTION")</f>
        <v>0</v>
      </c>
      <c r="H210" s="7" t="s">
        <v>5582</v>
      </c>
      <c r="I210" s="7" t="s">
        <v>5583</v>
      </c>
      <c r="J210" s="7" t="s">
        <v>4894</v>
      </c>
      <c r="K210" s="7" t="s">
        <v>5584</v>
      </c>
    </row>
    <row r="211" customFormat="false" ht="23.85" hidden="false" customHeight="false" outlineLevel="0" collapsed="false">
      <c r="A211" s="6" t="s">
        <v>84</v>
      </c>
      <c r="B211" s="6" t="s">
        <v>14</v>
      </c>
      <c r="C211" s="6" t="s">
        <v>85</v>
      </c>
      <c r="D211" s="6" t="n">
        <v>44</v>
      </c>
      <c r="E211" s="6" t="s">
        <v>26</v>
      </c>
      <c r="F211" s="6" t="n">
        <f aca="false">COUNTIF(Rules!$B$2:$B$1568,A211)</f>
        <v>1</v>
      </c>
      <c r="G211" s="6" t="n">
        <f aca="false">COUNTIFS(Rules!$B$2:$B$1568,A211,Rules!$H$2:$H$1568,"QUESTION")</f>
        <v>0</v>
      </c>
      <c r="H211" s="7" t="s">
        <v>5585</v>
      </c>
      <c r="I211" s="7" t="s">
        <v>5586</v>
      </c>
      <c r="J211" s="7" t="s">
        <v>4894</v>
      </c>
      <c r="K211" s="7" t="s">
        <v>5587</v>
      </c>
    </row>
    <row r="212" customFormat="false" ht="15" hidden="false" customHeight="false" outlineLevel="0" collapsed="false">
      <c r="A212" s="6" t="s">
        <v>1215</v>
      </c>
      <c r="B212" s="6" t="s">
        <v>17</v>
      </c>
      <c r="C212" s="6" t="s">
        <v>79</v>
      </c>
      <c r="D212" s="6" t="n">
        <v>7</v>
      </c>
      <c r="E212" s="6" t="s">
        <v>28</v>
      </c>
      <c r="F212" s="6" t="n">
        <f aca="false">COUNTIF(Rules!$B$2:$B$1568,A212)</f>
        <v>1</v>
      </c>
      <c r="G212" s="6" t="n">
        <f aca="false">COUNTIFS(Rules!$B$2:$B$1568,A212,Rules!$H$2:$H$1568,"QUESTION")</f>
        <v>0</v>
      </c>
      <c r="H212" s="7" t="s">
        <v>5588</v>
      </c>
      <c r="I212" s="7" t="s">
        <v>5401</v>
      </c>
      <c r="J212" s="7" t="s">
        <v>4894</v>
      </c>
      <c r="K212" s="7" t="s">
        <v>4894</v>
      </c>
    </row>
    <row r="213" customFormat="false" ht="23.85" hidden="false" customHeight="false" outlineLevel="0" collapsed="false">
      <c r="A213" s="6" t="s">
        <v>4744</v>
      </c>
      <c r="B213" s="6" t="s">
        <v>23</v>
      </c>
      <c r="C213" s="6" t="s">
        <v>79</v>
      </c>
      <c r="D213" s="6" t="n">
        <v>7</v>
      </c>
      <c r="E213" s="6"/>
      <c r="F213" s="6" t="n">
        <f aca="false">COUNTIF(Rules!$B$2:$B$1568,A213)</f>
        <v>1</v>
      </c>
      <c r="G213" s="6" t="n">
        <f aca="false">COUNTIFS(Rules!$B$2:$B$1568,A213,Rules!$H$2:$H$1568,"QUESTION")</f>
        <v>0</v>
      </c>
      <c r="H213" s="7" t="s">
        <v>5589</v>
      </c>
      <c r="I213" s="7" t="s">
        <v>5401</v>
      </c>
      <c r="J213" s="7" t="s">
        <v>4894</v>
      </c>
      <c r="K213" s="7" t="s">
        <v>5590</v>
      </c>
    </row>
    <row r="214" customFormat="false" ht="35.05" hidden="false" customHeight="false" outlineLevel="0" collapsed="false">
      <c r="A214" s="6" t="s">
        <v>1219</v>
      </c>
      <c r="B214" s="6" t="s">
        <v>17</v>
      </c>
      <c r="C214" s="6" t="s">
        <v>79</v>
      </c>
      <c r="D214" s="6" t="n">
        <v>32</v>
      </c>
      <c r="E214" s="6"/>
      <c r="F214" s="6" t="n">
        <f aca="false">COUNTIF(Rules!$B$2:$B$1568,A214)</f>
        <v>2</v>
      </c>
      <c r="G214" s="6" t="n">
        <f aca="false">COUNTIFS(Rules!$B$2:$B$1568,A214,Rules!$H$2:$H$1568,"QUESTION")</f>
        <v>0</v>
      </c>
      <c r="H214" s="7" t="s">
        <v>5591</v>
      </c>
      <c r="I214" s="7" t="s">
        <v>5592</v>
      </c>
      <c r="J214" s="7" t="s">
        <v>4894</v>
      </c>
      <c r="K214" s="7" t="s">
        <v>5593</v>
      </c>
    </row>
    <row r="215" customFormat="false" ht="23.85" hidden="false" customHeight="false" outlineLevel="0" collapsed="false">
      <c r="A215" s="6" t="s">
        <v>4748</v>
      </c>
      <c r="B215" s="6" t="s">
        <v>23</v>
      </c>
      <c r="C215" s="6" t="s">
        <v>79</v>
      </c>
      <c r="D215" s="6" t="n">
        <v>14</v>
      </c>
      <c r="E215" s="6"/>
      <c r="F215" s="6" t="n">
        <f aca="false">COUNTIF(Rules!$B$2:$B$1568,A215)</f>
        <v>1</v>
      </c>
      <c r="G215" s="6" t="n">
        <f aca="false">COUNTIFS(Rules!$B$2:$B$1568,A215,Rules!$H$2:$H$1568,"QUESTION")</f>
        <v>0</v>
      </c>
      <c r="H215" s="7" t="s">
        <v>5594</v>
      </c>
      <c r="I215" s="7" t="s">
        <v>5401</v>
      </c>
      <c r="J215" s="7" t="s">
        <v>4894</v>
      </c>
      <c r="K215" s="7" t="s">
        <v>4894</v>
      </c>
    </row>
    <row r="216" customFormat="false" ht="15" hidden="false" customHeight="false" outlineLevel="0" collapsed="false">
      <c r="A216" s="6" t="s">
        <v>4751</v>
      </c>
      <c r="B216" s="6" t="s">
        <v>23</v>
      </c>
      <c r="C216" s="6" t="s">
        <v>79</v>
      </c>
      <c r="D216" s="6" t="n">
        <v>7</v>
      </c>
      <c r="E216" s="6"/>
      <c r="F216" s="6" t="n">
        <f aca="false">COUNTIF(Rules!$B$2:$B$1568,A216)</f>
        <v>1</v>
      </c>
      <c r="G216" s="6" t="n">
        <f aca="false">COUNTIFS(Rules!$B$2:$B$1568,A216,Rules!$H$2:$H$1568,"QUESTION")</f>
        <v>0</v>
      </c>
      <c r="H216" s="7" t="s">
        <v>5595</v>
      </c>
      <c r="I216" s="7" t="s">
        <v>5401</v>
      </c>
      <c r="J216" s="7" t="s">
        <v>4894</v>
      </c>
      <c r="K216" s="7" t="s">
        <v>5596</v>
      </c>
    </row>
    <row r="217" customFormat="false" ht="35.05" hidden="false" customHeight="false" outlineLevel="0" collapsed="false">
      <c r="A217" s="6" t="s">
        <v>1225</v>
      </c>
      <c r="B217" s="6" t="s">
        <v>17</v>
      </c>
      <c r="C217" s="6" t="s">
        <v>79</v>
      </c>
      <c r="D217" s="6" t="n">
        <v>29</v>
      </c>
      <c r="E217" s="6" t="s">
        <v>28</v>
      </c>
      <c r="F217" s="6" t="n">
        <f aca="false">COUNTIF(Rules!$B$2:$B$1568,A217)</f>
        <v>2</v>
      </c>
      <c r="G217" s="6" t="n">
        <f aca="false">COUNTIFS(Rules!$B$2:$B$1568,A217,Rules!$H$2:$H$1568,"QUESTION")</f>
        <v>1</v>
      </c>
      <c r="H217" s="7" t="s">
        <v>5597</v>
      </c>
      <c r="I217" s="7" t="s">
        <v>5401</v>
      </c>
      <c r="J217" s="7" t="s">
        <v>4894</v>
      </c>
      <c r="K217" s="7" t="s">
        <v>4894</v>
      </c>
    </row>
    <row r="218" customFormat="false" ht="35.05" hidden="false" customHeight="false" outlineLevel="0" collapsed="false">
      <c r="A218" s="6" t="s">
        <v>624</v>
      </c>
      <c r="B218" s="6" t="s">
        <v>16</v>
      </c>
      <c r="C218" s="6" t="s">
        <v>79</v>
      </c>
      <c r="D218" s="6" t="n">
        <v>17</v>
      </c>
      <c r="E218" s="6" t="s">
        <v>27</v>
      </c>
      <c r="F218" s="6" t="n">
        <f aca="false">COUNTIF(Rules!$B$2:$B$1568,A218)</f>
        <v>1</v>
      </c>
      <c r="G218" s="6" t="n">
        <f aca="false">COUNTIFS(Rules!$B$2:$B$1568,A218,Rules!$H$2:$H$1568,"QUESTION")</f>
        <v>0</v>
      </c>
      <c r="H218" s="7" t="s">
        <v>5598</v>
      </c>
      <c r="I218" s="7" t="s">
        <v>5401</v>
      </c>
      <c r="J218" s="7" t="s">
        <v>4894</v>
      </c>
      <c r="K218" s="7" t="s">
        <v>4894</v>
      </c>
    </row>
    <row r="219" customFormat="false" ht="46.25" hidden="false" customHeight="false" outlineLevel="0" collapsed="false">
      <c r="A219" s="6" t="s">
        <v>1232</v>
      </c>
      <c r="B219" s="6" t="s">
        <v>17</v>
      </c>
      <c r="C219" s="6" t="s">
        <v>85</v>
      </c>
      <c r="D219" s="6" t="n">
        <v>95</v>
      </c>
      <c r="E219" s="6" t="s">
        <v>27</v>
      </c>
      <c r="F219" s="6" t="n">
        <f aca="false">COUNTIF(Rules!$B$2:$B$1568,A219)</f>
        <v>3</v>
      </c>
      <c r="G219" s="6" t="n">
        <f aca="false">COUNTIFS(Rules!$B$2:$B$1568,A219,Rules!$H$2:$H$1568,"QUESTION")</f>
        <v>1</v>
      </c>
      <c r="H219" s="7" t="s">
        <v>5599</v>
      </c>
      <c r="I219" s="7" t="s">
        <v>5600</v>
      </c>
      <c r="J219" s="7" t="s">
        <v>5601</v>
      </c>
      <c r="K219" s="7" t="s">
        <v>5602</v>
      </c>
    </row>
    <row r="220" customFormat="false" ht="23.85" hidden="false" customHeight="false" outlineLevel="0" collapsed="false">
      <c r="A220" s="6" t="s">
        <v>4755</v>
      </c>
      <c r="B220" s="6" t="s">
        <v>23</v>
      </c>
      <c r="C220" s="6" t="s">
        <v>79</v>
      </c>
      <c r="D220" s="6" t="n">
        <v>28</v>
      </c>
      <c r="E220" s="6"/>
      <c r="F220" s="6" t="n">
        <f aca="false">COUNTIF(Rules!$B$2:$B$1568,A220)</f>
        <v>1</v>
      </c>
      <c r="G220" s="6" t="n">
        <f aca="false">COUNTIFS(Rules!$B$2:$B$1568,A220,Rules!$H$2:$H$1568,"QUESTION")</f>
        <v>0</v>
      </c>
      <c r="H220" s="7" t="s">
        <v>5603</v>
      </c>
      <c r="I220" s="7" t="s">
        <v>5401</v>
      </c>
      <c r="J220" s="7" t="s">
        <v>4894</v>
      </c>
      <c r="K220" s="7" t="s">
        <v>4894</v>
      </c>
    </row>
    <row r="221" customFormat="false" ht="23.85" hidden="false" customHeight="false" outlineLevel="0" collapsed="false">
      <c r="A221" s="6" t="s">
        <v>4759</v>
      </c>
      <c r="B221" s="6" t="s">
        <v>23</v>
      </c>
      <c r="C221" s="6" t="s">
        <v>79</v>
      </c>
      <c r="D221" s="6" t="n">
        <v>27</v>
      </c>
      <c r="E221" s="6"/>
      <c r="F221" s="6" t="n">
        <f aca="false">COUNTIF(Rules!$B$2:$B$1568,A221)</f>
        <v>1</v>
      </c>
      <c r="G221" s="6" t="n">
        <f aca="false">COUNTIFS(Rules!$B$2:$B$1568,A221,Rules!$H$2:$H$1568,"QUESTION")</f>
        <v>0</v>
      </c>
      <c r="H221" s="7" t="s">
        <v>5604</v>
      </c>
      <c r="I221" s="7" t="s">
        <v>5401</v>
      </c>
      <c r="J221" s="7" t="s">
        <v>4894</v>
      </c>
      <c r="K221" s="7" t="s">
        <v>4894</v>
      </c>
    </row>
    <row r="222" customFormat="false" ht="15" hidden="false" customHeight="false" outlineLevel="0" collapsed="false">
      <c r="A222" s="6" t="s">
        <v>4763</v>
      </c>
      <c r="B222" s="6" t="s">
        <v>23</v>
      </c>
      <c r="C222" s="6" t="s">
        <v>79</v>
      </c>
      <c r="D222" s="6" t="n">
        <v>6</v>
      </c>
      <c r="E222" s="6"/>
      <c r="F222" s="6" t="n">
        <f aca="false">COUNTIF(Rules!$B$2:$B$1568,A222)</f>
        <v>1</v>
      </c>
      <c r="G222" s="6" t="n">
        <f aca="false">COUNTIFS(Rules!$B$2:$B$1568,A222,Rules!$H$2:$H$1568,"QUESTION")</f>
        <v>0</v>
      </c>
      <c r="H222" s="7" t="s">
        <v>5605</v>
      </c>
      <c r="I222" s="7" t="s">
        <v>5401</v>
      </c>
      <c r="J222" s="7" t="s">
        <v>4894</v>
      </c>
      <c r="K222" s="7" t="s">
        <v>4894</v>
      </c>
    </row>
    <row r="223" customFormat="false" ht="23.85" hidden="false" customHeight="false" outlineLevel="0" collapsed="false">
      <c r="A223" s="6" t="s">
        <v>628</v>
      </c>
      <c r="B223" s="6" t="s">
        <v>16</v>
      </c>
      <c r="C223" s="6" t="s">
        <v>79</v>
      </c>
      <c r="D223" s="6" t="n">
        <v>15</v>
      </c>
      <c r="E223" s="6" t="s">
        <v>27</v>
      </c>
      <c r="F223" s="6" t="n">
        <f aca="false">COUNTIF(Rules!$B$2:$B$1568,A223)</f>
        <v>1</v>
      </c>
      <c r="G223" s="6" t="n">
        <f aca="false">COUNTIFS(Rules!$B$2:$B$1568,A223,Rules!$H$2:$H$1568,"QUESTION")</f>
        <v>0</v>
      </c>
      <c r="H223" s="7" t="s">
        <v>5606</v>
      </c>
      <c r="I223" s="7" t="s">
        <v>5607</v>
      </c>
      <c r="J223" s="7" t="s">
        <v>4894</v>
      </c>
      <c r="K223" s="7" t="s">
        <v>5608</v>
      </c>
    </row>
    <row r="224" customFormat="false" ht="15" hidden="false" customHeight="false" outlineLevel="0" collapsed="false">
      <c r="A224" s="6" t="s">
        <v>4766</v>
      </c>
      <c r="B224" s="6" t="s">
        <v>23</v>
      </c>
      <c r="C224" s="6" t="s">
        <v>79</v>
      </c>
      <c r="D224" s="6" t="n">
        <v>36</v>
      </c>
      <c r="E224" s="6"/>
      <c r="F224" s="6" t="n">
        <f aca="false">COUNTIF(Rules!$B$2:$B$1568,A224)</f>
        <v>1</v>
      </c>
      <c r="G224" s="6" t="n">
        <f aca="false">COUNTIFS(Rules!$B$2:$B$1568,A224,Rules!$H$2:$H$1568,"QUESTION")</f>
        <v>0</v>
      </c>
      <c r="H224" s="7" t="s">
        <v>5609</v>
      </c>
      <c r="I224" s="7" t="s">
        <v>5401</v>
      </c>
      <c r="J224" s="7" t="s">
        <v>4894</v>
      </c>
      <c r="K224" s="7" t="s">
        <v>4894</v>
      </c>
    </row>
    <row r="225" customFormat="false" ht="23.85" hidden="false" customHeight="false" outlineLevel="0" collapsed="false">
      <c r="A225" s="6" t="s">
        <v>3131</v>
      </c>
      <c r="B225" s="6" t="s">
        <v>20</v>
      </c>
      <c r="C225" s="6" t="s">
        <v>85</v>
      </c>
      <c r="D225" s="6" t="n">
        <v>59</v>
      </c>
      <c r="E225" s="6"/>
      <c r="F225" s="6" t="n">
        <f aca="false">COUNTIF(Rules!$B$2:$B$1568,A225)</f>
        <v>4</v>
      </c>
      <c r="G225" s="6" t="n">
        <f aca="false">COUNTIFS(Rules!$B$2:$B$1568,A225,Rules!$H$2:$H$1568,"QUESTION")</f>
        <v>1</v>
      </c>
      <c r="H225" s="7" t="s">
        <v>5610</v>
      </c>
      <c r="I225" s="7" t="s">
        <v>5611</v>
      </c>
      <c r="J225" s="7" t="s">
        <v>5612</v>
      </c>
      <c r="K225" s="7" t="s">
        <v>5613</v>
      </c>
    </row>
    <row r="226" customFormat="false" ht="15" hidden="false" customHeight="false" outlineLevel="0" collapsed="false">
      <c r="A226" s="6" t="s">
        <v>4770</v>
      </c>
      <c r="B226" s="6" t="s">
        <v>23</v>
      </c>
      <c r="C226" s="6" t="s">
        <v>230</v>
      </c>
      <c r="D226" s="6" t="n">
        <v>32</v>
      </c>
      <c r="E226" s="6"/>
      <c r="F226" s="6" t="n">
        <f aca="false">COUNTIF(Rules!$B$2:$B$1568,A226)</f>
        <v>1</v>
      </c>
      <c r="G226" s="6" t="n">
        <f aca="false">COUNTIFS(Rules!$B$2:$B$1568,A226,Rules!$H$2:$H$1568,"QUESTION")</f>
        <v>0</v>
      </c>
      <c r="H226" s="7" t="s">
        <v>5614</v>
      </c>
      <c r="I226" s="7" t="s">
        <v>5401</v>
      </c>
      <c r="J226" s="7" t="s">
        <v>5615</v>
      </c>
      <c r="K226" s="7" t="s">
        <v>4894</v>
      </c>
    </row>
    <row r="227" customFormat="false" ht="35.05" hidden="false" customHeight="false" outlineLevel="0" collapsed="false">
      <c r="A227" s="6" t="s">
        <v>3997</v>
      </c>
      <c r="B227" s="6" t="s">
        <v>21</v>
      </c>
      <c r="C227" s="6" t="s">
        <v>230</v>
      </c>
      <c r="D227" s="6" t="n">
        <v>27</v>
      </c>
      <c r="E227" s="6"/>
      <c r="F227" s="6" t="n">
        <f aca="false">COUNTIF(Rules!$B$2:$B$1568,A227)</f>
        <v>2</v>
      </c>
      <c r="G227" s="6" t="n">
        <f aca="false">COUNTIFS(Rules!$B$2:$B$1568,A227,Rules!$H$2:$H$1568,"QUESTION")</f>
        <v>0</v>
      </c>
      <c r="H227" s="7" t="s">
        <v>5616</v>
      </c>
      <c r="I227" s="7" t="s">
        <v>5617</v>
      </c>
      <c r="J227" s="7" t="s">
        <v>4894</v>
      </c>
      <c r="K227" s="7" t="s">
        <v>5618</v>
      </c>
    </row>
    <row r="228" customFormat="false" ht="23.85" hidden="false" customHeight="false" outlineLevel="0" collapsed="false">
      <c r="A228" s="6" t="s">
        <v>4500</v>
      </c>
      <c r="B228" s="6" t="s">
        <v>22</v>
      </c>
      <c r="C228" s="6" t="s">
        <v>85</v>
      </c>
      <c r="D228" s="6" t="n">
        <v>33</v>
      </c>
      <c r="E228" s="6" t="s">
        <v>27</v>
      </c>
      <c r="F228" s="6" t="n">
        <f aca="false">COUNTIF(Rules!$B$2:$B$1568,A228)</f>
        <v>4</v>
      </c>
      <c r="G228" s="6" t="n">
        <f aca="false">COUNTIFS(Rules!$B$2:$B$1568,A228,Rules!$H$2:$H$1568,"QUESTION")</f>
        <v>3</v>
      </c>
      <c r="H228" s="7" t="s">
        <v>5619</v>
      </c>
      <c r="I228" s="7" t="s">
        <v>5620</v>
      </c>
      <c r="J228" s="7" t="s">
        <v>5621</v>
      </c>
      <c r="K228" s="7" t="s">
        <v>5622</v>
      </c>
    </row>
    <row r="229" customFormat="false" ht="23.85" hidden="false" customHeight="false" outlineLevel="0" collapsed="false">
      <c r="A229" s="6" t="s">
        <v>4774</v>
      </c>
      <c r="B229" s="6" t="s">
        <v>23</v>
      </c>
      <c r="C229" s="6" t="s">
        <v>79</v>
      </c>
      <c r="D229" s="6" t="n">
        <v>99</v>
      </c>
      <c r="E229" s="6"/>
      <c r="F229" s="6" t="n">
        <f aca="false">COUNTIF(Rules!$B$2:$B$1568,A229)</f>
        <v>1</v>
      </c>
      <c r="G229" s="6" t="n">
        <f aca="false">COUNTIFS(Rules!$B$2:$B$1568,A229,Rules!$H$2:$H$1568,"QUESTION")</f>
        <v>0</v>
      </c>
      <c r="H229" s="7" t="s">
        <v>5623</v>
      </c>
      <c r="I229" s="7" t="s">
        <v>4894</v>
      </c>
      <c r="J229" s="7" t="s">
        <v>5624</v>
      </c>
      <c r="K229" s="7" t="s">
        <v>5625</v>
      </c>
    </row>
    <row r="230" customFormat="false" ht="15" hidden="false" customHeight="false" outlineLevel="0" collapsed="false">
      <c r="A230" s="6" t="s">
        <v>252</v>
      </c>
      <c r="B230" s="6" t="s">
        <v>15</v>
      </c>
      <c r="C230" s="6" t="s">
        <v>230</v>
      </c>
      <c r="D230" s="6" t="n">
        <v>24</v>
      </c>
      <c r="E230" s="6"/>
      <c r="F230" s="6" t="n">
        <f aca="false">COUNTIF(Rules!$B$2:$B$1568,A230)</f>
        <v>1</v>
      </c>
      <c r="G230" s="6" t="n">
        <f aca="false">COUNTIFS(Rules!$B$2:$B$1568,A230,Rules!$H$2:$H$1568,"QUESTION")</f>
        <v>0</v>
      </c>
      <c r="H230" s="7" t="s">
        <v>5626</v>
      </c>
      <c r="I230" s="7" t="s">
        <v>4894</v>
      </c>
      <c r="J230" s="7" t="s">
        <v>5615</v>
      </c>
      <c r="K230" s="7" t="s">
        <v>5627</v>
      </c>
    </row>
    <row r="231" customFormat="false" ht="35.05" hidden="false" customHeight="false" outlineLevel="0" collapsed="false">
      <c r="A231" s="6" t="s">
        <v>4003</v>
      </c>
      <c r="B231" s="6" t="s">
        <v>21</v>
      </c>
      <c r="C231" s="6" t="s">
        <v>85</v>
      </c>
      <c r="D231" s="6" t="n">
        <v>49</v>
      </c>
      <c r="E231" s="6" t="s">
        <v>29</v>
      </c>
      <c r="F231" s="6" t="n">
        <f aca="false">COUNTIF(Rules!$B$2:$B$1568,A231)</f>
        <v>5</v>
      </c>
      <c r="G231" s="6" t="n">
        <f aca="false">COUNTIFS(Rules!$B$2:$B$1568,A231,Rules!$H$2:$H$1568,"QUESTION")</f>
        <v>1</v>
      </c>
      <c r="H231" s="7" t="s">
        <v>5628</v>
      </c>
      <c r="I231" s="7" t="s">
        <v>5629</v>
      </c>
      <c r="J231" s="7" t="s">
        <v>4894</v>
      </c>
      <c r="K231" s="7" t="s">
        <v>5630</v>
      </c>
    </row>
    <row r="232" customFormat="false" ht="23.85" hidden="false" customHeight="false" outlineLevel="0" collapsed="false">
      <c r="A232" s="6" t="s">
        <v>4018</v>
      </c>
      <c r="B232" s="6" t="s">
        <v>21</v>
      </c>
      <c r="C232" s="6" t="s">
        <v>230</v>
      </c>
      <c r="D232" s="6" t="n">
        <v>54</v>
      </c>
      <c r="E232" s="6" t="s">
        <v>29</v>
      </c>
      <c r="F232" s="6" t="n">
        <f aca="false">COUNTIF(Rules!$B$2:$B$1568,A232)</f>
        <v>1</v>
      </c>
      <c r="G232" s="6" t="n">
        <f aca="false">COUNTIFS(Rules!$B$2:$B$1568,A232,Rules!$H$2:$H$1568,"QUESTION")</f>
        <v>0</v>
      </c>
      <c r="H232" s="7" t="s">
        <v>5631</v>
      </c>
      <c r="I232" s="7" t="s">
        <v>5632</v>
      </c>
      <c r="J232" s="7" t="s">
        <v>4894</v>
      </c>
      <c r="K232" s="7" t="s">
        <v>5633</v>
      </c>
    </row>
    <row r="233" customFormat="false" ht="23.85" hidden="false" customHeight="false" outlineLevel="0" collapsed="false">
      <c r="A233" s="6" t="s">
        <v>4022</v>
      </c>
      <c r="B233" s="6" t="s">
        <v>21</v>
      </c>
      <c r="C233" s="6" t="s">
        <v>230</v>
      </c>
      <c r="D233" s="6" t="n">
        <v>54</v>
      </c>
      <c r="E233" s="6" t="s">
        <v>29</v>
      </c>
      <c r="F233" s="6" t="n">
        <f aca="false">COUNTIF(Rules!$B$2:$B$1568,A233)</f>
        <v>1</v>
      </c>
      <c r="G233" s="6" t="n">
        <f aca="false">COUNTIFS(Rules!$B$2:$B$1568,A233,Rules!$H$2:$H$1568,"QUESTION")</f>
        <v>0</v>
      </c>
      <c r="H233" s="7" t="s">
        <v>5634</v>
      </c>
      <c r="I233" s="7" t="s">
        <v>5632</v>
      </c>
      <c r="J233" s="7" t="s">
        <v>4894</v>
      </c>
      <c r="K233" s="7" t="s">
        <v>5635</v>
      </c>
    </row>
    <row r="234" customFormat="false" ht="23.85" hidden="false" customHeight="false" outlineLevel="0" collapsed="false">
      <c r="A234" s="6" t="s">
        <v>4778</v>
      </c>
      <c r="B234" s="6" t="s">
        <v>23</v>
      </c>
      <c r="C234" s="6" t="s">
        <v>230</v>
      </c>
      <c r="D234" s="6" t="n">
        <v>29</v>
      </c>
      <c r="E234" s="6"/>
      <c r="F234" s="6" t="n">
        <f aca="false">COUNTIF(Rules!$B$2:$B$1568,A234)</f>
        <v>1</v>
      </c>
      <c r="G234" s="6" t="n">
        <f aca="false">COUNTIFS(Rules!$B$2:$B$1568,A234,Rules!$H$2:$H$1568,"QUESTION")</f>
        <v>0</v>
      </c>
      <c r="H234" s="7" t="s">
        <v>5636</v>
      </c>
      <c r="I234" s="7" t="s">
        <v>4894</v>
      </c>
      <c r="J234" s="7" t="s">
        <v>5459</v>
      </c>
      <c r="K234" s="7" t="s">
        <v>4894</v>
      </c>
    </row>
    <row r="235" customFormat="false" ht="23.85" hidden="false" customHeight="false" outlineLevel="0" collapsed="false">
      <c r="A235" s="6" t="s">
        <v>1242</v>
      </c>
      <c r="B235" s="6" t="s">
        <v>17</v>
      </c>
      <c r="C235" s="6" t="s">
        <v>49</v>
      </c>
      <c r="D235" s="6" t="n">
        <v>15</v>
      </c>
      <c r="E235" s="6" t="s">
        <v>27</v>
      </c>
      <c r="F235" s="6" t="n">
        <f aca="false">COUNTIF(Rules!$B$2:$B$1568,A235)</f>
        <v>1</v>
      </c>
      <c r="G235" s="6" t="n">
        <f aca="false">COUNTIFS(Rules!$B$2:$B$1568,A235,Rules!$H$2:$H$1568,"QUESTION")</f>
        <v>0</v>
      </c>
      <c r="H235" s="7" t="s">
        <v>5637</v>
      </c>
      <c r="I235" s="7" t="s">
        <v>5638</v>
      </c>
      <c r="J235" s="7" t="s">
        <v>4894</v>
      </c>
      <c r="K235" s="7" t="s">
        <v>4894</v>
      </c>
    </row>
    <row r="236" customFormat="false" ht="23.85" hidden="false" customHeight="false" outlineLevel="0" collapsed="false">
      <c r="A236" s="6" t="s">
        <v>4511</v>
      </c>
      <c r="B236" s="6" t="s">
        <v>22</v>
      </c>
      <c r="C236" s="6" t="s">
        <v>85</v>
      </c>
      <c r="D236" s="6" t="n">
        <v>41</v>
      </c>
      <c r="E236" s="6" t="s">
        <v>27</v>
      </c>
      <c r="F236" s="6" t="n">
        <f aca="false">COUNTIF(Rules!$B$2:$B$1568,A236)</f>
        <v>3</v>
      </c>
      <c r="G236" s="6" t="n">
        <f aca="false">COUNTIFS(Rules!$B$2:$B$1568,A236,Rules!$H$2:$H$1568,"QUESTION")</f>
        <v>1</v>
      </c>
      <c r="H236" s="7" t="s">
        <v>5639</v>
      </c>
      <c r="I236" s="7" t="s">
        <v>5305</v>
      </c>
      <c r="J236" s="7" t="s">
        <v>5640</v>
      </c>
      <c r="K236" s="7" t="s">
        <v>5641</v>
      </c>
    </row>
    <row r="237" customFormat="false" ht="35.05" hidden="false" customHeight="false" outlineLevel="0" collapsed="false">
      <c r="A237" s="6" t="s">
        <v>3144</v>
      </c>
      <c r="B237" s="6" t="s">
        <v>20</v>
      </c>
      <c r="C237" s="6" t="s">
        <v>49</v>
      </c>
      <c r="D237" s="6" t="n">
        <v>39</v>
      </c>
      <c r="E237" s="6"/>
      <c r="F237" s="6" t="n">
        <f aca="false">COUNTIF(Rules!$B$2:$B$1568,A237)</f>
        <v>3</v>
      </c>
      <c r="G237" s="6" t="n">
        <f aca="false">COUNTIFS(Rules!$B$2:$B$1568,A237,Rules!$H$2:$H$1568,"QUESTION")</f>
        <v>0</v>
      </c>
      <c r="H237" s="7" t="s">
        <v>5642</v>
      </c>
      <c r="I237" s="7" t="s">
        <v>5643</v>
      </c>
      <c r="J237" s="7" t="s">
        <v>4894</v>
      </c>
      <c r="K237" s="7" t="s">
        <v>5644</v>
      </c>
    </row>
    <row r="238" customFormat="false" ht="15" hidden="false" customHeight="false" outlineLevel="0" collapsed="false">
      <c r="A238" s="6" t="s">
        <v>3153</v>
      </c>
      <c r="B238" s="6" t="s">
        <v>20</v>
      </c>
      <c r="C238" s="6" t="s">
        <v>49</v>
      </c>
      <c r="D238" s="6" t="n">
        <v>14</v>
      </c>
      <c r="E238" s="6"/>
      <c r="F238" s="6" t="n">
        <f aca="false">COUNTIF(Rules!$B$2:$B$1568,A238)</f>
        <v>1</v>
      </c>
      <c r="G238" s="6" t="n">
        <f aca="false">COUNTIFS(Rules!$B$2:$B$1568,A238,Rules!$H$2:$H$1568,"QUESTION")</f>
        <v>1</v>
      </c>
      <c r="H238" s="7" t="s">
        <v>5645</v>
      </c>
      <c r="I238" s="7" t="s">
        <v>5646</v>
      </c>
      <c r="J238" s="7" t="s">
        <v>4894</v>
      </c>
      <c r="K238" s="7" t="s">
        <v>5647</v>
      </c>
    </row>
    <row r="239" customFormat="false" ht="23.85" hidden="false" customHeight="false" outlineLevel="0" collapsed="false">
      <c r="A239" s="6" t="s">
        <v>632</v>
      </c>
      <c r="B239" s="6" t="s">
        <v>16</v>
      </c>
      <c r="C239" s="6" t="s">
        <v>44</v>
      </c>
      <c r="D239" s="6" t="n">
        <v>8</v>
      </c>
      <c r="E239" s="6" t="s">
        <v>27</v>
      </c>
      <c r="F239" s="6" t="n">
        <f aca="false">COUNTIF(Rules!$B$2:$B$1568,A239)</f>
        <v>1</v>
      </c>
      <c r="G239" s="6" t="n">
        <f aca="false">COUNTIFS(Rules!$B$2:$B$1568,A239,Rules!$H$2:$H$1568,"QUESTION")</f>
        <v>0</v>
      </c>
      <c r="H239" s="7" t="s">
        <v>5648</v>
      </c>
      <c r="I239" s="7" t="s">
        <v>5649</v>
      </c>
      <c r="J239" s="7" t="s">
        <v>5650</v>
      </c>
      <c r="K239" s="7" t="s">
        <v>5651</v>
      </c>
    </row>
    <row r="240" customFormat="false" ht="23.85" hidden="false" customHeight="false" outlineLevel="0" collapsed="false">
      <c r="A240" s="6" t="s">
        <v>3157</v>
      </c>
      <c r="B240" s="6" t="s">
        <v>20</v>
      </c>
      <c r="C240" s="6" t="s">
        <v>85</v>
      </c>
      <c r="D240" s="6" t="n">
        <v>62</v>
      </c>
      <c r="E240" s="6" t="s">
        <v>29</v>
      </c>
      <c r="F240" s="6" t="n">
        <f aca="false">COUNTIF(Rules!$B$2:$B$1568,A240)</f>
        <v>5</v>
      </c>
      <c r="G240" s="6" t="n">
        <f aca="false">COUNTIFS(Rules!$B$2:$B$1568,A240,Rules!$H$2:$H$1568,"QUESTION")</f>
        <v>1</v>
      </c>
      <c r="H240" s="7" t="s">
        <v>5652</v>
      </c>
      <c r="I240" s="7" t="s">
        <v>5653</v>
      </c>
      <c r="J240" s="7" t="s">
        <v>5654</v>
      </c>
      <c r="K240" s="7" t="s">
        <v>5655</v>
      </c>
    </row>
    <row r="241" customFormat="false" ht="23.85" hidden="false" customHeight="false" outlineLevel="0" collapsed="false">
      <c r="A241" s="6" t="s">
        <v>4519</v>
      </c>
      <c r="B241" s="6" t="s">
        <v>22</v>
      </c>
      <c r="C241" s="6" t="s">
        <v>85</v>
      </c>
      <c r="D241" s="6" t="n">
        <v>44</v>
      </c>
      <c r="E241" s="6" t="s">
        <v>27</v>
      </c>
      <c r="F241" s="6" t="n">
        <f aca="false">COUNTIF(Rules!$B$2:$B$1568,A241)</f>
        <v>3</v>
      </c>
      <c r="G241" s="6" t="n">
        <f aca="false">COUNTIFS(Rules!$B$2:$B$1568,A241,Rules!$H$2:$H$1568,"QUESTION")</f>
        <v>2</v>
      </c>
      <c r="H241" s="7" t="s">
        <v>5656</v>
      </c>
      <c r="I241" s="7" t="s">
        <v>5657</v>
      </c>
      <c r="J241" s="7" t="s">
        <v>5640</v>
      </c>
      <c r="K241" s="7" t="s">
        <v>5658</v>
      </c>
    </row>
    <row r="242" customFormat="false" ht="23.85" hidden="false" customHeight="false" outlineLevel="0" collapsed="false">
      <c r="A242" s="6" t="s">
        <v>4527</v>
      </c>
      <c r="B242" s="6" t="s">
        <v>22</v>
      </c>
      <c r="C242" s="6" t="s">
        <v>85</v>
      </c>
      <c r="D242" s="6" t="n">
        <v>40</v>
      </c>
      <c r="E242" s="6" t="s">
        <v>27</v>
      </c>
      <c r="F242" s="6" t="n">
        <f aca="false">COUNTIF(Rules!$B$2:$B$1568,A242)</f>
        <v>2</v>
      </c>
      <c r="G242" s="6" t="n">
        <f aca="false">COUNTIFS(Rules!$B$2:$B$1568,A242,Rules!$H$2:$H$1568,"QUESTION")</f>
        <v>1</v>
      </c>
      <c r="H242" s="7" t="s">
        <v>5659</v>
      </c>
      <c r="I242" s="7" t="s">
        <v>5657</v>
      </c>
      <c r="J242" s="7" t="s">
        <v>5640</v>
      </c>
      <c r="K242" s="7" t="s">
        <v>5660</v>
      </c>
    </row>
    <row r="243" customFormat="false" ht="35.05" hidden="false" customHeight="false" outlineLevel="0" collapsed="false">
      <c r="A243" s="6" t="s">
        <v>4025</v>
      </c>
      <c r="B243" s="6" t="s">
        <v>21</v>
      </c>
      <c r="C243" s="6" t="s">
        <v>44</v>
      </c>
      <c r="D243" s="6" t="n">
        <v>62</v>
      </c>
      <c r="E243" s="6"/>
      <c r="F243" s="6" t="n">
        <f aca="false">COUNTIF(Rules!$B$2:$B$1568,A243)</f>
        <v>3</v>
      </c>
      <c r="G243" s="6" t="n">
        <f aca="false">COUNTIFS(Rules!$B$2:$B$1568,A243,Rules!$H$2:$H$1568,"QUESTION")</f>
        <v>1</v>
      </c>
      <c r="H243" s="7" t="s">
        <v>5661</v>
      </c>
      <c r="I243" s="7" t="s">
        <v>5254</v>
      </c>
      <c r="J243" s="7" t="s">
        <v>5662</v>
      </c>
      <c r="K243" s="7" t="s">
        <v>5663</v>
      </c>
    </row>
    <row r="244" customFormat="false" ht="35.05" hidden="false" customHeight="false" outlineLevel="0" collapsed="false">
      <c r="A244" s="6" t="s">
        <v>4034</v>
      </c>
      <c r="B244" s="6" t="s">
        <v>21</v>
      </c>
      <c r="C244" s="6" t="s">
        <v>49</v>
      </c>
      <c r="D244" s="6" t="n">
        <v>140</v>
      </c>
      <c r="E244" s="6"/>
      <c r="F244" s="6" t="n">
        <f aca="false">COUNTIF(Rules!$B$2:$B$1568,A244)</f>
        <v>5</v>
      </c>
      <c r="G244" s="6" t="n">
        <f aca="false">COUNTIFS(Rules!$B$2:$B$1568,A244,Rules!$H$2:$H$1568,"QUESTION")</f>
        <v>2</v>
      </c>
      <c r="H244" s="7" t="s">
        <v>5664</v>
      </c>
      <c r="I244" s="7" t="s">
        <v>5665</v>
      </c>
      <c r="J244" s="7" t="s">
        <v>4894</v>
      </c>
      <c r="K244" s="7" t="s">
        <v>5666</v>
      </c>
    </row>
    <row r="245" customFormat="false" ht="23.85" hidden="false" customHeight="false" outlineLevel="0" collapsed="false">
      <c r="A245" s="6" t="s">
        <v>4781</v>
      </c>
      <c r="B245" s="6" t="s">
        <v>23</v>
      </c>
      <c r="C245" s="6" t="s">
        <v>79</v>
      </c>
      <c r="D245" s="6" t="n">
        <v>21</v>
      </c>
      <c r="E245" s="6" t="s">
        <v>29</v>
      </c>
      <c r="F245" s="6" t="n">
        <f aca="false">COUNTIF(Rules!$B$2:$B$1568,A245)</f>
        <v>2</v>
      </c>
      <c r="G245" s="6" t="n">
        <f aca="false">COUNTIFS(Rules!$B$2:$B$1568,A245,Rules!$H$2:$H$1568,"QUESTION")</f>
        <v>1</v>
      </c>
      <c r="H245" s="7" t="s">
        <v>5667</v>
      </c>
      <c r="I245" s="7" t="s">
        <v>4894</v>
      </c>
      <c r="J245" s="7" t="s">
        <v>4894</v>
      </c>
      <c r="K245" s="7" t="s">
        <v>5668</v>
      </c>
    </row>
    <row r="246" customFormat="false" ht="23.85" hidden="false" customHeight="false" outlineLevel="0" collapsed="false">
      <c r="A246" s="6" t="s">
        <v>4787</v>
      </c>
      <c r="B246" s="6" t="s">
        <v>23</v>
      </c>
      <c r="C246" s="6" t="s">
        <v>79</v>
      </c>
      <c r="D246" s="6" t="n">
        <v>23</v>
      </c>
      <c r="E246" s="6" t="s">
        <v>29</v>
      </c>
      <c r="F246" s="6" t="n">
        <f aca="false">COUNTIF(Rules!$B$2:$B$1568,A246)</f>
        <v>3</v>
      </c>
      <c r="G246" s="6" t="n">
        <f aca="false">COUNTIFS(Rules!$B$2:$B$1568,A246,Rules!$H$2:$H$1568,"QUESTION")</f>
        <v>0</v>
      </c>
      <c r="H246" s="7" t="s">
        <v>5669</v>
      </c>
      <c r="I246" s="7" t="s">
        <v>5670</v>
      </c>
      <c r="J246" s="7" t="s">
        <v>4894</v>
      </c>
      <c r="K246" s="7" t="s">
        <v>5671</v>
      </c>
    </row>
    <row r="247" customFormat="false" ht="23.85" hidden="false" customHeight="false" outlineLevel="0" collapsed="false">
      <c r="A247" s="6" t="s">
        <v>3172</v>
      </c>
      <c r="B247" s="6" t="s">
        <v>20</v>
      </c>
      <c r="C247" s="6" t="s">
        <v>44</v>
      </c>
      <c r="D247" s="6" t="n">
        <v>11</v>
      </c>
      <c r="E247" s="6"/>
      <c r="F247" s="6" t="n">
        <f aca="false">COUNTIF(Rules!$B$2:$B$1568,A247)</f>
        <v>1</v>
      </c>
      <c r="G247" s="6" t="n">
        <f aca="false">COUNTIFS(Rules!$B$2:$B$1568,A247,Rules!$H$2:$H$1568,"QUESTION")</f>
        <v>0</v>
      </c>
      <c r="H247" s="7" t="s">
        <v>5672</v>
      </c>
      <c r="I247" s="7" t="s">
        <v>5673</v>
      </c>
      <c r="J247" s="7" t="s">
        <v>4894</v>
      </c>
      <c r="K247" s="7" t="s">
        <v>5674</v>
      </c>
    </row>
    <row r="248" customFormat="false" ht="46.25" hidden="false" customHeight="false" outlineLevel="0" collapsed="false">
      <c r="A248" s="6" t="s">
        <v>4049</v>
      </c>
      <c r="B248" s="6" t="s">
        <v>21</v>
      </c>
      <c r="C248" s="6" t="s">
        <v>85</v>
      </c>
      <c r="D248" s="6" t="n">
        <v>107</v>
      </c>
      <c r="E248" s="6" t="s">
        <v>29</v>
      </c>
      <c r="F248" s="6" t="n">
        <f aca="false">COUNTIF(Rules!$B$2:$B$1568,A248)</f>
        <v>9</v>
      </c>
      <c r="G248" s="6" t="n">
        <f aca="false">COUNTIFS(Rules!$B$2:$B$1568,A248,Rules!$H$2:$H$1568,"QUESTION")</f>
        <v>2</v>
      </c>
      <c r="H248" s="7" t="s">
        <v>5675</v>
      </c>
      <c r="I248" s="7" t="s">
        <v>5676</v>
      </c>
      <c r="J248" s="7" t="s">
        <v>4894</v>
      </c>
      <c r="K248" s="7" t="s">
        <v>5677</v>
      </c>
    </row>
    <row r="249" customFormat="false" ht="23.85" hidden="false" customHeight="false" outlineLevel="0" collapsed="false">
      <c r="A249" s="6" t="s">
        <v>4533</v>
      </c>
      <c r="B249" s="6" t="s">
        <v>22</v>
      </c>
      <c r="C249" s="6" t="s">
        <v>85</v>
      </c>
      <c r="D249" s="6" t="n">
        <v>40</v>
      </c>
      <c r="E249" s="6" t="s">
        <v>27</v>
      </c>
      <c r="F249" s="6" t="n">
        <f aca="false">COUNTIF(Rules!$B$2:$B$1568,A249)</f>
        <v>2</v>
      </c>
      <c r="G249" s="6" t="n">
        <f aca="false">COUNTIFS(Rules!$B$2:$B$1568,A249,Rules!$H$2:$H$1568,"QUESTION")</f>
        <v>1</v>
      </c>
      <c r="H249" s="7" t="s">
        <v>5678</v>
      </c>
      <c r="I249" s="7" t="s">
        <v>5657</v>
      </c>
      <c r="J249" s="7" t="s">
        <v>5640</v>
      </c>
      <c r="K249" s="7" t="s">
        <v>5679</v>
      </c>
    </row>
    <row r="250" customFormat="false" ht="35.05" hidden="false" customHeight="false" outlineLevel="0" collapsed="false">
      <c r="A250" s="6" t="s">
        <v>2088</v>
      </c>
      <c r="B250" s="6" t="s">
        <v>18</v>
      </c>
      <c r="C250" s="6" t="s">
        <v>274</v>
      </c>
      <c r="D250" s="6" t="n">
        <v>63</v>
      </c>
      <c r="E250" s="6" t="s">
        <v>714</v>
      </c>
      <c r="F250" s="6" t="n">
        <f aca="false">COUNTIF(Rules!$B$2:$B$1568,A250)</f>
        <v>4</v>
      </c>
      <c r="G250" s="6" t="n">
        <f aca="false">COUNTIFS(Rules!$B$2:$B$1568,A250,Rules!$H$2:$H$1568,"QUESTION")</f>
        <v>1</v>
      </c>
      <c r="H250" s="7" t="s">
        <v>5680</v>
      </c>
      <c r="I250" s="7" t="s">
        <v>5681</v>
      </c>
      <c r="J250" s="7" t="s">
        <v>5459</v>
      </c>
      <c r="K250" s="7" t="s">
        <v>5682</v>
      </c>
    </row>
    <row r="251" customFormat="false" ht="23.85" hidden="false" customHeight="false" outlineLevel="0" collapsed="false">
      <c r="A251" s="6" t="s">
        <v>2100</v>
      </c>
      <c r="B251" s="6" t="s">
        <v>18</v>
      </c>
      <c r="C251" s="6" t="s">
        <v>230</v>
      </c>
      <c r="D251" s="6" t="n">
        <v>57</v>
      </c>
      <c r="E251" s="6" t="s">
        <v>714</v>
      </c>
      <c r="F251" s="6" t="n">
        <f aca="false">COUNTIF(Rules!$B$2:$B$1568,A251)</f>
        <v>2</v>
      </c>
      <c r="G251" s="6" t="n">
        <f aca="false">COUNTIFS(Rules!$B$2:$B$1568,A251,Rules!$H$2:$H$1568,"QUESTION")</f>
        <v>1</v>
      </c>
      <c r="H251" s="7" t="s">
        <v>5683</v>
      </c>
      <c r="I251" s="7" t="s">
        <v>5684</v>
      </c>
      <c r="J251" s="7" t="s">
        <v>4894</v>
      </c>
      <c r="K251" s="7" t="s">
        <v>5685</v>
      </c>
    </row>
    <row r="252" customFormat="false" ht="35.05" hidden="false" customHeight="false" outlineLevel="0" collapsed="false">
      <c r="A252" s="6" t="s">
        <v>2107</v>
      </c>
      <c r="B252" s="6" t="s">
        <v>18</v>
      </c>
      <c r="C252" s="6" t="s">
        <v>274</v>
      </c>
      <c r="D252" s="6" t="n">
        <v>80</v>
      </c>
      <c r="E252" s="6" t="s">
        <v>714</v>
      </c>
      <c r="F252" s="6" t="n">
        <f aca="false">COUNTIF(Rules!$B$2:$B$1568,A252)</f>
        <v>6</v>
      </c>
      <c r="G252" s="6" t="n">
        <f aca="false">COUNTIFS(Rules!$B$2:$B$1568,A252,Rules!$H$2:$H$1568,"QUESTION")</f>
        <v>1</v>
      </c>
      <c r="H252" s="7" t="s">
        <v>5686</v>
      </c>
      <c r="I252" s="7" t="s">
        <v>5687</v>
      </c>
      <c r="J252" s="7" t="s">
        <v>5688</v>
      </c>
      <c r="K252" s="7" t="s">
        <v>5689</v>
      </c>
    </row>
    <row r="253" customFormat="false" ht="46.25" hidden="false" customHeight="false" outlineLevel="0" collapsed="false">
      <c r="A253" s="6" t="s">
        <v>2125</v>
      </c>
      <c r="B253" s="6" t="s">
        <v>18</v>
      </c>
      <c r="C253" s="6" t="s">
        <v>85</v>
      </c>
      <c r="D253" s="6" t="n">
        <v>92</v>
      </c>
      <c r="E253" s="6" t="s">
        <v>28</v>
      </c>
      <c r="F253" s="6" t="n">
        <f aca="false">COUNTIF(Rules!$B$2:$B$1568,A253)</f>
        <v>9</v>
      </c>
      <c r="G253" s="6" t="n">
        <f aca="false">COUNTIFS(Rules!$B$2:$B$1568,A253,Rules!$H$2:$H$1568,"QUESTION")</f>
        <v>5</v>
      </c>
      <c r="H253" s="7" t="s">
        <v>5690</v>
      </c>
      <c r="I253" s="7" t="s">
        <v>5691</v>
      </c>
      <c r="J253" s="7" t="s">
        <v>5448</v>
      </c>
      <c r="K253" s="7" t="s">
        <v>5692</v>
      </c>
    </row>
    <row r="254" customFormat="false" ht="35.05" hidden="false" customHeight="false" outlineLevel="0" collapsed="false">
      <c r="A254" s="6" t="s">
        <v>636</v>
      </c>
      <c r="B254" s="6" t="s">
        <v>16</v>
      </c>
      <c r="C254" s="6" t="s">
        <v>44</v>
      </c>
      <c r="D254" s="6" t="n">
        <v>22</v>
      </c>
      <c r="E254" s="6" t="s">
        <v>319</v>
      </c>
      <c r="F254" s="6" t="n">
        <f aca="false">COUNTIF(Rules!$B$2:$B$1568,A254)</f>
        <v>3</v>
      </c>
      <c r="G254" s="6" t="n">
        <f aca="false">COUNTIFS(Rules!$B$2:$B$1568,A254,Rules!$H$2:$H$1568,"QUESTION")</f>
        <v>1</v>
      </c>
      <c r="H254" s="7" t="s">
        <v>5693</v>
      </c>
      <c r="I254" s="7" t="s">
        <v>5694</v>
      </c>
      <c r="J254" s="7" t="s">
        <v>5695</v>
      </c>
      <c r="K254" s="7" t="s">
        <v>5696</v>
      </c>
    </row>
    <row r="255" customFormat="false" ht="15" hidden="false" customHeight="false" outlineLevel="0" collapsed="false">
      <c r="A255" s="6" t="s">
        <v>4795</v>
      </c>
      <c r="B255" s="6" t="s">
        <v>23</v>
      </c>
      <c r="C255" s="6" t="s">
        <v>44</v>
      </c>
      <c r="D255" s="6" t="n">
        <v>2</v>
      </c>
      <c r="E255" s="6"/>
      <c r="F255" s="6" t="n">
        <f aca="false">COUNTIF(Rules!$B$2:$B$1568,A255)</f>
        <v>1</v>
      </c>
      <c r="G255" s="6" t="n">
        <f aca="false">COUNTIFS(Rules!$B$2:$B$1568,A255,Rules!$H$2:$H$1568,"QUESTION")</f>
        <v>0</v>
      </c>
      <c r="H255" s="7" t="s">
        <v>5697</v>
      </c>
      <c r="I255" s="7" t="s">
        <v>5698</v>
      </c>
      <c r="J255" s="7" t="s">
        <v>4894</v>
      </c>
      <c r="K255" s="7" t="s">
        <v>4894</v>
      </c>
    </row>
    <row r="256" customFormat="false" ht="15" hidden="false" customHeight="false" outlineLevel="0" collapsed="false">
      <c r="A256" s="6" t="s">
        <v>4798</v>
      </c>
      <c r="B256" s="6" t="s">
        <v>23</v>
      </c>
      <c r="C256" s="6" t="s">
        <v>44</v>
      </c>
      <c r="D256" s="6" t="n">
        <v>2</v>
      </c>
      <c r="E256" s="6"/>
      <c r="F256" s="6" t="n">
        <f aca="false">COUNTIF(Rules!$B$2:$B$1568,A256)</f>
        <v>1</v>
      </c>
      <c r="G256" s="6" t="n">
        <f aca="false">COUNTIFS(Rules!$B$2:$B$1568,A256,Rules!$H$2:$H$1568,"QUESTION")</f>
        <v>0</v>
      </c>
      <c r="H256" s="7" t="s">
        <v>5699</v>
      </c>
      <c r="I256" s="7" t="s">
        <v>5698</v>
      </c>
      <c r="J256" s="7" t="s">
        <v>4894</v>
      </c>
      <c r="K256" s="7" t="s">
        <v>4894</v>
      </c>
    </row>
    <row r="257" customFormat="false" ht="35.05" hidden="false" customHeight="false" outlineLevel="0" collapsed="false">
      <c r="A257" s="6" t="s">
        <v>2149</v>
      </c>
      <c r="B257" s="6" t="s">
        <v>18</v>
      </c>
      <c r="C257" s="6" t="s">
        <v>85</v>
      </c>
      <c r="D257" s="6" t="n">
        <v>97</v>
      </c>
      <c r="E257" s="6" t="s">
        <v>28</v>
      </c>
      <c r="F257" s="6" t="n">
        <f aca="false">COUNTIF(Rules!$B$2:$B$1568,A257)</f>
        <v>6</v>
      </c>
      <c r="G257" s="6" t="n">
        <f aca="false">COUNTIFS(Rules!$B$2:$B$1568,A257,Rules!$H$2:$H$1568,"QUESTION")</f>
        <v>2</v>
      </c>
      <c r="H257" s="7" t="s">
        <v>5700</v>
      </c>
      <c r="I257" s="7" t="s">
        <v>5701</v>
      </c>
      <c r="J257" s="7" t="s">
        <v>5459</v>
      </c>
      <c r="K257" s="7" t="s">
        <v>5702</v>
      </c>
    </row>
    <row r="258" customFormat="false" ht="23.85" hidden="false" customHeight="false" outlineLevel="0" collapsed="false">
      <c r="A258" s="6" t="s">
        <v>4538</v>
      </c>
      <c r="B258" s="6" t="s">
        <v>22</v>
      </c>
      <c r="C258" s="6" t="s">
        <v>85</v>
      </c>
      <c r="D258" s="6" t="n">
        <v>37</v>
      </c>
      <c r="E258" s="6" t="s">
        <v>90</v>
      </c>
      <c r="F258" s="6" t="n">
        <f aca="false">COUNTIF(Rules!$B$2:$B$1568,A258)</f>
        <v>3</v>
      </c>
      <c r="G258" s="6" t="n">
        <f aca="false">COUNTIFS(Rules!$B$2:$B$1568,A258,Rules!$H$2:$H$1568,"QUESTION")</f>
        <v>2</v>
      </c>
      <c r="H258" s="7" t="s">
        <v>5703</v>
      </c>
      <c r="I258" s="7" t="s">
        <v>5704</v>
      </c>
      <c r="J258" s="7" t="s">
        <v>5705</v>
      </c>
      <c r="K258" s="7" t="s">
        <v>5706</v>
      </c>
    </row>
    <row r="259" customFormat="false" ht="35.05" hidden="false" customHeight="false" outlineLevel="0" collapsed="false">
      <c r="A259" s="6" t="s">
        <v>3175</v>
      </c>
      <c r="B259" s="6" t="s">
        <v>20</v>
      </c>
      <c r="C259" s="6" t="s">
        <v>44</v>
      </c>
      <c r="D259" s="6" t="n">
        <v>16</v>
      </c>
      <c r="E259" s="6" t="s">
        <v>29</v>
      </c>
      <c r="F259" s="6" t="n">
        <f aca="false">COUNTIF(Rules!$B$2:$B$1568,A259)</f>
        <v>2</v>
      </c>
      <c r="G259" s="6" t="n">
        <f aca="false">COUNTIFS(Rules!$B$2:$B$1568,A259,Rules!$H$2:$H$1568,"QUESTION")</f>
        <v>2</v>
      </c>
      <c r="H259" s="7" t="s">
        <v>5707</v>
      </c>
      <c r="I259" s="7" t="s">
        <v>5708</v>
      </c>
      <c r="J259" s="7" t="s">
        <v>4894</v>
      </c>
      <c r="K259" s="7" t="s">
        <v>5709</v>
      </c>
    </row>
    <row r="260" customFormat="false" ht="23.85" hidden="false" customHeight="false" outlineLevel="0" collapsed="false">
      <c r="A260" s="6" t="s">
        <v>3181</v>
      </c>
      <c r="B260" s="6" t="s">
        <v>20</v>
      </c>
      <c r="C260" s="6" t="s">
        <v>44</v>
      </c>
      <c r="D260" s="6" t="n">
        <v>12</v>
      </c>
      <c r="E260" s="6"/>
      <c r="F260" s="6" t="n">
        <f aca="false">COUNTIF(Rules!$B$2:$B$1568,A260)</f>
        <v>1</v>
      </c>
      <c r="G260" s="6" t="n">
        <f aca="false">COUNTIFS(Rules!$B$2:$B$1568,A260,Rules!$H$2:$H$1568,"QUESTION")</f>
        <v>0</v>
      </c>
      <c r="H260" s="7" t="s">
        <v>5710</v>
      </c>
      <c r="I260" s="7" t="s">
        <v>5711</v>
      </c>
      <c r="J260" s="7" t="s">
        <v>4894</v>
      </c>
      <c r="K260" s="7" t="s">
        <v>5712</v>
      </c>
    </row>
    <row r="261" customFormat="false" ht="23.85" hidden="false" customHeight="false" outlineLevel="0" collapsed="false">
      <c r="A261" s="6" t="s">
        <v>3184</v>
      </c>
      <c r="B261" s="6" t="s">
        <v>20</v>
      </c>
      <c r="C261" s="6" t="s">
        <v>44</v>
      </c>
      <c r="D261" s="6" t="n">
        <v>13</v>
      </c>
      <c r="E261" s="6" t="s">
        <v>29</v>
      </c>
      <c r="F261" s="6" t="n">
        <f aca="false">COUNTIF(Rules!$B$2:$B$1568,A261)</f>
        <v>2</v>
      </c>
      <c r="G261" s="6" t="n">
        <f aca="false">COUNTIFS(Rules!$B$2:$B$1568,A261,Rules!$H$2:$H$1568,"QUESTION")</f>
        <v>2</v>
      </c>
      <c r="H261" s="7" t="s">
        <v>5713</v>
      </c>
      <c r="I261" s="7" t="s">
        <v>5714</v>
      </c>
      <c r="J261" s="7" t="s">
        <v>4894</v>
      </c>
      <c r="K261" s="7" t="s">
        <v>5715</v>
      </c>
    </row>
    <row r="262" customFormat="false" ht="35.05" hidden="false" customHeight="false" outlineLevel="0" collapsed="false">
      <c r="A262" s="6" t="s">
        <v>3189</v>
      </c>
      <c r="B262" s="6" t="s">
        <v>20</v>
      </c>
      <c r="C262" s="6" t="s">
        <v>85</v>
      </c>
      <c r="D262" s="6" t="n">
        <v>57</v>
      </c>
      <c r="E262" s="6"/>
      <c r="F262" s="6" t="n">
        <f aca="false">COUNTIF(Rules!$B$2:$B$1568,A262)</f>
        <v>3</v>
      </c>
      <c r="G262" s="6" t="n">
        <f aca="false">COUNTIFS(Rules!$B$2:$B$1568,A262,Rules!$H$2:$H$1568,"QUESTION")</f>
        <v>2</v>
      </c>
      <c r="H262" s="7" t="s">
        <v>5716</v>
      </c>
      <c r="I262" s="7" t="s">
        <v>5611</v>
      </c>
      <c r="J262" s="7" t="s">
        <v>5717</v>
      </c>
      <c r="K262" s="7" t="s">
        <v>5718</v>
      </c>
    </row>
    <row r="263" customFormat="false" ht="15" hidden="false" customHeight="false" outlineLevel="0" collapsed="false">
      <c r="A263" s="6" t="s">
        <v>4801</v>
      </c>
      <c r="B263" s="6" t="s">
        <v>23</v>
      </c>
      <c r="C263" s="6" t="s">
        <v>44</v>
      </c>
      <c r="D263" s="6" t="n">
        <v>3</v>
      </c>
      <c r="E263" s="6"/>
      <c r="F263" s="6" t="n">
        <f aca="false">COUNTIF(Rules!$B$2:$B$1568,A263)</f>
        <v>1</v>
      </c>
      <c r="G263" s="6" t="n">
        <f aca="false">COUNTIFS(Rules!$B$2:$B$1568,A263,Rules!$H$2:$H$1568,"QUESTION")</f>
        <v>0</v>
      </c>
      <c r="H263" s="7" t="s">
        <v>5719</v>
      </c>
      <c r="I263" s="7" t="s">
        <v>4894</v>
      </c>
      <c r="J263" s="7" t="s">
        <v>5720</v>
      </c>
      <c r="K263" s="7" t="s">
        <v>4894</v>
      </c>
    </row>
    <row r="264" customFormat="false" ht="15" hidden="false" customHeight="false" outlineLevel="0" collapsed="false">
      <c r="A264" s="6" t="s">
        <v>4804</v>
      </c>
      <c r="B264" s="6" t="s">
        <v>23</v>
      </c>
      <c r="C264" s="6" t="s">
        <v>44</v>
      </c>
      <c r="D264" s="6" t="n">
        <v>3</v>
      </c>
      <c r="E264" s="6"/>
      <c r="F264" s="6" t="n">
        <f aca="false">COUNTIF(Rules!$B$2:$B$1568,A264)</f>
        <v>1</v>
      </c>
      <c r="G264" s="6" t="n">
        <f aca="false">COUNTIFS(Rules!$B$2:$B$1568,A264,Rules!$H$2:$H$1568,"QUESTION")</f>
        <v>0</v>
      </c>
      <c r="H264" s="7" t="s">
        <v>5721</v>
      </c>
      <c r="I264" s="7" t="s">
        <v>4894</v>
      </c>
      <c r="J264" s="7" t="s">
        <v>5722</v>
      </c>
      <c r="K264" s="7" t="s">
        <v>4894</v>
      </c>
    </row>
    <row r="265" customFormat="false" ht="46.25" hidden="false" customHeight="false" outlineLevel="0" collapsed="false">
      <c r="A265" s="6" t="s">
        <v>2678</v>
      </c>
      <c r="B265" s="6" t="s">
        <v>19</v>
      </c>
      <c r="C265" s="6" t="s">
        <v>274</v>
      </c>
      <c r="D265" s="6" t="n">
        <v>74</v>
      </c>
      <c r="E265" s="6" t="s">
        <v>50</v>
      </c>
      <c r="F265" s="6" t="n">
        <f aca="false">COUNTIF(Rules!$B$2:$B$1568,A265)</f>
        <v>5</v>
      </c>
      <c r="G265" s="6" t="n">
        <f aca="false">COUNTIFS(Rules!$B$2:$B$1568,A265,Rules!$H$2:$H$1568,"QUESTION")</f>
        <v>1</v>
      </c>
      <c r="H265" s="7" t="s">
        <v>5723</v>
      </c>
      <c r="I265" s="7" t="s">
        <v>5724</v>
      </c>
      <c r="J265" s="7" t="s">
        <v>5725</v>
      </c>
      <c r="K265" s="7" t="s">
        <v>5726</v>
      </c>
    </row>
    <row r="266" customFormat="false" ht="35.05" hidden="false" customHeight="false" outlineLevel="0" collapsed="false">
      <c r="A266" s="6" t="s">
        <v>4073</v>
      </c>
      <c r="B266" s="6" t="s">
        <v>21</v>
      </c>
      <c r="C266" s="6" t="s">
        <v>274</v>
      </c>
      <c r="D266" s="6" t="n">
        <v>65</v>
      </c>
      <c r="E266" s="6" t="s">
        <v>29</v>
      </c>
      <c r="F266" s="6" t="n">
        <f aca="false">COUNTIF(Rules!$B$2:$B$1568,A266)</f>
        <v>2</v>
      </c>
      <c r="G266" s="6" t="n">
        <f aca="false">COUNTIFS(Rules!$B$2:$B$1568,A266,Rules!$H$2:$H$1568,"QUESTION")</f>
        <v>0</v>
      </c>
      <c r="H266" s="7" t="s">
        <v>5727</v>
      </c>
      <c r="I266" s="7" t="s">
        <v>5728</v>
      </c>
      <c r="J266" s="7" t="s">
        <v>5459</v>
      </c>
      <c r="K266" s="7" t="s">
        <v>5729</v>
      </c>
    </row>
    <row r="267" customFormat="false" ht="23.85" hidden="false" customHeight="false" outlineLevel="0" collapsed="false">
      <c r="A267" s="6" t="s">
        <v>4080</v>
      </c>
      <c r="B267" s="6" t="s">
        <v>21</v>
      </c>
      <c r="C267" s="6" t="s">
        <v>274</v>
      </c>
      <c r="D267" s="6" t="n">
        <v>66</v>
      </c>
      <c r="E267" s="6" t="s">
        <v>29</v>
      </c>
      <c r="F267" s="6" t="n">
        <f aca="false">COUNTIF(Rules!$B$2:$B$1568,A267)</f>
        <v>2</v>
      </c>
      <c r="G267" s="6" t="n">
        <f aca="false">COUNTIFS(Rules!$B$2:$B$1568,A267,Rules!$H$2:$H$1568,"QUESTION")</f>
        <v>0</v>
      </c>
      <c r="H267" s="7" t="s">
        <v>5730</v>
      </c>
      <c r="I267" s="7" t="s">
        <v>5731</v>
      </c>
      <c r="J267" s="7" t="s">
        <v>5725</v>
      </c>
      <c r="K267" s="7" t="s">
        <v>5732</v>
      </c>
    </row>
    <row r="268" customFormat="false" ht="46.25" hidden="false" customHeight="false" outlineLevel="0" collapsed="false">
      <c r="A268" s="6" t="s">
        <v>3198</v>
      </c>
      <c r="B268" s="6" t="s">
        <v>20</v>
      </c>
      <c r="C268" s="6" t="s">
        <v>49</v>
      </c>
      <c r="D268" s="6" t="n">
        <v>76</v>
      </c>
      <c r="E268" s="6" t="s">
        <v>264</v>
      </c>
      <c r="F268" s="6" t="n">
        <f aca="false">COUNTIF(Rules!$B$2:$B$1568,A268)</f>
        <v>7</v>
      </c>
      <c r="G268" s="6" t="n">
        <f aca="false">COUNTIFS(Rules!$B$2:$B$1568,A268,Rules!$H$2:$H$1568,"QUESTION")</f>
        <v>3</v>
      </c>
      <c r="H268" s="7" t="s">
        <v>5733</v>
      </c>
      <c r="I268" s="7" t="s">
        <v>5734</v>
      </c>
      <c r="J268" s="7" t="s">
        <v>4894</v>
      </c>
      <c r="K268" s="7" t="s">
        <v>5735</v>
      </c>
    </row>
    <row r="269" customFormat="false" ht="23.85" hidden="false" customHeight="false" outlineLevel="0" collapsed="false">
      <c r="A269" s="6" t="s">
        <v>4546</v>
      </c>
      <c r="B269" s="6" t="s">
        <v>22</v>
      </c>
      <c r="C269" s="6" t="s">
        <v>230</v>
      </c>
      <c r="D269" s="6" t="n">
        <v>42</v>
      </c>
      <c r="E269" s="6" t="s">
        <v>27</v>
      </c>
      <c r="F269" s="6" t="n">
        <f aca="false">COUNTIF(Rules!$B$2:$B$1568,A269)</f>
        <v>1</v>
      </c>
      <c r="G269" s="6" t="n">
        <f aca="false">COUNTIFS(Rules!$B$2:$B$1568,A269,Rules!$H$2:$H$1568,"QUESTION")</f>
        <v>1</v>
      </c>
      <c r="H269" s="7" t="s">
        <v>5736</v>
      </c>
      <c r="I269" s="7" t="s">
        <v>5657</v>
      </c>
      <c r="J269" s="7" t="s">
        <v>5640</v>
      </c>
      <c r="K269" s="7" t="s">
        <v>5737</v>
      </c>
    </row>
    <row r="270" customFormat="false" ht="79.85" hidden="false" customHeight="false" outlineLevel="0" collapsed="false">
      <c r="A270" s="6" t="s">
        <v>1245</v>
      </c>
      <c r="B270" s="6" t="s">
        <v>17</v>
      </c>
      <c r="C270" s="6" t="s">
        <v>331</v>
      </c>
      <c r="D270" s="6" t="n">
        <v>135</v>
      </c>
      <c r="E270" s="6" t="s">
        <v>873</v>
      </c>
      <c r="F270" s="6" t="n">
        <f aca="false">COUNTIF(Rules!$B$2:$B$1568,A270)</f>
        <v>7</v>
      </c>
      <c r="G270" s="6" t="n">
        <f aca="false">COUNTIFS(Rules!$B$2:$B$1568,A270,Rules!$H$2:$H$1568,"QUESTION")</f>
        <v>2</v>
      </c>
      <c r="H270" s="7" t="s">
        <v>5738</v>
      </c>
      <c r="I270" s="7" t="s">
        <v>5739</v>
      </c>
      <c r="J270" s="7" t="s">
        <v>5740</v>
      </c>
      <c r="K270" s="7" t="s">
        <v>5741</v>
      </c>
    </row>
    <row r="271" customFormat="false" ht="15" hidden="false" customHeight="false" outlineLevel="0" collapsed="false">
      <c r="A271" s="6" t="s">
        <v>4806</v>
      </c>
      <c r="B271" s="6" t="s">
        <v>23</v>
      </c>
      <c r="C271" s="6" t="s">
        <v>44</v>
      </c>
      <c r="D271" s="6" t="n">
        <v>3</v>
      </c>
      <c r="E271" s="6"/>
      <c r="F271" s="6" t="n">
        <f aca="false">COUNTIF(Rules!$B$2:$B$1568,A271)</f>
        <v>1</v>
      </c>
      <c r="G271" s="6" t="n">
        <f aca="false">COUNTIFS(Rules!$B$2:$B$1568,A271,Rules!$H$2:$H$1568,"QUESTION")</f>
        <v>0</v>
      </c>
      <c r="H271" s="7" t="s">
        <v>5742</v>
      </c>
      <c r="I271" s="7" t="s">
        <v>4894</v>
      </c>
      <c r="J271" s="7" t="s">
        <v>4894</v>
      </c>
      <c r="K271" s="7" t="s">
        <v>4894</v>
      </c>
    </row>
    <row r="272" customFormat="false" ht="15" hidden="false" customHeight="false" outlineLevel="0" collapsed="false">
      <c r="A272" s="6" t="s">
        <v>4809</v>
      </c>
      <c r="B272" s="6" t="s">
        <v>23</v>
      </c>
      <c r="C272" s="6" t="s">
        <v>44</v>
      </c>
      <c r="D272" s="6" t="n">
        <v>10</v>
      </c>
      <c r="E272" s="6"/>
      <c r="F272" s="6" t="n">
        <f aca="false">COUNTIF(Rules!$B$2:$B$1568,A272)</f>
        <v>1</v>
      </c>
      <c r="G272" s="6" t="n">
        <f aca="false">COUNTIFS(Rules!$B$2:$B$1568,A272,Rules!$H$2:$H$1568,"QUESTION")</f>
        <v>0</v>
      </c>
      <c r="H272" s="7" t="s">
        <v>5743</v>
      </c>
      <c r="I272" s="7" t="s">
        <v>4894</v>
      </c>
      <c r="J272" s="7" t="s">
        <v>4894</v>
      </c>
      <c r="K272" s="7" t="s">
        <v>4894</v>
      </c>
    </row>
    <row r="273" customFormat="false" ht="23.85" hidden="false" customHeight="false" outlineLevel="0" collapsed="false">
      <c r="A273" s="6" t="s">
        <v>4087</v>
      </c>
      <c r="B273" s="6" t="s">
        <v>21</v>
      </c>
      <c r="C273" s="6" t="s">
        <v>85</v>
      </c>
      <c r="D273" s="6" t="n">
        <v>25</v>
      </c>
      <c r="E273" s="6"/>
      <c r="F273" s="6" t="n">
        <f aca="false">COUNTIF(Rules!$B$2:$B$1568,A273)</f>
        <v>1</v>
      </c>
      <c r="G273" s="6" t="n">
        <f aca="false">COUNTIFS(Rules!$B$2:$B$1568,A273,Rules!$H$2:$H$1568,"QUESTION")</f>
        <v>0</v>
      </c>
      <c r="H273" s="7" t="s">
        <v>5744</v>
      </c>
      <c r="I273" s="7" t="s">
        <v>5745</v>
      </c>
      <c r="J273" s="7" t="s">
        <v>4894</v>
      </c>
      <c r="K273" s="7" t="s">
        <v>5746</v>
      </c>
    </row>
    <row r="274" customFormat="false" ht="15" hidden="false" customHeight="false" outlineLevel="0" collapsed="false">
      <c r="A274" s="6" t="s">
        <v>4091</v>
      </c>
      <c r="B274" s="6" t="s">
        <v>21</v>
      </c>
      <c r="C274" s="6" t="s">
        <v>230</v>
      </c>
      <c r="D274" s="6" t="n">
        <v>25</v>
      </c>
      <c r="E274" s="6"/>
      <c r="F274" s="6" t="n">
        <f aca="false">COUNTIF(Rules!$B$2:$B$1568,A274)</f>
        <v>1</v>
      </c>
      <c r="G274" s="6" t="n">
        <f aca="false">COUNTIFS(Rules!$B$2:$B$1568,A274,Rules!$H$2:$H$1568,"QUESTION")</f>
        <v>0</v>
      </c>
      <c r="H274" s="7" t="s">
        <v>5747</v>
      </c>
      <c r="I274" s="7" t="s">
        <v>5748</v>
      </c>
      <c r="J274" s="7" t="s">
        <v>4894</v>
      </c>
      <c r="K274" s="7" t="s">
        <v>4894</v>
      </c>
    </row>
    <row r="275" customFormat="false" ht="23.85" hidden="false" customHeight="false" outlineLevel="0" collapsed="false">
      <c r="A275" s="6" t="s">
        <v>644</v>
      </c>
      <c r="B275" s="6" t="s">
        <v>16</v>
      </c>
      <c r="C275" s="6" t="s">
        <v>85</v>
      </c>
      <c r="D275" s="6" t="n">
        <v>24</v>
      </c>
      <c r="E275" s="6" t="s">
        <v>27</v>
      </c>
      <c r="F275" s="6" t="n">
        <f aca="false">COUNTIF(Rules!$B$2:$B$1568,A275)</f>
        <v>1</v>
      </c>
      <c r="G275" s="6" t="n">
        <f aca="false">COUNTIFS(Rules!$B$2:$B$1568,A275,Rules!$H$2:$H$1568,"QUESTION")</f>
        <v>0</v>
      </c>
      <c r="H275" s="7" t="s">
        <v>5749</v>
      </c>
      <c r="I275" s="7" t="s">
        <v>5750</v>
      </c>
      <c r="J275" s="7" t="s">
        <v>5751</v>
      </c>
      <c r="K275" s="7" t="s">
        <v>5752</v>
      </c>
    </row>
    <row r="276" customFormat="false" ht="57.45" hidden="false" customHeight="false" outlineLevel="0" collapsed="false">
      <c r="A276" s="6" t="s">
        <v>2167</v>
      </c>
      <c r="B276" s="6" t="s">
        <v>18</v>
      </c>
      <c r="C276" s="6" t="s">
        <v>1303</v>
      </c>
      <c r="D276" s="6" t="n">
        <v>124</v>
      </c>
      <c r="E276" s="6"/>
      <c r="F276" s="6" t="n">
        <f aca="false">COUNTIF(Rules!$B$2:$B$1568,A276)</f>
        <v>5</v>
      </c>
      <c r="G276" s="6" t="n">
        <f aca="false">COUNTIFS(Rules!$B$2:$B$1568,A276,Rules!$H$2:$H$1568,"QUESTION")</f>
        <v>2</v>
      </c>
      <c r="H276" s="7" t="s">
        <v>5753</v>
      </c>
      <c r="I276" s="7" t="s">
        <v>5754</v>
      </c>
      <c r="J276" s="7" t="s">
        <v>5755</v>
      </c>
      <c r="K276" s="7" t="s">
        <v>5756</v>
      </c>
    </row>
    <row r="277" customFormat="false" ht="35.05" hidden="false" customHeight="false" outlineLevel="0" collapsed="false">
      <c r="A277" s="6" t="s">
        <v>4094</v>
      </c>
      <c r="B277" s="6" t="s">
        <v>21</v>
      </c>
      <c r="C277" s="6" t="s">
        <v>274</v>
      </c>
      <c r="D277" s="6" t="n">
        <v>24</v>
      </c>
      <c r="E277" s="6"/>
      <c r="F277" s="6" t="n">
        <f aca="false">COUNTIF(Rules!$B$2:$B$1568,A277)</f>
        <v>4</v>
      </c>
      <c r="G277" s="6" t="n">
        <f aca="false">COUNTIFS(Rules!$B$2:$B$1568,A277,Rules!$H$2:$H$1568,"QUESTION")</f>
        <v>3</v>
      </c>
      <c r="H277" s="7" t="s">
        <v>5757</v>
      </c>
      <c r="I277" s="7" t="s">
        <v>5758</v>
      </c>
      <c r="J277" s="7" t="s">
        <v>5759</v>
      </c>
      <c r="K277" s="7" t="s">
        <v>5760</v>
      </c>
    </row>
    <row r="278" customFormat="false" ht="35.05" hidden="false" customHeight="false" outlineLevel="0" collapsed="false">
      <c r="A278" s="6" t="s">
        <v>2694</v>
      </c>
      <c r="B278" s="6" t="s">
        <v>19</v>
      </c>
      <c r="C278" s="6" t="s">
        <v>85</v>
      </c>
      <c r="D278" s="6" t="n">
        <v>58</v>
      </c>
      <c r="E278" s="6" t="s">
        <v>50</v>
      </c>
      <c r="F278" s="6" t="n">
        <f aca="false">COUNTIF(Rules!$B$2:$B$1568,A278)</f>
        <v>3</v>
      </c>
      <c r="G278" s="6" t="n">
        <f aca="false">COUNTIFS(Rules!$B$2:$B$1568,A278,Rules!$H$2:$H$1568,"QUESTION")</f>
        <v>1</v>
      </c>
      <c r="H278" s="7" t="s">
        <v>5761</v>
      </c>
      <c r="I278" s="7" t="s">
        <v>5762</v>
      </c>
      <c r="J278" s="7" t="s">
        <v>5763</v>
      </c>
      <c r="K278" s="7" t="s">
        <v>5764</v>
      </c>
    </row>
    <row r="279" customFormat="false" ht="23.85" hidden="false" customHeight="false" outlineLevel="0" collapsed="false">
      <c r="A279" s="6" t="s">
        <v>2703</v>
      </c>
      <c r="B279" s="6" t="s">
        <v>19</v>
      </c>
      <c r="C279" s="6" t="s">
        <v>85</v>
      </c>
      <c r="D279" s="6" t="n">
        <v>58</v>
      </c>
      <c r="E279" s="6" t="s">
        <v>50</v>
      </c>
      <c r="F279" s="6" t="n">
        <f aca="false">COUNTIF(Rules!$B$2:$B$1568,A279)</f>
        <v>1</v>
      </c>
      <c r="G279" s="6" t="n">
        <f aca="false">COUNTIFS(Rules!$B$2:$B$1568,A279,Rules!$H$2:$H$1568,"QUESTION")</f>
        <v>0</v>
      </c>
      <c r="H279" s="7" t="s">
        <v>5765</v>
      </c>
      <c r="I279" s="7" t="s">
        <v>5766</v>
      </c>
      <c r="J279" s="7" t="s">
        <v>4933</v>
      </c>
      <c r="K279" s="7" t="s">
        <v>5767</v>
      </c>
    </row>
    <row r="280" customFormat="false" ht="15" hidden="false" customHeight="false" outlineLevel="0" collapsed="false">
      <c r="A280" s="6" t="s">
        <v>4811</v>
      </c>
      <c r="B280" s="6" t="s">
        <v>23</v>
      </c>
      <c r="C280" s="6" t="s">
        <v>44</v>
      </c>
      <c r="D280" s="6" t="n">
        <v>4</v>
      </c>
      <c r="E280" s="6"/>
      <c r="F280" s="6" t="n">
        <f aca="false">COUNTIF(Rules!$B$2:$B$1568,A280)</f>
        <v>1</v>
      </c>
      <c r="G280" s="6" t="n">
        <f aca="false">COUNTIFS(Rules!$B$2:$B$1568,A280,Rules!$H$2:$H$1568,"QUESTION")</f>
        <v>0</v>
      </c>
      <c r="H280" s="7" t="s">
        <v>5768</v>
      </c>
      <c r="I280" s="7" t="s">
        <v>4894</v>
      </c>
      <c r="J280" s="7" t="s">
        <v>5769</v>
      </c>
      <c r="K280" s="7" t="s">
        <v>4894</v>
      </c>
    </row>
    <row r="281" customFormat="false" ht="15" hidden="false" customHeight="false" outlineLevel="0" collapsed="false">
      <c r="A281" s="6" t="s">
        <v>4815</v>
      </c>
      <c r="B281" s="6" t="s">
        <v>23</v>
      </c>
      <c r="C281" s="6" t="s">
        <v>44</v>
      </c>
      <c r="D281" s="6" t="n">
        <v>4</v>
      </c>
      <c r="E281" s="6"/>
      <c r="F281" s="6" t="n">
        <f aca="false">COUNTIF(Rules!$B$2:$B$1568,A281)</f>
        <v>1</v>
      </c>
      <c r="G281" s="6" t="n">
        <f aca="false">COUNTIFS(Rules!$B$2:$B$1568,A281,Rules!$H$2:$H$1568,"QUESTION")</f>
        <v>0</v>
      </c>
      <c r="H281" s="7" t="s">
        <v>5770</v>
      </c>
      <c r="I281" s="7" t="s">
        <v>4894</v>
      </c>
      <c r="J281" s="7" t="s">
        <v>4894</v>
      </c>
      <c r="K281" s="7" t="s">
        <v>5771</v>
      </c>
    </row>
    <row r="282" customFormat="false" ht="15" hidden="false" customHeight="false" outlineLevel="0" collapsed="false">
      <c r="A282" s="6" t="s">
        <v>4819</v>
      </c>
      <c r="B282" s="6" t="s">
        <v>23</v>
      </c>
      <c r="C282" s="6" t="s">
        <v>44</v>
      </c>
      <c r="D282" s="6" t="n">
        <v>4</v>
      </c>
      <c r="E282" s="6"/>
      <c r="F282" s="6" t="n">
        <f aca="false">COUNTIF(Rules!$B$2:$B$1568,A282)</f>
        <v>1</v>
      </c>
      <c r="G282" s="6" t="n">
        <f aca="false">COUNTIFS(Rules!$B$2:$B$1568,A282,Rules!$H$2:$H$1568,"QUESTION")</f>
        <v>0</v>
      </c>
      <c r="H282" s="7" t="s">
        <v>5772</v>
      </c>
      <c r="I282" s="7" t="s">
        <v>4894</v>
      </c>
      <c r="J282" s="7" t="s">
        <v>4894</v>
      </c>
      <c r="K282" s="7" t="s">
        <v>5773</v>
      </c>
    </row>
    <row r="283" customFormat="false" ht="23.85" hidden="false" customHeight="false" outlineLevel="0" collapsed="false">
      <c r="A283" s="6" t="s">
        <v>4822</v>
      </c>
      <c r="B283" s="6" t="s">
        <v>23</v>
      </c>
      <c r="C283" s="6" t="s">
        <v>44</v>
      </c>
      <c r="D283" s="6" t="n">
        <v>40</v>
      </c>
      <c r="E283" s="6"/>
      <c r="F283" s="6" t="n">
        <f aca="false">COUNTIF(Rules!$B$2:$B$1568,A283)</f>
        <v>2</v>
      </c>
      <c r="G283" s="6" t="n">
        <f aca="false">COUNTIFS(Rules!$B$2:$B$1568,A283,Rules!$H$2:$H$1568,"QUESTION")</f>
        <v>0</v>
      </c>
      <c r="H283" s="7" t="s">
        <v>5774</v>
      </c>
      <c r="I283" s="7" t="s">
        <v>5775</v>
      </c>
      <c r="J283" s="7" t="s">
        <v>4894</v>
      </c>
      <c r="K283" s="7" t="s">
        <v>5776</v>
      </c>
    </row>
    <row r="284" customFormat="false" ht="68.65" hidden="false" customHeight="false" outlineLevel="0" collapsed="false">
      <c r="A284" s="6" t="s">
        <v>2183</v>
      </c>
      <c r="B284" s="6" t="s">
        <v>18</v>
      </c>
      <c r="C284" s="6" t="s">
        <v>1303</v>
      </c>
      <c r="D284" s="6" t="n">
        <v>96</v>
      </c>
      <c r="E284" s="6"/>
      <c r="F284" s="6" t="n">
        <f aca="false">COUNTIF(Rules!$B$2:$B$1568,A284)</f>
        <v>4</v>
      </c>
      <c r="G284" s="6" t="n">
        <f aca="false">COUNTIFS(Rules!$B$2:$B$1568,A284,Rules!$H$2:$H$1568,"QUESTION")</f>
        <v>1</v>
      </c>
      <c r="H284" s="7" t="s">
        <v>5777</v>
      </c>
      <c r="I284" s="7" t="s">
        <v>5778</v>
      </c>
      <c r="J284" s="7" t="s">
        <v>5755</v>
      </c>
      <c r="K284" s="7" t="s">
        <v>5779</v>
      </c>
    </row>
    <row r="285" customFormat="false" ht="35.05" hidden="false" customHeight="false" outlineLevel="0" collapsed="false">
      <c r="A285" s="6" t="s">
        <v>3217</v>
      </c>
      <c r="B285" s="6" t="s">
        <v>20</v>
      </c>
      <c r="C285" s="6" t="s">
        <v>85</v>
      </c>
      <c r="D285" s="6" t="n">
        <v>68</v>
      </c>
      <c r="E285" s="6" t="s">
        <v>50</v>
      </c>
      <c r="F285" s="6" t="n">
        <f aca="false">COUNTIF(Rules!$B$2:$B$1568,A285)</f>
        <v>3</v>
      </c>
      <c r="G285" s="6" t="n">
        <f aca="false">COUNTIFS(Rules!$B$2:$B$1568,A285,Rules!$H$2:$H$1568,"QUESTION")</f>
        <v>2</v>
      </c>
      <c r="H285" s="7" t="s">
        <v>5780</v>
      </c>
      <c r="I285" s="7" t="s">
        <v>5781</v>
      </c>
      <c r="J285" s="7" t="s">
        <v>5654</v>
      </c>
      <c r="K285" s="7" t="s">
        <v>5782</v>
      </c>
    </row>
    <row r="286" customFormat="false" ht="35.05" hidden="false" customHeight="false" outlineLevel="0" collapsed="false">
      <c r="A286" s="6" t="s">
        <v>3226</v>
      </c>
      <c r="B286" s="6" t="s">
        <v>20</v>
      </c>
      <c r="C286" s="6" t="s">
        <v>85</v>
      </c>
      <c r="D286" s="6" t="n">
        <v>54</v>
      </c>
      <c r="E286" s="6" t="s">
        <v>264</v>
      </c>
      <c r="F286" s="6" t="n">
        <f aca="false">COUNTIF(Rules!$B$2:$B$1568,A286)</f>
        <v>5</v>
      </c>
      <c r="G286" s="6" t="n">
        <f aca="false">COUNTIFS(Rules!$B$2:$B$1568,A286,Rules!$H$2:$H$1568,"QUESTION")</f>
        <v>2</v>
      </c>
      <c r="H286" s="7" t="s">
        <v>5783</v>
      </c>
      <c r="I286" s="7" t="s">
        <v>5784</v>
      </c>
      <c r="J286" s="7" t="s">
        <v>5785</v>
      </c>
      <c r="K286" s="7" t="s">
        <v>5786</v>
      </c>
    </row>
    <row r="287" customFormat="false" ht="57.45" hidden="false" customHeight="false" outlineLevel="0" collapsed="false">
      <c r="A287" s="6" t="s">
        <v>3237</v>
      </c>
      <c r="B287" s="6" t="s">
        <v>20</v>
      </c>
      <c r="C287" s="6" t="s">
        <v>85</v>
      </c>
      <c r="D287" s="6" t="n">
        <v>76</v>
      </c>
      <c r="E287" s="6" t="s">
        <v>264</v>
      </c>
      <c r="F287" s="6" t="n">
        <f aca="false">COUNTIF(Rules!$B$2:$B$1568,A287)</f>
        <v>5</v>
      </c>
      <c r="G287" s="6" t="n">
        <f aca="false">COUNTIFS(Rules!$B$2:$B$1568,A287,Rules!$H$2:$H$1568,"QUESTION")</f>
        <v>5</v>
      </c>
      <c r="H287" s="7" t="s">
        <v>5787</v>
      </c>
      <c r="I287" s="7" t="s">
        <v>5784</v>
      </c>
      <c r="J287" s="7" t="s">
        <v>5788</v>
      </c>
      <c r="K287" s="7" t="s">
        <v>5789</v>
      </c>
    </row>
    <row r="288" customFormat="false" ht="23.85" hidden="false" customHeight="false" outlineLevel="0" collapsed="false">
      <c r="A288" s="6" t="s">
        <v>3252</v>
      </c>
      <c r="B288" s="6" t="s">
        <v>20</v>
      </c>
      <c r="C288" s="6" t="s">
        <v>230</v>
      </c>
      <c r="D288" s="6" t="n">
        <v>63</v>
      </c>
      <c r="E288" s="6" t="s">
        <v>264</v>
      </c>
      <c r="F288" s="6" t="n">
        <f aca="false">COUNTIF(Rules!$B$2:$B$1568,A288)</f>
        <v>5</v>
      </c>
      <c r="G288" s="6" t="n">
        <f aca="false">COUNTIFS(Rules!$B$2:$B$1568,A288,Rules!$H$2:$H$1568,"QUESTION")</f>
        <v>4</v>
      </c>
      <c r="H288" s="7" t="s">
        <v>5790</v>
      </c>
      <c r="I288" s="7" t="s">
        <v>5791</v>
      </c>
      <c r="J288" s="7" t="s">
        <v>5792</v>
      </c>
      <c r="K288" s="7" t="s">
        <v>5793</v>
      </c>
    </row>
    <row r="289" customFormat="false" ht="23.85" hidden="false" customHeight="false" outlineLevel="0" collapsed="false">
      <c r="A289" s="6" t="s">
        <v>3266</v>
      </c>
      <c r="B289" s="6" t="s">
        <v>20</v>
      </c>
      <c r="C289" s="6" t="s">
        <v>331</v>
      </c>
      <c r="D289" s="6" t="n">
        <v>58</v>
      </c>
      <c r="E289" s="6" t="s">
        <v>264</v>
      </c>
      <c r="F289" s="6" t="n">
        <f aca="false">COUNTIF(Rules!$B$2:$B$1568,A289)</f>
        <v>7</v>
      </c>
      <c r="G289" s="6" t="n">
        <f aca="false">COUNTIFS(Rules!$B$2:$B$1568,A289,Rules!$H$2:$H$1568,"QUESTION")</f>
        <v>5</v>
      </c>
      <c r="H289" s="7" t="s">
        <v>5794</v>
      </c>
      <c r="I289" s="7" t="s">
        <v>5795</v>
      </c>
      <c r="J289" s="7" t="s">
        <v>5640</v>
      </c>
      <c r="K289" s="7" t="s">
        <v>5796</v>
      </c>
    </row>
    <row r="290" customFormat="false" ht="23.85" hidden="false" customHeight="false" outlineLevel="0" collapsed="false">
      <c r="A290" s="6" t="s">
        <v>4828</v>
      </c>
      <c r="B290" s="6" t="s">
        <v>23</v>
      </c>
      <c r="C290" s="6" t="s">
        <v>79</v>
      </c>
      <c r="D290" s="6" t="n">
        <v>86</v>
      </c>
      <c r="E290" s="6"/>
      <c r="F290" s="6" t="n">
        <f aca="false">COUNTIF(Rules!$B$2:$B$1568,A290)</f>
        <v>1</v>
      </c>
      <c r="G290" s="6" t="n">
        <f aca="false">COUNTIFS(Rules!$B$2:$B$1568,A290,Rules!$H$2:$H$1568,"QUESTION")</f>
        <v>0</v>
      </c>
      <c r="H290" s="7" t="s">
        <v>5797</v>
      </c>
      <c r="I290" s="7" t="s">
        <v>4894</v>
      </c>
      <c r="J290" s="7" t="s">
        <v>5798</v>
      </c>
      <c r="K290" s="7" t="s">
        <v>5799</v>
      </c>
    </row>
    <row r="291" customFormat="false" ht="35.05" hidden="false" customHeight="false" outlineLevel="0" collapsed="false">
      <c r="A291" s="6" t="s">
        <v>256</v>
      </c>
      <c r="B291" s="6" t="s">
        <v>15</v>
      </c>
      <c r="C291" s="6" t="s">
        <v>44</v>
      </c>
      <c r="D291" s="6" t="n">
        <v>23</v>
      </c>
      <c r="E291" s="6" t="s">
        <v>26</v>
      </c>
      <c r="F291" s="6" t="n">
        <f aca="false">COUNTIF(Rules!$B$2:$B$1568,A291)</f>
        <v>2</v>
      </c>
      <c r="G291" s="6" t="n">
        <f aca="false">COUNTIFS(Rules!$B$2:$B$1568,A291,Rules!$H$2:$H$1568,"QUESTION")</f>
        <v>0</v>
      </c>
      <c r="H291" s="7" t="s">
        <v>5800</v>
      </c>
      <c r="I291" s="7" t="s">
        <v>5801</v>
      </c>
      <c r="J291" s="7" t="s">
        <v>5802</v>
      </c>
      <c r="K291" s="7" t="s">
        <v>5803</v>
      </c>
    </row>
    <row r="292" customFormat="false" ht="35.05" hidden="false" customHeight="false" outlineLevel="0" collapsed="false">
      <c r="A292" s="6" t="s">
        <v>648</v>
      </c>
      <c r="B292" s="6" t="s">
        <v>16</v>
      </c>
      <c r="C292" s="6" t="s">
        <v>44</v>
      </c>
      <c r="D292" s="6" t="n">
        <v>27</v>
      </c>
      <c r="E292" s="6" t="s">
        <v>27</v>
      </c>
      <c r="F292" s="6" t="n">
        <f aca="false">COUNTIF(Rules!$B$2:$B$1568,A292)</f>
        <v>2</v>
      </c>
      <c r="G292" s="6" t="n">
        <f aca="false">COUNTIFS(Rules!$B$2:$B$1568,A292,Rules!$H$2:$H$1568,"QUESTION")</f>
        <v>2</v>
      </c>
      <c r="H292" s="7" t="s">
        <v>5804</v>
      </c>
      <c r="I292" s="7" t="s">
        <v>5805</v>
      </c>
      <c r="J292" s="7" t="s">
        <v>4894</v>
      </c>
      <c r="K292" s="7" t="s">
        <v>5806</v>
      </c>
    </row>
    <row r="293" customFormat="false" ht="46.25" hidden="false" customHeight="false" outlineLevel="0" collapsed="false">
      <c r="A293" s="6" t="s">
        <v>2707</v>
      </c>
      <c r="B293" s="6" t="s">
        <v>19</v>
      </c>
      <c r="C293" s="6" t="s">
        <v>44</v>
      </c>
      <c r="D293" s="6" t="n">
        <v>18</v>
      </c>
      <c r="E293" s="6" t="s">
        <v>26</v>
      </c>
      <c r="F293" s="6" t="n">
        <f aca="false">COUNTIF(Rules!$B$2:$B$1568,A293)</f>
        <v>1</v>
      </c>
      <c r="G293" s="6" t="n">
        <f aca="false">COUNTIFS(Rules!$B$2:$B$1568,A293,Rules!$H$2:$H$1568,"QUESTION")</f>
        <v>0</v>
      </c>
      <c r="H293" s="7" t="s">
        <v>5807</v>
      </c>
      <c r="I293" s="7" t="s">
        <v>5808</v>
      </c>
      <c r="J293" s="7" t="s">
        <v>5809</v>
      </c>
      <c r="K293" s="7" t="s">
        <v>5810</v>
      </c>
    </row>
    <row r="294" customFormat="false" ht="35.05" hidden="false" customHeight="false" outlineLevel="0" collapsed="false">
      <c r="A294" s="6" t="s">
        <v>2195</v>
      </c>
      <c r="B294" s="6" t="s">
        <v>18</v>
      </c>
      <c r="C294" s="6" t="s">
        <v>44</v>
      </c>
      <c r="D294" s="6" t="n">
        <v>63</v>
      </c>
      <c r="E294" s="6"/>
      <c r="F294" s="6" t="n">
        <f aca="false">COUNTIF(Rules!$B$2:$B$1568,A294)</f>
        <v>2</v>
      </c>
      <c r="G294" s="6" t="n">
        <f aca="false">COUNTIFS(Rules!$B$2:$B$1568,A294,Rules!$H$2:$H$1568,"QUESTION")</f>
        <v>1</v>
      </c>
      <c r="H294" s="7" t="s">
        <v>5811</v>
      </c>
      <c r="I294" s="7" t="s">
        <v>5812</v>
      </c>
      <c r="J294" s="7" t="s">
        <v>5813</v>
      </c>
      <c r="K294" s="7" t="s">
        <v>5814</v>
      </c>
    </row>
    <row r="295" customFormat="false" ht="68.65" hidden="false" customHeight="false" outlineLevel="0" collapsed="false">
      <c r="A295" s="6" t="s">
        <v>4105</v>
      </c>
      <c r="B295" s="6" t="s">
        <v>21</v>
      </c>
      <c r="C295" s="6" t="s">
        <v>44</v>
      </c>
      <c r="D295" s="6" t="n">
        <v>91</v>
      </c>
      <c r="E295" s="6"/>
      <c r="F295" s="6" t="n">
        <f aca="false">COUNTIF(Rules!$B$2:$B$1568,A295)</f>
        <v>4</v>
      </c>
      <c r="G295" s="6" t="n">
        <f aca="false">COUNTIFS(Rules!$B$2:$B$1568,A295,Rules!$H$2:$H$1568,"QUESTION")</f>
        <v>3</v>
      </c>
      <c r="H295" s="7" t="s">
        <v>5815</v>
      </c>
      <c r="I295" s="7" t="s">
        <v>5816</v>
      </c>
      <c r="J295" s="7" t="s">
        <v>5817</v>
      </c>
      <c r="K295" s="7" t="s">
        <v>5818</v>
      </c>
    </row>
    <row r="296" customFormat="false" ht="23.85" hidden="false" customHeight="false" outlineLevel="0" collapsed="false">
      <c r="A296" s="6" t="s">
        <v>2202</v>
      </c>
      <c r="B296" s="6" t="s">
        <v>18</v>
      </c>
      <c r="C296" s="6" t="s">
        <v>85</v>
      </c>
      <c r="D296" s="6" t="n">
        <v>87</v>
      </c>
      <c r="E296" s="6" t="s">
        <v>28</v>
      </c>
      <c r="F296" s="6" t="n">
        <f aca="false">COUNTIF(Rules!$B$2:$B$1568,A296)</f>
        <v>3</v>
      </c>
      <c r="G296" s="6" t="n">
        <f aca="false">COUNTIFS(Rules!$B$2:$B$1568,A296,Rules!$H$2:$H$1568,"QUESTION")</f>
        <v>1</v>
      </c>
      <c r="H296" s="7" t="s">
        <v>5819</v>
      </c>
      <c r="I296" s="7" t="s">
        <v>5820</v>
      </c>
      <c r="J296" s="7" t="s">
        <v>5459</v>
      </c>
      <c r="K296" s="7" t="s">
        <v>5821</v>
      </c>
    </row>
    <row r="297" customFormat="false" ht="15" hidden="false" customHeight="false" outlineLevel="0" collapsed="false">
      <c r="A297" s="6" t="s">
        <v>2211</v>
      </c>
      <c r="B297" s="6" t="s">
        <v>18</v>
      </c>
      <c r="C297" s="6" t="s">
        <v>230</v>
      </c>
      <c r="D297" s="6" t="n">
        <v>90</v>
      </c>
      <c r="E297" s="6" t="s">
        <v>28</v>
      </c>
      <c r="F297" s="6" t="n">
        <f aca="false">COUNTIF(Rules!$B$2:$B$1568,A297)</f>
        <v>1</v>
      </c>
      <c r="G297" s="6" t="n">
        <f aca="false">COUNTIFS(Rules!$B$2:$B$1568,A297,Rules!$H$2:$H$1568,"QUESTION")</f>
        <v>0</v>
      </c>
      <c r="H297" s="7" t="s">
        <v>5822</v>
      </c>
      <c r="I297" s="7" t="s">
        <v>5820</v>
      </c>
      <c r="J297" s="7" t="s">
        <v>5459</v>
      </c>
      <c r="K297" s="7" t="s">
        <v>5823</v>
      </c>
    </row>
    <row r="298" customFormat="false" ht="79.85" hidden="false" customHeight="false" outlineLevel="0" collapsed="false">
      <c r="A298" s="6" t="s">
        <v>4115</v>
      </c>
      <c r="B298" s="6" t="s">
        <v>21</v>
      </c>
      <c r="C298" s="6" t="s">
        <v>331</v>
      </c>
      <c r="D298" s="6" t="n">
        <v>53</v>
      </c>
      <c r="E298" s="6"/>
      <c r="F298" s="6" t="n">
        <f aca="false">COUNTIF(Rules!$B$2:$B$1568,A298)</f>
        <v>5</v>
      </c>
      <c r="G298" s="6" t="n">
        <f aca="false">COUNTIFS(Rules!$B$2:$B$1568,A298,Rules!$H$2:$H$1568,"QUESTION")</f>
        <v>2</v>
      </c>
      <c r="H298" s="7" t="s">
        <v>5824</v>
      </c>
      <c r="I298" s="7" t="s">
        <v>5825</v>
      </c>
      <c r="J298" s="7" t="s">
        <v>5826</v>
      </c>
      <c r="K298" s="7" t="s">
        <v>5827</v>
      </c>
    </row>
    <row r="299" customFormat="false" ht="23.85" hidden="false" customHeight="false" outlineLevel="0" collapsed="false">
      <c r="A299" s="6" t="s">
        <v>4129</v>
      </c>
      <c r="B299" s="6" t="s">
        <v>21</v>
      </c>
      <c r="C299" s="6" t="s">
        <v>49</v>
      </c>
      <c r="D299" s="6" t="n">
        <v>53</v>
      </c>
      <c r="E299" s="6"/>
      <c r="F299" s="6" t="n">
        <f aca="false">COUNTIF(Rules!$B$2:$B$1568,A299)</f>
        <v>1</v>
      </c>
      <c r="G299" s="6" t="n">
        <f aca="false">COUNTIFS(Rules!$B$2:$B$1568,A299,Rules!$H$2:$H$1568,"QUESTION")</f>
        <v>0</v>
      </c>
      <c r="H299" s="7" t="s">
        <v>5828</v>
      </c>
      <c r="I299" s="7" t="s">
        <v>5829</v>
      </c>
      <c r="J299" s="7" t="s">
        <v>4894</v>
      </c>
      <c r="K299" s="7" t="s">
        <v>5830</v>
      </c>
    </row>
    <row r="300" customFormat="false" ht="46.25" hidden="false" customHeight="false" outlineLevel="0" collapsed="false">
      <c r="A300" s="6" t="s">
        <v>4133</v>
      </c>
      <c r="B300" s="6" t="s">
        <v>21</v>
      </c>
      <c r="C300" s="6" t="s">
        <v>44</v>
      </c>
      <c r="D300" s="6" t="n">
        <v>37</v>
      </c>
      <c r="E300" s="6"/>
      <c r="F300" s="6" t="n">
        <f aca="false">COUNTIF(Rules!$B$2:$B$1568,A300)</f>
        <v>3</v>
      </c>
      <c r="G300" s="6" t="n">
        <f aca="false">COUNTIFS(Rules!$B$2:$B$1568,A300,Rules!$H$2:$H$1568,"QUESTION")</f>
        <v>1</v>
      </c>
      <c r="H300" s="7" t="s">
        <v>5831</v>
      </c>
      <c r="I300" s="7" t="s">
        <v>5832</v>
      </c>
      <c r="J300" s="7" t="s">
        <v>5833</v>
      </c>
      <c r="K300" s="7" t="s">
        <v>5834</v>
      </c>
    </row>
    <row r="301" customFormat="false" ht="35.05" hidden="false" customHeight="false" outlineLevel="0" collapsed="false">
      <c r="A301" s="6" t="s">
        <v>4142</v>
      </c>
      <c r="B301" s="6" t="s">
        <v>21</v>
      </c>
      <c r="C301" s="6" t="s">
        <v>44</v>
      </c>
      <c r="D301" s="6" t="n">
        <v>24</v>
      </c>
      <c r="E301" s="6"/>
      <c r="F301" s="6" t="n">
        <f aca="false">COUNTIF(Rules!$B$2:$B$1568,A301)</f>
        <v>1</v>
      </c>
      <c r="G301" s="6" t="n">
        <f aca="false">COUNTIFS(Rules!$B$2:$B$1568,A301,Rules!$H$2:$H$1568,"QUESTION")</f>
        <v>0</v>
      </c>
      <c r="H301" s="7" t="s">
        <v>5835</v>
      </c>
      <c r="I301" s="7" t="s">
        <v>5836</v>
      </c>
      <c r="J301" s="7" t="s">
        <v>4894</v>
      </c>
      <c r="K301" s="7" t="s">
        <v>5837</v>
      </c>
    </row>
    <row r="302" customFormat="false" ht="35.05" hidden="false" customHeight="false" outlineLevel="0" collapsed="false">
      <c r="A302" s="6" t="s">
        <v>4146</v>
      </c>
      <c r="B302" s="6" t="s">
        <v>21</v>
      </c>
      <c r="C302" s="6" t="s">
        <v>44</v>
      </c>
      <c r="D302" s="6" t="n">
        <v>27</v>
      </c>
      <c r="E302" s="6"/>
      <c r="F302" s="6" t="n">
        <f aca="false">COUNTIF(Rules!$B$2:$B$1568,A302)</f>
        <v>1</v>
      </c>
      <c r="G302" s="6" t="n">
        <f aca="false">COUNTIFS(Rules!$B$2:$B$1568,A302,Rules!$H$2:$H$1568,"QUESTION")</f>
        <v>0</v>
      </c>
      <c r="H302" s="7" t="s">
        <v>5838</v>
      </c>
      <c r="I302" s="7" t="s">
        <v>5839</v>
      </c>
      <c r="J302" s="7" t="s">
        <v>4894</v>
      </c>
      <c r="K302" s="7" t="s">
        <v>5840</v>
      </c>
    </row>
    <row r="303" customFormat="false" ht="23.85" hidden="false" customHeight="false" outlineLevel="0" collapsed="false">
      <c r="A303" s="6" t="s">
        <v>4832</v>
      </c>
      <c r="B303" s="6" t="s">
        <v>23</v>
      </c>
      <c r="C303" s="6" t="s">
        <v>44</v>
      </c>
      <c r="D303" s="6" t="n">
        <v>35</v>
      </c>
      <c r="E303" s="6"/>
      <c r="F303" s="6" t="n">
        <f aca="false">COUNTIF(Rules!$B$2:$B$1568,A303)</f>
        <v>1</v>
      </c>
      <c r="G303" s="6" t="n">
        <f aca="false">COUNTIFS(Rules!$B$2:$B$1568,A303,Rules!$H$2:$H$1568,"QUESTION")</f>
        <v>0</v>
      </c>
      <c r="H303" s="7" t="s">
        <v>5841</v>
      </c>
      <c r="I303" s="7" t="s">
        <v>5842</v>
      </c>
      <c r="J303" s="7" t="s">
        <v>5843</v>
      </c>
      <c r="K303" s="7" t="s">
        <v>5844</v>
      </c>
    </row>
    <row r="304" customFormat="false" ht="35.05" hidden="false" customHeight="false" outlineLevel="0" collapsed="false">
      <c r="A304" s="6" t="s">
        <v>4149</v>
      </c>
      <c r="B304" s="6" t="s">
        <v>21</v>
      </c>
      <c r="C304" s="6" t="s">
        <v>44</v>
      </c>
      <c r="D304" s="6" t="n">
        <v>31</v>
      </c>
      <c r="E304" s="6" t="s">
        <v>26</v>
      </c>
      <c r="F304" s="6" t="n">
        <f aca="false">COUNTIF(Rules!$B$2:$B$1568,A304)</f>
        <v>4</v>
      </c>
      <c r="G304" s="6" t="n">
        <f aca="false">COUNTIFS(Rules!$B$2:$B$1568,A304,Rules!$H$2:$H$1568,"QUESTION")</f>
        <v>1</v>
      </c>
      <c r="H304" s="7" t="s">
        <v>5845</v>
      </c>
      <c r="I304" s="7" t="s">
        <v>5846</v>
      </c>
      <c r="J304" s="7" t="s">
        <v>4894</v>
      </c>
      <c r="K304" s="7" t="s">
        <v>5847</v>
      </c>
    </row>
    <row r="305" customFormat="false" ht="35.05" hidden="false" customHeight="false" outlineLevel="0" collapsed="false">
      <c r="A305" s="6" t="s">
        <v>4550</v>
      </c>
      <c r="B305" s="6" t="s">
        <v>22</v>
      </c>
      <c r="C305" s="6" t="s">
        <v>85</v>
      </c>
      <c r="D305" s="6" t="n">
        <v>90</v>
      </c>
      <c r="E305" s="6" t="s">
        <v>27</v>
      </c>
      <c r="F305" s="6" t="n">
        <f aca="false">COUNTIF(Rules!$B$2:$B$1568,A305)</f>
        <v>6</v>
      </c>
      <c r="G305" s="6" t="n">
        <f aca="false">COUNTIFS(Rules!$B$2:$B$1568,A305,Rules!$H$2:$H$1568,"QUESTION")</f>
        <v>3</v>
      </c>
      <c r="H305" s="7" t="s">
        <v>5848</v>
      </c>
      <c r="I305" s="7" t="s">
        <v>5849</v>
      </c>
      <c r="J305" s="7" t="s">
        <v>5850</v>
      </c>
      <c r="K305" s="7" t="s">
        <v>5851</v>
      </c>
    </row>
    <row r="306" customFormat="false" ht="79.85" hidden="false" customHeight="false" outlineLevel="0" collapsed="false">
      <c r="A306" s="6" t="s">
        <v>4161</v>
      </c>
      <c r="B306" s="6" t="s">
        <v>21</v>
      </c>
      <c r="C306" s="6" t="s">
        <v>331</v>
      </c>
      <c r="D306" s="6" t="n">
        <v>191</v>
      </c>
      <c r="E306" s="6"/>
      <c r="F306" s="6" t="n">
        <f aca="false">COUNTIF(Rules!$B$2:$B$1568,A306)</f>
        <v>13</v>
      </c>
      <c r="G306" s="6" t="n">
        <f aca="false">COUNTIFS(Rules!$B$2:$B$1568,A306,Rules!$H$2:$H$1568,"QUESTION")</f>
        <v>9</v>
      </c>
      <c r="H306" s="7" t="s">
        <v>5852</v>
      </c>
      <c r="I306" s="7" t="s">
        <v>5853</v>
      </c>
      <c r="J306" s="7" t="s">
        <v>5854</v>
      </c>
      <c r="K306" s="7" t="s">
        <v>5855</v>
      </c>
    </row>
    <row r="307" customFormat="false" ht="35.05" hidden="false" customHeight="false" outlineLevel="0" collapsed="false">
      <c r="A307" s="6" t="s">
        <v>4194</v>
      </c>
      <c r="B307" s="6" t="s">
        <v>21</v>
      </c>
      <c r="C307" s="6" t="s">
        <v>85</v>
      </c>
      <c r="D307" s="6" t="n">
        <v>74</v>
      </c>
      <c r="E307" s="6" t="s">
        <v>26</v>
      </c>
      <c r="F307" s="6" t="n">
        <f aca="false">COUNTIF(Rules!$B$2:$B$1568,A307)</f>
        <v>5</v>
      </c>
      <c r="G307" s="6" t="n">
        <f aca="false">COUNTIFS(Rules!$B$2:$B$1568,A307,Rules!$H$2:$H$1568,"QUESTION")</f>
        <v>2</v>
      </c>
      <c r="H307" s="7" t="s">
        <v>5856</v>
      </c>
      <c r="I307" s="7" t="s">
        <v>5857</v>
      </c>
      <c r="J307" s="7" t="s">
        <v>5459</v>
      </c>
      <c r="K307" s="7" t="s">
        <v>5858</v>
      </c>
    </row>
    <row r="308" customFormat="false" ht="23.85" hidden="false" customHeight="false" outlineLevel="0" collapsed="false">
      <c r="A308" s="6" t="s">
        <v>4210</v>
      </c>
      <c r="B308" s="6" t="s">
        <v>21</v>
      </c>
      <c r="C308" s="6" t="s">
        <v>85</v>
      </c>
      <c r="D308" s="6" t="n">
        <v>60</v>
      </c>
      <c r="E308" s="6" t="s">
        <v>26</v>
      </c>
      <c r="F308" s="6" t="n">
        <f aca="false">COUNTIF(Rules!$B$2:$B$1568,A308)</f>
        <v>5</v>
      </c>
      <c r="G308" s="6" t="n">
        <f aca="false">COUNTIFS(Rules!$B$2:$B$1568,A308,Rules!$H$2:$H$1568,"QUESTION")</f>
        <v>2</v>
      </c>
      <c r="H308" s="7" t="s">
        <v>5859</v>
      </c>
      <c r="I308" s="7" t="s">
        <v>5860</v>
      </c>
      <c r="J308" s="7" t="s">
        <v>4894</v>
      </c>
      <c r="K308" s="7" t="s">
        <v>5861</v>
      </c>
    </row>
    <row r="309" customFormat="false" ht="35.05" hidden="false" customHeight="false" outlineLevel="0" collapsed="false">
      <c r="A309" s="6" t="s">
        <v>4225</v>
      </c>
      <c r="B309" s="6" t="s">
        <v>21</v>
      </c>
      <c r="C309" s="6" t="s">
        <v>85</v>
      </c>
      <c r="D309" s="6" t="n">
        <v>70</v>
      </c>
      <c r="E309" s="6" t="s">
        <v>90</v>
      </c>
      <c r="F309" s="6" t="n">
        <f aca="false">COUNTIF(Rules!$B$2:$B$1568,A309)</f>
        <v>6</v>
      </c>
      <c r="G309" s="6" t="n">
        <f aca="false">COUNTIFS(Rules!$B$2:$B$1568,A309,Rules!$H$2:$H$1568,"QUESTION")</f>
        <v>2</v>
      </c>
      <c r="H309" s="7" t="s">
        <v>5862</v>
      </c>
      <c r="I309" s="7" t="s">
        <v>5863</v>
      </c>
      <c r="J309" s="7" t="s">
        <v>4894</v>
      </c>
      <c r="K309" s="7" t="s">
        <v>5864</v>
      </c>
    </row>
    <row r="310" customFormat="false" ht="23.85" hidden="false" customHeight="false" outlineLevel="0" collapsed="false">
      <c r="A310" s="6" t="s">
        <v>4243</v>
      </c>
      <c r="B310" s="6" t="s">
        <v>21</v>
      </c>
      <c r="C310" s="6" t="s">
        <v>230</v>
      </c>
      <c r="D310" s="6" t="n">
        <v>64</v>
      </c>
      <c r="E310" s="6" t="s">
        <v>26</v>
      </c>
      <c r="F310" s="6" t="n">
        <f aca="false">COUNTIF(Rules!$B$2:$B$1568,A310)</f>
        <v>1</v>
      </c>
      <c r="G310" s="6" t="n">
        <f aca="false">COUNTIFS(Rules!$B$2:$B$1568,A310,Rules!$H$2:$H$1568,"QUESTION")</f>
        <v>0</v>
      </c>
      <c r="H310" s="7" t="s">
        <v>5865</v>
      </c>
      <c r="I310" s="7" t="s">
        <v>5866</v>
      </c>
      <c r="J310" s="7" t="s">
        <v>4894</v>
      </c>
      <c r="K310" s="7" t="s">
        <v>5867</v>
      </c>
    </row>
    <row r="311" customFormat="false" ht="35.05" hidden="false" customHeight="false" outlineLevel="0" collapsed="false">
      <c r="A311" s="6" t="s">
        <v>4247</v>
      </c>
      <c r="B311" s="6" t="s">
        <v>21</v>
      </c>
      <c r="C311" s="6" t="s">
        <v>85</v>
      </c>
      <c r="D311" s="6" t="n">
        <v>56</v>
      </c>
      <c r="E311" s="6" t="s">
        <v>27</v>
      </c>
      <c r="F311" s="6" t="n">
        <f aca="false">COUNTIF(Rules!$B$2:$B$1568,A311)</f>
        <v>4</v>
      </c>
      <c r="G311" s="6" t="n">
        <f aca="false">COUNTIFS(Rules!$B$2:$B$1568,A311,Rules!$H$2:$H$1568,"QUESTION")</f>
        <v>1</v>
      </c>
      <c r="H311" s="7" t="s">
        <v>5868</v>
      </c>
      <c r="I311" s="7" t="s">
        <v>5869</v>
      </c>
      <c r="J311" s="7" t="s">
        <v>4894</v>
      </c>
      <c r="K311" s="7" t="s">
        <v>5870</v>
      </c>
    </row>
    <row r="312" customFormat="false" ht="23.85" hidden="false" customHeight="false" outlineLevel="0" collapsed="false">
      <c r="A312" s="6" t="s">
        <v>4260</v>
      </c>
      <c r="B312" s="6" t="s">
        <v>21</v>
      </c>
      <c r="C312" s="6" t="s">
        <v>230</v>
      </c>
      <c r="D312" s="6" t="n">
        <v>56</v>
      </c>
      <c r="E312" s="6" t="s">
        <v>27</v>
      </c>
      <c r="F312" s="6" t="n">
        <f aca="false">COUNTIF(Rules!$B$2:$B$1568,A312)</f>
        <v>1</v>
      </c>
      <c r="G312" s="6" t="n">
        <f aca="false">COUNTIFS(Rules!$B$2:$B$1568,A312,Rules!$H$2:$H$1568,"QUESTION")</f>
        <v>0</v>
      </c>
      <c r="H312" s="7" t="s">
        <v>5871</v>
      </c>
      <c r="I312" s="7" t="s">
        <v>5872</v>
      </c>
      <c r="J312" s="7" t="s">
        <v>4894</v>
      </c>
      <c r="K312" s="7" t="s">
        <v>5873</v>
      </c>
    </row>
    <row r="313" customFormat="false" ht="23.85" hidden="false" customHeight="false" outlineLevel="0" collapsed="false">
      <c r="A313" s="6" t="s">
        <v>89</v>
      </c>
      <c r="B313" s="6" t="s">
        <v>14</v>
      </c>
      <c r="C313" s="6" t="s">
        <v>85</v>
      </c>
      <c r="D313" s="6" t="n">
        <v>36</v>
      </c>
      <c r="E313" s="6" t="s">
        <v>90</v>
      </c>
      <c r="F313" s="6" t="n">
        <f aca="false">COUNTIF(Rules!$B$2:$B$1568,A313)</f>
        <v>4</v>
      </c>
      <c r="G313" s="6" t="n">
        <f aca="false">COUNTIFS(Rules!$B$2:$B$1568,A313,Rules!$H$2:$H$1568,"QUESTION")</f>
        <v>2</v>
      </c>
      <c r="H313" s="7" t="s">
        <v>5874</v>
      </c>
      <c r="I313" s="7" t="s">
        <v>5875</v>
      </c>
      <c r="J313" s="7" t="s">
        <v>5876</v>
      </c>
      <c r="K313" s="7" t="s">
        <v>4894</v>
      </c>
    </row>
    <row r="314" customFormat="false" ht="68.65" hidden="false" customHeight="false" outlineLevel="0" collapsed="false">
      <c r="A314" s="6" t="s">
        <v>4567</v>
      </c>
      <c r="B314" s="6" t="s">
        <v>22</v>
      </c>
      <c r="C314" s="6" t="s">
        <v>85</v>
      </c>
      <c r="D314" s="6" t="n">
        <v>60</v>
      </c>
      <c r="E314" s="6" t="s">
        <v>26</v>
      </c>
      <c r="F314" s="6" t="n">
        <f aca="false">COUNTIF(Rules!$B$2:$B$1568,A314)</f>
        <v>6</v>
      </c>
      <c r="G314" s="6" t="n">
        <f aca="false">COUNTIFS(Rules!$B$2:$B$1568,A314,Rules!$H$2:$H$1568,"QUESTION")</f>
        <v>5</v>
      </c>
      <c r="H314" s="7" t="s">
        <v>5877</v>
      </c>
      <c r="I314" s="7" t="s">
        <v>5878</v>
      </c>
      <c r="J314" s="7" t="s">
        <v>4894</v>
      </c>
      <c r="K314" s="7" t="s">
        <v>5879</v>
      </c>
    </row>
    <row r="315" customFormat="false" ht="46.25" hidden="false" customHeight="false" outlineLevel="0" collapsed="false">
      <c r="A315" s="6" t="s">
        <v>2215</v>
      </c>
      <c r="B315" s="6" t="s">
        <v>18</v>
      </c>
      <c r="C315" s="6" t="s">
        <v>49</v>
      </c>
      <c r="D315" s="6" t="n">
        <v>88</v>
      </c>
      <c r="E315" s="6" t="s">
        <v>28</v>
      </c>
      <c r="F315" s="6" t="n">
        <f aca="false">COUNTIF(Rules!$B$2:$B$1568,A315)</f>
        <v>7</v>
      </c>
      <c r="G315" s="6" t="n">
        <f aca="false">COUNTIFS(Rules!$B$2:$B$1568,A315,Rules!$H$2:$H$1568,"QUESTION")</f>
        <v>1</v>
      </c>
      <c r="H315" s="7" t="s">
        <v>5880</v>
      </c>
      <c r="I315" s="7" t="s">
        <v>5881</v>
      </c>
      <c r="J315" s="7" t="s">
        <v>5882</v>
      </c>
      <c r="K315" s="7" t="s">
        <v>5883</v>
      </c>
    </row>
    <row r="316" customFormat="false" ht="23.85" hidden="false" customHeight="false" outlineLevel="0" collapsed="false">
      <c r="A316" s="6" t="s">
        <v>3285</v>
      </c>
      <c r="B316" s="6" t="s">
        <v>20</v>
      </c>
      <c r="C316" s="6" t="s">
        <v>79</v>
      </c>
      <c r="D316" s="6" t="n">
        <v>129</v>
      </c>
      <c r="E316" s="6"/>
      <c r="F316" s="6" t="n">
        <f aca="false">COUNTIF(Rules!$B$2:$B$1568,A316)</f>
        <v>3</v>
      </c>
      <c r="G316" s="6" t="n">
        <f aca="false">COUNTIFS(Rules!$B$2:$B$1568,A316,Rules!$H$2:$H$1568,"QUESTION")</f>
        <v>1</v>
      </c>
      <c r="H316" s="7" t="s">
        <v>5884</v>
      </c>
      <c r="I316" s="7" t="s">
        <v>5885</v>
      </c>
      <c r="J316" s="7" t="s">
        <v>5886</v>
      </c>
      <c r="K316" s="7" t="s">
        <v>5887</v>
      </c>
    </row>
    <row r="317" customFormat="false" ht="35.05" hidden="false" customHeight="false" outlineLevel="0" collapsed="false">
      <c r="A317" s="6" t="s">
        <v>655</v>
      </c>
      <c r="B317" s="6" t="s">
        <v>16</v>
      </c>
      <c r="C317" s="6" t="s">
        <v>44</v>
      </c>
      <c r="D317" s="6" t="n">
        <v>11</v>
      </c>
      <c r="E317" s="6" t="s">
        <v>27</v>
      </c>
      <c r="F317" s="6" t="n">
        <f aca="false">COUNTIF(Rules!$B$2:$B$1568,A317)</f>
        <v>1</v>
      </c>
      <c r="G317" s="6" t="n">
        <f aca="false">COUNTIFS(Rules!$B$2:$B$1568,A317,Rules!$H$2:$H$1568,"QUESTION")</f>
        <v>0</v>
      </c>
      <c r="H317" s="7" t="s">
        <v>5888</v>
      </c>
      <c r="I317" s="7" t="s">
        <v>5090</v>
      </c>
      <c r="J317" s="7" t="s">
        <v>4894</v>
      </c>
      <c r="K317" s="7" t="s">
        <v>5889</v>
      </c>
    </row>
    <row r="318" customFormat="false" ht="15" hidden="false" customHeight="false" outlineLevel="0" collapsed="false">
      <c r="A318" s="6" t="s">
        <v>4836</v>
      </c>
      <c r="B318" s="6" t="s">
        <v>23</v>
      </c>
      <c r="C318" s="6" t="s">
        <v>44</v>
      </c>
      <c r="D318" s="6" t="n">
        <v>16</v>
      </c>
      <c r="E318" s="6"/>
      <c r="F318" s="6" t="n">
        <f aca="false">COUNTIF(Rules!$B$2:$B$1568,A318)</f>
        <v>1</v>
      </c>
      <c r="G318" s="6" t="n">
        <f aca="false">COUNTIFS(Rules!$B$2:$B$1568,A318,Rules!$H$2:$H$1568,"QUESTION")</f>
        <v>0</v>
      </c>
      <c r="H318" s="7" t="s">
        <v>5890</v>
      </c>
      <c r="I318" s="7" t="s">
        <v>5891</v>
      </c>
      <c r="J318" s="7" t="s">
        <v>4894</v>
      </c>
      <c r="K318" s="7" t="s">
        <v>4894</v>
      </c>
    </row>
    <row r="319" customFormat="false" ht="15" hidden="false" customHeight="false" outlineLevel="0" collapsed="false">
      <c r="A319" s="6" t="s">
        <v>4839</v>
      </c>
      <c r="B319" s="6" t="s">
        <v>23</v>
      </c>
      <c r="C319" s="6" t="s">
        <v>44</v>
      </c>
      <c r="D319" s="6" t="n">
        <v>15</v>
      </c>
      <c r="E319" s="6"/>
      <c r="F319" s="6" t="n">
        <f aca="false">COUNTIF(Rules!$B$2:$B$1568,A319)</f>
        <v>1</v>
      </c>
      <c r="G319" s="6" t="n">
        <f aca="false">COUNTIFS(Rules!$B$2:$B$1568,A319,Rules!$H$2:$H$1568,"QUESTION")</f>
        <v>0</v>
      </c>
      <c r="H319" s="7" t="s">
        <v>5892</v>
      </c>
      <c r="I319" s="7" t="s">
        <v>5891</v>
      </c>
      <c r="J319" s="7" t="s">
        <v>4894</v>
      </c>
      <c r="K319" s="7" t="s">
        <v>4894</v>
      </c>
    </row>
    <row r="320" customFormat="false" ht="23.85" hidden="false" customHeight="false" outlineLevel="0" collapsed="false">
      <c r="A320" s="6" t="s">
        <v>3294</v>
      </c>
      <c r="B320" s="6" t="s">
        <v>20</v>
      </c>
      <c r="C320" s="6" t="s">
        <v>44</v>
      </c>
      <c r="D320" s="6" t="n">
        <v>10</v>
      </c>
      <c r="E320" s="6"/>
      <c r="F320" s="6" t="n">
        <f aca="false">COUNTIF(Rules!$B$2:$B$1568,A320)</f>
        <v>1</v>
      </c>
      <c r="G320" s="6" t="n">
        <f aca="false">COUNTIFS(Rules!$B$2:$B$1568,A320,Rules!$H$2:$H$1568,"QUESTION")</f>
        <v>0</v>
      </c>
      <c r="H320" s="7" t="s">
        <v>5893</v>
      </c>
      <c r="I320" s="7" t="s">
        <v>4893</v>
      </c>
      <c r="J320" s="7" t="s">
        <v>4894</v>
      </c>
      <c r="K320" s="7" t="s">
        <v>5894</v>
      </c>
    </row>
    <row r="321" customFormat="false" ht="23.85" hidden="false" customHeight="false" outlineLevel="0" collapsed="false">
      <c r="A321" s="6" t="s">
        <v>2234</v>
      </c>
      <c r="B321" s="6" t="s">
        <v>18</v>
      </c>
      <c r="C321" s="6" t="s">
        <v>85</v>
      </c>
      <c r="D321" s="6" t="n">
        <v>11</v>
      </c>
      <c r="E321" s="6"/>
      <c r="F321" s="6" t="n">
        <f aca="false">COUNTIF(Rules!$B$2:$B$1568,A321)</f>
        <v>1</v>
      </c>
      <c r="G321" s="6" t="n">
        <f aca="false">COUNTIFS(Rules!$B$2:$B$1568,A321,Rules!$H$2:$H$1568,"QUESTION")</f>
        <v>0</v>
      </c>
      <c r="H321" s="7" t="s">
        <v>5895</v>
      </c>
      <c r="I321" s="7" t="s">
        <v>5896</v>
      </c>
      <c r="J321" s="7" t="s">
        <v>4894</v>
      </c>
      <c r="K321" s="7" t="s">
        <v>5897</v>
      </c>
    </row>
    <row r="322" customFormat="false" ht="46.25" hidden="false" customHeight="false" outlineLevel="0" collapsed="false">
      <c r="A322" s="6" t="s">
        <v>4583</v>
      </c>
      <c r="B322" s="6" t="s">
        <v>22</v>
      </c>
      <c r="C322" s="6" t="s">
        <v>331</v>
      </c>
      <c r="D322" s="6" t="n">
        <v>55</v>
      </c>
      <c r="E322" s="6" t="s">
        <v>26</v>
      </c>
      <c r="F322" s="6" t="n">
        <f aca="false">COUNTIF(Rules!$B$2:$B$1568,A322)</f>
        <v>3</v>
      </c>
      <c r="G322" s="6" t="n">
        <f aca="false">COUNTIFS(Rules!$B$2:$B$1568,A322,Rules!$H$2:$H$1568,"QUESTION")</f>
        <v>2</v>
      </c>
      <c r="H322" s="7" t="s">
        <v>5898</v>
      </c>
      <c r="I322" s="7" t="s">
        <v>5899</v>
      </c>
      <c r="J322" s="7" t="s">
        <v>5900</v>
      </c>
      <c r="K322" s="7" t="s">
        <v>5901</v>
      </c>
    </row>
    <row r="323" customFormat="false" ht="46.25" hidden="false" customHeight="false" outlineLevel="0" collapsed="false">
      <c r="A323" s="6" t="s">
        <v>4843</v>
      </c>
      <c r="B323" s="6" t="s">
        <v>23</v>
      </c>
      <c r="C323" s="6" t="s">
        <v>44</v>
      </c>
      <c r="D323" s="6" t="n">
        <v>42</v>
      </c>
      <c r="E323" s="6"/>
      <c r="F323" s="6" t="n">
        <f aca="false">COUNTIF(Rules!$B$2:$B$1568,A323)</f>
        <v>1</v>
      </c>
      <c r="G323" s="6" t="n">
        <f aca="false">COUNTIFS(Rules!$B$2:$B$1568,A323,Rules!$H$2:$H$1568,"QUESTION")</f>
        <v>0</v>
      </c>
      <c r="H323" s="7" t="s">
        <v>5902</v>
      </c>
      <c r="I323" s="7" t="s">
        <v>5903</v>
      </c>
      <c r="J323" s="7" t="s">
        <v>5904</v>
      </c>
      <c r="K323" s="7" t="s">
        <v>5905</v>
      </c>
    </row>
    <row r="324" customFormat="false" ht="15" hidden="false" customHeight="false" outlineLevel="0" collapsed="false">
      <c r="A324" s="6" t="s">
        <v>4847</v>
      </c>
      <c r="B324" s="6" t="s">
        <v>23</v>
      </c>
      <c r="C324" s="6" t="s">
        <v>230</v>
      </c>
      <c r="D324" s="6" t="n">
        <v>13</v>
      </c>
      <c r="E324" s="6"/>
      <c r="F324" s="6" t="n">
        <f aca="false">COUNTIF(Rules!$B$2:$B$1568,A324)</f>
        <v>1</v>
      </c>
      <c r="G324" s="6" t="n">
        <f aca="false">COUNTIFS(Rules!$B$2:$B$1568,A324,Rules!$H$2:$H$1568,"QUESTION")</f>
        <v>0</v>
      </c>
      <c r="H324" s="7" t="s">
        <v>5906</v>
      </c>
      <c r="I324" s="7" t="s">
        <v>5891</v>
      </c>
      <c r="J324" s="7" t="s">
        <v>4894</v>
      </c>
      <c r="K324" s="7" t="s">
        <v>4894</v>
      </c>
    </row>
    <row r="325" customFormat="false" ht="35.05" hidden="false" customHeight="false" outlineLevel="0" collapsed="false">
      <c r="A325" s="6" t="s">
        <v>4593</v>
      </c>
      <c r="B325" s="6" t="s">
        <v>22</v>
      </c>
      <c r="C325" s="6" t="s">
        <v>331</v>
      </c>
      <c r="D325" s="6" t="n">
        <v>60</v>
      </c>
      <c r="E325" s="6" t="s">
        <v>90</v>
      </c>
      <c r="F325" s="6" t="n">
        <f aca="false">COUNTIF(Rules!$B$2:$B$1568,A325)</f>
        <v>27</v>
      </c>
      <c r="G325" s="6" t="n">
        <f aca="false">COUNTIFS(Rules!$B$2:$B$1568,A325,Rules!$H$2:$H$1568,"QUESTION")</f>
        <v>26</v>
      </c>
      <c r="H325" s="7" t="s">
        <v>5907</v>
      </c>
      <c r="I325" s="7" t="s">
        <v>5908</v>
      </c>
      <c r="J325" s="7" t="s">
        <v>5900</v>
      </c>
      <c r="K325" s="7" t="s">
        <v>5909</v>
      </c>
    </row>
    <row r="326" customFormat="false" ht="23.85" hidden="false" customHeight="false" outlineLevel="0" collapsed="false">
      <c r="A326" s="6" t="s">
        <v>3298</v>
      </c>
      <c r="B326" s="6" t="s">
        <v>20</v>
      </c>
      <c r="C326" s="6" t="s">
        <v>44</v>
      </c>
      <c r="D326" s="6" t="n">
        <v>8</v>
      </c>
      <c r="E326" s="6"/>
      <c r="F326" s="6" t="n">
        <f aca="false">COUNTIF(Rules!$B$2:$B$1568,A326)</f>
        <v>1</v>
      </c>
      <c r="G326" s="6" t="n">
        <f aca="false">COUNTIFS(Rules!$B$2:$B$1568,A326,Rules!$H$2:$H$1568,"QUESTION")</f>
        <v>1</v>
      </c>
      <c r="H326" s="7" t="s">
        <v>5910</v>
      </c>
      <c r="I326" s="7" t="s">
        <v>5911</v>
      </c>
      <c r="J326" s="7" t="s">
        <v>4894</v>
      </c>
      <c r="K326" s="7" t="s">
        <v>5912</v>
      </c>
    </row>
    <row r="327" customFormat="false" ht="15" hidden="false" customHeight="false" outlineLevel="0" collapsed="false">
      <c r="A327" s="6" t="s">
        <v>4851</v>
      </c>
      <c r="B327" s="6" t="s">
        <v>23</v>
      </c>
      <c r="C327" s="6" t="s">
        <v>230</v>
      </c>
      <c r="D327" s="6" t="n">
        <v>9</v>
      </c>
      <c r="E327" s="6"/>
      <c r="F327" s="6" t="n">
        <f aca="false">COUNTIF(Rules!$B$2:$B$1568,A327)</f>
        <v>1</v>
      </c>
      <c r="G327" s="6" t="n">
        <f aca="false">COUNTIFS(Rules!$B$2:$B$1568,A327,Rules!$H$2:$H$1568,"QUESTION")</f>
        <v>0</v>
      </c>
      <c r="H327" s="7" t="s">
        <v>5913</v>
      </c>
      <c r="I327" s="7" t="s">
        <v>5698</v>
      </c>
      <c r="J327" s="7" t="s">
        <v>4894</v>
      </c>
      <c r="K327" s="7" t="s">
        <v>4894</v>
      </c>
    </row>
    <row r="328" customFormat="false" ht="15" hidden="false" customHeight="false" outlineLevel="0" collapsed="false">
      <c r="A328" s="6" t="s">
        <v>4855</v>
      </c>
      <c r="B328" s="6" t="s">
        <v>23</v>
      </c>
      <c r="C328" s="6" t="s">
        <v>230</v>
      </c>
      <c r="D328" s="6" t="n">
        <v>4</v>
      </c>
      <c r="E328" s="6"/>
      <c r="F328" s="6" t="n">
        <f aca="false">COUNTIF(Rules!$B$2:$B$1568,A328)</f>
        <v>1</v>
      </c>
      <c r="G328" s="6" t="n">
        <f aca="false">COUNTIFS(Rules!$B$2:$B$1568,A328,Rules!$H$2:$H$1568,"QUESTION")</f>
        <v>0</v>
      </c>
      <c r="H328" s="7" t="s">
        <v>5914</v>
      </c>
      <c r="I328" s="7" t="s">
        <v>5891</v>
      </c>
      <c r="J328" s="7" t="s">
        <v>4894</v>
      </c>
      <c r="K328" s="7" t="s">
        <v>4894</v>
      </c>
    </row>
    <row r="329" customFormat="false" ht="23.85" hidden="false" customHeight="false" outlineLevel="0" collapsed="false">
      <c r="A329" s="6" t="s">
        <v>2238</v>
      </c>
      <c r="B329" s="6" t="s">
        <v>18</v>
      </c>
      <c r="C329" s="6" t="s">
        <v>230</v>
      </c>
      <c r="D329" s="6" t="n">
        <v>11</v>
      </c>
      <c r="E329" s="6"/>
      <c r="F329" s="6" t="n">
        <f aca="false">COUNTIF(Rules!$B$2:$B$1568,A329)</f>
        <v>1</v>
      </c>
      <c r="G329" s="6" t="n">
        <f aca="false">COUNTIFS(Rules!$B$2:$B$1568,A329,Rules!$H$2:$H$1568,"QUESTION")</f>
        <v>0</v>
      </c>
      <c r="H329" s="7" t="s">
        <v>5915</v>
      </c>
      <c r="I329" s="7" t="s">
        <v>5916</v>
      </c>
      <c r="J329" s="7" t="s">
        <v>4894</v>
      </c>
      <c r="K329" s="7" t="s">
        <v>4894</v>
      </c>
    </row>
    <row r="330" customFormat="false" ht="15" hidden="false" customHeight="false" outlineLevel="0" collapsed="false">
      <c r="A330" s="6" t="s">
        <v>4858</v>
      </c>
      <c r="B330" s="6" t="s">
        <v>23</v>
      </c>
      <c r="C330" s="6" t="s">
        <v>230</v>
      </c>
      <c r="D330" s="6" t="n">
        <v>4</v>
      </c>
      <c r="E330" s="6"/>
      <c r="F330" s="6" t="n">
        <f aca="false">COUNTIF(Rules!$B$2:$B$1568,A330)</f>
        <v>1</v>
      </c>
      <c r="G330" s="6" t="n">
        <f aca="false">COUNTIFS(Rules!$B$2:$B$1568,A330,Rules!$H$2:$H$1568,"QUESTION")</f>
        <v>0</v>
      </c>
      <c r="H330" s="7" t="s">
        <v>5917</v>
      </c>
      <c r="I330" s="7" t="s">
        <v>5698</v>
      </c>
      <c r="J330" s="7" t="s">
        <v>4894</v>
      </c>
      <c r="K330" s="7" t="s">
        <v>4894</v>
      </c>
    </row>
    <row r="331" customFormat="false" ht="15" hidden="false" customHeight="false" outlineLevel="0" collapsed="false">
      <c r="A331" s="6" t="s">
        <v>4861</v>
      </c>
      <c r="B331" s="6" t="s">
        <v>23</v>
      </c>
      <c r="C331" s="6" t="s">
        <v>230</v>
      </c>
      <c r="D331" s="6" t="n">
        <v>5</v>
      </c>
      <c r="E331" s="6"/>
      <c r="F331" s="6" t="n">
        <f aca="false">COUNTIF(Rules!$B$2:$B$1568,A331)</f>
        <v>1</v>
      </c>
      <c r="G331" s="6" t="n">
        <f aca="false">COUNTIFS(Rules!$B$2:$B$1568,A331,Rules!$H$2:$H$1568,"QUESTION")</f>
        <v>0</v>
      </c>
      <c r="H331" s="7" t="s">
        <v>5918</v>
      </c>
      <c r="I331" s="7" t="s">
        <v>5891</v>
      </c>
      <c r="J331" s="7" t="s">
        <v>4894</v>
      </c>
      <c r="K331" s="7" t="s">
        <v>4894</v>
      </c>
    </row>
    <row r="332" customFormat="false" ht="35.05" hidden="false" customHeight="false" outlineLevel="0" collapsed="false">
      <c r="A332" s="6" t="s">
        <v>4673</v>
      </c>
      <c r="B332" s="6" t="s">
        <v>22</v>
      </c>
      <c r="C332" s="6" t="s">
        <v>85</v>
      </c>
      <c r="D332" s="6" t="n">
        <v>118</v>
      </c>
      <c r="E332" s="6" t="s">
        <v>27</v>
      </c>
      <c r="F332" s="6" t="n">
        <f aca="false">COUNTIF(Rules!$B$2:$B$1568,A332)</f>
        <v>4</v>
      </c>
      <c r="G332" s="6" t="n">
        <f aca="false">COUNTIFS(Rules!$B$2:$B$1568,A332,Rules!$H$2:$H$1568,"QUESTION")</f>
        <v>1</v>
      </c>
      <c r="H332" s="7" t="s">
        <v>5919</v>
      </c>
      <c r="I332" s="7" t="s">
        <v>5920</v>
      </c>
      <c r="J332" s="7" t="s">
        <v>4733</v>
      </c>
      <c r="K332" s="7" t="s">
        <v>5921</v>
      </c>
    </row>
    <row r="333" customFormat="false" ht="23.85" hidden="false" customHeight="false" outlineLevel="0" collapsed="false">
      <c r="A333" s="6" t="s">
        <v>659</v>
      </c>
      <c r="B333" s="6" t="s">
        <v>16</v>
      </c>
      <c r="C333" s="6" t="s">
        <v>44</v>
      </c>
      <c r="D333" s="6" t="n">
        <v>23</v>
      </c>
      <c r="E333" s="6" t="s">
        <v>27</v>
      </c>
      <c r="F333" s="6" t="n">
        <f aca="false">COUNTIF(Rules!$B$2:$B$1568,A333)</f>
        <v>2</v>
      </c>
      <c r="G333" s="6" t="n">
        <f aca="false">COUNTIFS(Rules!$B$2:$B$1568,A333,Rules!$H$2:$H$1568,"QUESTION")</f>
        <v>1</v>
      </c>
      <c r="H333" s="7" t="s">
        <v>5922</v>
      </c>
      <c r="I333" s="7" t="s">
        <v>5698</v>
      </c>
      <c r="J333" s="7" t="s">
        <v>4894</v>
      </c>
      <c r="K333" s="7" t="s">
        <v>5923</v>
      </c>
    </row>
    <row r="334" customFormat="false" ht="23.85" hidden="false" customHeight="false" outlineLevel="0" collapsed="false">
      <c r="A334" s="6" t="s">
        <v>4264</v>
      </c>
      <c r="B334" s="6" t="s">
        <v>21</v>
      </c>
      <c r="C334" s="6" t="s">
        <v>44</v>
      </c>
      <c r="D334" s="6" t="n">
        <v>37</v>
      </c>
      <c r="E334" s="6"/>
      <c r="F334" s="6" t="n">
        <f aca="false">COUNTIF(Rules!$B$2:$B$1568,A334)</f>
        <v>1</v>
      </c>
      <c r="G334" s="6" t="n">
        <f aca="false">COUNTIFS(Rules!$B$2:$B$1568,A334,Rules!$H$2:$H$1568,"QUESTION")</f>
        <v>0</v>
      </c>
      <c r="H334" s="7" t="s">
        <v>5924</v>
      </c>
      <c r="I334" s="7" t="s">
        <v>5925</v>
      </c>
      <c r="J334" s="7" t="s">
        <v>4894</v>
      </c>
      <c r="K334" s="7" t="s">
        <v>5926</v>
      </c>
    </row>
    <row r="335" customFormat="false" ht="35.05" hidden="false" customHeight="false" outlineLevel="0" collapsed="false">
      <c r="A335" s="6" t="s">
        <v>4268</v>
      </c>
      <c r="B335" s="6" t="s">
        <v>21</v>
      </c>
      <c r="C335" s="6" t="s">
        <v>79</v>
      </c>
      <c r="D335" s="6" t="n">
        <v>16</v>
      </c>
      <c r="E335" s="6"/>
      <c r="F335" s="6" t="n">
        <f aca="false">COUNTIF(Rules!$B$2:$B$1568,A335)</f>
        <v>1</v>
      </c>
      <c r="G335" s="6" t="n">
        <f aca="false">COUNTIFS(Rules!$B$2:$B$1568,A335,Rules!$H$2:$H$1568,"QUESTION")</f>
        <v>0</v>
      </c>
      <c r="H335" s="7" t="s">
        <v>5927</v>
      </c>
      <c r="I335" s="7" t="s">
        <v>5928</v>
      </c>
      <c r="J335" s="7" t="s">
        <v>4894</v>
      </c>
      <c r="K335" s="7" t="s">
        <v>5929</v>
      </c>
    </row>
    <row r="336" customFormat="false" ht="35.05" hidden="false" customHeight="false" outlineLevel="0" collapsed="false">
      <c r="A336" s="6" t="s">
        <v>4272</v>
      </c>
      <c r="B336" s="6" t="s">
        <v>21</v>
      </c>
      <c r="C336" s="6" t="s">
        <v>44</v>
      </c>
      <c r="D336" s="6" t="n">
        <v>50</v>
      </c>
      <c r="E336" s="6"/>
      <c r="F336" s="6" t="n">
        <f aca="false">COUNTIF(Rules!$B$2:$B$1568,A336)</f>
        <v>3</v>
      </c>
      <c r="G336" s="6" t="n">
        <f aca="false">COUNTIFS(Rules!$B$2:$B$1568,A336,Rules!$H$2:$H$1568,"QUESTION")</f>
        <v>0</v>
      </c>
      <c r="H336" s="7" t="s">
        <v>5930</v>
      </c>
      <c r="I336" s="7" t="s">
        <v>5931</v>
      </c>
      <c r="J336" s="7" t="s">
        <v>4894</v>
      </c>
      <c r="K336" s="7" t="s">
        <v>5932</v>
      </c>
    </row>
    <row r="337" customFormat="false" ht="23.85" hidden="false" customHeight="false" outlineLevel="0" collapsed="false">
      <c r="A337" s="6" t="s">
        <v>4864</v>
      </c>
      <c r="B337" s="6" t="s">
        <v>23</v>
      </c>
      <c r="C337" s="6" t="s">
        <v>44</v>
      </c>
      <c r="D337" s="6" t="n">
        <v>20</v>
      </c>
      <c r="E337" s="6"/>
      <c r="F337" s="6" t="n">
        <f aca="false">COUNTIF(Rules!$B$2:$B$1568,A337)</f>
        <v>2</v>
      </c>
      <c r="G337" s="6" t="n">
        <f aca="false">COUNTIFS(Rules!$B$2:$B$1568,A337,Rules!$H$2:$H$1568,"QUESTION")</f>
        <v>1</v>
      </c>
      <c r="H337" s="7" t="s">
        <v>5933</v>
      </c>
      <c r="I337" s="7" t="s">
        <v>5934</v>
      </c>
      <c r="J337" s="7" t="s">
        <v>4894</v>
      </c>
      <c r="K337" s="7" t="s">
        <v>5935</v>
      </c>
    </row>
    <row r="338" customFormat="false" ht="102.2" hidden="false" customHeight="false" outlineLevel="0" collapsed="false">
      <c r="A338" s="6" t="s">
        <v>2710</v>
      </c>
      <c r="B338" s="6" t="s">
        <v>19</v>
      </c>
      <c r="C338" s="6" t="s">
        <v>1303</v>
      </c>
      <c r="D338" s="6" t="n">
        <v>344</v>
      </c>
      <c r="E338" s="6" t="s">
        <v>2506</v>
      </c>
      <c r="F338" s="6" t="n">
        <f aca="false">COUNTIF(Rules!$B$2:$B$1568,A338)</f>
        <v>27</v>
      </c>
      <c r="G338" s="6" t="n">
        <f aca="false">COUNTIFS(Rules!$B$2:$B$1568,A338,Rules!$H$2:$H$1568,"QUESTION")</f>
        <v>18</v>
      </c>
      <c r="H338" s="7" t="s">
        <v>5936</v>
      </c>
      <c r="I338" s="7" t="s">
        <v>5937</v>
      </c>
      <c r="J338" s="7" t="s">
        <v>4894</v>
      </c>
      <c r="K338" s="7" t="s">
        <v>5938</v>
      </c>
    </row>
    <row r="339" customFormat="false" ht="23.85" hidden="false" customHeight="false" outlineLevel="0" collapsed="false">
      <c r="A339" s="6" t="s">
        <v>665</v>
      </c>
      <c r="B339" s="6" t="s">
        <v>16</v>
      </c>
      <c r="C339" s="6" t="s">
        <v>44</v>
      </c>
      <c r="D339" s="6" t="n">
        <v>35</v>
      </c>
      <c r="E339" s="6" t="s">
        <v>264</v>
      </c>
      <c r="F339" s="6" t="n">
        <f aca="false">COUNTIF(Rules!$B$2:$B$1568,A339)</f>
        <v>2</v>
      </c>
      <c r="G339" s="6" t="n">
        <f aca="false">COUNTIFS(Rules!$B$2:$B$1568,A339,Rules!$H$2:$H$1568,"QUESTION")</f>
        <v>1</v>
      </c>
      <c r="H339" s="7" t="s">
        <v>5939</v>
      </c>
      <c r="I339" s="7" t="s">
        <v>5090</v>
      </c>
      <c r="J339" s="7" t="s">
        <v>4894</v>
      </c>
      <c r="K339" s="7" t="s">
        <v>5940</v>
      </c>
    </row>
    <row r="340" customFormat="false" ht="23.85" hidden="false" customHeight="false" outlineLevel="0" collapsed="false">
      <c r="A340" s="6" t="s">
        <v>1266</v>
      </c>
      <c r="B340" s="6" t="s">
        <v>17</v>
      </c>
      <c r="C340" s="6" t="s">
        <v>44</v>
      </c>
      <c r="D340" s="6" t="n">
        <v>43</v>
      </c>
      <c r="E340" s="6" t="s">
        <v>27</v>
      </c>
      <c r="F340" s="6" t="n">
        <f aca="false">COUNTIF(Rules!$B$2:$B$1568,A340)</f>
        <v>2</v>
      </c>
      <c r="G340" s="6" t="n">
        <f aca="false">COUNTIFS(Rules!$B$2:$B$1568,A340,Rules!$H$2:$H$1568,"QUESTION")</f>
        <v>0</v>
      </c>
      <c r="H340" s="7" t="s">
        <v>5941</v>
      </c>
      <c r="I340" s="7" t="s">
        <v>5090</v>
      </c>
      <c r="J340" s="7" t="s">
        <v>4894</v>
      </c>
      <c r="K340" s="7" t="s">
        <v>5942</v>
      </c>
    </row>
    <row r="341" customFormat="false" ht="102.2" hidden="false" customHeight="false" outlineLevel="0" collapsed="false">
      <c r="A341" s="6" t="s">
        <v>2242</v>
      </c>
      <c r="B341" s="6" t="s">
        <v>18</v>
      </c>
      <c r="C341" s="6" t="s">
        <v>1303</v>
      </c>
      <c r="D341" s="6" t="n">
        <v>473</v>
      </c>
      <c r="E341" s="6" t="s">
        <v>2243</v>
      </c>
      <c r="F341" s="6" t="n">
        <f aca="false">COUNTIF(Rules!$B$2:$B$1568,A341)</f>
        <v>31</v>
      </c>
      <c r="G341" s="6" t="n">
        <f aca="false">COUNTIFS(Rules!$B$2:$B$1568,A341,Rules!$H$2:$H$1568,"QUESTION")</f>
        <v>15</v>
      </c>
      <c r="H341" s="7" t="s">
        <v>5943</v>
      </c>
      <c r="I341" s="7" t="s">
        <v>5944</v>
      </c>
      <c r="J341" s="7" t="s">
        <v>5945</v>
      </c>
      <c r="K341" s="7" t="s">
        <v>5946</v>
      </c>
    </row>
    <row r="342" customFormat="false" ht="46.25" hidden="false" customHeight="false" outlineLevel="0" collapsed="false">
      <c r="A342" s="6" t="s">
        <v>2337</v>
      </c>
      <c r="B342" s="6" t="s">
        <v>18</v>
      </c>
      <c r="C342" s="6" t="s">
        <v>230</v>
      </c>
      <c r="D342" s="6" t="n">
        <v>512</v>
      </c>
      <c r="E342" s="6" t="s">
        <v>264</v>
      </c>
      <c r="F342" s="6" t="n">
        <f aca="false">COUNTIF(Rules!$B$2:$B$1568,A342)</f>
        <v>6</v>
      </c>
      <c r="G342" s="6" t="n">
        <f aca="false">COUNTIFS(Rules!$B$2:$B$1568,A342,Rules!$H$2:$H$1568,"QUESTION")</f>
        <v>4</v>
      </c>
      <c r="H342" s="7" t="s">
        <v>5947</v>
      </c>
      <c r="I342" s="7" t="s">
        <v>5948</v>
      </c>
      <c r="J342" s="7" t="s">
        <v>5949</v>
      </c>
      <c r="K342" s="7" t="s">
        <v>5950</v>
      </c>
    </row>
    <row r="343" customFormat="false" ht="79.85" hidden="false" customHeight="false" outlineLevel="0" collapsed="false">
      <c r="A343" s="6" t="s">
        <v>4282</v>
      </c>
      <c r="B343" s="6" t="s">
        <v>21</v>
      </c>
      <c r="C343" s="6" t="s">
        <v>331</v>
      </c>
      <c r="D343" s="6" t="n">
        <v>217</v>
      </c>
      <c r="E343" s="6"/>
      <c r="F343" s="6" t="n">
        <f aca="false">COUNTIF(Rules!$B$2:$B$1568,A343)</f>
        <v>11</v>
      </c>
      <c r="G343" s="6" t="n">
        <f aca="false">COUNTIFS(Rules!$B$2:$B$1568,A343,Rules!$H$2:$H$1568,"QUESTION")</f>
        <v>5</v>
      </c>
      <c r="H343" s="7" t="s">
        <v>5951</v>
      </c>
      <c r="I343" s="7" t="s">
        <v>5952</v>
      </c>
      <c r="J343" s="7" t="s">
        <v>5953</v>
      </c>
      <c r="K343" s="7" t="s">
        <v>5954</v>
      </c>
    </row>
    <row r="344" customFormat="false" ht="23.85" hidden="false" customHeight="false" outlineLevel="0" collapsed="false">
      <c r="A344" s="6" t="s">
        <v>672</v>
      </c>
      <c r="B344" s="6" t="s">
        <v>16</v>
      </c>
      <c r="C344" s="6" t="s">
        <v>44</v>
      </c>
      <c r="D344" s="6" t="n">
        <v>14</v>
      </c>
      <c r="E344" s="6" t="s">
        <v>264</v>
      </c>
      <c r="F344" s="6" t="n">
        <f aca="false">COUNTIF(Rules!$B$2:$B$1568,A344)</f>
        <v>2</v>
      </c>
      <c r="G344" s="6" t="n">
        <f aca="false">COUNTIFS(Rules!$B$2:$B$1568,A344,Rules!$H$2:$H$1568,"QUESTION")</f>
        <v>1</v>
      </c>
      <c r="H344" s="7" t="s">
        <v>5955</v>
      </c>
      <c r="I344" s="7" t="s">
        <v>5956</v>
      </c>
      <c r="J344" s="7" t="s">
        <v>5957</v>
      </c>
      <c r="K344" s="7" t="s">
        <v>5958</v>
      </c>
    </row>
    <row r="345" customFormat="false" ht="68.65" hidden="false" customHeight="false" outlineLevel="0" collapsed="false">
      <c r="A345" s="6" t="s">
        <v>2356</v>
      </c>
      <c r="B345" s="6" t="s">
        <v>18</v>
      </c>
      <c r="C345" s="6" t="s">
        <v>1303</v>
      </c>
      <c r="D345" s="6" t="n">
        <v>124</v>
      </c>
      <c r="E345" s="6"/>
      <c r="F345" s="6" t="n">
        <f aca="false">COUNTIF(Rules!$B$2:$B$1568,A345)</f>
        <v>4</v>
      </c>
      <c r="G345" s="6" t="n">
        <f aca="false">COUNTIFS(Rules!$B$2:$B$1568,A345,Rules!$H$2:$H$1568,"QUESTION")</f>
        <v>1</v>
      </c>
      <c r="H345" s="7" t="s">
        <v>5959</v>
      </c>
      <c r="I345" s="7" t="s">
        <v>5064</v>
      </c>
      <c r="J345" s="7" t="s">
        <v>5957</v>
      </c>
      <c r="K345" s="7" t="s">
        <v>5960</v>
      </c>
    </row>
    <row r="346" customFormat="false" ht="23.85" hidden="false" customHeight="false" outlineLevel="0" collapsed="false">
      <c r="A346" s="6" t="s">
        <v>678</v>
      </c>
      <c r="B346" s="6" t="s">
        <v>16</v>
      </c>
      <c r="C346" s="6" t="s">
        <v>44</v>
      </c>
      <c r="D346" s="6" t="n">
        <v>14</v>
      </c>
      <c r="E346" s="6" t="s">
        <v>27</v>
      </c>
      <c r="F346" s="6" t="n">
        <f aca="false">COUNTIF(Rules!$B$2:$B$1568,A346)</f>
        <v>1</v>
      </c>
      <c r="G346" s="6" t="n">
        <f aca="false">COUNTIFS(Rules!$B$2:$B$1568,A346,Rules!$H$2:$H$1568,"QUESTION")</f>
        <v>1</v>
      </c>
      <c r="H346" s="7" t="s">
        <v>5961</v>
      </c>
      <c r="I346" s="7" t="s">
        <v>5297</v>
      </c>
      <c r="J346" s="7" t="s">
        <v>5833</v>
      </c>
      <c r="K346" s="7" t="s">
        <v>5962</v>
      </c>
    </row>
    <row r="347" customFormat="false" ht="68.65" hidden="false" customHeight="false" outlineLevel="0" collapsed="false">
      <c r="A347" s="6" t="s">
        <v>2368</v>
      </c>
      <c r="B347" s="6" t="s">
        <v>18</v>
      </c>
      <c r="C347" s="6" t="s">
        <v>274</v>
      </c>
      <c r="D347" s="6" t="n">
        <v>143</v>
      </c>
      <c r="E347" s="6" t="s">
        <v>27</v>
      </c>
      <c r="F347" s="6" t="n">
        <f aca="false">COUNTIF(Rules!$B$2:$B$1568,A347)</f>
        <v>9</v>
      </c>
      <c r="G347" s="6" t="n">
        <f aca="false">COUNTIFS(Rules!$B$2:$B$1568,A347,Rules!$H$2:$H$1568,"QUESTION")</f>
        <v>5</v>
      </c>
      <c r="H347" s="7" t="s">
        <v>5963</v>
      </c>
      <c r="I347" s="7" t="s">
        <v>5964</v>
      </c>
      <c r="J347" s="7" t="s">
        <v>4894</v>
      </c>
      <c r="K347" s="7" t="s">
        <v>5965</v>
      </c>
    </row>
    <row r="348" customFormat="false" ht="35.05" hidden="false" customHeight="false" outlineLevel="0" collapsed="false">
      <c r="A348" s="6" t="s">
        <v>103</v>
      </c>
      <c r="B348" s="6" t="s">
        <v>14</v>
      </c>
      <c r="C348" s="6" t="s">
        <v>49</v>
      </c>
      <c r="D348" s="6" t="n">
        <v>43</v>
      </c>
      <c r="E348" s="6" t="s">
        <v>90</v>
      </c>
      <c r="F348" s="6" t="n">
        <f aca="false">COUNTIF(Rules!$B$2:$B$1568,A348)</f>
        <v>3</v>
      </c>
      <c r="G348" s="6" t="n">
        <f aca="false">COUNTIFS(Rules!$B$2:$B$1568,A348,Rules!$H$2:$H$1568,"QUESTION")</f>
        <v>1</v>
      </c>
      <c r="H348" s="7" t="s">
        <v>5966</v>
      </c>
      <c r="I348" s="7" t="s">
        <v>5967</v>
      </c>
      <c r="J348" s="7" t="s">
        <v>4894</v>
      </c>
      <c r="K348" s="7" t="s">
        <v>5968</v>
      </c>
    </row>
    <row r="349" customFormat="false" ht="113.4" hidden="false" customHeight="false" outlineLevel="0" collapsed="false">
      <c r="A349" s="6" t="s">
        <v>2394</v>
      </c>
      <c r="B349" s="6" t="s">
        <v>18</v>
      </c>
      <c r="C349" s="6" t="s">
        <v>1303</v>
      </c>
      <c r="D349" s="6" t="n">
        <v>413</v>
      </c>
      <c r="E349" s="6" t="s">
        <v>2243</v>
      </c>
      <c r="F349" s="6" t="n">
        <f aca="false">COUNTIF(Rules!$B$2:$B$1568,A349)</f>
        <v>23</v>
      </c>
      <c r="G349" s="6" t="n">
        <f aca="false">COUNTIFS(Rules!$B$2:$B$1568,A349,Rules!$H$2:$H$1568,"QUESTION")</f>
        <v>14</v>
      </c>
      <c r="H349" s="7" t="s">
        <v>5969</v>
      </c>
      <c r="I349" s="7" t="s">
        <v>5970</v>
      </c>
      <c r="J349" s="7" t="s">
        <v>5957</v>
      </c>
      <c r="K349" s="7" t="s">
        <v>5971</v>
      </c>
    </row>
    <row r="350" customFormat="false" ht="57.45" hidden="false" customHeight="false" outlineLevel="0" collapsed="false">
      <c r="A350" s="6" t="s">
        <v>3302</v>
      </c>
      <c r="B350" s="6" t="s">
        <v>20</v>
      </c>
      <c r="C350" s="6" t="s">
        <v>331</v>
      </c>
      <c r="D350" s="6" t="n">
        <v>50</v>
      </c>
      <c r="E350" s="6" t="s">
        <v>27</v>
      </c>
      <c r="F350" s="6" t="n">
        <f aca="false">COUNTIF(Rules!$B$2:$B$1568,A350)</f>
        <v>7</v>
      </c>
      <c r="G350" s="6" t="n">
        <f aca="false">COUNTIFS(Rules!$B$2:$B$1568,A350,Rules!$H$2:$H$1568,"QUESTION")</f>
        <v>5</v>
      </c>
      <c r="H350" s="7" t="s">
        <v>5972</v>
      </c>
      <c r="I350" s="7" t="s">
        <v>5973</v>
      </c>
      <c r="J350" s="7" t="s">
        <v>4894</v>
      </c>
      <c r="K350" s="7" t="s">
        <v>5974</v>
      </c>
    </row>
    <row r="351" customFormat="false" ht="23.85" hidden="false" customHeight="false" outlineLevel="0" collapsed="false">
      <c r="A351" s="6" t="s">
        <v>4870</v>
      </c>
      <c r="B351" s="6" t="s">
        <v>23</v>
      </c>
      <c r="C351" s="6" t="s">
        <v>44</v>
      </c>
      <c r="D351" s="6" t="n">
        <v>27</v>
      </c>
      <c r="E351" s="6"/>
      <c r="F351" s="6" t="n">
        <f aca="false">COUNTIF(Rules!$B$2:$B$1568,A351)</f>
        <v>1</v>
      </c>
      <c r="G351" s="6" t="n">
        <f aca="false">COUNTIFS(Rules!$B$2:$B$1568,A351,Rules!$H$2:$H$1568,"QUESTION")</f>
        <v>0</v>
      </c>
      <c r="H351" s="7" t="s">
        <v>5975</v>
      </c>
      <c r="I351" s="7" t="s">
        <v>5976</v>
      </c>
      <c r="J351" s="7" t="s">
        <v>4894</v>
      </c>
      <c r="K351" s="7" t="s">
        <v>5977</v>
      </c>
    </row>
    <row r="352" customFormat="false" ht="23.85" hidden="false" customHeight="false" outlineLevel="0" collapsed="false">
      <c r="A352" s="6" t="s">
        <v>4314</v>
      </c>
      <c r="B352" s="6" t="s">
        <v>21</v>
      </c>
      <c r="C352" s="6" t="s">
        <v>230</v>
      </c>
      <c r="D352" s="6" t="n">
        <v>117</v>
      </c>
      <c r="E352" s="6" t="s">
        <v>26</v>
      </c>
      <c r="F352" s="6" t="n">
        <f aca="false">COUNTIF(Rules!$B$2:$B$1568,A352)</f>
        <v>1</v>
      </c>
      <c r="G352" s="6" t="n">
        <f aca="false">COUNTIFS(Rules!$B$2:$B$1568,A352,Rules!$H$2:$H$1568,"QUESTION")</f>
        <v>0</v>
      </c>
      <c r="H352" s="7" t="s">
        <v>5978</v>
      </c>
      <c r="I352" s="7" t="s">
        <v>5979</v>
      </c>
      <c r="J352" s="7" t="s">
        <v>4894</v>
      </c>
      <c r="K352" s="7" t="s">
        <v>5980</v>
      </c>
    </row>
    <row r="353" customFormat="false" ht="23.85" hidden="false" customHeight="false" outlineLevel="0" collapsed="false">
      <c r="A353" s="6" t="s">
        <v>682</v>
      </c>
      <c r="B353" s="6" t="s">
        <v>16</v>
      </c>
      <c r="C353" s="6" t="s">
        <v>44</v>
      </c>
      <c r="D353" s="6" t="n">
        <v>8</v>
      </c>
      <c r="E353" s="6" t="s">
        <v>27</v>
      </c>
      <c r="F353" s="6" t="n">
        <f aca="false">COUNTIF(Rules!$B$2:$B$1568,A353)</f>
        <v>1</v>
      </c>
      <c r="G353" s="6" t="n">
        <f aca="false">COUNTIFS(Rules!$B$2:$B$1568,A353,Rules!$H$2:$H$1568,"QUESTION")</f>
        <v>0</v>
      </c>
      <c r="H353" s="7" t="s">
        <v>5981</v>
      </c>
      <c r="I353" s="7" t="s">
        <v>5225</v>
      </c>
      <c r="J353" s="7" t="s">
        <v>4894</v>
      </c>
      <c r="K353" s="7" t="s">
        <v>4894</v>
      </c>
    </row>
    <row r="354" customFormat="false" ht="15" hidden="false" customHeight="false" outlineLevel="0" collapsed="false">
      <c r="A354" s="6" t="s">
        <v>113</v>
      </c>
      <c r="B354" s="6" t="s">
        <v>14</v>
      </c>
      <c r="C354" s="6" t="s">
        <v>49</v>
      </c>
      <c r="D354" s="6" t="n">
        <v>15</v>
      </c>
      <c r="E354" s="6" t="s">
        <v>26</v>
      </c>
      <c r="F354" s="6" t="n">
        <f aca="false">COUNTIF(Rules!$B$2:$B$1568,A354)</f>
        <v>1</v>
      </c>
      <c r="G354" s="6" t="n">
        <f aca="false">COUNTIFS(Rules!$B$2:$B$1568,A354,Rules!$H$2:$H$1568,"QUESTION")</f>
        <v>0</v>
      </c>
      <c r="H354" s="7" t="s">
        <v>5982</v>
      </c>
      <c r="I354" s="7" t="s">
        <v>5983</v>
      </c>
      <c r="J354" s="7" t="s">
        <v>4894</v>
      </c>
      <c r="K354" s="7" t="s">
        <v>5984</v>
      </c>
    </row>
    <row r="355" customFormat="false" ht="15" hidden="false" customHeight="false" outlineLevel="0" collapsed="false">
      <c r="A355" s="6" t="s">
        <v>117</v>
      </c>
      <c r="B355" s="6" t="s">
        <v>14</v>
      </c>
      <c r="C355" s="6" t="s">
        <v>49</v>
      </c>
      <c r="D355" s="6" t="n">
        <v>13</v>
      </c>
      <c r="E355" s="6" t="s">
        <v>26</v>
      </c>
      <c r="F355" s="6" t="n">
        <f aca="false">COUNTIF(Rules!$B$2:$B$1568,A355)</f>
        <v>1</v>
      </c>
      <c r="G355" s="6" t="n">
        <f aca="false">COUNTIFS(Rules!$B$2:$B$1568,A355,Rules!$H$2:$H$1568,"QUESTION")</f>
        <v>0</v>
      </c>
      <c r="H355" s="7" t="s">
        <v>5985</v>
      </c>
      <c r="I355" s="7" t="s">
        <v>5983</v>
      </c>
      <c r="J355" s="7" t="s">
        <v>4894</v>
      </c>
      <c r="K355" s="7" t="s">
        <v>4894</v>
      </c>
    </row>
    <row r="356" customFormat="false" ht="15" hidden="false" customHeight="false" outlineLevel="0" collapsed="false">
      <c r="A356" s="6" t="s">
        <v>121</v>
      </c>
      <c r="B356" s="6" t="s">
        <v>14</v>
      </c>
      <c r="C356" s="6" t="s">
        <v>49</v>
      </c>
      <c r="D356" s="6" t="n">
        <v>14</v>
      </c>
      <c r="E356" s="6" t="s">
        <v>26</v>
      </c>
      <c r="F356" s="6" t="n">
        <f aca="false">COUNTIF(Rules!$B$2:$B$1568,A356)</f>
        <v>1</v>
      </c>
      <c r="G356" s="6" t="n">
        <f aca="false">COUNTIFS(Rules!$B$2:$B$1568,A356,Rules!$H$2:$H$1568,"QUESTION")</f>
        <v>1</v>
      </c>
      <c r="H356" s="7" t="s">
        <v>5986</v>
      </c>
      <c r="I356" s="7" t="s">
        <v>5983</v>
      </c>
      <c r="J356" s="7" t="s">
        <v>4894</v>
      </c>
      <c r="K356" s="7" t="s">
        <v>4894</v>
      </c>
    </row>
    <row r="357" customFormat="false" ht="57.45" hidden="false" customHeight="false" outlineLevel="0" collapsed="false">
      <c r="A357" s="6" t="s">
        <v>125</v>
      </c>
      <c r="B357" s="6" t="s">
        <v>14</v>
      </c>
      <c r="C357" s="6" t="s">
        <v>49</v>
      </c>
      <c r="D357" s="6" t="n">
        <v>82</v>
      </c>
      <c r="E357" s="6" t="s">
        <v>90</v>
      </c>
      <c r="F357" s="6" t="n">
        <f aca="false">COUNTIF(Rules!$B$2:$B$1568,A357)</f>
        <v>4</v>
      </c>
      <c r="G357" s="6" t="n">
        <f aca="false">COUNTIFS(Rules!$B$2:$B$1568,A357,Rules!$H$2:$H$1568,"QUESTION")</f>
        <v>1</v>
      </c>
      <c r="H357" s="7" t="s">
        <v>5987</v>
      </c>
      <c r="I357" s="7" t="s">
        <v>5988</v>
      </c>
      <c r="J357" s="7" t="s">
        <v>5957</v>
      </c>
      <c r="K357" s="7" t="s">
        <v>5989</v>
      </c>
    </row>
    <row r="358" customFormat="false" ht="46.25" hidden="false" customHeight="false" outlineLevel="0" collapsed="false">
      <c r="A358" s="6" t="s">
        <v>4318</v>
      </c>
      <c r="B358" s="6" t="s">
        <v>21</v>
      </c>
      <c r="C358" s="6" t="s">
        <v>85</v>
      </c>
      <c r="D358" s="6" t="n">
        <v>60</v>
      </c>
      <c r="E358" s="6"/>
      <c r="F358" s="6" t="n">
        <f aca="false">COUNTIF(Rules!$B$2:$B$1568,A358)</f>
        <v>3</v>
      </c>
      <c r="G358" s="6" t="n">
        <f aca="false">COUNTIFS(Rules!$B$2:$B$1568,A358,Rules!$H$2:$H$1568,"QUESTION")</f>
        <v>1</v>
      </c>
      <c r="H358" s="7" t="s">
        <v>5990</v>
      </c>
      <c r="I358" s="7" t="s">
        <v>5991</v>
      </c>
      <c r="J358" s="7" t="s">
        <v>4894</v>
      </c>
      <c r="K358" s="7" t="s">
        <v>5992</v>
      </c>
    </row>
    <row r="359" customFormat="false" ht="23.85" hidden="false" customHeight="false" outlineLevel="0" collapsed="false">
      <c r="A359" s="6" t="s">
        <v>4326</v>
      </c>
      <c r="B359" s="6" t="s">
        <v>21</v>
      </c>
      <c r="C359" s="6" t="s">
        <v>1303</v>
      </c>
      <c r="D359" s="6" t="n">
        <v>36</v>
      </c>
      <c r="E359" s="6"/>
      <c r="F359" s="6" t="n">
        <f aca="false">COUNTIF(Rules!$B$2:$B$1568,A359)</f>
        <v>3</v>
      </c>
      <c r="G359" s="6" t="n">
        <f aca="false">COUNTIFS(Rules!$B$2:$B$1568,A359,Rules!$H$2:$H$1568,"QUESTION")</f>
        <v>2</v>
      </c>
      <c r="H359" s="7" t="s">
        <v>5993</v>
      </c>
      <c r="I359" s="7" t="s">
        <v>5994</v>
      </c>
      <c r="J359" s="7" t="s">
        <v>4894</v>
      </c>
      <c r="K359" s="7" t="s">
        <v>5995</v>
      </c>
    </row>
    <row r="360" customFormat="false" ht="68.65" hidden="false" customHeight="false" outlineLevel="0" collapsed="false">
      <c r="A360" s="6" t="s">
        <v>4335</v>
      </c>
      <c r="B360" s="6" t="s">
        <v>21</v>
      </c>
      <c r="C360" s="6" t="s">
        <v>331</v>
      </c>
      <c r="D360" s="6" t="n">
        <v>65</v>
      </c>
      <c r="E360" s="6" t="s">
        <v>26</v>
      </c>
      <c r="F360" s="6" t="n">
        <f aca="false">COUNTIF(Rules!$B$2:$B$1568,A360)</f>
        <v>7</v>
      </c>
      <c r="G360" s="6" t="n">
        <f aca="false">COUNTIFS(Rules!$B$2:$B$1568,A360,Rules!$H$2:$H$1568,"QUESTION")</f>
        <v>3</v>
      </c>
      <c r="H360" s="7" t="s">
        <v>5996</v>
      </c>
      <c r="I360" s="7" t="s">
        <v>5997</v>
      </c>
      <c r="J360" s="7" t="s">
        <v>5900</v>
      </c>
      <c r="K360" s="7" t="s">
        <v>5998</v>
      </c>
    </row>
    <row r="361" customFormat="false" ht="46.25" hidden="false" customHeight="false" outlineLevel="0" collapsed="false">
      <c r="A361" s="6" t="s">
        <v>1273</v>
      </c>
      <c r="B361" s="6" t="s">
        <v>17</v>
      </c>
      <c r="C361" s="6" t="s">
        <v>49</v>
      </c>
      <c r="D361" s="6" t="n">
        <v>309</v>
      </c>
      <c r="E361" s="6" t="s">
        <v>27</v>
      </c>
      <c r="F361" s="6" t="n">
        <f aca="false">COUNTIF(Rules!$B$2:$B$1568,A361)</f>
        <v>8</v>
      </c>
      <c r="G361" s="6" t="n">
        <f aca="false">COUNTIFS(Rules!$B$2:$B$1568,A361,Rules!$H$2:$H$1568,"QUESTION")</f>
        <v>0</v>
      </c>
      <c r="H361" s="7" t="s">
        <v>5999</v>
      </c>
      <c r="I361" s="7" t="s">
        <v>6000</v>
      </c>
      <c r="J361" s="7" t="s">
        <v>4702</v>
      </c>
      <c r="K361" s="7" t="s">
        <v>6001</v>
      </c>
    </row>
    <row r="362" customFormat="false" ht="23.85" hidden="false" customHeight="false" outlineLevel="0" collapsed="false">
      <c r="A362" s="6" t="s">
        <v>4874</v>
      </c>
      <c r="B362" s="6" t="s">
        <v>23</v>
      </c>
      <c r="C362" s="6" t="s">
        <v>44</v>
      </c>
      <c r="D362" s="6" t="n">
        <v>27</v>
      </c>
      <c r="E362" s="6"/>
      <c r="F362" s="6" t="n">
        <f aca="false">COUNTIF(Rules!$B$2:$B$1568,A362)</f>
        <v>1</v>
      </c>
      <c r="G362" s="6" t="n">
        <f aca="false">COUNTIFS(Rules!$B$2:$B$1568,A362,Rules!$H$2:$H$1568,"QUESTION")</f>
        <v>0</v>
      </c>
      <c r="H362" s="7" t="s">
        <v>6002</v>
      </c>
      <c r="I362" s="7" t="s">
        <v>6003</v>
      </c>
      <c r="J362" s="7" t="s">
        <v>4894</v>
      </c>
      <c r="K362" s="7" t="s">
        <v>4894</v>
      </c>
    </row>
    <row r="363" customFormat="false" ht="15" hidden="false" customHeight="false" outlineLevel="0" collapsed="false">
      <c r="A363" s="6" t="s">
        <v>4878</v>
      </c>
      <c r="B363" s="6" t="s">
        <v>23</v>
      </c>
      <c r="C363" s="6" t="s">
        <v>44</v>
      </c>
      <c r="D363" s="6" t="n">
        <v>2</v>
      </c>
      <c r="E363" s="6"/>
      <c r="F363" s="6" t="n">
        <f aca="false">COUNTIF(Rules!$B$2:$B$1568,A363)</f>
        <v>1</v>
      </c>
      <c r="G363" s="6" t="n">
        <f aca="false">COUNTIFS(Rules!$B$2:$B$1568,A363,Rules!$H$2:$H$1568,"QUESTION")</f>
        <v>0</v>
      </c>
      <c r="H363" s="7" t="s">
        <v>6004</v>
      </c>
      <c r="I363" s="7" t="s">
        <v>5698</v>
      </c>
      <c r="J363" s="7" t="s">
        <v>4894</v>
      </c>
      <c r="K363" s="7" t="s">
        <v>4894</v>
      </c>
    </row>
    <row r="364" customFormat="false" ht="15" hidden="false" customHeight="false" outlineLevel="0" collapsed="false">
      <c r="A364" s="6" t="s">
        <v>686</v>
      </c>
      <c r="B364" s="6" t="s">
        <v>16</v>
      </c>
      <c r="C364" s="6" t="s">
        <v>49</v>
      </c>
      <c r="D364" s="6" t="n">
        <v>28</v>
      </c>
      <c r="E364" s="6" t="s">
        <v>319</v>
      </c>
      <c r="F364" s="6" t="n">
        <f aca="false">COUNTIF(Rules!$B$2:$B$1568,A364)</f>
        <v>2</v>
      </c>
      <c r="G364" s="6" t="n">
        <f aca="false">COUNTIFS(Rules!$B$2:$B$1568,A364,Rules!$H$2:$H$1568,"QUESTION")</f>
        <v>1</v>
      </c>
      <c r="H364" s="7" t="s">
        <v>6005</v>
      </c>
      <c r="I364" s="7" t="s">
        <v>6006</v>
      </c>
      <c r="J364" s="7" t="s">
        <v>4894</v>
      </c>
      <c r="K364" s="7" t="s">
        <v>6007</v>
      </c>
    </row>
    <row r="365" customFormat="false" ht="23.85" hidden="false" customHeight="false" outlineLevel="0" collapsed="false">
      <c r="A365" s="6" t="s">
        <v>4880</v>
      </c>
      <c r="B365" s="6" t="s">
        <v>23</v>
      </c>
      <c r="C365" s="6" t="s">
        <v>44</v>
      </c>
      <c r="D365" s="6" t="n">
        <v>23</v>
      </c>
      <c r="E365" s="6"/>
      <c r="F365" s="6" t="n">
        <f aca="false">COUNTIF(Rules!$B$2:$B$1568,A365)</f>
        <v>1</v>
      </c>
      <c r="G365" s="6" t="n">
        <f aca="false">COUNTIFS(Rules!$B$2:$B$1568,A365,Rules!$H$2:$H$1568,"QUESTION")</f>
        <v>0</v>
      </c>
      <c r="H365" s="7" t="s">
        <v>6008</v>
      </c>
      <c r="I365" s="7" t="s">
        <v>6009</v>
      </c>
      <c r="J365" s="7" t="s">
        <v>6010</v>
      </c>
      <c r="K365" s="7" t="s">
        <v>6011</v>
      </c>
    </row>
    <row r="366" customFormat="false" ht="23.85" hidden="false" customHeight="false" outlineLevel="0" collapsed="false">
      <c r="A366" s="6" t="s">
        <v>1298</v>
      </c>
      <c r="B366" s="6" t="s">
        <v>17</v>
      </c>
      <c r="C366" s="6" t="s">
        <v>230</v>
      </c>
      <c r="D366" s="6" t="n">
        <v>3</v>
      </c>
      <c r="E366" s="6" t="s">
        <v>27</v>
      </c>
      <c r="F366" s="6" t="n">
        <f aca="false">COUNTIF(Rules!$B$2:$B$1568,A366)</f>
        <v>1</v>
      </c>
      <c r="G366" s="6" t="n">
        <f aca="false">COUNTIFS(Rules!$B$2:$B$1568,A366,Rules!$H$2:$H$1568,"QUESTION")</f>
        <v>0</v>
      </c>
      <c r="H366" s="7" t="s">
        <v>6012</v>
      </c>
      <c r="I366" s="7" t="s">
        <v>6013</v>
      </c>
      <c r="J366" s="7" t="s">
        <v>898</v>
      </c>
      <c r="K366" s="7" t="s">
        <v>6014</v>
      </c>
    </row>
    <row r="367" customFormat="false" ht="23.85" hidden="false" customHeight="false" outlineLevel="0" collapsed="false">
      <c r="A367" s="6" t="s">
        <v>3322</v>
      </c>
      <c r="B367" s="6" t="s">
        <v>20</v>
      </c>
      <c r="C367" s="6" t="s">
        <v>44</v>
      </c>
      <c r="D367" s="6" t="n">
        <v>19</v>
      </c>
      <c r="E367" s="6" t="s">
        <v>27</v>
      </c>
      <c r="F367" s="6" t="n">
        <f aca="false">COUNTIF(Rules!$B$2:$B$1568,A367)</f>
        <v>2</v>
      </c>
      <c r="G367" s="6" t="n">
        <f aca="false">COUNTIFS(Rules!$B$2:$B$1568,A367,Rules!$H$2:$H$1568,"QUESTION")</f>
        <v>2</v>
      </c>
      <c r="H367" s="7" t="s">
        <v>6015</v>
      </c>
      <c r="I367" s="7" t="s">
        <v>6016</v>
      </c>
      <c r="J367" s="7" t="s">
        <v>6017</v>
      </c>
      <c r="K367" s="7" t="s">
        <v>6018</v>
      </c>
    </row>
    <row r="368" customFormat="false" ht="15" hidden="false" customHeight="false" outlineLevel="0" collapsed="false">
      <c r="A368" s="6" t="s">
        <v>3327</v>
      </c>
      <c r="B368" s="6" t="s">
        <v>20</v>
      </c>
      <c r="C368" s="6" t="s">
        <v>49</v>
      </c>
      <c r="D368" s="6" t="n">
        <v>20</v>
      </c>
      <c r="E368" s="6"/>
      <c r="F368" s="6" t="n">
        <f aca="false">COUNTIF(Rules!$B$2:$B$1568,A368)</f>
        <v>1</v>
      </c>
      <c r="G368" s="6" t="n">
        <f aca="false">COUNTIFS(Rules!$B$2:$B$1568,A368,Rules!$H$2:$H$1568,"QUESTION")</f>
        <v>0</v>
      </c>
      <c r="H368" s="7" t="s">
        <v>6019</v>
      </c>
      <c r="I368" s="7" t="s">
        <v>6020</v>
      </c>
      <c r="J368" s="7" t="s">
        <v>4894</v>
      </c>
      <c r="K368" s="7" t="s">
        <v>6021</v>
      </c>
    </row>
  </sheetData>
  <autoFilter ref="A1:K36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2026-10-22T15:57:16Z</dcterms:created>
  <dc:creator>openpyxl</dc:creator>
  <dc:description/>
  <dc:language>en-US</dc:language>
  <cp:lastModifiedBy/>
  <dcterms:modified xsi:type="dcterms:W3CDTF">2026-10-22T15:57:16Z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