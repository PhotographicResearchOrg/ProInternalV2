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8_{F9DA768E-5C46-4218-B8B0-32DE98434CC3}" xr6:coauthVersionLast="47" xr6:coauthVersionMax="47" xr10:uidLastSave="{00000000-0000-0000-0000-000000000000}"/>
  <bookViews>
    <workbookView xWindow="-96" yWindow="-96" windowWidth="23232" windowHeight="13872" xr2:uid="{39690F34-42A0-44A0-9059-2CB092018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" i="1"/>
</calcChain>
</file>

<file path=xl/sharedStrings.xml><?xml version="1.0" encoding="utf-8"?>
<sst xmlns="http://schemas.openxmlformats.org/spreadsheetml/2006/main" count="1296" uniqueCount="33">
  <si>
    <t>terms</t>
  </si>
  <si>
    <t>DiscountRate</t>
  </si>
  <si>
    <t>ACCT</t>
  </si>
  <si>
    <t>Discount</t>
  </si>
  <si>
    <t>Gross</t>
  </si>
  <si>
    <t>INUM</t>
  </si>
  <si>
    <t>Net</t>
  </si>
  <si>
    <t>Disc</t>
  </si>
  <si>
    <t>VINUM</t>
  </si>
  <si>
    <t>VENDOR_NAME</t>
  </si>
  <si>
    <t>EZPAY</t>
  </si>
  <si>
    <t>EZPAYNET</t>
  </si>
  <si>
    <t>BTSA</t>
  </si>
  <si>
    <t>AT1</t>
  </si>
  <si>
    <t>RECIEPT</t>
  </si>
  <si>
    <t>BDATE</t>
  </si>
  <si>
    <t>dt_posted</t>
  </si>
  <si>
    <t>AT2</t>
  </si>
  <si>
    <t>DA</t>
  </si>
  <si>
    <t>due_on</t>
  </si>
  <si>
    <t>2% 01/10/26</t>
  </si>
  <si>
    <t>PRO</t>
  </si>
  <si>
    <t>OPEN</t>
  </si>
  <si>
    <t>NULL</t>
  </si>
  <si>
    <t>NET 01/10/26</t>
  </si>
  <si>
    <t>1% 01/10/26</t>
  </si>
  <si>
    <t>5% 01/10/26</t>
  </si>
  <si>
    <t>1% 02/10/26</t>
  </si>
  <si>
    <t>NET 02/10/26</t>
  </si>
  <si>
    <t>2% 02/10/26</t>
  </si>
  <si>
    <t>NET DUE 10TH</t>
  </si>
  <si>
    <t>S3395</t>
  </si>
  <si>
    <t>S3399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</si>
</sst>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C5CD-8186-4B49-9060-E3A62F0B3104}">
  <dimension ref="A1:Y255"/>
  <sheetViews>
    <sheetView tabSelected="1" topLeftCell="G76" workbookViewId="0">
      <selection activeCell="U242" sqref="U242"/>
    </sheetView>
  </sheetViews>
  <sheetFormatPr defaultRowHeight="14.4" x14ac:dyDescent="0.55000000000000004"/>
  <cols>
    <col min="2" max="2" width="11.26171875" bestFit="1" customWidth="1"/>
    <col min="21" max="21" width="8.89453125" style="2" bestFit="1" customWidth="1"/>
    <col min="22" max="22" width="9.9453125" style="2" bestFit="1" customWidth="1"/>
  </cols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J1" t="s">
        <v>7</v>
      </c>
      <c r="L1" t="s">
        <v>8</v>
      </c>
      <c r="M1" t="s">
        <v>9</v>
      </c>
      <c r="N1" t="s">
        <v>10</v>
      </c>
      <c r="P1" t="s">
        <v>11</v>
      </c>
      <c r="R1" t="s">
        <v>12</v>
      </c>
      <c r="S1" t="s">
        <v>13</v>
      </c>
      <c r="T1" t="s">
        <v>14</v>
      </c>
      <c r="U1" s="2" t="s">
        <v>15</v>
      </c>
      <c r="V1" s="2" t="s">
        <v>16</v>
      </c>
      <c r="W1" t="s">
        <v>17</v>
      </c>
      <c r="X1" t="s">
        <v>18</v>
      </c>
      <c r="Y1" t="s">
        <v>19</v>
      </c>
    </row>
    <row r="2" spans="1:25" x14ac:dyDescent="0.55000000000000004">
      <c r="A2" t="s">
        <v>20</v>
      </c>
      <c r="B2">
        <v>0.02</v>
      </c>
      <c r="C2">
        <v>3865</v>
      </c>
      <c r="D2">
        <v>5.56</v>
      </c>
      <c r="E2">
        <f>F2*B2</f>
        <v>5.5568</v>
      </c>
      <c r="F2">
        <v>277.83999999999997</v>
      </c>
      <c r="G2">
        <v>1010404</v>
      </c>
      <c r="H2">
        <v>272.27999999999997</v>
      </c>
      <c r="I2">
        <f>F2-J2</f>
        <v>272.27999999999997</v>
      </c>
      <c r="J2">
        <v>5.56</v>
      </c>
      <c r="K2">
        <f>F2*B2</f>
        <v>5.5568</v>
      </c>
      <c r="L2">
        <v>1010404</v>
      </c>
      <c r="M2" t="s">
        <v>21</v>
      </c>
      <c r="N2">
        <v>2.78</v>
      </c>
      <c r="O2">
        <f>F2*0.01</f>
        <v>2.7784</v>
      </c>
      <c r="P2">
        <v>269.5</v>
      </c>
      <c r="Q2">
        <f>F2-J2-N2</f>
        <v>269.5</v>
      </c>
      <c r="R2" t="s">
        <v>22</v>
      </c>
      <c r="S2">
        <v>1</v>
      </c>
      <c r="U2" s="2">
        <v>46024</v>
      </c>
      <c r="V2" s="2">
        <v>46003</v>
      </c>
      <c r="W2" t="s">
        <v>23</v>
      </c>
      <c r="X2" t="s">
        <v>23</v>
      </c>
      <c r="Y2" s="1">
        <v>45667</v>
      </c>
    </row>
    <row r="3" spans="1:25" x14ac:dyDescent="0.55000000000000004">
      <c r="A3" t="s">
        <v>20</v>
      </c>
      <c r="B3">
        <v>0.02</v>
      </c>
      <c r="C3">
        <v>3865</v>
      </c>
      <c r="D3">
        <v>2.78</v>
      </c>
      <c r="E3">
        <f t="shared" ref="E3:E66" si="0">F3*B3</f>
        <v>2.7784</v>
      </c>
      <c r="F3">
        <v>138.91999999999999</v>
      </c>
      <c r="G3">
        <v>1010405</v>
      </c>
      <c r="H3">
        <v>136.13999999999999</v>
      </c>
      <c r="I3">
        <f t="shared" ref="I3:I66" si="1">F3-J3</f>
        <v>136.13999999999999</v>
      </c>
      <c r="J3">
        <v>2.78</v>
      </c>
      <c r="K3">
        <f t="shared" ref="K3:K66" si="2">F3*B3</f>
        <v>2.7784</v>
      </c>
      <c r="L3">
        <v>1010405</v>
      </c>
      <c r="M3" t="s">
        <v>21</v>
      </c>
      <c r="N3">
        <v>1.39</v>
      </c>
      <c r="O3">
        <f t="shared" ref="O3:O66" si="3">F3*0.01</f>
        <v>1.3892</v>
      </c>
      <c r="P3">
        <v>134.75</v>
      </c>
      <c r="Q3">
        <f t="shared" ref="Q3:Q66" si="4">F3-J3-N3</f>
        <v>134.75</v>
      </c>
      <c r="R3" t="s">
        <v>22</v>
      </c>
      <c r="S3">
        <v>1</v>
      </c>
      <c r="U3" s="2">
        <v>46024</v>
      </c>
      <c r="V3" s="2">
        <v>46003</v>
      </c>
      <c r="W3" t="s">
        <v>23</v>
      </c>
      <c r="X3" t="s">
        <v>23</v>
      </c>
      <c r="Y3" s="1">
        <v>45667</v>
      </c>
    </row>
    <row r="4" spans="1:25" x14ac:dyDescent="0.55000000000000004">
      <c r="A4" t="s">
        <v>20</v>
      </c>
      <c r="B4">
        <v>0.02</v>
      </c>
      <c r="C4">
        <v>3081</v>
      </c>
      <c r="D4">
        <v>7.57</v>
      </c>
      <c r="E4">
        <f t="shared" si="0"/>
        <v>7.5663999999999998</v>
      </c>
      <c r="F4">
        <v>378.32</v>
      </c>
      <c r="G4">
        <v>1010406</v>
      </c>
      <c r="H4">
        <v>370.75</v>
      </c>
      <c r="I4">
        <f t="shared" si="1"/>
        <v>370.75</v>
      </c>
      <c r="J4">
        <v>7.57</v>
      </c>
      <c r="K4">
        <f t="shared" si="2"/>
        <v>7.5663999999999998</v>
      </c>
      <c r="L4">
        <v>1010406</v>
      </c>
      <c r="M4" t="s">
        <v>21</v>
      </c>
      <c r="N4">
        <v>3.78</v>
      </c>
      <c r="O4">
        <f t="shared" si="3"/>
        <v>3.7831999999999999</v>
      </c>
      <c r="P4">
        <v>366.97</v>
      </c>
      <c r="Q4">
        <f t="shared" si="4"/>
        <v>366.97</v>
      </c>
      <c r="R4" t="s">
        <v>22</v>
      </c>
      <c r="S4">
        <v>1</v>
      </c>
      <c r="U4" s="2">
        <v>46024</v>
      </c>
      <c r="V4" s="2">
        <v>46003</v>
      </c>
      <c r="W4" t="s">
        <v>23</v>
      </c>
      <c r="X4" t="s">
        <v>23</v>
      </c>
      <c r="Y4" s="1">
        <v>45667</v>
      </c>
    </row>
    <row r="5" spans="1:25" x14ac:dyDescent="0.55000000000000004">
      <c r="A5" t="s">
        <v>20</v>
      </c>
      <c r="B5">
        <v>0.02</v>
      </c>
      <c r="C5">
        <v>3081</v>
      </c>
      <c r="D5">
        <v>9.06</v>
      </c>
      <c r="E5">
        <f t="shared" si="0"/>
        <v>9.0641999999999996</v>
      </c>
      <c r="F5">
        <v>453.21</v>
      </c>
      <c r="G5">
        <v>1010407</v>
      </c>
      <c r="H5">
        <v>444.15</v>
      </c>
      <c r="I5">
        <f t="shared" si="1"/>
        <v>444.15</v>
      </c>
      <c r="J5">
        <v>9.06</v>
      </c>
      <c r="K5">
        <f t="shared" si="2"/>
        <v>9.0641999999999996</v>
      </c>
      <c r="L5">
        <v>1010407</v>
      </c>
      <c r="M5" t="s">
        <v>21</v>
      </c>
      <c r="N5">
        <v>4.53</v>
      </c>
      <c r="O5">
        <f t="shared" si="3"/>
        <v>4.5320999999999998</v>
      </c>
      <c r="P5">
        <v>439.61</v>
      </c>
      <c r="Q5">
        <f t="shared" si="4"/>
        <v>439.62</v>
      </c>
      <c r="R5" t="s">
        <v>22</v>
      </c>
      <c r="S5">
        <v>1</v>
      </c>
      <c r="U5" s="2">
        <v>46024</v>
      </c>
      <c r="V5" s="2">
        <v>46003</v>
      </c>
      <c r="W5" t="s">
        <v>23</v>
      </c>
      <c r="X5" t="s">
        <v>23</v>
      </c>
      <c r="Y5" s="1">
        <v>45667</v>
      </c>
    </row>
    <row r="6" spans="1:25" x14ac:dyDescent="0.55000000000000004">
      <c r="A6" t="s">
        <v>24</v>
      </c>
      <c r="B6">
        <v>0</v>
      </c>
      <c r="C6">
        <v>2633</v>
      </c>
      <c r="D6">
        <v>0</v>
      </c>
      <c r="E6">
        <f t="shared" si="0"/>
        <v>0</v>
      </c>
      <c r="F6">
        <v>829.52</v>
      </c>
      <c r="G6">
        <v>1010408</v>
      </c>
      <c r="H6">
        <v>829.52</v>
      </c>
      <c r="I6">
        <f t="shared" si="1"/>
        <v>829.52</v>
      </c>
      <c r="J6">
        <v>0</v>
      </c>
      <c r="K6">
        <f t="shared" si="2"/>
        <v>0</v>
      </c>
      <c r="L6">
        <v>1010408</v>
      </c>
      <c r="M6" t="s">
        <v>21</v>
      </c>
      <c r="N6">
        <v>8.3000000000000007</v>
      </c>
      <c r="O6">
        <f t="shared" si="3"/>
        <v>8.2951999999999995</v>
      </c>
      <c r="P6">
        <v>821.22</v>
      </c>
      <c r="Q6">
        <f t="shared" si="4"/>
        <v>821.22</v>
      </c>
      <c r="R6" t="s">
        <v>22</v>
      </c>
      <c r="S6">
        <v>1</v>
      </c>
      <c r="U6" s="2">
        <v>46024</v>
      </c>
      <c r="V6" s="2">
        <v>46003</v>
      </c>
      <c r="W6" t="s">
        <v>23</v>
      </c>
      <c r="X6" t="s">
        <v>23</v>
      </c>
      <c r="Y6" s="1">
        <v>45667</v>
      </c>
    </row>
    <row r="7" spans="1:25" x14ac:dyDescent="0.55000000000000004">
      <c r="A7" t="s">
        <v>24</v>
      </c>
      <c r="B7">
        <v>0</v>
      </c>
      <c r="C7">
        <v>2766</v>
      </c>
      <c r="D7">
        <v>0</v>
      </c>
      <c r="E7">
        <f t="shared" si="0"/>
        <v>0</v>
      </c>
      <c r="F7">
        <v>3518.24</v>
      </c>
      <c r="G7">
        <v>1010409</v>
      </c>
      <c r="H7">
        <v>3518.24</v>
      </c>
      <c r="I7">
        <f t="shared" si="1"/>
        <v>3518.24</v>
      </c>
      <c r="J7">
        <v>0</v>
      </c>
      <c r="K7">
        <f t="shared" si="2"/>
        <v>0</v>
      </c>
      <c r="L7">
        <v>1010409</v>
      </c>
      <c r="M7" t="s">
        <v>21</v>
      </c>
      <c r="N7">
        <v>35.18</v>
      </c>
      <c r="O7">
        <f t="shared" si="3"/>
        <v>35.182400000000001</v>
      </c>
      <c r="P7">
        <v>3483.06</v>
      </c>
      <c r="Q7">
        <f t="shared" si="4"/>
        <v>3483.06</v>
      </c>
      <c r="R7" t="s">
        <v>22</v>
      </c>
      <c r="S7">
        <v>1</v>
      </c>
      <c r="U7" s="2">
        <v>46024</v>
      </c>
      <c r="V7" s="2">
        <v>46003</v>
      </c>
      <c r="W7" t="s">
        <v>23</v>
      </c>
      <c r="X7" t="s">
        <v>23</v>
      </c>
      <c r="Y7" s="1">
        <v>45667</v>
      </c>
    </row>
    <row r="8" spans="1:25" x14ac:dyDescent="0.55000000000000004">
      <c r="A8" t="s">
        <v>24</v>
      </c>
      <c r="B8">
        <v>0</v>
      </c>
      <c r="C8">
        <v>2878</v>
      </c>
      <c r="D8">
        <v>0</v>
      </c>
      <c r="E8">
        <f t="shared" si="0"/>
        <v>0</v>
      </c>
      <c r="F8">
        <v>1953.19</v>
      </c>
      <c r="G8">
        <v>1010410</v>
      </c>
      <c r="H8">
        <v>1953.19</v>
      </c>
      <c r="I8">
        <f t="shared" si="1"/>
        <v>1953.19</v>
      </c>
      <c r="J8">
        <v>0</v>
      </c>
      <c r="K8">
        <f t="shared" si="2"/>
        <v>0</v>
      </c>
      <c r="L8">
        <v>1010410</v>
      </c>
      <c r="M8" t="s">
        <v>21</v>
      </c>
      <c r="N8">
        <v>19.53</v>
      </c>
      <c r="O8">
        <f t="shared" si="3"/>
        <v>19.5319</v>
      </c>
      <c r="P8">
        <v>1933.66</v>
      </c>
      <c r="Q8">
        <f t="shared" si="4"/>
        <v>1933.66</v>
      </c>
      <c r="R8" t="s">
        <v>22</v>
      </c>
      <c r="S8">
        <v>1</v>
      </c>
      <c r="U8" s="2">
        <v>46024</v>
      </c>
      <c r="V8" s="2">
        <v>46003</v>
      </c>
      <c r="W8" t="s">
        <v>23</v>
      </c>
      <c r="X8" t="s">
        <v>23</v>
      </c>
      <c r="Y8" s="1">
        <v>45667</v>
      </c>
    </row>
    <row r="9" spans="1:25" x14ac:dyDescent="0.55000000000000004">
      <c r="A9" t="s">
        <v>24</v>
      </c>
      <c r="B9">
        <v>0</v>
      </c>
      <c r="C9">
        <v>3403</v>
      </c>
      <c r="D9">
        <v>0</v>
      </c>
      <c r="E9">
        <f t="shared" si="0"/>
        <v>0</v>
      </c>
      <c r="F9">
        <v>1106</v>
      </c>
      <c r="G9">
        <v>1010411</v>
      </c>
      <c r="H9">
        <v>1106</v>
      </c>
      <c r="I9">
        <f t="shared" si="1"/>
        <v>1106</v>
      </c>
      <c r="J9">
        <v>0</v>
      </c>
      <c r="K9">
        <f t="shared" si="2"/>
        <v>0</v>
      </c>
      <c r="L9">
        <v>1010411</v>
      </c>
      <c r="M9" t="s">
        <v>21</v>
      </c>
      <c r="N9">
        <v>11.06</v>
      </c>
      <c r="O9">
        <f t="shared" si="3"/>
        <v>11.06</v>
      </c>
      <c r="P9">
        <v>1094.94</v>
      </c>
      <c r="Q9">
        <f t="shared" si="4"/>
        <v>1094.94</v>
      </c>
      <c r="R9" t="s">
        <v>22</v>
      </c>
      <c r="S9">
        <v>1</v>
      </c>
      <c r="U9" s="2">
        <v>46024</v>
      </c>
      <c r="V9" s="2">
        <v>46003</v>
      </c>
      <c r="W9" t="s">
        <v>23</v>
      </c>
      <c r="X9" t="s">
        <v>23</v>
      </c>
      <c r="Y9" s="1">
        <v>45667</v>
      </c>
    </row>
    <row r="10" spans="1:25" x14ac:dyDescent="0.55000000000000004">
      <c r="A10" t="s">
        <v>24</v>
      </c>
      <c r="B10">
        <v>0</v>
      </c>
      <c r="C10">
        <v>1018</v>
      </c>
      <c r="D10">
        <v>0</v>
      </c>
      <c r="E10">
        <f t="shared" si="0"/>
        <v>0</v>
      </c>
      <c r="F10">
        <v>822.56</v>
      </c>
      <c r="G10">
        <v>1010412</v>
      </c>
      <c r="H10">
        <v>822.56</v>
      </c>
      <c r="I10">
        <f t="shared" si="1"/>
        <v>822.56</v>
      </c>
      <c r="J10">
        <v>0</v>
      </c>
      <c r="K10">
        <f t="shared" si="2"/>
        <v>0</v>
      </c>
      <c r="L10">
        <v>1010412</v>
      </c>
      <c r="M10" t="s">
        <v>21</v>
      </c>
      <c r="N10">
        <v>8.23</v>
      </c>
      <c r="O10">
        <f t="shared" si="3"/>
        <v>8.2256</v>
      </c>
      <c r="P10">
        <v>814.33</v>
      </c>
      <c r="Q10">
        <f t="shared" si="4"/>
        <v>814.32999999999993</v>
      </c>
      <c r="R10" t="s">
        <v>22</v>
      </c>
      <c r="S10">
        <v>1</v>
      </c>
      <c r="U10" s="2">
        <v>46024</v>
      </c>
      <c r="V10" s="2">
        <v>46003</v>
      </c>
      <c r="W10" t="s">
        <v>23</v>
      </c>
      <c r="X10" t="s">
        <v>23</v>
      </c>
      <c r="Y10" s="1">
        <v>45667</v>
      </c>
    </row>
    <row r="11" spans="1:25" x14ac:dyDescent="0.55000000000000004">
      <c r="A11" t="s">
        <v>24</v>
      </c>
      <c r="B11">
        <v>0</v>
      </c>
      <c r="C11">
        <v>3004</v>
      </c>
      <c r="D11">
        <v>0</v>
      </c>
      <c r="E11">
        <f t="shared" si="0"/>
        <v>0</v>
      </c>
      <c r="F11">
        <v>219.16</v>
      </c>
      <c r="G11">
        <v>1010413</v>
      </c>
      <c r="H11">
        <v>219.16</v>
      </c>
      <c r="I11">
        <f t="shared" si="1"/>
        <v>219.16</v>
      </c>
      <c r="J11">
        <v>0</v>
      </c>
      <c r="K11">
        <f t="shared" si="2"/>
        <v>0</v>
      </c>
      <c r="L11">
        <v>1010413</v>
      </c>
      <c r="M11" t="s">
        <v>21</v>
      </c>
      <c r="N11">
        <v>2.19</v>
      </c>
      <c r="O11">
        <f t="shared" si="3"/>
        <v>2.1916000000000002</v>
      </c>
      <c r="P11">
        <v>216.97</v>
      </c>
      <c r="Q11">
        <f t="shared" si="4"/>
        <v>216.97</v>
      </c>
      <c r="R11" t="s">
        <v>22</v>
      </c>
      <c r="S11">
        <v>1</v>
      </c>
      <c r="U11" s="2">
        <v>46024</v>
      </c>
      <c r="V11" s="2">
        <v>46003</v>
      </c>
      <c r="W11" t="s">
        <v>23</v>
      </c>
      <c r="X11" t="s">
        <v>23</v>
      </c>
      <c r="Y11" s="1">
        <v>45667</v>
      </c>
    </row>
    <row r="12" spans="1:25" x14ac:dyDescent="0.55000000000000004">
      <c r="A12" t="s">
        <v>24</v>
      </c>
      <c r="B12">
        <v>0</v>
      </c>
      <c r="C12">
        <v>3004</v>
      </c>
      <c r="D12">
        <v>0</v>
      </c>
      <c r="E12">
        <f t="shared" si="0"/>
        <v>0</v>
      </c>
      <c r="F12">
        <v>593.04999999999995</v>
      </c>
      <c r="G12">
        <v>1010414</v>
      </c>
      <c r="H12">
        <v>593.04999999999995</v>
      </c>
      <c r="I12">
        <f t="shared" si="1"/>
        <v>593.04999999999995</v>
      </c>
      <c r="J12">
        <v>0</v>
      </c>
      <c r="K12">
        <f t="shared" si="2"/>
        <v>0</v>
      </c>
      <c r="L12">
        <v>1010414</v>
      </c>
      <c r="M12" t="s">
        <v>21</v>
      </c>
      <c r="N12">
        <v>5.93</v>
      </c>
      <c r="O12">
        <f t="shared" si="3"/>
        <v>5.9304999999999994</v>
      </c>
      <c r="P12">
        <v>587.12</v>
      </c>
      <c r="Q12">
        <f t="shared" si="4"/>
        <v>587.12</v>
      </c>
      <c r="R12" t="s">
        <v>22</v>
      </c>
      <c r="S12">
        <v>1</v>
      </c>
      <c r="U12" s="2">
        <v>46024</v>
      </c>
      <c r="V12" s="2">
        <v>46003</v>
      </c>
      <c r="W12" t="s">
        <v>23</v>
      </c>
      <c r="X12" t="s">
        <v>23</v>
      </c>
      <c r="Y12" s="1">
        <v>45667</v>
      </c>
    </row>
    <row r="13" spans="1:25" x14ac:dyDescent="0.55000000000000004">
      <c r="A13" t="s">
        <v>24</v>
      </c>
      <c r="B13">
        <v>0</v>
      </c>
      <c r="C13">
        <v>3004</v>
      </c>
      <c r="D13">
        <v>0</v>
      </c>
      <c r="E13">
        <f t="shared" si="0"/>
        <v>0</v>
      </c>
      <c r="F13">
        <v>126.13</v>
      </c>
      <c r="G13">
        <v>1010415</v>
      </c>
      <c r="H13">
        <v>126.13</v>
      </c>
      <c r="I13">
        <f t="shared" si="1"/>
        <v>126.13</v>
      </c>
      <c r="J13">
        <v>0</v>
      </c>
      <c r="K13">
        <f t="shared" si="2"/>
        <v>0</v>
      </c>
      <c r="L13">
        <v>1010415</v>
      </c>
      <c r="M13" t="s">
        <v>21</v>
      </c>
      <c r="N13">
        <v>1.26</v>
      </c>
      <c r="O13">
        <f t="shared" si="3"/>
        <v>1.2613000000000001</v>
      </c>
      <c r="P13">
        <v>124.87</v>
      </c>
      <c r="Q13">
        <f t="shared" si="4"/>
        <v>124.86999999999999</v>
      </c>
      <c r="R13" t="s">
        <v>22</v>
      </c>
      <c r="S13">
        <v>1</v>
      </c>
      <c r="U13" s="2">
        <v>46024</v>
      </c>
      <c r="V13" s="2">
        <v>46003</v>
      </c>
      <c r="W13" t="s">
        <v>23</v>
      </c>
      <c r="X13" t="s">
        <v>23</v>
      </c>
      <c r="Y13" s="1">
        <v>45667</v>
      </c>
    </row>
    <row r="14" spans="1:25" x14ac:dyDescent="0.55000000000000004">
      <c r="A14" t="s">
        <v>24</v>
      </c>
      <c r="B14">
        <v>0</v>
      </c>
      <c r="C14">
        <v>3004</v>
      </c>
      <c r="D14">
        <v>0</v>
      </c>
      <c r="E14">
        <f t="shared" si="0"/>
        <v>0</v>
      </c>
      <c r="F14">
        <v>288.83999999999997</v>
      </c>
      <c r="G14">
        <v>1010416</v>
      </c>
      <c r="H14">
        <v>288.83999999999997</v>
      </c>
      <c r="I14">
        <f t="shared" si="1"/>
        <v>288.83999999999997</v>
      </c>
      <c r="J14">
        <v>0</v>
      </c>
      <c r="K14">
        <f t="shared" si="2"/>
        <v>0</v>
      </c>
      <c r="L14">
        <v>1010416</v>
      </c>
      <c r="M14" t="s">
        <v>21</v>
      </c>
      <c r="N14">
        <v>2.89</v>
      </c>
      <c r="O14">
        <f t="shared" si="3"/>
        <v>2.8883999999999999</v>
      </c>
      <c r="P14">
        <v>285.95</v>
      </c>
      <c r="Q14">
        <f t="shared" si="4"/>
        <v>285.95</v>
      </c>
      <c r="R14" t="s">
        <v>22</v>
      </c>
      <c r="S14">
        <v>1</v>
      </c>
      <c r="U14" s="2">
        <v>46024</v>
      </c>
      <c r="V14" s="2">
        <v>46003</v>
      </c>
      <c r="W14" t="s">
        <v>23</v>
      </c>
      <c r="X14" t="s">
        <v>23</v>
      </c>
      <c r="Y14" s="1">
        <v>45667</v>
      </c>
    </row>
    <row r="15" spans="1:25" x14ac:dyDescent="0.55000000000000004">
      <c r="A15" t="s">
        <v>24</v>
      </c>
      <c r="B15">
        <v>0</v>
      </c>
      <c r="C15">
        <v>3592</v>
      </c>
      <c r="D15">
        <v>0</v>
      </c>
      <c r="E15">
        <f t="shared" si="0"/>
        <v>0</v>
      </c>
      <c r="F15">
        <v>1090.79</v>
      </c>
      <c r="G15">
        <v>1010417</v>
      </c>
      <c r="H15">
        <v>1090.79</v>
      </c>
      <c r="I15">
        <f t="shared" si="1"/>
        <v>1090.79</v>
      </c>
      <c r="J15">
        <v>0</v>
      </c>
      <c r="K15">
        <f t="shared" si="2"/>
        <v>0</v>
      </c>
      <c r="L15">
        <v>1010417</v>
      </c>
      <c r="M15" t="s">
        <v>21</v>
      </c>
      <c r="N15">
        <v>10.91</v>
      </c>
      <c r="O15">
        <f t="shared" si="3"/>
        <v>10.9079</v>
      </c>
      <c r="P15">
        <v>1079.8800000000001</v>
      </c>
      <c r="Q15">
        <f t="shared" si="4"/>
        <v>1079.8799999999999</v>
      </c>
      <c r="R15" t="s">
        <v>22</v>
      </c>
      <c r="S15">
        <v>1</v>
      </c>
      <c r="U15" s="2">
        <v>46024</v>
      </c>
      <c r="V15" s="2">
        <v>46003</v>
      </c>
      <c r="W15" t="s">
        <v>23</v>
      </c>
      <c r="X15" t="s">
        <v>23</v>
      </c>
      <c r="Y15" s="1">
        <v>45667</v>
      </c>
    </row>
    <row r="16" spans="1:25" x14ac:dyDescent="0.55000000000000004">
      <c r="A16" t="s">
        <v>24</v>
      </c>
      <c r="B16">
        <v>0</v>
      </c>
      <c r="C16">
        <v>1720</v>
      </c>
      <c r="D16">
        <v>0</v>
      </c>
      <c r="E16">
        <f t="shared" si="0"/>
        <v>0</v>
      </c>
      <c r="F16">
        <v>2104.48</v>
      </c>
      <c r="G16">
        <v>1010418</v>
      </c>
      <c r="H16">
        <v>2104.48</v>
      </c>
      <c r="I16">
        <f t="shared" si="1"/>
        <v>2104.48</v>
      </c>
      <c r="J16">
        <v>0</v>
      </c>
      <c r="K16">
        <f t="shared" si="2"/>
        <v>0</v>
      </c>
      <c r="L16">
        <v>1010418</v>
      </c>
      <c r="M16" t="s">
        <v>21</v>
      </c>
      <c r="N16">
        <v>21.04</v>
      </c>
      <c r="O16">
        <f t="shared" si="3"/>
        <v>21.044800000000002</v>
      </c>
      <c r="P16">
        <v>2083.44</v>
      </c>
      <c r="Q16">
        <f t="shared" si="4"/>
        <v>2083.44</v>
      </c>
      <c r="R16" t="s">
        <v>22</v>
      </c>
      <c r="S16">
        <v>1</v>
      </c>
      <c r="U16" s="2">
        <v>46024</v>
      </c>
      <c r="V16" s="2">
        <v>46003</v>
      </c>
      <c r="W16" t="s">
        <v>23</v>
      </c>
      <c r="X16" t="s">
        <v>23</v>
      </c>
      <c r="Y16" s="1">
        <v>45667</v>
      </c>
    </row>
    <row r="17" spans="1:25" x14ac:dyDescent="0.55000000000000004">
      <c r="A17" t="s">
        <v>24</v>
      </c>
      <c r="B17">
        <v>0</v>
      </c>
      <c r="C17">
        <v>3627</v>
      </c>
      <c r="D17">
        <v>0</v>
      </c>
      <c r="E17">
        <f t="shared" si="0"/>
        <v>0</v>
      </c>
      <c r="F17">
        <v>1252.9000000000001</v>
      </c>
      <c r="G17">
        <v>1010419</v>
      </c>
      <c r="H17">
        <v>1252.9000000000001</v>
      </c>
      <c r="I17">
        <f t="shared" si="1"/>
        <v>1252.9000000000001</v>
      </c>
      <c r="J17">
        <v>0</v>
      </c>
      <c r="K17">
        <f t="shared" si="2"/>
        <v>0</v>
      </c>
      <c r="L17">
        <v>1010419</v>
      </c>
      <c r="M17" t="s">
        <v>21</v>
      </c>
      <c r="N17">
        <v>12.53</v>
      </c>
      <c r="O17">
        <f t="shared" si="3"/>
        <v>12.529000000000002</v>
      </c>
      <c r="P17">
        <v>1240.3699999999999</v>
      </c>
      <c r="Q17">
        <f t="shared" si="4"/>
        <v>1240.3700000000001</v>
      </c>
      <c r="R17" t="s">
        <v>22</v>
      </c>
      <c r="S17">
        <v>1</v>
      </c>
      <c r="U17" s="2">
        <v>46024</v>
      </c>
      <c r="V17" s="2">
        <v>46003</v>
      </c>
      <c r="W17" t="s">
        <v>23</v>
      </c>
      <c r="X17" t="s">
        <v>23</v>
      </c>
      <c r="Y17" s="1">
        <v>45667</v>
      </c>
    </row>
    <row r="18" spans="1:25" x14ac:dyDescent="0.55000000000000004">
      <c r="A18" t="s">
        <v>24</v>
      </c>
      <c r="B18">
        <v>0</v>
      </c>
      <c r="C18">
        <v>3550</v>
      </c>
      <c r="D18">
        <v>0</v>
      </c>
      <c r="E18">
        <f t="shared" si="0"/>
        <v>0</v>
      </c>
      <c r="F18">
        <v>1330</v>
      </c>
      <c r="G18">
        <v>1010420</v>
      </c>
      <c r="H18">
        <v>1330</v>
      </c>
      <c r="I18">
        <f t="shared" si="1"/>
        <v>1330</v>
      </c>
      <c r="J18">
        <v>0</v>
      </c>
      <c r="K18">
        <f t="shared" si="2"/>
        <v>0</v>
      </c>
      <c r="L18">
        <v>1010420</v>
      </c>
      <c r="M18" t="s">
        <v>21</v>
      </c>
      <c r="N18">
        <v>13.3</v>
      </c>
      <c r="O18">
        <f t="shared" si="3"/>
        <v>13.3</v>
      </c>
      <c r="P18">
        <v>1316.7</v>
      </c>
      <c r="Q18">
        <f t="shared" si="4"/>
        <v>1316.7</v>
      </c>
      <c r="R18" t="s">
        <v>22</v>
      </c>
      <c r="S18">
        <v>1</v>
      </c>
      <c r="U18" s="2">
        <v>46024</v>
      </c>
      <c r="V18" s="2">
        <v>46003</v>
      </c>
      <c r="W18" t="s">
        <v>23</v>
      </c>
      <c r="X18" t="s">
        <v>23</v>
      </c>
      <c r="Y18" s="1">
        <v>45667</v>
      </c>
    </row>
    <row r="19" spans="1:25" x14ac:dyDescent="0.55000000000000004">
      <c r="A19" t="s">
        <v>25</v>
      </c>
      <c r="B19">
        <v>0.01</v>
      </c>
      <c r="C19">
        <v>3683</v>
      </c>
      <c r="D19">
        <v>15.45</v>
      </c>
      <c r="E19">
        <f t="shared" si="0"/>
        <v>15.451400000000001</v>
      </c>
      <c r="F19">
        <v>1545.14</v>
      </c>
      <c r="G19">
        <v>1010421</v>
      </c>
      <c r="H19">
        <v>1529.69</v>
      </c>
      <c r="I19">
        <f t="shared" si="1"/>
        <v>1529.69</v>
      </c>
      <c r="J19">
        <v>15.45</v>
      </c>
      <c r="K19">
        <f t="shared" si="2"/>
        <v>15.451400000000001</v>
      </c>
      <c r="L19">
        <v>1010421</v>
      </c>
      <c r="M19" t="s">
        <v>21</v>
      </c>
      <c r="N19">
        <v>15.45</v>
      </c>
      <c r="O19">
        <f t="shared" si="3"/>
        <v>15.451400000000001</v>
      </c>
      <c r="P19">
        <v>1514.24</v>
      </c>
      <c r="Q19">
        <f t="shared" si="4"/>
        <v>1514.24</v>
      </c>
      <c r="R19" t="s">
        <v>22</v>
      </c>
      <c r="S19">
        <v>1</v>
      </c>
      <c r="U19" s="2">
        <v>46024</v>
      </c>
      <c r="V19" s="2">
        <v>46003</v>
      </c>
      <c r="W19" t="s">
        <v>23</v>
      </c>
      <c r="X19" t="s">
        <v>23</v>
      </c>
      <c r="Y19" s="1">
        <v>45667</v>
      </c>
    </row>
    <row r="20" spans="1:25" x14ac:dyDescent="0.55000000000000004">
      <c r="A20" t="s">
        <v>25</v>
      </c>
      <c r="B20">
        <v>0.01</v>
      </c>
      <c r="C20">
        <v>3592</v>
      </c>
      <c r="D20">
        <v>20.55</v>
      </c>
      <c r="E20">
        <f t="shared" si="0"/>
        <v>20.551300000000001</v>
      </c>
      <c r="F20">
        <v>2055.13</v>
      </c>
      <c r="G20">
        <v>1010422</v>
      </c>
      <c r="H20">
        <v>2034.58</v>
      </c>
      <c r="I20">
        <f t="shared" si="1"/>
        <v>2034.5800000000002</v>
      </c>
      <c r="J20">
        <v>20.55</v>
      </c>
      <c r="K20">
        <f t="shared" si="2"/>
        <v>20.551300000000001</v>
      </c>
      <c r="L20">
        <v>1010422</v>
      </c>
      <c r="M20" t="s">
        <v>21</v>
      </c>
      <c r="N20">
        <v>20.55</v>
      </c>
      <c r="O20">
        <f t="shared" si="3"/>
        <v>20.551300000000001</v>
      </c>
      <c r="P20">
        <v>2014.03</v>
      </c>
      <c r="Q20">
        <f t="shared" si="4"/>
        <v>2014.0300000000002</v>
      </c>
      <c r="R20" t="s">
        <v>22</v>
      </c>
      <c r="S20">
        <v>1</v>
      </c>
      <c r="U20" s="2">
        <v>46024</v>
      </c>
      <c r="V20" s="2">
        <v>46003</v>
      </c>
      <c r="W20" t="s">
        <v>23</v>
      </c>
      <c r="X20" t="s">
        <v>23</v>
      </c>
      <c r="Y20" s="1">
        <v>45667</v>
      </c>
    </row>
    <row r="21" spans="1:25" x14ac:dyDescent="0.55000000000000004">
      <c r="A21" t="s">
        <v>25</v>
      </c>
      <c r="B21">
        <v>0.01</v>
      </c>
      <c r="C21">
        <v>3004</v>
      </c>
      <c r="D21">
        <v>15.1</v>
      </c>
      <c r="E21">
        <f t="shared" si="0"/>
        <v>15.101900000000001</v>
      </c>
      <c r="F21">
        <v>1510.19</v>
      </c>
      <c r="G21">
        <v>1010423</v>
      </c>
      <c r="H21">
        <v>1495.09</v>
      </c>
      <c r="I21">
        <f t="shared" si="1"/>
        <v>1495.0900000000001</v>
      </c>
      <c r="J21">
        <v>15.1</v>
      </c>
      <c r="K21">
        <f t="shared" si="2"/>
        <v>15.101900000000001</v>
      </c>
      <c r="L21">
        <v>1010423</v>
      </c>
      <c r="M21" t="s">
        <v>21</v>
      </c>
      <c r="N21">
        <v>15.1</v>
      </c>
      <c r="O21">
        <f t="shared" si="3"/>
        <v>15.101900000000001</v>
      </c>
      <c r="P21">
        <v>1479.99</v>
      </c>
      <c r="Q21">
        <f t="shared" si="4"/>
        <v>1479.9900000000002</v>
      </c>
      <c r="R21" t="s">
        <v>22</v>
      </c>
      <c r="S21">
        <v>1</v>
      </c>
      <c r="U21" s="2">
        <v>46024</v>
      </c>
      <c r="V21" s="2">
        <v>46003</v>
      </c>
      <c r="W21" t="s">
        <v>23</v>
      </c>
      <c r="X21" t="s">
        <v>23</v>
      </c>
      <c r="Y21" s="1">
        <v>45667</v>
      </c>
    </row>
    <row r="22" spans="1:25" x14ac:dyDescent="0.55000000000000004">
      <c r="A22" t="s">
        <v>25</v>
      </c>
      <c r="B22">
        <v>0.01</v>
      </c>
      <c r="C22">
        <v>3004</v>
      </c>
      <c r="D22">
        <v>22.99</v>
      </c>
      <c r="E22">
        <f t="shared" si="0"/>
        <v>22.987800000000004</v>
      </c>
      <c r="F22">
        <v>2298.7800000000002</v>
      </c>
      <c r="G22">
        <v>1010424</v>
      </c>
      <c r="H22">
        <v>2275.79</v>
      </c>
      <c r="I22">
        <f t="shared" si="1"/>
        <v>2275.7900000000004</v>
      </c>
      <c r="J22">
        <v>22.99</v>
      </c>
      <c r="K22">
        <f t="shared" si="2"/>
        <v>22.987800000000004</v>
      </c>
      <c r="L22">
        <v>1010424</v>
      </c>
      <c r="M22" t="s">
        <v>21</v>
      </c>
      <c r="N22">
        <v>22.99</v>
      </c>
      <c r="O22">
        <f t="shared" si="3"/>
        <v>22.987800000000004</v>
      </c>
      <c r="P22">
        <v>2252.8000000000002</v>
      </c>
      <c r="Q22">
        <f t="shared" si="4"/>
        <v>2252.8000000000006</v>
      </c>
      <c r="R22" t="s">
        <v>22</v>
      </c>
      <c r="S22">
        <v>1</v>
      </c>
      <c r="U22" s="2">
        <v>46024</v>
      </c>
      <c r="V22" s="2">
        <v>46003</v>
      </c>
      <c r="W22" t="s">
        <v>23</v>
      </c>
      <c r="X22" t="s">
        <v>23</v>
      </c>
      <c r="Y22" s="1">
        <v>45667</v>
      </c>
    </row>
    <row r="23" spans="1:25" x14ac:dyDescent="0.55000000000000004">
      <c r="A23" t="s">
        <v>25</v>
      </c>
      <c r="B23">
        <v>0.01</v>
      </c>
      <c r="C23">
        <v>3004</v>
      </c>
      <c r="D23">
        <v>9.6300000000000008</v>
      </c>
      <c r="E23">
        <f t="shared" si="0"/>
        <v>9.6318999999999999</v>
      </c>
      <c r="F23">
        <v>963.19</v>
      </c>
      <c r="G23">
        <v>1010425</v>
      </c>
      <c r="H23">
        <v>953.56</v>
      </c>
      <c r="I23">
        <f t="shared" si="1"/>
        <v>953.56000000000006</v>
      </c>
      <c r="J23">
        <v>9.6300000000000008</v>
      </c>
      <c r="K23">
        <f t="shared" si="2"/>
        <v>9.6318999999999999</v>
      </c>
      <c r="L23">
        <v>1010425</v>
      </c>
      <c r="M23" t="s">
        <v>21</v>
      </c>
      <c r="N23">
        <v>9.6300000000000008</v>
      </c>
      <c r="O23">
        <f t="shared" si="3"/>
        <v>9.6318999999999999</v>
      </c>
      <c r="P23">
        <v>943.93</v>
      </c>
      <c r="Q23">
        <f t="shared" si="4"/>
        <v>943.93000000000006</v>
      </c>
      <c r="R23" t="s">
        <v>22</v>
      </c>
      <c r="S23">
        <v>1</v>
      </c>
      <c r="U23" s="2">
        <v>46024</v>
      </c>
      <c r="V23" s="2">
        <v>46003</v>
      </c>
      <c r="W23" t="s">
        <v>23</v>
      </c>
      <c r="X23" t="s">
        <v>23</v>
      </c>
      <c r="Y23" s="1">
        <v>45667</v>
      </c>
    </row>
    <row r="24" spans="1:25" x14ac:dyDescent="0.55000000000000004">
      <c r="A24" t="s">
        <v>25</v>
      </c>
      <c r="B24">
        <v>0.01</v>
      </c>
      <c r="C24">
        <v>3046</v>
      </c>
      <c r="D24">
        <v>19.260000000000002</v>
      </c>
      <c r="E24">
        <f t="shared" si="0"/>
        <v>19.2638</v>
      </c>
      <c r="F24">
        <v>1926.38</v>
      </c>
      <c r="G24">
        <v>1010426</v>
      </c>
      <c r="H24">
        <v>1907.12</v>
      </c>
      <c r="I24">
        <f t="shared" si="1"/>
        <v>1907.1200000000001</v>
      </c>
      <c r="J24">
        <v>19.260000000000002</v>
      </c>
      <c r="K24">
        <f t="shared" si="2"/>
        <v>19.2638</v>
      </c>
      <c r="L24">
        <v>1010426</v>
      </c>
      <c r="M24" t="s">
        <v>21</v>
      </c>
      <c r="N24">
        <v>19.260000000000002</v>
      </c>
      <c r="O24">
        <f t="shared" si="3"/>
        <v>19.2638</v>
      </c>
      <c r="P24">
        <v>1887.85</v>
      </c>
      <c r="Q24">
        <f t="shared" si="4"/>
        <v>1887.8600000000001</v>
      </c>
      <c r="R24" t="s">
        <v>22</v>
      </c>
      <c r="S24">
        <v>1</v>
      </c>
      <c r="U24" s="2">
        <v>46024</v>
      </c>
      <c r="V24" s="2">
        <v>46003</v>
      </c>
      <c r="W24" t="s">
        <v>23</v>
      </c>
      <c r="X24" t="s">
        <v>23</v>
      </c>
      <c r="Y24" s="1">
        <v>45667</v>
      </c>
    </row>
    <row r="25" spans="1:25" x14ac:dyDescent="0.55000000000000004">
      <c r="A25" t="s">
        <v>25</v>
      </c>
      <c r="B25">
        <v>0.01</v>
      </c>
      <c r="C25">
        <v>3641</v>
      </c>
      <c r="D25">
        <v>9.6300000000000008</v>
      </c>
      <c r="E25">
        <f t="shared" si="0"/>
        <v>9.6318999999999999</v>
      </c>
      <c r="F25">
        <v>963.19</v>
      </c>
      <c r="G25">
        <v>1010427</v>
      </c>
      <c r="H25">
        <v>953.56</v>
      </c>
      <c r="I25">
        <f t="shared" si="1"/>
        <v>953.56000000000006</v>
      </c>
      <c r="J25">
        <v>9.6300000000000008</v>
      </c>
      <c r="K25">
        <f t="shared" si="2"/>
        <v>9.6318999999999999</v>
      </c>
      <c r="L25">
        <v>1010427</v>
      </c>
      <c r="M25" t="s">
        <v>21</v>
      </c>
      <c r="N25">
        <v>9.6300000000000008</v>
      </c>
      <c r="O25">
        <f t="shared" si="3"/>
        <v>9.6318999999999999</v>
      </c>
      <c r="P25">
        <v>943.93</v>
      </c>
      <c r="Q25">
        <f t="shared" si="4"/>
        <v>943.93000000000006</v>
      </c>
      <c r="R25" t="s">
        <v>22</v>
      </c>
      <c r="S25">
        <v>1</v>
      </c>
      <c r="U25" s="2">
        <v>46024</v>
      </c>
      <c r="V25" s="2">
        <v>46003</v>
      </c>
      <c r="W25" t="s">
        <v>23</v>
      </c>
      <c r="X25" t="s">
        <v>23</v>
      </c>
      <c r="Y25" s="1">
        <v>45667</v>
      </c>
    </row>
    <row r="26" spans="1:25" x14ac:dyDescent="0.55000000000000004">
      <c r="A26" t="s">
        <v>25</v>
      </c>
      <c r="B26">
        <v>0.01</v>
      </c>
      <c r="C26">
        <v>3641</v>
      </c>
      <c r="D26">
        <v>21.73</v>
      </c>
      <c r="E26">
        <f t="shared" si="0"/>
        <v>21.727</v>
      </c>
      <c r="F26">
        <v>2172.6999999999998</v>
      </c>
      <c r="G26">
        <v>1010428</v>
      </c>
      <c r="H26">
        <v>2150.9699999999998</v>
      </c>
      <c r="I26">
        <f t="shared" si="1"/>
        <v>2150.9699999999998</v>
      </c>
      <c r="J26">
        <v>21.73</v>
      </c>
      <c r="K26">
        <f t="shared" si="2"/>
        <v>21.727</v>
      </c>
      <c r="L26">
        <v>1010428</v>
      </c>
      <c r="M26" t="s">
        <v>21</v>
      </c>
      <c r="N26">
        <v>21.73</v>
      </c>
      <c r="O26">
        <f t="shared" si="3"/>
        <v>21.727</v>
      </c>
      <c r="P26">
        <v>2129.25</v>
      </c>
      <c r="Q26">
        <f t="shared" si="4"/>
        <v>2129.2399999999998</v>
      </c>
      <c r="R26" t="s">
        <v>22</v>
      </c>
      <c r="S26">
        <v>1</v>
      </c>
      <c r="U26" s="2">
        <v>46024</v>
      </c>
      <c r="V26" s="2">
        <v>46003</v>
      </c>
      <c r="W26" t="s">
        <v>23</v>
      </c>
      <c r="X26" t="s">
        <v>23</v>
      </c>
      <c r="Y26" s="1">
        <v>45667</v>
      </c>
    </row>
    <row r="27" spans="1:25" x14ac:dyDescent="0.55000000000000004">
      <c r="A27" t="s">
        <v>25</v>
      </c>
      <c r="B27">
        <v>0.01</v>
      </c>
      <c r="C27">
        <v>3641</v>
      </c>
      <c r="D27">
        <v>49.09</v>
      </c>
      <c r="E27">
        <f t="shared" si="0"/>
        <v>49.0946</v>
      </c>
      <c r="F27">
        <v>4909.46</v>
      </c>
      <c r="G27">
        <v>1010429</v>
      </c>
      <c r="H27">
        <v>4860.37</v>
      </c>
      <c r="I27">
        <f t="shared" si="1"/>
        <v>4860.37</v>
      </c>
      <c r="J27">
        <v>49.09</v>
      </c>
      <c r="K27">
        <f t="shared" si="2"/>
        <v>49.0946</v>
      </c>
      <c r="L27">
        <v>1010429</v>
      </c>
      <c r="M27" t="s">
        <v>21</v>
      </c>
      <c r="N27">
        <v>49.09</v>
      </c>
      <c r="O27">
        <f t="shared" si="3"/>
        <v>49.0946</v>
      </c>
      <c r="P27">
        <v>4811.2700000000004</v>
      </c>
      <c r="Q27">
        <f t="shared" si="4"/>
        <v>4811.28</v>
      </c>
      <c r="R27" t="s">
        <v>22</v>
      </c>
      <c r="S27">
        <v>1</v>
      </c>
      <c r="U27" s="2">
        <v>46024</v>
      </c>
      <c r="V27" s="2">
        <v>46003</v>
      </c>
      <c r="W27" t="s">
        <v>23</v>
      </c>
      <c r="X27" t="s">
        <v>23</v>
      </c>
      <c r="Y27" s="1">
        <v>45667</v>
      </c>
    </row>
    <row r="28" spans="1:25" x14ac:dyDescent="0.55000000000000004">
      <c r="A28" t="s">
        <v>25</v>
      </c>
      <c r="B28">
        <v>0.01</v>
      </c>
      <c r="C28">
        <v>3081</v>
      </c>
      <c r="D28">
        <v>39.46</v>
      </c>
      <c r="E28">
        <f t="shared" si="0"/>
        <v>39.457600000000006</v>
      </c>
      <c r="F28">
        <v>3945.76</v>
      </c>
      <c r="G28">
        <v>1010430</v>
      </c>
      <c r="H28">
        <v>3906.3</v>
      </c>
      <c r="I28">
        <f t="shared" si="1"/>
        <v>3906.3</v>
      </c>
      <c r="J28">
        <v>39.46</v>
      </c>
      <c r="K28">
        <f t="shared" si="2"/>
        <v>39.457600000000006</v>
      </c>
      <c r="L28">
        <v>1010430</v>
      </c>
      <c r="M28" t="s">
        <v>21</v>
      </c>
      <c r="N28">
        <v>39.46</v>
      </c>
      <c r="O28">
        <f t="shared" si="3"/>
        <v>39.457600000000006</v>
      </c>
      <c r="P28">
        <v>3866.84</v>
      </c>
      <c r="Q28">
        <f t="shared" si="4"/>
        <v>3866.84</v>
      </c>
      <c r="R28" t="s">
        <v>22</v>
      </c>
      <c r="S28">
        <v>1</v>
      </c>
      <c r="U28" s="2">
        <v>46024</v>
      </c>
      <c r="V28" s="2">
        <v>46003</v>
      </c>
      <c r="W28" t="s">
        <v>23</v>
      </c>
      <c r="X28" t="s">
        <v>23</v>
      </c>
      <c r="Y28" s="1">
        <v>45667</v>
      </c>
    </row>
    <row r="29" spans="1:25" x14ac:dyDescent="0.55000000000000004">
      <c r="A29" t="s">
        <v>26</v>
      </c>
      <c r="B29">
        <v>0.05</v>
      </c>
      <c r="C29">
        <v>3718</v>
      </c>
      <c r="D29">
        <v>66.92</v>
      </c>
      <c r="E29">
        <f t="shared" si="0"/>
        <v>66.924999999999997</v>
      </c>
      <c r="F29">
        <v>1338.5</v>
      </c>
      <c r="G29">
        <v>1010431</v>
      </c>
      <c r="H29">
        <v>1271.58</v>
      </c>
      <c r="I29">
        <f t="shared" si="1"/>
        <v>1271.58</v>
      </c>
      <c r="J29">
        <v>66.92</v>
      </c>
      <c r="K29">
        <f t="shared" si="2"/>
        <v>66.924999999999997</v>
      </c>
      <c r="L29">
        <v>1010431</v>
      </c>
      <c r="M29" t="s">
        <v>21</v>
      </c>
      <c r="N29">
        <v>13.38</v>
      </c>
      <c r="O29">
        <f t="shared" si="3"/>
        <v>13.385</v>
      </c>
      <c r="P29">
        <v>1258.19</v>
      </c>
      <c r="Q29">
        <f t="shared" si="4"/>
        <v>1258.1999999999998</v>
      </c>
      <c r="R29" t="s">
        <v>22</v>
      </c>
      <c r="S29">
        <v>1</v>
      </c>
      <c r="U29" s="2">
        <v>46024</v>
      </c>
      <c r="V29" s="2">
        <v>46003</v>
      </c>
      <c r="W29" t="s">
        <v>23</v>
      </c>
      <c r="X29" t="s">
        <v>23</v>
      </c>
      <c r="Y29" s="1">
        <v>45667</v>
      </c>
    </row>
    <row r="30" spans="1:25" x14ac:dyDescent="0.55000000000000004">
      <c r="A30" t="s">
        <v>25</v>
      </c>
      <c r="B30">
        <v>0.01</v>
      </c>
      <c r="C30">
        <v>3718</v>
      </c>
      <c r="D30">
        <v>216.78</v>
      </c>
      <c r="E30">
        <f t="shared" si="0"/>
        <v>216.78049999999999</v>
      </c>
      <c r="F30">
        <v>21678.05</v>
      </c>
      <c r="G30">
        <v>1010432</v>
      </c>
      <c r="H30">
        <v>21461.27</v>
      </c>
      <c r="I30">
        <f t="shared" si="1"/>
        <v>21461.27</v>
      </c>
      <c r="J30">
        <v>216.78</v>
      </c>
      <c r="K30">
        <f t="shared" si="2"/>
        <v>216.78049999999999</v>
      </c>
      <c r="L30">
        <v>1010432</v>
      </c>
      <c r="M30" t="s">
        <v>21</v>
      </c>
      <c r="N30">
        <v>216.78</v>
      </c>
      <c r="O30">
        <f t="shared" si="3"/>
        <v>216.78049999999999</v>
      </c>
      <c r="P30">
        <v>21244.49</v>
      </c>
      <c r="Q30">
        <f t="shared" si="4"/>
        <v>21244.49</v>
      </c>
      <c r="R30" t="s">
        <v>22</v>
      </c>
      <c r="S30">
        <v>1</v>
      </c>
      <c r="U30" s="2">
        <v>46024</v>
      </c>
      <c r="V30" s="2">
        <v>46003</v>
      </c>
      <c r="W30" t="s">
        <v>23</v>
      </c>
      <c r="X30" t="s">
        <v>23</v>
      </c>
      <c r="Y30" s="1">
        <v>45667</v>
      </c>
    </row>
    <row r="31" spans="1:25" x14ac:dyDescent="0.55000000000000004">
      <c r="A31" t="s">
        <v>25</v>
      </c>
      <c r="B31">
        <v>0.01</v>
      </c>
      <c r="C31">
        <v>3718</v>
      </c>
      <c r="D31">
        <v>239.61</v>
      </c>
      <c r="E31">
        <f t="shared" si="0"/>
        <v>239.61279999999999</v>
      </c>
      <c r="F31">
        <v>23961.279999999999</v>
      </c>
      <c r="G31">
        <v>1010433</v>
      </c>
      <c r="H31">
        <v>23721.67</v>
      </c>
      <c r="I31">
        <f t="shared" si="1"/>
        <v>23721.67</v>
      </c>
      <c r="J31">
        <v>239.61</v>
      </c>
      <c r="K31">
        <f t="shared" si="2"/>
        <v>239.61279999999999</v>
      </c>
      <c r="L31">
        <v>1010433</v>
      </c>
      <c r="M31" t="s">
        <v>21</v>
      </c>
      <c r="N31">
        <v>239.61</v>
      </c>
      <c r="O31">
        <f t="shared" si="3"/>
        <v>239.61279999999999</v>
      </c>
      <c r="P31">
        <v>23482.05</v>
      </c>
      <c r="Q31">
        <f t="shared" si="4"/>
        <v>23482.059999999998</v>
      </c>
      <c r="R31" t="s">
        <v>22</v>
      </c>
      <c r="S31">
        <v>1</v>
      </c>
      <c r="U31" s="2">
        <v>46024</v>
      </c>
      <c r="V31" s="2">
        <v>46003</v>
      </c>
      <c r="W31" t="s">
        <v>23</v>
      </c>
      <c r="X31" t="s">
        <v>23</v>
      </c>
      <c r="Y31" s="1">
        <v>45667</v>
      </c>
    </row>
    <row r="32" spans="1:25" x14ac:dyDescent="0.55000000000000004">
      <c r="A32" t="s">
        <v>25</v>
      </c>
      <c r="B32">
        <v>0.01</v>
      </c>
      <c r="C32">
        <v>1810</v>
      </c>
      <c r="D32">
        <v>452.79</v>
      </c>
      <c r="E32">
        <f t="shared" si="0"/>
        <v>452.78890000000001</v>
      </c>
      <c r="F32">
        <v>45278.89</v>
      </c>
      <c r="G32">
        <v>1010434</v>
      </c>
      <c r="H32">
        <v>44826.1</v>
      </c>
      <c r="I32">
        <f t="shared" si="1"/>
        <v>44826.1</v>
      </c>
      <c r="J32">
        <v>452.79</v>
      </c>
      <c r="K32">
        <f t="shared" si="2"/>
        <v>452.78890000000001</v>
      </c>
      <c r="L32">
        <v>1010434</v>
      </c>
      <c r="M32" t="s">
        <v>21</v>
      </c>
      <c r="N32">
        <v>452.79</v>
      </c>
      <c r="O32">
        <f t="shared" si="3"/>
        <v>452.78890000000001</v>
      </c>
      <c r="P32">
        <v>44373.31</v>
      </c>
      <c r="Q32">
        <f t="shared" si="4"/>
        <v>44373.31</v>
      </c>
      <c r="R32" t="s">
        <v>22</v>
      </c>
      <c r="S32">
        <v>1</v>
      </c>
      <c r="U32" s="2">
        <v>46024</v>
      </c>
      <c r="V32" s="2">
        <v>46003</v>
      </c>
      <c r="W32" t="s">
        <v>23</v>
      </c>
      <c r="X32" t="s">
        <v>23</v>
      </c>
      <c r="Y32" s="1">
        <v>45667</v>
      </c>
    </row>
    <row r="33" spans="1:25" x14ac:dyDescent="0.55000000000000004">
      <c r="A33" t="s">
        <v>25</v>
      </c>
      <c r="B33">
        <v>0.01</v>
      </c>
      <c r="C33">
        <v>1747</v>
      </c>
      <c r="D33">
        <v>128.32</v>
      </c>
      <c r="E33">
        <f t="shared" si="0"/>
        <v>128.322</v>
      </c>
      <c r="F33">
        <v>12832.2</v>
      </c>
      <c r="G33">
        <v>1010436</v>
      </c>
      <c r="H33">
        <v>12703.88</v>
      </c>
      <c r="I33">
        <f t="shared" si="1"/>
        <v>12703.880000000001</v>
      </c>
      <c r="J33">
        <v>128.32</v>
      </c>
      <c r="K33">
        <f t="shared" si="2"/>
        <v>128.322</v>
      </c>
      <c r="L33">
        <v>1010436</v>
      </c>
      <c r="M33" t="s">
        <v>21</v>
      </c>
      <c r="N33">
        <v>128.32</v>
      </c>
      <c r="O33">
        <f t="shared" si="3"/>
        <v>128.322</v>
      </c>
      <c r="P33">
        <v>12575.56</v>
      </c>
      <c r="Q33">
        <f t="shared" si="4"/>
        <v>12575.560000000001</v>
      </c>
      <c r="R33" t="s">
        <v>22</v>
      </c>
      <c r="S33">
        <v>1</v>
      </c>
      <c r="U33" s="2">
        <v>46024</v>
      </c>
      <c r="V33" s="2">
        <v>46003</v>
      </c>
      <c r="W33" t="s">
        <v>23</v>
      </c>
      <c r="X33" t="s">
        <v>23</v>
      </c>
      <c r="Y33" s="1">
        <v>45667</v>
      </c>
    </row>
    <row r="34" spans="1:25" x14ac:dyDescent="0.55000000000000004">
      <c r="A34" t="s">
        <v>25</v>
      </c>
      <c r="B34">
        <v>0.01</v>
      </c>
      <c r="C34">
        <v>2941</v>
      </c>
      <c r="D34">
        <v>56.7</v>
      </c>
      <c r="E34">
        <f t="shared" si="0"/>
        <v>56.702700000000007</v>
      </c>
      <c r="F34">
        <v>5670.27</v>
      </c>
      <c r="G34">
        <v>1010437</v>
      </c>
      <c r="H34">
        <v>5613.57</v>
      </c>
      <c r="I34">
        <f t="shared" si="1"/>
        <v>5613.5700000000006</v>
      </c>
      <c r="J34">
        <v>56.7</v>
      </c>
      <c r="K34">
        <f t="shared" si="2"/>
        <v>56.702700000000007</v>
      </c>
      <c r="L34">
        <v>1010437</v>
      </c>
      <c r="M34" t="s">
        <v>21</v>
      </c>
      <c r="N34">
        <v>56.7</v>
      </c>
      <c r="O34">
        <f t="shared" si="3"/>
        <v>56.702700000000007</v>
      </c>
      <c r="P34">
        <v>5556.86</v>
      </c>
      <c r="Q34">
        <f t="shared" si="4"/>
        <v>5556.8700000000008</v>
      </c>
      <c r="R34" t="s">
        <v>22</v>
      </c>
      <c r="S34">
        <v>1</v>
      </c>
      <c r="U34" s="2">
        <v>46024</v>
      </c>
      <c r="V34" s="2">
        <v>46003</v>
      </c>
      <c r="W34" t="s">
        <v>23</v>
      </c>
      <c r="X34" t="s">
        <v>23</v>
      </c>
      <c r="Y34" s="1">
        <v>45667</v>
      </c>
    </row>
    <row r="35" spans="1:25" x14ac:dyDescent="0.55000000000000004">
      <c r="A35" t="s">
        <v>25</v>
      </c>
      <c r="B35">
        <v>0.01</v>
      </c>
      <c r="C35">
        <v>3900</v>
      </c>
      <c r="D35">
        <v>7.54</v>
      </c>
      <c r="E35">
        <f t="shared" si="0"/>
        <v>7.5364000000000004</v>
      </c>
      <c r="F35">
        <v>753.64</v>
      </c>
      <c r="G35">
        <v>1010438</v>
      </c>
      <c r="H35">
        <v>746.1</v>
      </c>
      <c r="I35">
        <f t="shared" si="1"/>
        <v>746.1</v>
      </c>
      <c r="J35">
        <v>7.54</v>
      </c>
      <c r="K35">
        <f t="shared" si="2"/>
        <v>7.5364000000000004</v>
      </c>
      <c r="L35">
        <v>1010438</v>
      </c>
      <c r="M35" t="s">
        <v>21</v>
      </c>
      <c r="N35">
        <v>7.54</v>
      </c>
      <c r="O35">
        <f t="shared" si="3"/>
        <v>7.5364000000000004</v>
      </c>
      <c r="P35">
        <v>738.57</v>
      </c>
      <c r="Q35">
        <f t="shared" si="4"/>
        <v>738.56000000000006</v>
      </c>
      <c r="R35" t="s">
        <v>22</v>
      </c>
      <c r="S35">
        <v>1</v>
      </c>
      <c r="U35" s="2">
        <v>46024</v>
      </c>
      <c r="V35" s="2">
        <v>46003</v>
      </c>
      <c r="W35" t="s">
        <v>23</v>
      </c>
      <c r="X35" t="s">
        <v>23</v>
      </c>
      <c r="Y35" s="1">
        <v>45667</v>
      </c>
    </row>
    <row r="36" spans="1:25" x14ac:dyDescent="0.55000000000000004">
      <c r="A36" t="s">
        <v>25</v>
      </c>
      <c r="B36">
        <v>0.01</v>
      </c>
      <c r="C36">
        <v>3550</v>
      </c>
      <c r="D36">
        <v>45.37</v>
      </c>
      <c r="E36">
        <f t="shared" si="0"/>
        <v>45.374700000000004</v>
      </c>
      <c r="F36">
        <v>4537.47</v>
      </c>
      <c r="G36">
        <v>1010439</v>
      </c>
      <c r="H36">
        <v>4492.1000000000004</v>
      </c>
      <c r="I36">
        <f t="shared" si="1"/>
        <v>4492.1000000000004</v>
      </c>
      <c r="J36">
        <v>45.37</v>
      </c>
      <c r="K36">
        <f t="shared" si="2"/>
        <v>45.374700000000004</v>
      </c>
      <c r="L36">
        <v>1010439</v>
      </c>
      <c r="M36" t="s">
        <v>21</v>
      </c>
      <c r="N36">
        <v>45.37</v>
      </c>
      <c r="O36">
        <f t="shared" si="3"/>
        <v>45.374700000000004</v>
      </c>
      <c r="P36">
        <v>4446.72</v>
      </c>
      <c r="Q36">
        <f t="shared" si="4"/>
        <v>4446.7300000000005</v>
      </c>
      <c r="R36" t="s">
        <v>22</v>
      </c>
      <c r="S36">
        <v>1</v>
      </c>
      <c r="U36" s="2">
        <v>46024</v>
      </c>
      <c r="V36" s="2">
        <v>46003</v>
      </c>
      <c r="W36" t="s">
        <v>23</v>
      </c>
      <c r="X36" t="s">
        <v>23</v>
      </c>
      <c r="Y36" s="1">
        <v>45667</v>
      </c>
    </row>
    <row r="37" spans="1:25" x14ac:dyDescent="0.55000000000000004">
      <c r="A37" t="s">
        <v>25</v>
      </c>
      <c r="B37">
        <v>0.01</v>
      </c>
      <c r="C37">
        <v>3228</v>
      </c>
      <c r="D37">
        <v>30.15</v>
      </c>
      <c r="E37">
        <f t="shared" si="0"/>
        <v>30.145600000000002</v>
      </c>
      <c r="F37">
        <v>3014.56</v>
      </c>
      <c r="G37">
        <v>1010440</v>
      </c>
      <c r="H37">
        <v>2984.41</v>
      </c>
      <c r="I37">
        <f t="shared" si="1"/>
        <v>2984.41</v>
      </c>
      <c r="J37">
        <v>30.15</v>
      </c>
      <c r="K37">
        <f t="shared" si="2"/>
        <v>30.145600000000002</v>
      </c>
      <c r="L37">
        <v>1010440</v>
      </c>
      <c r="M37" t="s">
        <v>21</v>
      </c>
      <c r="N37">
        <v>30.15</v>
      </c>
      <c r="O37">
        <f t="shared" si="3"/>
        <v>30.145600000000002</v>
      </c>
      <c r="P37">
        <v>2954.27</v>
      </c>
      <c r="Q37">
        <f t="shared" si="4"/>
        <v>2954.2599999999998</v>
      </c>
      <c r="R37" t="s">
        <v>22</v>
      </c>
      <c r="S37">
        <v>1</v>
      </c>
      <c r="U37" s="2">
        <v>46024</v>
      </c>
      <c r="V37" s="2">
        <v>46003</v>
      </c>
      <c r="W37" t="s">
        <v>23</v>
      </c>
      <c r="X37" t="s">
        <v>23</v>
      </c>
      <c r="Y37" s="1">
        <v>45667</v>
      </c>
    </row>
    <row r="38" spans="1:25" x14ac:dyDescent="0.55000000000000004">
      <c r="A38" t="s">
        <v>25</v>
      </c>
      <c r="B38">
        <v>0.01</v>
      </c>
      <c r="C38">
        <v>3802</v>
      </c>
      <c r="D38">
        <v>180.87</v>
      </c>
      <c r="E38">
        <f t="shared" si="0"/>
        <v>180.87360000000001</v>
      </c>
      <c r="F38">
        <v>18087.36</v>
      </c>
      <c r="G38">
        <v>1010441</v>
      </c>
      <c r="H38">
        <v>17906.490000000002</v>
      </c>
      <c r="I38">
        <f t="shared" si="1"/>
        <v>17906.490000000002</v>
      </c>
      <c r="J38">
        <v>180.87</v>
      </c>
      <c r="K38">
        <f t="shared" si="2"/>
        <v>180.87360000000001</v>
      </c>
      <c r="L38">
        <v>1010441</v>
      </c>
      <c r="M38" t="s">
        <v>21</v>
      </c>
      <c r="N38">
        <v>180.87</v>
      </c>
      <c r="O38">
        <f t="shared" si="3"/>
        <v>180.87360000000001</v>
      </c>
      <c r="P38">
        <v>17725.61</v>
      </c>
      <c r="Q38">
        <f t="shared" si="4"/>
        <v>17725.620000000003</v>
      </c>
      <c r="R38" t="s">
        <v>22</v>
      </c>
      <c r="S38">
        <v>1</v>
      </c>
      <c r="U38" s="2">
        <v>46024</v>
      </c>
      <c r="V38" s="2">
        <v>46003</v>
      </c>
      <c r="W38" t="s">
        <v>23</v>
      </c>
      <c r="X38" t="s">
        <v>23</v>
      </c>
      <c r="Y38" s="1">
        <v>45667</v>
      </c>
    </row>
    <row r="39" spans="1:25" x14ac:dyDescent="0.55000000000000004">
      <c r="A39" t="s">
        <v>26</v>
      </c>
      <c r="B39">
        <v>0.05</v>
      </c>
      <c r="C39">
        <v>3662</v>
      </c>
      <c r="D39">
        <v>66.92</v>
      </c>
      <c r="E39">
        <f t="shared" si="0"/>
        <v>66.924999999999997</v>
      </c>
      <c r="F39">
        <v>1338.5</v>
      </c>
      <c r="G39">
        <v>1010442</v>
      </c>
      <c r="H39">
        <v>1271.58</v>
      </c>
      <c r="I39">
        <f t="shared" si="1"/>
        <v>1271.58</v>
      </c>
      <c r="J39">
        <v>66.92</v>
      </c>
      <c r="K39">
        <f t="shared" si="2"/>
        <v>66.924999999999997</v>
      </c>
      <c r="L39">
        <v>1010442</v>
      </c>
      <c r="M39" t="s">
        <v>21</v>
      </c>
      <c r="N39">
        <v>13.38</v>
      </c>
      <c r="O39">
        <f t="shared" si="3"/>
        <v>13.385</v>
      </c>
      <c r="P39">
        <v>1258.19</v>
      </c>
      <c r="Q39">
        <f t="shared" si="4"/>
        <v>1258.1999999999998</v>
      </c>
      <c r="R39" t="s">
        <v>22</v>
      </c>
      <c r="S39">
        <v>1</v>
      </c>
      <c r="U39" s="2">
        <v>46024</v>
      </c>
      <c r="V39" s="2">
        <v>46003</v>
      </c>
      <c r="W39" t="s">
        <v>23</v>
      </c>
      <c r="X39" t="s">
        <v>23</v>
      </c>
      <c r="Y39" s="1">
        <v>45667</v>
      </c>
    </row>
    <row r="40" spans="1:25" x14ac:dyDescent="0.55000000000000004">
      <c r="A40" t="s">
        <v>26</v>
      </c>
      <c r="B40">
        <v>0.05</v>
      </c>
      <c r="C40">
        <v>3662</v>
      </c>
      <c r="D40">
        <v>66.92</v>
      </c>
      <c r="E40">
        <f t="shared" si="0"/>
        <v>66.924999999999997</v>
      </c>
      <c r="F40">
        <v>1338.5</v>
      </c>
      <c r="G40">
        <v>1010443</v>
      </c>
      <c r="H40">
        <v>1271.58</v>
      </c>
      <c r="I40">
        <f t="shared" si="1"/>
        <v>1271.58</v>
      </c>
      <c r="J40">
        <v>66.92</v>
      </c>
      <c r="K40">
        <f t="shared" si="2"/>
        <v>66.924999999999997</v>
      </c>
      <c r="L40">
        <v>1010443</v>
      </c>
      <c r="M40" t="s">
        <v>21</v>
      </c>
      <c r="N40">
        <v>13.38</v>
      </c>
      <c r="O40">
        <f t="shared" si="3"/>
        <v>13.385</v>
      </c>
      <c r="P40">
        <v>1258.19</v>
      </c>
      <c r="Q40">
        <f t="shared" si="4"/>
        <v>1258.1999999999998</v>
      </c>
      <c r="R40" t="s">
        <v>22</v>
      </c>
      <c r="S40">
        <v>1</v>
      </c>
      <c r="U40" s="2">
        <v>46024</v>
      </c>
      <c r="V40" s="2">
        <v>46003</v>
      </c>
      <c r="W40" t="s">
        <v>23</v>
      </c>
      <c r="X40" t="s">
        <v>23</v>
      </c>
      <c r="Y40" s="1">
        <v>45667</v>
      </c>
    </row>
    <row r="41" spans="1:25" x14ac:dyDescent="0.55000000000000004">
      <c r="A41" t="s">
        <v>26</v>
      </c>
      <c r="B41">
        <v>0.05</v>
      </c>
      <c r="C41">
        <v>3662</v>
      </c>
      <c r="D41">
        <v>66.92</v>
      </c>
      <c r="E41">
        <f t="shared" si="0"/>
        <v>66.924999999999997</v>
      </c>
      <c r="F41">
        <v>1338.5</v>
      </c>
      <c r="G41">
        <v>1010444</v>
      </c>
      <c r="H41">
        <v>1271.58</v>
      </c>
      <c r="I41">
        <f t="shared" si="1"/>
        <v>1271.58</v>
      </c>
      <c r="J41">
        <v>66.92</v>
      </c>
      <c r="K41">
        <f t="shared" si="2"/>
        <v>66.924999999999997</v>
      </c>
      <c r="L41">
        <v>1010444</v>
      </c>
      <c r="M41" t="s">
        <v>21</v>
      </c>
      <c r="N41">
        <v>13.38</v>
      </c>
      <c r="O41">
        <f t="shared" si="3"/>
        <v>13.385</v>
      </c>
      <c r="P41">
        <v>1258.19</v>
      </c>
      <c r="Q41">
        <f t="shared" si="4"/>
        <v>1258.1999999999998</v>
      </c>
      <c r="R41" t="s">
        <v>22</v>
      </c>
      <c r="S41">
        <v>1</v>
      </c>
      <c r="U41" s="2">
        <v>46024</v>
      </c>
      <c r="V41" s="2">
        <v>46003</v>
      </c>
      <c r="W41" t="s">
        <v>23</v>
      </c>
      <c r="X41" t="s">
        <v>23</v>
      </c>
      <c r="Y41" s="1">
        <v>45667</v>
      </c>
    </row>
    <row r="42" spans="1:25" x14ac:dyDescent="0.55000000000000004">
      <c r="A42" t="s">
        <v>26</v>
      </c>
      <c r="B42">
        <v>0.05</v>
      </c>
      <c r="C42">
        <v>3662</v>
      </c>
      <c r="D42">
        <v>66.92</v>
      </c>
      <c r="E42">
        <f t="shared" si="0"/>
        <v>66.924999999999997</v>
      </c>
      <c r="F42">
        <v>1338.5</v>
      </c>
      <c r="G42">
        <v>1010445</v>
      </c>
      <c r="H42">
        <v>1271.58</v>
      </c>
      <c r="I42">
        <f t="shared" si="1"/>
        <v>1271.58</v>
      </c>
      <c r="J42">
        <v>66.92</v>
      </c>
      <c r="K42">
        <f t="shared" si="2"/>
        <v>66.924999999999997</v>
      </c>
      <c r="L42">
        <v>1010445</v>
      </c>
      <c r="M42" t="s">
        <v>21</v>
      </c>
      <c r="N42">
        <v>13.38</v>
      </c>
      <c r="O42">
        <f t="shared" si="3"/>
        <v>13.385</v>
      </c>
      <c r="P42">
        <v>1258.19</v>
      </c>
      <c r="Q42">
        <f t="shared" si="4"/>
        <v>1258.1999999999998</v>
      </c>
      <c r="R42" t="s">
        <v>22</v>
      </c>
      <c r="S42">
        <v>1</v>
      </c>
      <c r="U42" s="2">
        <v>46024</v>
      </c>
      <c r="V42" s="2">
        <v>46003</v>
      </c>
      <c r="W42" t="s">
        <v>23</v>
      </c>
      <c r="X42" t="s">
        <v>23</v>
      </c>
      <c r="Y42" s="1">
        <v>45667</v>
      </c>
    </row>
    <row r="43" spans="1:25" x14ac:dyDescent="0.55000000000000004">
      <c r="A43" t="s">
        <v>25</v>
      </c>
      <c r="B43">
        <v>0.01</v>
      </c>
      <c r="C43">
        <v>2766</v>
      </c>
      <c r="D43">
        <v>84.31</v>
      </c>
      <c r="E43">
        <f t="shared" si="0"/>
        <v>84.307400000000001</v>
      </c>
      <c r="F43">
        <v>8430.74</v>
      </c>
      <c r="G43">
        <v>1010446</v>
      </c>
      <c r="H43">
        <v>8346.43</v>
      </c>
      <c r="I43">
        <f t="shared" si="1"/>
        <v>8346.43</v>
      </c>
      <c r="J43">
        <v>84.31</v>
      </c>
      <c r="K43">
        <f t="shared" si="2"/>
        <v>84.307400000000001</v>
      </c>
      <c r="L43">
        <v>1010446</v>
      </c>
      <c r="M43" t="s">
        <v>21</v>
      </c>
      <c r="N43">
        <v>84.31</v>
      </c>
      <c r="O43">
        <f t="shared" si="3"/>
        <v>84.307400000000001</v>
      </c>
      <c r="P43">
        <v>8262.1299999999992</v>
      </c>
      <c r="Q43">
        <f t="shared" si="4"/>
        <v>8262.1200000000008</v>
      </c>
      <c r="R43" t="s">
        <v>22</v>
      </c>
      <c r="S43">
        <v>1</v>
      </c>
      <c r="U43" s="2">
        <v>46024</v>
      </c>
      <c r="V43" s="2">
        <v>46003</v>
      </c>
      <c r="W43" t="s">
        <v>23</v>
      </c>
      <c r="X43" t="s">
        <v>23</v>
      </c>
      <c r="Y43" s="1">
        <v>45667</v>
      </c>
    </row>
    <row r="44" spans="1:25" x14ac:dyDescent="0.55000000000000004">
      <c r="A44" t="s">
        <v>25</v>
      </c>
      <c r="B44">
        <v>0.01</v>
      </c>
      <c r="C44">
        <v>3214</v>
      </c>
      <c r="D44">
        <v>19.260000000000002</v>
      </c>
      <c r="E44">
        <f t="shared" si="0"/>
        <v>19.2638</v>
      </c>
      <c r="F44">
        <v>1926.38</v>
      </c>
      <c r="G44">
        <v>1010447</v>
      </c>
      <c r="H44">
        <v>1907.12</v>
      </c>
      <c r="I44">
        <f t="shared" si="1"/>
        <v>1907.1200000000001</v>
      </c>
      <c r="J44">
        <v>19.260000000000002</v>
      </c>
      <c r="K44">
        <f t="shared" si="2"/>
        <v>19.2638</v>
      </c>
      <c r="L44">
        <v>1010447</v>
      </c>
      <c r="M44" t="s">
        <v>21</v>
      </c>
      <c r="N44">
        <v>19.260000000000002</v>
      </c>
      <c r="O44">
        <f t="shared" si="3"/>
        <v>19.2638</v>
      </c>
      <c r="P44">
        <v>1887.85</v>
      </c>
      <c r="Q44">
        <f t="shared" si="4"/>
        <v>1887.8600000000001</v>
      </c>
      <c r="R44" t="s">
        <v>22</v>
      </c>
      <c r="S44">
        <v>1</v>
      </c>
      <c r="U44" s="2">
        <v>46024</v>
      </c>
      <c r="V44" s="2">
        <v>46003</v>
      </c>
      <c r="W44" t="s">
        <v>23</v>
      </c>
      <c r="X44" t="s">
        <v>23</v>
      </c>
      <c r="Y44" s="1">
        <v>45667</v>
      </c>
    </row>
    <row r="45" spans="1:25" x14ac:dyDescent="0.55000000000000004">
      <c r="A45" t="s">
        <v>25</v>
      </c>
      <c r="B45">
        <v>0.01</v>
      </c>
      <c r="C45">
        <v>3214</v>
      </c>
      <c r="D45">
        <v>11.64</v>
      </c>
      <c r="E45">
        <f t="shared" si="0"/>
        <v>11.639000000000001</v>
      </c>
      <c r="F45">
        <v>1163.9000000000001</v>
      </c>
      <c r="G45">
        <v>1010448</v>
      </c>
      <c r="H45">
        <v>1152.26</v>
      </c>
      <c r="I45">
        <f t="shared" si="1"/>
        <v>1152.26</v>
      </c>
      <c r="J45">
        <v>11.64</v>
      </c>
      <c r="K45">
        <f t="shared" si="2"/>
        <v>11.639000000000001</v>
      </c>
      <c r="L45">
        <v>1010448</v>
      </c>
      <c r="M45" t="s">
        <v>21</v>
      </c>
      <c r="N45">
        <v>11.64</v>
      </c>
      <c r="O45">
        <f t="shared" si="3"/>
        <v>11.639000000000001</v>
      </c>
      <c r="P45">
        <v>1140.6199999999999</v>
      </c>
      <c r="Q45">
        <f t="shared" si="4"/>
        <v>1140.6199999999999</v>
      </c>
      <c r="R45" t="s">
        <v>22</v>
      </c>
      <c r="S45">
        <v>1</v>
      </c>
      <c r="U45" s="2">
        <v>46024</v>
      </c>
      <c r="V45" s="2">
        <v>46003</v>
      </c>
      <c r="W45" t="s">
        <v>23</v>
      </c>
      <c r="X45" t="s">
        <v>23</v>
      </c>
      <c r="Y45" s="1">
        <v>45667</v>
      </c>
    </row>
    <row r="46" spans="1:25" x14ac:dyDescent="0.55000000000000004">
      <c r="A46" t="s">
        <v>25</v>
      </c>
      <c r="B46">
        <v>0.01</v>
      </c>
      <c r="C46">
        <v>2885</v>
      </c>
      <c r="D46">
        <v>35.590000000000003</v>
      </c>
      <c r="E46">
        <f t="shared" si="0"/>
        <v>35.588200000000001</v>
      </c>
      <c r="F46">
        <v>3558.82</v>
      </c>
      <c r="G46">
        <v>1010449</v>
      </c>
      <c r="H46">
        <v>3523.23</v>
      </c>
      <c r="I46">
        <f t="shared" si="1"/>
        <v>3523.23</v>
      </c>
      <c r="J46">
        <v>35.590000000000003</v>
      </c>
      <c r="K46">
        <f t="shared" si="2"/>
        <v>35.588200000000001</v>
      </c>
      <c r="L46">
        <v>1010449</v>
      </c>
      <c r="M46" t="s">
        <v>21</v>
      </c>
      <c r="N46">
        <v>35.590000000000003</v>
      </c>
      <c r="O46">
        <f t="shared" si="3"/>
        <v>35.588200000000001</v>
      </c>
      <c r="P46">
        <v>3487.64</v>
      </c>
      <c r="Q46">
        <f t="shared" si="4"/>
        <v>3487.64</v>
      </c>
      <c r="R46" t="s">
        <v>22</v>
      </c>
      <c r="S46">
        <v>1</v>
      </c>
      <c r="U46" s="2">
        <v>46024</v>
      </c>
      <c r="V46" s="2">
        <v>46003</v>
      </c>
      <c r="W46" t="s">
        <v>23</v>
      </c>
      <c r="X46" t="s">
        <v>23</v>
      </c>
      <c r="Y46" s="1">
        <v>45667</v>
      </c>
    </row>
    <row r="47" spans="1:25" x14ac:dyDescent="0.55000000000000004">
      <c r="A47" t="s">
        <v>25</v>
      </c>
      <c r="B47">
        <v>0.01</v>
      </c>
      <c r="C47">
        <v>3389</v>
      </c>
      <c r="D47">
        <v>11.04</v>
      </c>
      <c r="E47">
        <f t="shared" si="0"/>
        <v>11.0381</v>
      </c>
      <c r="F47">
        <v>1103.81</v>
      </c>
      <c r="G47">
        <v>1010450</v>
      </c>
      <c r="H47">
        <v>1092.77</v>
      </c>
      <c r="I47">
        <f t="shared" si="1"/>
        <v>1092.77</v>
      </c>
      <c r="J47">
        <v>11.04</v>
      </c>
      <c r="K47">
        <f t="shared" si="2"/>
        <v>11.0381</v>
      </c>
      <c r="L47">
        <v>1010450</v>
      </c>
      <c r="M47" t="s">
        <v>21</v>
      </c>
      <c r="N47">
        <v>11.04</v>
      </c>
      <c r="O47">
        <f t="shared" si="3"/>
        <v>11.0381</v>
      </c>
      <c r="P47">
        <v>1081.73</v>
      </c>
      <c r="Q47">
        <f t="shared" si="4"/>
        <v>1081.73</v>
      </c>
      <c r="R47" t="s">
        <v>22</v>
      </c>
      <c r="S47">
        <v>1</v>
      </c>
      <c r="U47" s="2">
        <v>46024</v>
      </c>
      <c r="V47" s="2">
        <v>46003</v>
      </c>
      <c r="W47" t="s">
        <v>23</v>
      </c>
      <c r="X47" t="s">
        <v>23</v>
      </c>
      <c r="Y47" s="1">
        <v>45667</v>
      </c>
    </row>
    <row r="48" spans="1:25" x14ac:dyDescent="0.55000000000000004">
      <c r="A48" t="s">
        <v>25</v>
      </c>
      <c r="B48">
        <v>0.01</v>
      </c>
      <c r="C48">
        <v>3459</v>
      </c>
      <c r="D48">
        <v>19.260000000000002</v>
      </c>
      <c r="E48">
        <f t="shared" si="0"/>
        <v>19.2638</v>
      </c>
      <c r="F48">
        <v>1926.38</v>
      </c>
      <c r="G48">
        <v>1010451</v>
      </c>
      <c r="H48">
        <v>1907.12</v>
      </c>
      <c r="I48">
        <f t="shared" si="1"/>
        <v>1907.1200000000001</v>
      </c>
      <c r="J48">
        <v>19.260000000000002</v>
      </c>
      <c r="K48">
        <f t="shared" si="2"/>
        <v>19.2638</v>
      </c>
      <c r="L48">
        <v>1010451</v>
      </c>
      <c r="M48" t="s">
        <v>21</v>
      </c>
      <c r="N48">
        <v>19.260000000000002</v>
      </c>
      <c r="O48">
        <f t="shared" si="3"/>
        <v>19.2638</v>
      </c>
      <c r="P48">
        <v>1887.85</v>
      </c>
      <c r="Q48">
        <f t="shared" si="4"/>
        <v>1887.8600000000001</v>
      </c>
      <c r="R48" t="s">
        <v>22</v>
      </c>
      <c r="S48">
        <v>1</v>
      </c>
      <c r="U48" s="2">
        <v>46024</v>
      </c>
      <c r="V48" s="2">
        <v>46003</v>
      </c>
      <c r="W48" t="s">
        <v>23</v>
      </c>
      <c r="X48" t="s">
        <v>23</v>
      </c>
      <c r="Y48" s="1">
        <v>45667</v>
      </c>
    </row>
    <row r="49" spans="1:25" x14ac:dyDescent="0.55000000000000004">
      <c r="A49" t="s">
        <v>25</v>
      </c>
      <c r="B49">
        <v>0.01</v>
      </c>
      <c r="C49">
        <v>3837</v>
      </c>
      <c r="D49">
        <v>39.07</v>
      </c>
      <c r="E49">
        <f t="shared" si="0"/>
        <v>39.069099999999999</v>
      </c>
      <c r="F49">
        <v>3906.91</v>
      </c>
      <c r="G49">
        <v>1010452</v>
      </c>
      <c r="H49">
        <v>3867.84</v>
      </c>
      <c r="I49">
        <f t="shared" si="1"/>
        <v>3867.8399999999997</v>
      </c>
      <c r="J49">
        <v>39.07</v>
      </c>
      <c r="K49">
        <f t="shared" si="2"/>
        <v>39.069099999999999</v>
      </c>
      <c r="L49">
        <v>1010452</v>
      </c>
      <c r="M49" t="s">
        <v>21</v>
      </c>
      <c r="N49">
        <v>39.07</v>
      </c>
      <c r="O49">
        <f t="shared" si="3"/>
        <v>39.069099999999999</v>
      </c>
      <c r="P49">
        <v>3828.77</v>
      </c>
      <c r="Q49">
        <f t="shared" si="4"/>
        <v>3828.7699999999995</v>
      </c>
      <c r="R49" t="s">
        <v>22</v>
      </c>
      <c r="S49">
        <v>1</v>
      </c>
      <c r="U49" s="2">
        <v>46024</v>
      </c>
      <c r="V49" s="2">
        <v>46003</v>
      </c>
      <c r="W49" t="s">
        <v>23</v>
      </c>
      <c r="X49" t="s">
        <v>23</v>
      </c>
      <c r="Y49" s="1">
        <v>45667</v>
      </c>
    </row>
    <row r="50" spans="1:25" x14ac:dyDescent="0.55000000000000004">
      <c r="A50" t="s">
        <v>26</v>
      </c>
      <c r="B50">
        <v>0.05</v>
      </c>
      <c r="C50">
        <v>3410</v>
      </c>
      <c r="D50">
        <v>66.92</v>
      </c>
      <c r="E50">
        <f t="shared" si="0"/>
        <v>66.924999999999997</v>
      </c>
      <c r="F50">
        <v>1338.5</v>
      </c>
      <c r="G50">
        <v>1010453</v>
      </c>
      <c r="H50">
        <v>1271.58</v>
      </c>
      <c r="I50">
        <f t="shared" si="1"/>
        <v>1271.58</v>
      </c>
      <c r="J50">
        <v>66.92</v>
      </c>
      <c r="K50">
        <f t="shared" si="2"/>
        <v>66.924999999999997</v>
      </c>
      <c r="L50">
        <v>1010453</v>
      </c>
      <c r="M50" t="s">
        <v>21</v>
      </c>
      <c r="N50">
        <v>13.38</v>
      </c>
      <c r="O50">
        <f t="shared" si="3"/>
        <v>13.385</v>
      </c>
      <c r="P50">
        <v>1258.19</v>
      </c>
      <c r="Q50">
        <f t="shared" si="4"/>
        <v>1258.1999999999998</v>
      </c>
      <c r="R50" t="s">
        <v>22</v>
      </c>
      <c r="S50">
        <v>1</v>
      </c>
      <c r="U50" s="2">
        <v>46024</v>
      </c>
      <c r="V50" s="2">
        <v>46003</v>
      </c>
      <c r="W50" t="s">
        <v>23</v>
      </c>
      <c r="X50" t="s">
        <v>23</v>
      </c>
      <c r="Y50" s="1">
        <v>45667</v>
      </c>
    </row>
    <row r="51" spans="1:25" x14ac:dyDescent="0.55000000000000004">
      <c r="A51" t="s">
        <v>25</v>
      </c>
      <c r="B51">
        <v>0.01</v>
      </c>
      <c r="C51">
        <v>3403</v>
      </c>
      <c r="D51">
        <v>20.67</v>
      </c>
      <c r="E51">
        <f t="shared" si="0"/>
        <v>20.67</v>
      </c>
      <c r="F51">
        <v>2067</v>
      </c>
      <c r="G51">
        <v>1010455</v>
      </c>
      <c r="H51">
        <v>2046.33</v>
      </c>
      <c r="I51">
        <f t="shared" si="1"/>
        <v>2046.33</v>
      </c>
      <c r="J51">
        <v>20.67</v>
      </c>
      <c r="K51">
        <f t="shared" si="2"/>
        <v>20.67</v>
      </c>
      <c r="L51">
        <v>1010455</v>
      </c>
      <c r="M51" t="s">
        <v>21</v>
      </c>
      <c r="N51">
        <v>20.67</v>
      </c>
      <c r="O51">
        <f t="shared" si="3"/>
        <v>20.67</v>
      </c>
      <c r="P51">
        <v>2025.66</v>
      </c>
      <c r="Q51">
        <f t="shared" si="4"/>
        <v>2025.6599999999999</v>
      </c>
      <c r="R51" t="s">
        <v>22</v>
      </c>
      <c r="S51">
        <v>1</v>
      </c>
      <c r="U51" s="2">
        <v>46024</v>
      </c>
      <c r="V51" s="2">
        <v>46003</v>
      </c>
      <c r="W51" t="s">
        <v>23</v>
      </c>
      <c r="X51" t="s">
        <v>23</v>
      </c>
      <c r="Y51" s="1">
        <v>45667</v>
      </c>
    </row>
    <row r="52" spans="1:25" x14ac:dyDescent="0.55000000000000004">
      <c r="A52" t="s">
        <v>25</v>
      </c>
      <c r="B52">
        <v>0.01</v>
      </c>
      <c r="C52">
        <v>3431</v>
      </c>
      <c r="D52">
        <v>14.86</v>
      </c>
      <c r="E52">
        <f t="shared" si="0"/>
        <v>14.859400000000001</v>
      </c>
      <c r="F52">
        <v>1485.94</v>
      </c>
      <c r="G52">
        <v>1010456</v>
      </c>
      <c r="H52">
        <v>1471.08</v>
      </c>
      <c r="I52">
        <f t="shared" si="1"/>
        <v>1471.0800000000002</v>
      </c>
      <c r="J52">
        <v>14.86</v>
      </c>
      <c r="K52">
        <f t="shared" si="2"/>
        <v>14.859400000000001</v>
      </c>
      <c r="L52">
        <v>1010456</v>
      </c>
      <c r="M52" t="s">
        <v>21</v>
      </c>
      <c r="N52">
        <v>14.86</v>
      </c>
      <c r="O52">
        <f t="shared" si="3"/>
        <v>14.859400000000001</v>
      </c>
      <c r="P52">
        <v>1456.22</v>
      </c>
      <c r="Q52">
        <f t="shared" si="4"/>
        <v>1456.2200000000003</v>
      </c>
      <c r="R52" t="s">
        <v>22</v>
      </c>
      <c r="S52">
        <v>1</v>
      </c>
      <c r="U52" s="2">
        <v>46024</v>
      </c>
      <c r="V52" s="2">
        <v>46003</v>
      </c>
      <c r="W52" t="s">
        <v>23</v>
      </c>
      <c r="X52" t="s">
        <v>23</v>
      </c>
      <c r="Y52" s="1">
        <v>45667</v>
      </c>
    </row>
    <row r="53" spans="1:25" x14ac:dyDescent="0.55000000000000004">
      <c r="A53" t="s">
        <v>25</v>
      </c>
      <c r="B53">
        <v>0.01</v>
      </c>
      <c r="C53">
        <v>3529</v>
      </c>
      <c r="D53">
        <v>38.89</v>
      </c>
      <c r="E53">
        <f t="shared" si="0"/>
        <v>38.893999999999998</v>
      </c>
      <c r="F53">
        <v>3889.4</v>
      </c>
      <c r="G53">
        <v>1010457</v>
      </c>
      <c r="H53">
        <v>3850.51</v>
      </c>
      <c r="I53">
        <f t="shared" si="1"/>
        <v>3850.51</v>
      </c>
      <c r="J53">
        <v>38.89</v>
      </c>
      <c r="K53">
        <f t="shared" si="2"/>
        <v>38.893999999999998</v>
      </c>
      <c r="L53">
        <v>1010457</v>
      </c>
      <c r="M53" t="s">
        <v>21</v>
      </c>
      <c r="N53">
        <v>38.89</v>
      </c>
      <c r="O53">
        <f t="shared" si="3"/>
        <v>38.893999999999998</v>
      </c>
      <c r="P53">
        <v>3811.61</v>
      </c>
      <c r="Q53">
        <f t="shared" si="4"/>
        <v>3811.6200000000003</v>
      </c>
      <c r="R53" t="s">
        <v>22</v>
      </c>
      <c r="S53">
        <v>1</v>
      </c>
      <c r="U53" s="2">
        <v>46024</v>
      </c>
      <c r="V53" s="2">
        <v>46003</v>
      </c>
      <c r="W53" t="s">
        <v>23</v>
      </c>
      <c r="X53" t="s">
        <v>23</v>
      </c>
      <c r="Y53" s="1">
        <v>45667</v>
      </c>
    </row>
    <row r="54" spans="1:25" x14ac:dyDescent="0.55000000000000004">
      <c r="A54" t="s">
        <v>25</v>
      </c>
      <c r="B54">
        <v>0.01</v>
      </c>
      <c r="C54">
        <v>3711</v>
      </c>
      <c r="D54">
        <v>15.07</v>
      </c>
      <c r="E54">
        <f t="shared" si="0"/>
        <v>15.072800000000001</v>
      </c>
      <c r="F54">
        <v>1507.28</v>
      </c>
      <c r="G54">
        <v>1010458</v>
      </c>
      <c r="H54">
        <v>1492.21</v>
      </c>
      <c r="I54">
        <f t="shared" si="1"/>
        <v>1492.21</v>
      </c>
      <c r="J54">
        <v>15.07</v>
      </c>
      <c r="K54">
        <f t="shared" si="2"/>
        <v>15.072800000000001</v>
      </c>
      <c r="L54">
        <v>1010458</v>
      </c>
      <c r="M54" t="s">
        <v>21</v>
      </c>
      <c r="N54">
        <v>15.07</v>
      </c>
      <c r="O54">
        <f t="shared" si="3"/>
        <v>15.072800000000001</v>
      </c>
      <c r="P54">
        <v>1477.13</v>
      </c>
      <c r="Q54">
        <f t="shared" si="4"/>
        <v>1477.14</v>
      </c>
      <c r="R54" t="s">
        <v>22</v>
      </c>
      <c r="S54">
        <v>1</v>
      </c>
      <c r="U54" s="2">
        <v>46024</v>
      </c>
      <c r="V54" s="2">
        <v>46003</v>
      </c>
      <c r="W54" t="s">
        <v>23</v>
      </c>
      <c r="X54" t="s">
        <v>23</v>
      </c>
      <c r="Y54" s="1">
        <v>45667</v>
      </c>
    </row>
    <row r="55" spans="1:25" x14ac:dyDescent="0.55000000000000004">
      <c r="A55" t="s">
        <v>20</v>
      </c>
      <c r="B55">
        <v>0.02</v>
      </c>
      <c r="C55">
        <v>3823</v>
      </c>
      <c r="D55">
        <v>1.1200000000000001</v>
      </c>
      <c r="E55">
        <f t="shared" si="0"/>
        <v>1.1195999999999999</v>
      </c>
      <c r="F55">
        <v>55.98</v>
      </c>
      <c r="G55">
        <v>1010459</v>
      </c>
      <c r="H55">
        <v>54.86</v>
      </c>
      <c r="I55">
        <f t="shared" si="1"/>
        <v>54.86</v>
      </c>
      <c r="J55">
        <v>1.1200000000000001</v>
      </c>
      <c r="K55">
        <f t="shared" si="2"/>
        <v>1.1195999999999999</v>
      </c>
      <c r="L55">
        <v>1010459</v>
      </c>
      <c r="M55" t="s">
        <v>21</v>
      </c>
      <c r="N55">
        <v>0.56000000000000005</v>
      </c>
      <c r="O55">
        <f t="shared" si="3"/>
        <v>0.55979999999999996</v>
      </c>
      <c r="P55">
        <v>54.3</v>
      </c>
      <c r="Q55">
        <f t="shared" si="4"/>
        <v>54.3</v>
      </c>
      <c r="R55" t="s">
        <v>22</v>
      </c>
      <c r="S55">
        <v>1</v>
      </c>
      <c r="U55" s="2">
        <v>46024</v>
      </c>
      <c r="V55" s="2">
        <v>46003</v>
      </c>
      <c r="W55" t="s">
        <v>23</v>
      </c>
      <c r="X55" t="s">
        <v>23</v>
      </c>
      <c r="Y55" s="1">
        <v>45667</v>
      </c>
    </row>
    <row r="56" spans="1:25" x14ac:dyDescent="0.55000000000000004">
      <c r="A56" t="s">
        <v>20</v>
      </c>
      <c r="B56">
        <v>0.02</v>
      </c>
      <c r="C56">
        <v>3823</v>
      </c>
      <c r="D56">
        <v>5.5</v>
      </c>
      <c r="E56">
        <f t="shared" si="0"/>
        <v>5.5</v>
      </c>
      <c r="F56">
        <v>275</v>
      </c>
      <c r="G56">
        <v>1010460</v>
      </c>
      <c r="H56">
        <v>269.5</v>
      </c>
      <c r="I56">
        <f t="shared" si="1"/>
        <v>269.5</v>
      </c>
      <c r="J56">
        <v>5.5</v>
      </c>
      <c r="K56">
        <f t="shared" si="2"/>
        <v>5.5</v>
      </c>
      <c r="L56">
        <v>1010460</v>
      </c>
      <c r="M56" t="s">
        <v>21</v>
      </c>
      <c r="N56">
        <v>2.75</v>
      </c>
      <c r="O56">
        <f t="shared" si="3"/>
        <v>2.75</v>
      </c>
      <c r="P56">
        <v>266.75</v>
      </c>
      <c r="Q56">
        <f t="shared" si="4"/>
        <v>266.75</v>
      </c>
      <c r="R56" t="s">
        <v>22</v>
      </c>
      <c r="S56">
        <v>1</v>
      </c>
      <c r="U56" s="2">
        <v>46024</v>
      </c>
      <c r="V56" s="2">
        <v>46003</v>
      </c>
      <c r="W56" t="s">
        <v>23</v>
      </c>
      <c r="X56" t="s">
        <v>23</v>
      </c>
      <c r="Y56" s="1">
        <v>45667</v>
      </c>
    </row>
    <row r="57" spans="1:25" x14ac:dyDescent="0.55000000000000004">
      <c r="A57" t="s">
        <v>20</v>
      </c>
      <c r="B57">
        <v>0.02</v>
      </c>
      <c r="C57">
        <v>3774</v>
      </c>
      <c r="D57">
        <v>12.34</v>
      </c>
      <c r="E57">
        <f t="shared" si="0"/>
        <v>12.335599999999999</v>
      </c>
      <c r="F57">
        <v>616.78</v>
      </c>
      <c r="G57">
        <v>1010461</v>
      </c>
      <c r="H57">
        <v>604.44000000000005</v>
      </c>
      <c r="I57">
        <f t="shared" si="1"/>
        <v>604.43999999999994</v>
      </c>
      <c r="J57">
        <v>12.34</v>
      </c>
      <c r="K57">
        <f t="shared" si="2"/>
        <v>12.335599999999999</v>
      </c>
      <c r="L57">
        <v>1010461</v>
      </c>
      <c r="M57" t="s">
        <v>21</v>
      </c>
      <c r="N57">
        <v>6.17</v>
      </c>
      <c r="O57">
        <f t="shared" si="3"/>
        <v>6.1677999999999997</v>
      </c>
      <c r="P57">
        <v>598.28</v>
      </c>
      <c r="Q57">
        <f t="shared" si="4"/>
        <v>598.27</v>
      </c>
      <c r="R57" t="s">
        <v>22</v>
      </c>
      <c r="S57">
        <v>1</v>
      </c>
      <c r="U57" s="2">
        <v>46024</v>
      </c>
      <c r="V57" s="2">
        <v>46003</v>
      </c>
      <c r="W57" t="s">
        <v>23</v>
      </c>
      <c r="X57" t="s">
        <v>23</v>
      </c>
      <c r="Y57" s="1">
        <v>45667</v>
      </c>
    </row>
    <row r="58" spans="1:25" x14ac:dyDescent="0.55000000000000004">
      <c r="A58" t="s">
        <v>20</v>
      </c>
      <c r="B58">
        <v>0.02</v>
      </c>
      <c r="C58">
        <v>3781</v>
      </c>
      <c r="D58">
        <v>22.55</v>
      </c>
      <c r="E58">
        <f t="shared" si="0"/>
        <v>22.545000000000002</v>
      </c>
      <c r="F58">
        <v>1127.25</v>
      </c>
      <c r="G58">
        <v>1010462</v>
      </c>
      <c r="H58">
        <v>1104.7</v>
      </c>
      <c r="I58">
        <f t="shared" si="1"/>
        <v>1104.7</v>
      </c>
      <c r="J58">
        <v>22.55</v>
      </c>
      <c r="K58">
        <f t="shared" si="2"/>
        <v>22.545000000000002</v>
      </c>
      <c r="L58">
        <v>1010462</v>
      </c>
      <c r="M58" t="s">
        <v>21</v>
      </c>
      <c r="N58">
        <v>11.27</v>
      </c>
      <c r="O58">
        <f t="shared" si="3"/>
        <v>11.272500000000001</v>
      </c>
      <c r="P58">
        <v>1093.43</v>
      </c>
      <c r="Q58">
        <f t="shared" si="4"/>
        <v>1093.43</v>
      </c>
      <c r="R58" t="s">
        <v>22</v>
      </c>
      <c r="S58">
        <v>1</v>
      </c>
      <c r="U58" s="2">
        <v>46024</v>
      </c>
      <c r="V58" s="2">
        <v>46003</v>
      </c>
      <c r="W58" t="s">
        <v>23</v>
      </c>
      <c r="X58" t="s">
        <v>23</v>
      </c>
      <c r="Y58" s="1">
        <v>45667</v>
      </c>
    </row>
    <row r="59" spans="1:25" x14ac:dyDescent="0.55000000000000004">
      <c r="A59" t="s">
        <v>20</v>
      </c>
      <c r="B59">
        <v>0.02</v>
      </c>
      <c r="C59">
        <v>3578</v>
      </c>
      <c r="D59">
        <v>3.72</v>
      </c>
      <c r="E59">
        <f t="shared" si="0"/>
        <v>3.7151999999999998</v>
      </c>
      <c r="F59">
        <v>185.76</v>
      </c>
      <c r="G59">
        <v>1010463</v>
      </c>
      <c r="H59">
        <v>182.04</v>
      </c>
      <c r="I59">
        <f t="shared" si="1"/>
        <v>182.04</v>
      </c>
      <c r="J59">
        <v>3.72</v>
      </c>
      <c r="K59">
        <f t="shared" si="2"/>
        <v>3.7151999999999998</v>
      </c>
      <c r="L59">
        <v>1010463</v>
      </c>
      <c r="M59" t="s">
        <v>21</v>
      </c>
      <c r="N59">
        <v>1.86</v>
      </c>
      <c r="O59">
        <f t="shared" si="3"/>
        <v>1.8575999999999999</v>
      </c>
      <c r="P59">
        <v>180.19</v>
      </c>
      <c r="Q59">
        <f t="shared" si="4"/>
        <v>180.17999999999998</v>
      </c>
      <c r="R59" t="s">
        <v>22</v>
      </c>
      <c r="S59">
        <v>1</v>
      </c>
      <c r="U59" s="2">
        <v>46024</v>
      </c>
      <c r="V59" s="2">
        <v>46003</v>
      </c>
      <c r="W59" t="s">
        <v>23</v>
      </c>
      <c r="X59" t="s">
        <v>23</v>
      </c>
      <c r="Y59" s="1">
        <v>45667</v>
      </c>
    </row>
    <row r="60" spans="1:25" x14ac:dyDescent="0.55000000000000004">
      <c r="A60" t="s">
        <v>20</v>
      </c>
      <c r="B60">
        <v>0.02</v>
      </c>
      <c r="C60">
        <v>3718</v>
      </c>
      <c r="D60">
        <v>19.5</v>
      </c>
      <c r="E60">
        <f t="shared" si="0"/>
        <v>19.503800000000002</v>
      </c>
      <c r="F60">
        <v>975.19</v>
      </c>
      <c r="G60">
        <v>1010464</v>
      </c>
      <c r="H60">
        <v>955.69</v>
      </c>
      <c r="I60">
        <f t="shared" si="1"/>
        <v>955.69</v>
      </c>
      <c r="J60">
        <v>19.5</v>
      </c>
      <c r="K60">
        <f t="shared" si="2"/>
        <v>19.503800000000002</v>
      </c>
      <c r="L60">
        <v>1010464</v>
      </c>
      <c r="M60" t="s">
        <v>21</v>
      </c>
      <c r="N60">
        <v>9.75</v>
      </c>
      <c r="O60">
        <f t="shared" si="3"/>
        <v>9.7519000000000009</v>
      </c>
      <c r="P60">
        <v>945.93</v>
      </c>
      <c r="Q60">
        <f t="shared" si="4"/>
        <v>945.94</v>
      </c>
      <c r="R60" t="s">
        <v>22</v>
      </c>
      <c r="S60">
        <v>1</v>
      </c>
      <c r="U60" s="2">
        <v>46024</v>
      </c>
      <c r="V60" s="2">
        <v>46003</v>
      </c>
      <c r="W60" t="s">
        <v>23</v>
      </c>
      <c r="X60" t="s">
        <v>23</v>
      </c>
      <c r="Y60" s="1">
        <v>45667</v>
      </c>
    </row>
    <row r="61" spans="1:25" x14ac:dyDescent="0.55000000000000004">
      <c r="A61" t="s">
        <v>20</v>
      </c>
      <c r="B61">
        <v>0.02</v>
      </c>
      <c r="C61">
        <v>3683</v>
      </c>
      <c r="D61">
        <v>53.21</v>
      </c>
      <c r="E61">
        <f t="shared" si="0"/>
        <v>53.212800000000001</v>
      </c>
      <c r="F61">
        <v>2660.64</v>
      </c>
      <c r="G61">
        <v>1010465</v>
      </c>
      <c r="H61">
        <v>2607.4299999999998</v>
      </c>
      <c r="I61">
        <f t="shared" si="1"/>
        <v>2607.4299999999998</v>
      </c>
      <c r="J61">
        <v>53.21</v>
      </c>
      <c r="K61">
        <f t="shared" si="2"/>
        <v>53.212800000000001</v>
      </c>
      <c r="L61">
        <v>1010465</v>
      </c>
      <c r="M61" t="s">
        <v>21</v>
      </c>
      <c r="N61">
        <v>26.61</v>
      </c>
      <c r="O61">
        <f t="shared" si="3"/>
        <v>26.606400000000001</v>
      </c>
      <c r="P61">
        <v>2580.8200000000002</v>
      </c>
      <c r="Q61">
        <f t="shared" si="4"/>
        <v>2580.8199999999997</v>
      </c>
      <c r="R61" t="s">
        <v>22</v>
      </c>
      <c r="S61">
        <v>1</v>
      </c>
      <c r="U61" s="2">
        <v>46024</v>
      </c>
      <c r="V61" s="2">
        <v>46003</v>
      </c>
      <c r="W61" t="s">
        <v>23</v>
      </c>
      <c r="X61" t="s">
        <v>23</v>
      </c>
      <c r="Y61" s="1">
        <v>45667</v>
      </c>
    </row>
    <row r="62" spans="1:25" x14ac:dyDescent="0.55000000000000004">
      <c r="A62" t="s">
        <v>24</v>
      </c>
      <c r="B62">
        <v>0</v>
      </c>
      <c r="C62">
        <v>3676</v>
      </c>
      <c r="D62">
        <v>0</v>
      </c>
      <c r="E62">
        <f t="shared" si="0"/>
        <v>0</v>
      </c>
      <c r="F62">
        <v>13728.64</v>
      </c>
      <c r="G62">
        <v>1010466</v>
      </c>
      <c r="H62">
        <v>13728.64</v>
      </c>
      <c r="I62">
        <f t="shared" si="1"/>
        <v>13728.64</v>
      </c>
      <c r="J62">
        <v>0</v>
      </c>
      <c r="K62">
        <f t="shared" si="2"/>
        <v>0</v>
      </c>
      <c r="L62">
        <v>1010466</v>
      </c>
      <c r="M62" t="s">
        <v>21</v>
      </c>
      <c r="N62">
        <v>137.29</v>
      </c>
      <c r="O62">
        <f t="shared" si="3"/>
        <v>137.28639999999999</v>
      </c>
      <c r="P62">
        <v>13591.35</v>
      </c>
      <c r="Q62">
        <f t="shared" si="4"/>
        <v>13591.349999999999</v>
      </c>
      <c r="R62" t="s">
        <v>22</v>
      </c>
      <c r="S62">
        <v>1</v>
      </c>
      <c r="U62" s="2">
        <v>46024</v>
      </c>
      <c r="V62" s="2">
        <v>46003</v>
      </c>
      <c r="W62" t="s">
        <v>23</v>
      </c>
      <c r="X62" t="s">
        <v>23</v>
      </c>
      <c r="Y62" s="1">
        <v>45667</v>
      </c>
    </row>
    <row r="63" spans="1:25" x14ac:dyDescent="0.55000000000000004">
      <c r="A63" t="s">
        <v>24</v>
      </c>
      <c r="B63">
        <v>0</v>
      </c>
      <c r="C63">
        <v>3081</v>
      </c>
      <c r="D63">
        <v>0</v>
      </c>
      <c r="E63">
        <f t="shared" si="0"/>
        <v>0</v>
      </c>
      <c r="F63">
        <v>403.1</v>
      </c>
      <c r="G63">
        <v>1010467</v>
      </c>
      <c r="H63">
        <v>403.1</v>
      </c>
      <c r="I63">
        <f t="shared" si="1"/>
        <v>403.1</v>
      </c>
      <c r="J63">
        <v>0</v>
      </c>
      <c r="K63">
        <f t="shared" si="2"/>
        <v>0</v>
      </c>
      <c r="L63">
        <v>1010467</v>
      </c>
      <c r="M63" t="s">
        <v>21</v>
      </c>
      <c r="N63">
        <v>4.03</v>
      </c>
      <c r="O63">
        <f t="shared" si="3"/>
        <v>4.0310000000000006</v>
      </c>
      <c r="P63">
        <v>399.07</v>
      </c>
      <c r="Q63">
        <f t="shared" si="4"/>
        <v>399.07000000000005</v>
      </c>
      <c r="R63" t="s">
        <v>22</v>
      </c>
      <c r="S63">
        <v>1</v>
      </c>
      <c r="U63" s="2">
        <v>46024</v>
      </c>
      <c r="V63" s="2">
        <v>46003</v>
      </c>
      <c r="W63" t="s">
        <v>23</v>
      </c>
      <c r="X63" t="s">
        <v>23</v>
      </c>
      <c r="Y63" s="1">
        <v>45667</v>
      </c>
    </row>
    <row r="64" spans="1:25" x14ac:dyDescent="0.55000000000000004">
      <c r="A64" t="s">
        <v>24</v>
      </c>
      <c r="B64">
        <v>0</v>
      </c>
      <c r="C64">
        <v>3592</v>
      </c>
      <c r="D64">
        <v>0</v>
      </c>
      <c r="E64">
        <f t="shared" si="0"/>
        <v>0</v>
      </c>
      <c r="F64">
        <v>6529.11</v>
      </c>
      <c r="G64">
        <v>1010468</v>
      </c>
      <c r="H64">
        <v>6529.11</v>
      </c>
      <c r="I64">
        <f t="shared" si="1"/>
        <v>6529.11</v>
      </c>
      <c r="J64">
        <v>0</v>
      </c>
      <c r="K64">
        <f t="shared" si="2"/>
        <v>0</v>
      </c>
      <c r="L64">
        <v>1010468</v>
      </c>
      <c r="M64" t="s">
        <v>21</v>
      </c>
      <c r="N64">
        <v>65.290000000000006</v>
      </c>
      <c r="O64">
        <f t="shared" si="3"/>
        <v>65.2911</v>
      </c>
      <c r="P64">
        <v>6463.82</v>
      </c>
      <c r="Q64">
        <f t="shared" si="4"/>
        <v>6463.82</v>
      </c>
      <c r="R64" t="s">
        <v>22</v>
      </c>
      <c r="S64">
        <v>1</v>
      </c>
      <c r="U64" s="2">
        <v>46024</v>
      </c>
      <c r="V64" s="2">
        <v>46003</v>
      </c>
      <c r="W64" t="s">
        <v>23</v>
      </c>
      <c r="X64" t="s">
        <v>23</v>
      </c>
      <c r="Y64" s="1">
        <v>45667</v>
      </c>
    </row>
    <row r="65" spans="1:25" x14ac:dyDescent="0.55000000000000004">
      <c r="A65" t="s">
        <v>24</v>
      </c>
      <c r="B65">
        <v>0</v>
      </c>
      <c r="C65">
        <v>2780</v>
      </c>
      <c r="D65">
        <v>0</v>
      </c>
      <c r="E65">
        <f t="shared" si="0"/>
        <v>0</v>
      </c>
      <c r="F65">
        <v>4059.18</v>
      </c>
      <c r="G65">
        <v>1010469</v>
      </c>
      <c r="H65">
        <v>4059.18</v>
      </c>
      <c r="I65">
        <f t="shared" si="1"/>
        <v>4059.18</v>
      </c>
      <c r="J65">
        <v>0</v>
      </c>
      <c r="K65">
        <f t="shared" si="2"/>
        <v>0</v>
      </c>
      <c r="L65">
        <v>1010469</v>
      </c>
      <c r="M65" t="s">
        <v>21</v>
      </c>
      <c r="N65">
        <v>40.590000000000003</v>
      </c>
      <c r="O65">
        <f t="shared" si="3"/>
        <v>40.591799999999999</v>
      </c>
      <c r="P65">
        <v>4018.59</v>
      </c>
      <c r="Q65">
        <f t="shared" si="4"/>
        <v>4018.5899999999997</v>
      </c>
      <c r="R65" t="s">
        <v>22</v>
      </c>
      <c r="S65">
        <v>1</v>
      </c>
      <c r="U65" s="2">
        <v>46024</v>
      </c>
      <c r="V65" s="2">
        <v>46003</v>
      </c>
      <c r="W65" t="s">
        <v>23</v>
      </c>
      <c r="X65" t="s">
        <v>23</v>
      </c>
      <c r="Y65" s="1">
        <v>45667</v>
      </c>
    </row>
    <row r="66" spans="1:25" x14ac:dyDescent="0.55000000000000004">
      <c r="A66" t="s">
        <v>24</v>
      </c>
      <c r="B66">
        <v>0</v>
      </c>
      <c r="C66">
        <v>2941</v>
      </c>
      <c r="D66">
        <v>0</v>
      </c>
      <c r="E66">
        <f t="shared" si="0"/>
        <v>0</v>
      </c>
      <c r="F66">
        <v>4265</v>
      </c>
      <c r="G66">
        <v>1010470</v>
      </c>
      <c r="H66">
        <v>4265</v>
      </c>
      <c r="I66">
        <f t="shared" si="1"/>
        <v>4265</v>
      </c>
      <c r="J66">
        <v>0</v>
      </c>
      <c r="K66">
        <f t="shared" si="2"/>
        <v>0</v>
      </c>
      <c r="L66">
        <v>1010470</v>
      </c>
      <c r="M66" t="s">
        <v>21</v>
      </c>
      <c r="N66">
        <v>42.65</v>
      </c>
      <c r="O66">
        <f t="shared" si="3"/>
        <v>42.65</v>
      </c>
      <c r="P66">
        <v>4222.3500000000004</v>
      </c>
      <c r="Q66">
        <f t="shared" si="4"/>
        <v>4222.3500000000004</v>
      </c>
      <c r="R66" t="s">
        <v>22</v>
      </c>
      <c r="S66">
        <v>1</v>
      </c>
      <c r="U66" s="2">
        <v>46024</v>
      </c>
      <c r="V66" s="2">
        <v>46003</v>
      </c>
      <c r="W66" t="s">
        <v>23</v>
      </c>
      <c r="X66" t="s">
        <v>23</v>
      </c>
      <c r="Y66" s="1">
        <v>45667</v>
      </c>
    </row>
    <row r="67" spans="1:25" x14ac:dyDescent="0.55000000000000004">
      <c r="A67" t="s">
        <v>25</v>
      </c>
      <c r="B67">
        <v>0.01</v>
      </c>
      <c r="C67">
        <v>3683</v>
      </c>
      <c r="D67">
        <v>135.72</v>
      </c>
      <c r="E67">
        <f t="shared" ref="E67:E130" si="5">F67*B67</f>
        <v>135.72459999999998</v>
      </c>
      <c r="F67">
        <v>13572.46</v>
      </c>
      <c r="G67">
        <v>1010474</v>
      </c>
      <c r="H67">
        <v>13436.74</v>
      </c>
      <c r="I67">
        <f t="shared" ref="I67:I130" si="6">F67-J67</f>
        <v>13436.74</v>
      </c>
      <c r="J67">
        <v>135.72</v>
      </c>
      <c r="K67">
        <f t="shared" ref="K67:K130" si="7">F67*B67</f>
        <v>135.72459999999998</v>
      </c>
      <c r="L67">
        <v>1010474</v>
      </c>
      <c r="M67" t="s">
        <v>21</v>
      </c>
      <c r="N67">
        <v>135.72</v>
      </c>
      <c r="O67">
        <f t="shared" ref="O67:O130" si="8">F67*0.01</f>
        <v>135.72459999999998</v>
      </c>
      <c r="P67">
        <v>13301.01</v>
      </c>
      <c r="Q67">
        <f t="shared" ref="Q67:Q130" si="9">F67-J67-N67</f>
        <v>13301.02</v>
      </c>
      <c r="R67" t="s">
        <v>22</v>
      </c>
      <c r="S67">
        <v>1</v>
      </c>
      <c r="U67" s="2">
        <v>46024</v>
      </c>
      <c r="V67" s="2">
        <v>46003</v>
      </c>
      <c r="W67" t="s">
        <v>23</v>
      </c>
      <c r="X67" t="s">
        <v>23</v>
      </c>
      <c r="Y67" s="1">
        <v>45667</v>
      </c>
    </row>
    <row r="68" spans="1:25" x14ac:dyDescent="0.55000000000000004">
      <c r="A68" t="s">
        <v>25</v>
      </c>
      <c r="B68">
        <v>0.01</v>
      </c>
      <c r="C68">
        <v>2948</v>
      </c>
      <c r="D68">
        <v>18.57</v>
      </c>
      <c r="E68">
        <f t="shared" si="5"/>
        <v>18.574000000000002</v>
      </c>
      <c r="F68">
        <v>1857.4</v>
      </c>
      <c r="G68">
        <v>1010475</v>
      </c>
      <c r="H68">
        <v>1838.83</v>
      </c>
      <c r="I68">
        <f t="shared" si="6"/>
        <v>1838.8300000000002</v>
      </c>
      <c r="J68">
        <v>18.57</v>
      </c>
      <c r="K68">
        <f t="shared" si="7"/>
        <v>18.574000000000002</v>
      </c>
      <c r="L68">
        <v>1010475</v>
      </c>
      <c r="M68" t="s">
        <v>21</v>
      </c>
      <c r="N68">
        <v>18.57</v>
      </c>
      <c r="O68">
        <f t="shared" si="8"/>
        <v>18.574000000000002</v>
      </c>
      <c r="P68">
        <v>1820.25</v>
      </c>
      <c r="Q68">
        <f t="shared" si="9"/>
        <v>1820.2600000000002</v>
      </c>
      <c r="R68" t="s">
        <v>22</v>
      </c>
      <c r="S68">
        <v>1</v>
      </c>
      <c r="U68" s="2">
        <v>46024</v>
      </c>
      <c r="V68" s="2">
        <v>46003</v>
      </c>
      <c r="W68" t="s">
        <v>23</v>
      </c>
      <c r="X68" t="s">
        <v>23</v>
      </c>
      <c r="Y68" s="1">
        <v>45667</v>
      </c>
    </row>
    <row r="69" spans="1:25" x14ac:dyDescent="0.55000000000000004">
      <c r="A69" t="s">
        <v>25</v>
      </c>
      <c r="B69">
        <v>0.01</v>
      </c>
      <c r="C69">
        <v>3718</v>
      </c>
      <c r="D69">
        <v>113.95</v>
      </c>
      <c r="E69">
        <f t="shared" si="5"/>
        <v>113.94760000000001</v>
      </c>
      <c r="F69">
        <v>11394.76</v>
      </c>
      <c r="G69">
        <v>1010476</v>
      </c>
      <c r="H69">
        <v>11280.81</v>
      </c>
      <c r="I69">
        <f t="shared" si="6"/>
        <v>11280.81</v>
      </c>
      <c r="J69">
        <v>113.95</v>
      </c>
      <c r="K69">
        <f t="shared" si="7"/>
        <v>113.94760000000001</v>
      </c>
      <c r="L69">
        <v>1010476</v>
      </c>
      <c r="M69" t="s">
        <v>21</v>
      </c>
      <c r="N69">
        <v>113.95</v>
      </c>
      <c r="O69">
        <f t="shared" si="8"/>
        <v>113.94760000000001</v>
      </c>
      <c r="P69">
        <v>11166.86</v>
      </c>
      <c r="Q69">
        <f t="shared" si="9"/>
        <v>11166.859999999999</v>
      </c>
      <c r="R69" t="s">
        <v>22</v>
      </c>
      <c r="S69">
        <v>1</v>
      </c>
      <c r="U69" s="2">
        <v>46024</v>
      </c>
      <c r="V69" s="2">
        <v>46003</v>
      </c>
      <c r="W69" t="s">
        <v>23</v>
      </c>
      <c r="X69" t="s">
        <v>23</v>
      </c>
      <c r="Y69" s="1">
        <v>45667</v>
      </c>
    </row>
    <row r="70" spans="1:25" x14ac:dyDescent="0.55000000000000004">
      <c r="A70" t="s">
        <v>25</v>
      </c>
      <c r="B70">
        <v>0.01</v>
      </c>
      <c r="C70">
        <v>3718</v>
      </c>
      <c r="D70">
        <v>44.15</v>
      </c>
      <c r="E70">
        <f t="shared" si="5"/>
        <v>44.1524</v>
      </c>
      <c r="F70">
        <v>4415.24</v>
      </c>
      <c r="G70">
        <v>1010477</v>
      </c>
      <c r="H70">
        <v>4371.09</v>
      </c>
      <c r="I70">
        <f t="shared" si="6"/>
        <v>4371.09</v>
      </c>
      <c r="J70">
        <v>44.15</v>
      </c>
      <c r="K70">
        <f t="shared" si="7"/>
        <v>44.1524</v>
      </c>
      <c r="L70">
        <v>1010477</v>
      </c>
      <c r="M70" t="s">
        <v>21</v>
      </c>
      <c r="N70">
        <v>44.15</v>
      </c>
      <c r="O70">
        <f t="shared" si="8"/>
        <v>44.1524</v>
      </c>
      <c r="P70">
        <v>4326.9399999999996</v>
      </c>
      <c r="Q70">
        <f t="shared" si="9"/>
        <v>4326.9400000000005</v>
      </c>
      <c r="R70" t="s">
        <v>22</v>
      </c>
      <c r="S70">
        <v>1</v>
      </c>
      <c r="U70" s="2">
        <v>46024</v>
      </c>
      <c r="V70" s="2">
        <v>46003</v>
      </c>
      <c r="W70" t="s">
        <v>23</v>
      </c>
      <c r="X70" t="s">
        <v>23</v>
      </c>
      <c r="Y70" s="1">
        <v>45667</v>
      </c>
    </row>
    <row r="71" spans="1:25" x14ac:dyDescent="0.55000000000000004">
      <c r="A71" t="s">
        <v>25</v>
      </c>
      <c r="B71">
        <v>0.01</v>
      </c>
      <c r="C71">
        <v>3718</v>
      </c>
      <c r="D71">
        <v>44.15</v>
      </c>
      <c r="E71">
        <f t="shared" si="5"/>
        <v>44.1524</v>
      </c>
      <c r="F71">
        <v>4415.24</v>
      </c>
      <c r="G71">
        <v>1010478</v>
      </c>
      <c r="H71">
        <v>4371.09</v>
      </c>
      <c r="I71">
        <f t="shared" si="6"/>
        <v>4371.09</v>
      </c>
      <c r="J71">
        <v>44.15</v>
      </c>
      <c r="K71">
        <f t="shared" si="7"/>
        <v>44.1524</v>
      </c>
      <c r="L71">
        <v>1010478</v>
      </c>
      <c r="M71" t="s">
        <v>21</v>
      </c>
      <c r="N71">
        <v>44.15</v>
      </c>
      <c r="O71">
        <f t="shared" si="8"/>
        <v>44.1524</v>
      </c>
      <c r="P71">
        <v>4326.9399999999996</v>
      </c>
      <c r="Q71">
        <f t="shared" si="9"/>
        <v>4326.9400000000005</v>
      </c>
      <c r="R71" t="s">
        <v>22</v>
      </c>
      <c r="S71">
        <v>1</v>
      </c>
      <c r="U71" s="2">
        <v>46024</v>
      </c>
      <c r="V71" s="2">
        <v>46003</v>
      </c>
      <c r="W71" t="s">
        <v>23</v>
      </c>
      <c r="X71" t="s">
        <v>23</v>
      </c>
      <c r="Y71" s="1">
        <v>45667</v>
      </c>
    </row>
    <row r="72" spans="1:25" x14ac:dyDescent="0.55000000000000004">
      <c r="A72" t="s">
        <v>25</v>
      </c>
      <c r="B72">
        <v>0.01</v>
      </c>
      <c r="C72">
        <v>3228</v>
      </c>
      <c r="D72">
        <v>84.78</v>
      </c>
      <c r="E72">
        <f t="shared" si="5"/>
        <v>84.781700000000001</v>
      </c>
      <c r="F72">
        <v>8478.17</v>
      </c>
      <c r="G72">
        <v>1010480</v>
      </c>
      <c r="H72">
        <v>8393.39</v>
      </c>
      <c r="I72">
        <f t="shared" si="6"/>
        <v>8393.39</v>
      </c>
      <c r="J72">
        <v>84.78</v>
      </c>
      <c r="K72">
        <f t="shared" si="7"/>
        <v>84.781700000000001</v>
      </c>
      <c r="L72">
        <v>1010480</v>
      </c>
      <c r="M72" t="s">
        <v>21</v>
      </c>
      <c r="N72">
        <v>84.78</v>
      </c>
      <c r="O72">
        <f t="shared" si="8"/>
        <v>84.781700000000001</v>
      </c>
      <c r="P72">
        <v>8308.61</v>
      </c>
      <c r="Q72">
        <f t="shared" si="9"/>
        <v>8308.6099999999988</v>
      </c>
      <c r="R72" t="s">
        <v>22</v>
      </c>
      <c r="S72">
        <v>1</v>
      </c>
      <c r="U72" s="2">
        <v>46024</v>
      </c>
      <c r="V72" s="2">
        <v>46003</v>
      </c>
      <c r="W72" t="s">
        <v>23</v>
      </c>
      <c r="X72" t="s">
        <v>23</v>
      </c>
      <c r="Y72" s="1">
        <v>45667</v>
      </c>
    </row>
    <row r="73" spans="1:25" x14ac:dyDescent="0.55000000000000004">
      <c r="A73" t="s">
        <v>25</v>
      </c>
      <c r="B73">
        <v>0.01</v>
      </c>
      <c r="C73">
        <v>3886</v>
      </c>
      <c r="D73">
        <v>23.46</v>
      </c>
      <c r="E73">
        <f t="shared" si="5"/>
        <v>23.462800000000001</v>
      </c>
      <c r="F73">
        <v>2346.2800000000002</v>
      </c>
      <c r="G73">
        <v>1010481</v>
      </c>
      <c r="H73">
        <v>2322.8200000000002</v>
      </c>
      <c r="I73">
        <f t="shared" si="6"/>
        <v>2322.8200000000002</v>
      </c>
      <c r="J73">
        <v>23.46</v>
      </c>
      <c r="K73">
        <f t="shared" si="7"/>
        <v>23.462800000000001</v>
      </c>
      <c r="L73">
        <v>1010481</v>
      </c>
      <c r="M73" t="s">
        <v>21</v>
      </c>
      <c r="N73">
        <v>23.46</v>
      </c>
      <c r="O73">
        <f t="shared" si="8"/>
        <v>23.462800000000001</v>
      </c>
      <c r="P73">
        <v>2299.35</v>
      </c>
      <c r="Q73">
        <f t="shared" si="9"/>
        <v>2299.36</v>
      </c>
      <c r="R73" t="s">
        <v>22</v>
      </c>
      <c r="S73">
        <v>1</v>
      </c>
      <c r="U73" s="2">
        <v>46024</v>
      </c>
      <c r="V73" s="2">
        <v>46003</v>
      </c>
      <c r="W73" t="s">
        <v>23</v>
      </c>
      <c r="X73" t="s">
        <v>23</v>
      </c>
      <c r="Y73" s="1">
        <v>45667</v>
      </c>
    </row>
    <row r="74" spans="1:25" x14ac:dyDescent="0.55000000000000004">
      <c r="A74" t="s">
        <v>25</v>
      </c>
      <c r="B74">
        <v>0.01</v>
      </c>
      <c r="C74">
        <v>3578</v>
      </c>
      <c r="D74">
        <v>18.149999999999999</v>
      </c>
      <c r="E74">
        <f t="shared" si="5"/>
        <v>18.147200000000002</v>
      </c>
      <c r="F74">
        <v>1814.72</v>
      </c>
      <c r="G74">
        <v>1010482</v>
      </c>
      <c r="H74">
        <v>1796.57</v>
      </c>
      <c r="I74">
        <f t="shared" si="6"/>
        <v>1796.57</v>
      </c>
      <c r="J74">
        <v>18.149999999999999</v>
      </c>
      <c r="K74">
        <f t="shared" si="7"/>
        <v>18.147200000000002</v>
      </c>
      <c r="L74">
        <v>1010482</v>
      </c>
      <c r="M74" t="s">
        <v>21</v>
      </c>
      <c r="N74">
        <v>18.149999999999999</v>
      </c>
      <c r="O74">
        <f t="shared" si="8"/>
        <v>18.147200000000002</v>
      </c>
      <c r="P74">
        <v>1778.43</v>
      </c>
      <c r="Q74">
        <f t="shared" si="9"/>
        <v>1778.4199999999998</v>
      </c>
      <c r="R74" t="s">
        <v>22</v>
      </c>
      <c r="S74">
        <v>1</v>
      </c>
      <c r="U74" s="2">
        <v>46024</v>
      </c>
      <c r="V74" s="2">
        <v>46003</v>
      </c>
      <c r="W74" t="s">
        <v>23</v>
      </c>
      <c r="X74" t="s">
        <v>23</v>
      </c>
      <c r="Y74" s="1">
        <v>45667</v>
      </c>
    </row>
    <row r="75" spans="1:25" x14ac:dyDescent="0.55000000000000004">
      <c r="A75" t="s">
        <v>25</v>
      </c>
      <c r="B75">
        <v>0.01</v>
      </c>
      <c r="C75">
        <v>2913</v>
      </c>
      <c r="D75">
        <v>38.35</v>
      </c>
      <c r="E75">
        <f t="shared" si="5"/>
        <v>38.3508</v>
      </c>
      <c r="F75">
        <v>3835.08</v>
      </c>
      <c r="G75">
        <v>1010483</v>
      </c>
      <c r="H75">
        <v>3796.73</v>
      </c>
      <c r="I75">
        <f t="shared" si="6"/>
        <v>3796.73</v>
      </c>
      <c r="J75">
        <v>38.35</v>
      </c>
      <c r="K75">
        <f t="shared" si="7"/>
        <v>38.3508</v>
      </c>
      <c r="L75">
        <v>1010483</v>
      </c>
      <c r="M75" t="s">
        <v>21</v>
      </c>
      <c r="N75">
        <v>38.35</v>
      </c>
      <c r="O75">
        <f t="shared" si="8"/>
        <v>38.3508</v>
      </c>
      <c r="P75">
        <v>3758.38</v>
      </c>
      <c r="Q75">
        <f t="shared" si="9"/>
        <v>3758.38</v>
      </c>
      <c r="R75" t="s">
        <v>22</v>
      </c>
      <c r="S75">
        <v>1</v>
      </c>
      <c r="U75" s="2">
        <v>46024</v>
      </c>
      <c r="V75" s="2">
        <v>46003</v>
      </c>
      <c r="W75" t="s">
        <v>23</v>
      </c>
      <c r="X75" t="s">
        <v>23</v>
      </c>
      <c r="Y75" s="1">
        <v>45667</v>
      </c>
    </row>
    <row r="76" spans="1:25" x14ac:dyDescent="0.55000000000000004">
      <c r="A76" t="s">
        <v>25</v>
      </c>
      <c r="B76">
        <v>0.01</v>
      </c>
      <c r="C76">
        <v>3928</v>
      </c>
      <c r="D76">
        <v>37.880000000000003</v>
      </c>
      <c r="E76">
        <f t="shared" si="5"/>
        <v>37.877000000000002</v>
      </c>
      <c r="F76">
        <v>3787.7</v>
      </c>
      <c r="G76">
        <v>1010484</v>
      </c>
      <c r="H76">
        <v>3749.82</v>
      </c>
      <c r="I76">
        <f t="shared" si="6"/>
        <v>3749.8199999999997</v>
      </c>
      <c r="J76">
        <v>37.880000000000003</v>
      </c>
      <c r="K76">
        <f t="shared" si="7"/>
        <v>37.877000000000002</v>
      </c>
      <c r="L76">
        <v>1010484</v>
      </c>
      <c r="M76" t="s">
        <v>21</v>
      </c>
      <c r="N76">
        <v>37.880000000000003</v>
      </c>
      <c r="O76">
        <f t="shared" si="8"/>
        <v>37.877000000000002</v>
      </c>
      <c r="P76">
        <v>3711.95</v>
      </c>
      <c r="Q76">
        <f t="shared" si="9"/>
        <v>3711.9399999999996</v>
      </c>
      <c r="R76" t="s">
        <v>22</v>
      </c>
      <c r="S76">
        <v>1</v>
      </c>
      <c r="U76" s="2">
        <v>46024</v>
      </c>
      <c r="V76" s="2">
        <v>46003</v>
      </c>
      <c r="W76" t="s">
        <v>23</v>
      </c>
      <c r="X76" t="s">
        <v>23</v>
      </c>
      <c r="Y76" s="1">
        <v>45667</v>
      </c>
    </row>
    <row r="77" spans="1:25" x14ac:dyDescent="0.55000000000000004">
      <c r="A77" t="s">
        <v>25</v>
      </c>
      <c r="B77">
        <v>0.01</v>
      </c>
      <c r="C77">
        <v>3781</v>
      </c>
      <c r="D77">
        <v>24.31</v>
      </c>
      <c r="E77">
        <f t="shared" si="5"/>
        <v>24.314400000000003</v>
      </c>
      <c r="F77">
        <v>2431.44</v>
      </c>
      <c r="G77">
        <v>1010485</v>
      </c>
      <c r="H77">
        <v>2407.13</v>
      </c>
      <c r="I77">
        <f t="shared" si="6"/>
        <v>2407.13</v>
      </c>
      <c r="J77">
        <v>24.31</v>
      </c>
      <c r="K77">
        <f t="shared" si="7"/>
        <v>24.314400000000003</v>
      </c>
      <c r="L77">
        <v>1010485</v>
      </c>
      <c r="M77" t="s">
        <v>21</v>
      </c>
      <c r="N77">
        <v>24.31</v>
      </c>
      <c r="O77">
        <f t="shared" si="8"/>
        <v>24.314400000000003</v>
      </c>
      <c r="P77">
        <v>2382.81</v>
      </c>
      <c r="Q77">
        <f t="shared" si="9"/>
        <v>2382.8200000000002</v>
      </c>
      <c r="R77" t="s">
        <v>22</v>
      </c>
      <c r="S77">
        <v>1</v>
      </c>
      <c r="U77" s="2">
        <v>46024</v>
      </c>
      <c r="V77" s="2">
        <v>46003</v>
      </c>
      <c r="W77" t="s">
        <v>23</v>
      </c>
      <c r="X77" t="s">
        <v>23</v>
      </c>
      <c r="Y77" s="1">
        <v>45667</v>
      </c>
    </row>
    <row r="78" spans="1:25" x14ac:dyDescent="0.55000000000000004">
      <c r="A78" t="s">
        <v>25</v>
      </c>
      <c r="B78">
        <v>0.01</v>
      </c>
      <c r="C78">
        <v>3781</v>
      </c>
      <c r="D78">
        <v>46.18</v>
      </c>
      <c r="E78">
        <f t="shared" si="5"/>
        <v>46.178699999999999</v>
      </c>
      <c r="F78">
        <v>4617.87</v>
      </c>
      <c r="G78">
        <v>1010486</v>
      </c>
      <c r="H78">
        <v>4571.6899999999996</v>
      </c>
      <c r="I78">
        <f t="shared" si="6"/>
        <v>4571.6899999999996</v>
      </c>
      <c r="J78">
        <v>46.18</v>
      </c>
      <c r="K78">
        <f t="shared" si="7"/>
        <v>46.178699999999999</v>
      </c>
      <c r="L78">
        <v>1010486</v>
      </c>
      <c r="M78" t="s">
        <v>21</v>
      </c>
      <c r="N78">
        <v>46.18</v>
      </c>
      <c r="O78">
        <f t="shared" si="8"/>
        <v>46.178699999999999</v>
      </c>
      <c r="P78">
        <v>4525.51</v>
      </c>
      <c r="Q78">
        <f t="shared" si="9"/>
        <v>4525.5099999999993</v>
      </c>
      <c r="R78" t="s">
        <v>22</v>
      </c>
      <c r="S78">
        <v>1</v>
      </c>
      <c r="U78" s="2">
        <v>46024</v>
      </c>
      <c r="V78" s="2">
        <v>46003</v>
      </c>
      <c r="W78" t="s">
        <v>23</v>
      </c>
      <c r="X78" t="s">
        <v>23</v>
      </c>
      <c r="Y78" s="1">
        <v>45667</v>
      </c>
    </row>
    <row r="79" spans="1:25" x14ac:dyDescent="0.55000000000000004">
      <c r="A79" t="s">
        <v>20</v>
      </c>
      <c r="B79">
        <v>0.02</v>
      </c>
      <c r="C79">
        <v>3403</v>
      </c>
      <c r="D79">
        <v>1.33</v>
      </c>
      <c r="E79">
        <f t="shared" si="5"/>
        <v>1.3260000000000001</v>
      </c>
      <c r="F79">
        <v>66.3</v>
      </c>
      <c r="G79">
        <v>1010487</v>
      </c>
      <c r="H79">
        <v>64.97</v>
      </c>
      <c r="I79">
        <f t="shared" si="6"/>
        <v>64.97</v>
      </c>
      <c r="J79">
        <v>1.33</v>
      </c>
      <c r="K79">
        <f t="shared" si="7"/>
        <v>1.3260000000000001</v>
      </c>
      <c r="L79">
        <v>1010487</v>
      </c>
      <c r="M79" t="s">
        <v>21</v>
      </c>
      <c r="N79">
        <v>0.66</v>
      </c>
      <c r="O79">
        <f t="shared" si="8"/>
        <v>0.66300000000000003</v>
      </c>
      <c r="P79">
        <v>64.31</v>
      </c>
      <c r="Q79">
        <f t="shared" si="9"/>
        <v>64.31</v>
      </c>
      <c r="R79" t="s">
        <v>22</v>
      </c>
      <c r="S79">
        <v>1</v>
      </c>
      <c r="U79" s="2">
        <v>46024</v>
      </c>
      <c r="V79" s="2">
        <v>46003</v>
      </c>
      <c r="W79" t="s">
        <v>23</v>
      </c>
      <c r="X79" t="s">
        <v>23</v>
      </c>
      <c r="Y79" s="1">
        <v>45667</v>
      </c>
    </row>
    <row r="80" spans="1:25" x14ac:dyDescent="0.55000000000000004">
      <c r="A80" t="s">
        <v>20</v>
      </c>
      <c r="B80">
        <v>0.02</v>
      </c>
      <c r="C80">
        <v>3403</v>
      </c>
      <c r="D80">
        <v>0.55000000000000004</v>
      </c>
      <c r="E80">
        <f t="shared" si="5"/>
        <v>0.55459999999999998</v>
      </c>
      <c r="F80">
        <v>27.73</v>
      </c>
      <c r="G80">
        <v>1010488</v>
      </c>
      <c r="H80">
        <v>27.18</v>
      </c>
      <c r="I80">
        <f t="shared" si="6"/>
        <v>27.18</v>
      </c>
      <c r="J80">
        <v>0.55000000000000004</v>
      </c>
      <c r="K80">
        <f t="shared" si="7"/>
        <v>0.55459999999999998</v>
      </c>
      <c r="L80">
        <v>1010488</v>
      </c>
      <c r="M80" t="s">
        <v>21</v>
      </c>
      <c r="N80">
        <v>0.28000000000000003</v>
      </c>
      <c r="O80">
        <f t="shared" si="8"/>
        <v>0.27729999999999999</v>
      </c>
      <c r="P80">
        <v>26.9</v>
      </c>
      <c r="Q80">
        <f t="shared" si="9"/>
        <v>26.9</v>
      </c>
      <c r="R80" t="s">
        <v>22</v>
      </c>
      <c r="S80">
        <v>1</v>
      </c>
      <c r="U80" s="2">
        <v>46024</v>
      </c>
      <c r="V80" s="2">
        <v>46003</v>
      </c>
      <c r="W80" t="s">
        <v>23</v>
      </c>
      <c r="X80" t="s">
        <v>23</v>
      </c>
      <c r="Y80" s="1">
        <v>45667</v>
      </c>
    </row>
    <row r="81" spans="1:25" x14ac:dyDescent="0.55000000000000004">
      <c r="A81" t="s">
        <v>20</v>
      </c>
      <c r="B81">
        <v>0.02</v>
      </c>
      <c r="C81">
        <v>3403</v>
      </c>
      <c r="D81">
        <v>23.48</v>
      </c>
      <c r="E81">
        <f t="shared" si="5"/>
        <v>23.4818</v>
      </c>
      <c r="F81">
        <v>1174.0899999999999</v>
      </c>
      <c r="G81">
        <v>1010489</v>
      </c>
      <c r="H81">
        <v>1150.6099999999999</v>
      </c>
      <c r="I81">
        <f t="shared" si="6"/>
        <v>1150.6099999999999</v>
      </c>
      <c r="J81">
        <v>23.48</v>
      </c>
      <c r="K81">
        <f t="shared" si="7"/>
        <v>23.4818</v>
      </c>
      <c r="L81">
        <v>1010489</v>
      </c>
      <c r="M81" t="s">
        <v>21</v>
      </c>
      <c r="N81">
        <v>11.74</v>
      </c>
      <c r="O81">
        <f t="shared" si="8"/>
        <v>11.7409</v>
      </c>
      <c r="P81">
        <v>1138.8699999999999</v>
      </c>
      <c r="Q81">
        <f t="shared" si="9"/>
        <v>1138.8699999999999</v>
      </c>
      <c r="R81" t="s">
        <v>22</v>
      </c>
      <c r="S81">
        <v>1</v>
      </c>
      <c r="U81" s="2">
        <v>46024</v>
      </c>
      <c r="V81" s="2">
        <v>46003</v>
      </c>
      <c r="W81" t="s">
        <v>23</v>
      </c>
      <c r="X81" t="s">
        <v>23</v>
      </c>
      <c r="Y81" s="1">
        <v>45667</v>
      </c>
    </row>
    <row r="82" spans="1:25" x14ac:dyDescent="0.55000000000000004">
      <c r="A82" t="s">
        <v>20</v>
      </c>
      <c r="B82">
        <v>0.02</v>
      </c>
      <c r="C82">
        <v>3823</v>
      </c>
      <c r="D82">
        <v>0.9</v>
      </c>
      <c r="E82">
        <f t="shared" si="5"/>
        <v>0.90239999999999998</v>
      </c>
      <c r="F82">
        <v>45.12</v>
      </c>
      <c r="G82">
        <v>1010490</v>
      </c>
      <c r="H82">
        <v>44.22</v>
      </c>
      <c r="I82">
        <f t="shared" si="6"/>
        <v>44.22</v>
      </c>
      <c r="J82">
        <v>0.9</v>
      </c>
      <c r="K82">
        <f t="shared" si="7"/>
        <v>0.90239999999999998</v>
      </c>
      <c r="L82">
        <v>1010490</v>
      </c>
      <c r="M82" t="s">
        <v>21</v>
      </c>
      <c r="N82">
        <v>0.45</v>
      </c>
      <c r="O82">
        <f t="shared" si="8"/>
        <v>0.45119999999999999</v>
      </c>
      <c r="P82">
        <v>43.77</v>
      </c>
      <c r="Q82">
        <f t="shared" si="9"/>
        <v>43.769999999999996</v>
      </c>
      <c r="R82" t="s">
        <v>22</v>
      </c>
      <c r="S82">
        <v>1</v>
      </c>
      <c r="U82" s="2">
        <v>46024</v>
      </c>
      <c r="V82" s="2">
        <v>46003</v>
      </c>
      <c r="W82" t="s">
        <v>23</v>
      </c>
      <c r="X82" t="s">
        <v>23</v>
      </c>
      <c r="Y82" s="1">
        <v>45667</v>
      </c>
    </row>
    <row r="83" spans="1:25" x14ac:dyDescent="0.55000000000000004">
      <c r="A83" t="s">
        <v>20</v>
      </c>
      <c r="B83">
        <v>0.02</v>
      </c>
      <c r="C83">
        <v>3151</v>
      </c>
      <c r="D83">
        <v>19.2</v>
      </c>
      <c r="E83">
        <f t="shared" si="5"/>
        <v>19.202200000000001</v>
      </c>
      <c r="F83">
        <v>960.11</v>
      </c>
      <c r="G83">
        <v>1010491</v>
      </c>
      <c r="H83">
        <v>940.91</v>
      </c>
      <c r="I83">
        <f t="shared" si="6"/>
        <v>940.91</v>
      </c>
      <c r="J83">
        <v>19.2</v>
      </c>
      <c r="K83">
        <f t="shared" si="7"/>
        <v>19.202200000000001</v>
      </c>
      <c r="L83">
        <v>1010491</v>
      </c>
      <c r="M83" t="s">
        <v>21</v>
      </c>
      <c r="N83">
        <v>9.6</v>
      </c>
      <c r="O83">
        <f t="shared" si="8"/>
        <v>9.6011000000000006</v>
      </c>
      <c r="P83">
        <v>931.31</v>
      </c>
      <c r="Q83">
        <f t="shared" si="9"/>
        <v>931.31</v>
      </c>
      <c r="R83" t="s">
        <v>22</v>
      </c>
      <c r="S83">
        <v>1</v>
      </c>
      <c r="U83" s="2">
        <v>46024</v>
      </c>
      <c r="V83" s="2">
        <v>46003</v>
      </c>
      <c r="W83" t="s">
        <v>23</v>
      </c>
      <c r="X83" t="s">
        <v>23</v>
      </c>
      <c r="Y83" s="1">
        <v>45667</v>
      </c>
    </row>
    <row r="84" spans="1:25" x14ac:dyDescent="0.55000000000000004">
      <c r="A84" t="s">
        <v>20</v>
      </c>
      <c r="B84">
        <v>0.02</v>
      </c>
      <c r="C84">
        <v>3151</v>
      </c>
      <c r="D84">
        <v>0.94</v>
      </c>
      <c r="E84">
        <f t="shared" si="5"/>
        <v>0.93579999999999997</v>
      </c>
      <c r="F84">
        <v>46.79</v>
      </c>
      <c r="G84">
        <v>1010492</v>
      </c>
      <c r="H84">
        <v>45.85</v>
      </c>
      <c r="I84">
        <f t="shared" si="6"/>
        <v>45.85</v>
      </c>
      <c r="J84">
        <v>0.94</v>
      </c>
      <c r="K84">
        <f t="shared" si="7"/>
        <v>0.93579999999999997</v>
      </c>
      <c r="L84">
        <v>1010492</v>
      </c>
      <c r="M84" t="s">
        <v>21</v>
      </c>
      <c r="N84">
        <v>0.47</v>
      </c>
      <c r="O84">
        <f t="shared" si="8"/>
        <v>0.46789999999999998</v>
      </c>
      <c r="P84">
        <v>45.39</v>
      </c>
      <c r="Q84">
        <f t="shared" si="9"/>
        <v>45.38</v>
      </c>
      <c r="R84" t="s">
        <v>22</v>
      </c>
      <c r="S84">
        <v>1</v>
      </c>
      <c r="U84" s="2">
        <v>46024</v>
      </c>
      <c r="V84" s="2">
        <v>46003</v>
      </c>
      <c r="W84" t="s">
        <v>23</v>
      </c>
      <c r="X84" t="s">
        <v>23</v>
      </c>
      <c r="Y84" s="1">
        <v>45667</v>
      </c>
    </row>
    <row r="85" spans="1:25" x14ac:dyDescent="0.55000000000000004">
      <c r="A85" t="s">
        <v>20</v>
      </c>
      <c r="B85">
        <v>0.02</v>
      </c>
      <c r="C85">
        <v>3151</v>
      </c>
      <c r="D85">
        <v>0.7</v>
      </c>
      <c r="E85">
        <f t="shared" si="5"/>
        <v>0.69900000000000007</v>
      </c>
      <c r="F85">
        <v>34.950000000000003</v>
      </c>
      <c r="G85">
        <v>1010493</v>
      </c>
      <c r="H85">
        <v>34.25</v>
      </c>
      <c r="I85">
        <f t="shared" si="6"/>
        <v>34.25</v>
      </c>
      <c r="J85">
        <v>0.7</v>
      </c>
      <c r="K85">
        <f t="shared" si="7"/>
        <v>0.69900000000000007</v>
      </c>
      <c r="L85">
        <v>1010493</v>
      </c>
      <c r="M85" t="s">
        <v>21</v>
      </c>
      <c r="N85">
        <v>0.35</v>
      </c>
      <c r="O85">
        <f t="shared" si="8"/>
        <v>0.34950000000000003</v>
      </c>
      <c r="P85">
        <v>33.9</v>
      </c>
      <c r="Q85">
        <f t="shared" si="9"/>
        <v>33.9</v>
      </c>
      <c r="R85" t="s">
        <v>22</v>
      </c>
      <c r="S85">
        <v>1</v>
      </c>
      <c r="U85" s="2">
        <v>46024</v>
      </c>
      <c r="V85" s="2">
        <v>46003</v>
      </c>
      <c r="W85" t="s">
        <v>23</v>
      </c>
      <c r="X85" t="s">
        <v>23</v>
      </c>
      <c r="Y85" s="1">
        <v>45667</v>
      </c>
    </row>
    <row r="86" spans="1:25" x14ac:dyDescent="0.55000000000000004">
      <c r="A86" t="s">
        <v>20</v>
      </c>
      <c r="B86">
        <v>0.02</v>
      </c>
      <c r="C86">
        <v>3151</v>
      </c>
      <c r="D86">
        <v>2.7</v>
      </c>
      <c r="E86">
        <f t="shared" si="5"/>
        <v>2.7008000000000001</v>
      </c>
      <c r="F86">
        <v>135.04</v>
      </c>
      <c r="G86">
        <v>1010494</v>
      </c>
      <c r="H86">
        <v>132.34</v>
      </c>
      <c r="I86">
        <f t="shared" si="6"/>
        <v>132.34</v>
      </c>
      <c r="J86">
        <v>2.7</v>
      </c>
      <c r="K86">
        <f t="shared" si="7"/>
        <v>2.7008000000000001</v>
      </c>
      <c r="L86">
        <v>1010494</v>
      </c>
      <c r="M86" t="s">
        <v>21</v>
      </c>
      <c r="N86">
        <v>1.35</v>
      </c>
      <c r="O86">
        <f t="shared" si="8"/>
        <v>1.3504</v>
      </c>
      <c r="P86">
        <v>130.99</v>
      </c>
      <c r="Q86">
        <f t="shared" si="9"/>
        <v>130.99</v>
      </c>
      <c r="R86" t="s">
        <v>22</v>
      </c>
      <c r="S86">
        <v>1</v>
      </c>
      <c r="U86" s="2">
        <v>46024</v>
      </c>
      <c r="V86" s="2">
        <v>46003</v>
      </c>
      <c r="W86" t="s">
        <v>23</v>
      </c>
      <c r="X86" t="s">
        <v>23</v>
      </c>
      <c r="Y86" s="1">
        <v>45667</v>
      </c>
    </row>
    <row r="87" spans="1:25" x14ac:dyDescent="0.55000000000000004">
      <c r="A87" t="s">
        <v>20</v>
      </c>
      <c r="B87">
        <v>0.02</v>
      </c>
      <c r="C87">
        <v>3151</v>
      </c>
      <c r="D87">
        <v>0.79</v>
      </c>
      <c r="E87">
        <f t="shared" si="5"/>
        <v>0.78680000000000005</v>
      </c>
      <c r="F87">
        <v>39.340000000000003</v>
      </c>
      <c r="G87">
        <v>1010495</v>
      </c>
      <c r="H87">
        <v>38.549999999999997</v>
      </c>
      <c r="I87">
        <f t="shared" si="6"/>
        <v>38.550000000000004</v>
      </c>
      <c r="J87">
        <v>0.79</v>
      </c>
      <c r="K87">
        <f t="shared" si="7"/>
        <v>0.78680000000000005</v>
      </c>
      <c r="L87">
        <v>1010495</v>
      </c>
      <c r="M87" t="s">
        <v>21</v>
      </c>
      <c r="N87">
        <v>0.39</v>
      </c>
      <c r="O87">
        <f t="shared" si="8"/>
        <v>0.39340000000000003</v>
      </c>
      <c r="P87">
        <v>38.159999999999997</v>
      </c>
      <c r="Q87">
        <f t="shared" si="9"/>
        <v>38.160000000000004</v>
      </c>
      <c r="R87" t="s">
        <v>22</v>
      </c>
      <c r="S87">
        <v>1</v>
      </c>
      <c r="U87" s="2">
        <v>46024</v>
      </c>
      <c r="V87" s="2">
        <v>46003</v>
      </c>
      <c r="W87" t="s">
        <v>23</v>
      </c>
      <c r="X87" t="s">
        <v>23</v>
      </c>
      <c r="Y87" s="1">
        <v>45667</v>
      </c>
    </row>
    <row r="88" spans="1:25" x14ac:dyDescent="0.55000000000000004">
      <c r="A88" t="s">
        <v>24</v>
      </c>
      <c r="B88">
        <v>0</v>
      </c>
      <c r="C88">
        <v>3151</v>
      </c>
      <c r="D88">
        <v>0</v>
      </c>
      <c r="E88">
        <f t="shared" si="5"/>
        <v>0</v>
      </c>
      <c r="F88">
        <v>442.7</v>
      </c>
      <c r="G88">
        <v>1010496</v>
      </c>
      <c r="H88">
        <v>442.7</v>
      </c>
      <c r="I88">
        <f t="shared" si="6"/>
        <v>442.7</v>
      </c>
      <c r="J88">
        <v>0</v>
      </c>
      <c r="K88">
        <f t="shared" si="7"/>
        <v>0</v>
      </c>
      <c r="L88">
        <v>1010496</v>
      </c>
      <c r="M88" t="s">
        <v>21</v>
      </c>
      <c r="N88">
        <v>4.43</v>
      </c>
      <c r="O88">
        <f t="shared" si="8"/>
        <v>4.4269999999999996</v>
      </c>
      <c r="P88">
        <v>438.27</v>
      </c>
      <c r="Q88">
        <f t="shared" si="9"/>
        <v>438.27</v>
      </c>
      <c r="R88" t="s">
        <v>22</v>
      </c>
      <c r="S88">
        <v>1</v>
      </c>
      <c r="U88" s="2">
        <v>46024</v>
      </c>
      <c r="V88" s="2">
        <v>46003</v>
      </c>
      <c r="W88" t="s">
        <v>23</v>
      </c>
      <c r="X88" t="s">
        <v>23</v>
      </c>
      <c r="Y88" s="1">
        <v>45667</v>
      </c>
    </row>
    <row r="89" spans="1:25" x14ac:dyDescent="0.55000000000000004">
      <c r="A89" t="s">
        <v>20</v>
      </c>
      <c r="B89">
        <v>0.02</v>
      </c>
      <c r="C89">
        <v>3249</v>
      </c>
      <c r="D89">
        <v>18.48</v>
      </c>
      <c r="E89">
        <f t="shared" si="5"/>
        <v>18.482600000000001</v>
      </c>
      <c r="F89">
        <v>924.13</v>
      </c>
      <c r="G89">
        <v>1010497</v>
      </c>
      <c r="H89">
        <v>905.65</v>
      </c>
      <c r="I89">
        <f t="shared" si="6"/>
        <v>905.65</v>
      </c>
      <c r="J89">
        <v>18.48</v>
      </c>
      <c r="K89">
        <f t="shared" si="7"/>
        <v>18.482600000000001</v>
      </c>
      <c r="L89">
        <v>1010497</v>
      </c>
      <c r="M89" t="s">
        <v>21</v>
      </c>
      <c r="N89">
        <v>9.24</v>
      </c>
      <c r="O89">
        <f t="shared" si="8"/>
        <v>9.2413000000000007</v>
      </c>
      <c r="P89">
        <v>896.41</v>
      </c>
      <c r="Q89">
        <f t="shared" si="9"/>
        <v>896.41</v>
      </c>
      <c r="R89" t="s">
        <v>22</v>
      </c>
      <c r="S89">
        <v>1</v>
      </c>
      <c r="U89" s="2">
        <v>46024</v>
      </c>
      <c r="V89" s="2">
        <v>46003</v>
      </c>
      <c r="W89" t="s">
        <v>23</v>
      </c>
      <c r="X89" t="s">
        <v>23</v>
      </c>
      <c r="Y89" s="1">
        <v>45667</v>
      </c>
    </row>
    <row r="90" spans="1:25" x14ac:dyDescent="0.55000000000000004">
      <c r="A90" t="s">
        <v>24</v>
      </c>
      <c r="B90">
        <v>0</v>
      </c>
      <c r="C90">
        <v>3249</v>
      </c>
      <c r="D90">
        <v>0</v>
      </c>
      <c r="E90">
        <f t="shared" si="5"/>
        <v>0</v>
      </c>
      <c r="F90">
        <v>862.6</v>
      </c>
      <c r="G90">
        <v>1010498</v>
      </c>
      <c r="H90">
        <v>862.6</v>
      </c>
      <c r="I90">
        <f t="shared" si="6"/>
        <v>862.6</v>
      </c>
      <c r="J90">
        <v>0</v>
      </c>
      <c r="K90">
        <f t="shared" si="7"/>
        <v>0</v>
      </c>
      <c r="L90">
        <v>1010498</v>
      </c>
      <c r="M90" t="s">
        <v>21</v>
      </c>
      <c r="N90">
        <v>8.6300000000000008</v>
      </c>
      <c r="O90">
        <f t="shared" si="8"/>
        <v>8.6260000000000012</v>
      </c>
      <c r="P90">
        <v>853.97</v>
      </c>
      <c r="Q90">
        <f t="shared" si="9"/>
        <v>853.97</v>
      </c>
      <c r="R90" t="s">
        <v>22</v>
      </c>
      <c r="S90">
        <v>1</v>
      </c>
      <c r="U90" s="2">
        <v>46024</v>
      </c>
      <c r="V90" s="2">
        <v>46003</v>
      </c>
      <c r="W90" t="s">
        <v>23</v>
      </c>
      <c r="X90" t="s">
        <v>23</v>
      </c>
      <c r="Y90" s="1">
        <v>45667</v>
      </c>
    </row>
    <row r="91" spans="1:25" x14ac:dyDescent="0.55000000000000004">
      <c r="A91" t="s">
        <v>20</v>
      </c>
      <c r="B91">
        <v>0.02</v>
      </c>
      <c r="C91">
        <v>3781</v>
      </c>
      <c r="D91">
        <v>3.94</v>
      </c>
      <c r="E91">
        <f t="shared" si="5"/>
        <v>3.9412000000000003</v>
      </c>
      <c r="F91">
        <v>197.06</v>
      </c>
      <c r="G91">
        <v>1010499</v>
      </c>
      <c r="H91">
        <v>193.12</v>
      </c>
      <c r="I91">
        <f t="shared" si="6"/>
        <v>193.12</v>
      </c>
      <c r="J91">
        <v>3.94</v>
      </c>
      <c r="K91">
        <f t="shared" si="7"/>
        <v>3.9412000000000003</v>
      </c>
      <c r="L91">
        <v>1010499</v>
      </c>
      <c r="M91" t="s">
        <v>21</v>
      </c>
      <c r="N91">
        <v>1.97</v>
      </c>
      <c r="O91">
        <f t="shared" si="8"/>
        <v>1.9706000000000001</v>
      </c>
      <c r="P91">
        <v>191.15</v>
      </c>
      <c r="Q91">
        <f t="shared" si="9"/>
        <v>191.15</v>
      </c>
      <c r="R91" t="s">
        <v>22</v>
      </c>
      <c r="S91">
        <v>1</v>
      </c>
      <c r="U91" s="2">
        <v>46024</v>
      </c>
      <c r="V91" s="2">
        <v>46003</v>
      </c>
      <c r="W91" t="s">
        <v>23</v>
      </c>
      <c r="X91" t="s">
        <v>23</v>
      </c>
      <c r="Y91" s="1">
        <v>45667</v>
      </c>
    </row>
    <row r="92" spans="1:25" x14ac:dyDescent="0.55000000000000004">
      <c r="A92" t="s">
        <v>20</v>
      </c>
      <c r="B92">
        <v>0.02</v>
      </c>
      <c r="C92">
        <v>3676</v>
      </c>
      <c r="D92">
        <v>2.2599999999999998</v>
      </c>
      <c r="E92">
        <f t="shared" si="5"/>
        <v>2.2568000000000001</v>
      </c>
      <c r="F92">
        <v>112.84</v>
      </c>
      <c r="G92">
        <v>1010500</v>
      </c>
      <c r="H92">
        <v>110.58</v>
      </c>
      <c r="I92">
        <f t="shared" si="6"/>
        <v>110.58</v>
      </c>
      <c r="J92">
        <v>2.2599999999999998</v>
      </c>
      <c r="K92">
        <f t="shared" si="7"/>
        <v>2.2568000000000001</v>
      </c>
      <c r="L92">
        <v>1010500</v>
      </c>
      <c r="M92" t="s">
        <v>21</v>
      </c>
      <c r="N92">
        <v>1.1299999999999999</v>
      </c>
      <c r="O92">
        <f t="shared" si="8"/>
        <v>1.1284000000000001</v>
      </c>
      <c r="P92">
        <v>109.45</v>
      </c>
      <c r="Q92">
        <f t="shared" si="9"/>
        <v>109.45</v>
      </c>
      <c r="R92" t="s">
        <v>22</v>
      </c>
      <c r="S92">
        <v>1</v>
      </c>
      <c r="U92" s="2">
        <v>46024</v>
      </c>
      <c r="V92" s="2">
        <v>46003</v>
      </c>
      <c r="W92" t="s">
        <v>23</v>
      </c>
      <c r="X92" t="s">
        <v>23</v>
      </c>
      <c r="Y92" s="1">
        <v>45667</v>
      </c>
    </row>
    <row r="93" spans="1:25" x14ac:dyDescent="0.55000000000000004">
      <c r="A93" t="s">
        <v>20</v>
      </c>
      <c r="B93">
        <v>0.02</v>
      </c>
      <c r="C93">
        <v>3214</v>
      </c>
      <c r="D93">
        <v>7.49</v>
      </c>
      <c r="E93">
        <f t="shared" si="5"/>
        <v>7.4923999999999999</v>
      </c>
      <c r="F93">
        <v>374.62</v>
      </c>
      <c r="G93">
        <v>1010501</v>
      </c>
      <c r="H93">
        <v>367.13</v>
      </c>
      <c r="I93">
        <f t="shared" si="6"/>
        <v>367.13</v>
      </c>
      <c r="J93">
        <v>7.49</v>
      </c>
      <c r="K93">
        <f t="shared" si="7"/>
        <v>7.4923999999999999</v>
      </c>
      <c r="L93">
        <v>1010501</v>
      </c>
      <c r="M93" t="s">
        <v>21</v>
      </c>
      <c r="N93">
        <v>3.75</v>
      </c>
      <c r="O93">
        <f t="shared" si="8"/>
        <v>3.7462</v>
      </c>
      <c r="P93">
        <v>363.38</v>
      </c>
      <c r="Q93">
        <f t="shared" si="9"/>
        <v>363.38</v>
      </c>
      <c r="R93" t="s">
        <v>22</v>
      </c>
      <c r="S93">
        <v>1</v>
      </c>
      <c r="U93" s="2">
        <v>46024</v>
      </c>
      <c r="V93" s="2">
        <v>46003</v>
      </c>
      <c r="W93" t="s">
        <v>23</v>
      </c>
      <c r="X93" t="s">
        <v>23</v>
      </c>
      <c r="Y93" s="1">
        <v>45667</v>
      </c>
    </row>
    <row r="94" spans="1:25" x14ac:dyDescent="0.55000000000000004">
      <c r="A94" t="s">
        <v>24</v>
      </c>
      <c r="B94">
        <v>0</v>
      </c>
      <c r="C94">
        <v>3410</v>
      </c>
      <c r="D94">
        <v>0</v>
      </c>
      <c r="E94">
        <f t="shared" si="5"/>
        <v>0</v>
      </c>
      <c r="F94">
        <v>760.8</v>
      </c>
      <c r="G94">
        <v>1010502</v>
      </c>
      <c r="H94">
        <v>760.8</v>
      </c>
      <c r="I94">
        <f t="shared" si="6"/>
        <v>760.8</v>
      </c>
      <c r="J94">
        <v>0</v>
      </c>
      <c r="K94">
        <f t="shared" si="7"/>
        <v>0</v>
      </c>
      <c r="L94">
        <v>1010502</v>
      </c>
      <c r="M94" t="s">
        <v>21</v>
      </c>
      <c r="N94">
        <v>7.61</v>
      </c>
      <c r="O94">
        <f t="shared" si="8"/>
        <v>7.6079999999999997</v>
      </c>
      <c r="P94">
        <v>753.19</v>
      </c>
      <c r="Q94">
        <f t="shared" si="9"/>
        <v>753.18999999999994</v>
      </c>
      <c r="R94" t="s">
        <v>22</v>
      </c>
      <c r="S94">
        <v>1</v>
      </c>
      <c r="U94" s="2">
        <v>46024</v>
      </c>
      <c r="V94" s="2">
        <v>46003</v>
      </c>
      <c r="W94" t="s">
        <v>23</v>
      </c>
      <c r="X94" t="s">
        <v>23</v>
      </c>
      <c r="Y94" s="1">
        <v>45667</v>
      </c>
    </row>
    <row r="95" spans="1:25" x14ac:dyDescent="0.55000000000000004">
      <c r="A95" t="s">
        <v>20</v>
      </c>
      <c r="B95">
        <v>0.02</v>
      </c>
      <c r="C95">
        <v>3410</v>
      </c>
      <c r="D95">
        <v>2.06</v>
      </c>
      <c r="E95">
        <f t="shared" si="5"/>
        <v>2.0644</v>
      </c>
      <c r="F95">
        <v>103.22</v>
      </c>
      <c r="G95">
        <v>1010503</v>
      </c>
      <c r="H95">
        <v>101.16</v>
      </c>
      <c r="I95">
        <f t="shared" si="6"/>
        <v>101.16</v>
      </c>
      <c r="J95">
        <v>2.06</v>
      </c>
      <c r="K95">
        <f t="shared" si="7"/>
        <v>2.0644</v>
      </c>
      <c r="L95">
        <v>1010503</v>
      </c>
      <c r="M95" t="s">
        <v>21</v>
      </c>
      <c r="N95">
        <v>1.03</v>
      </c>
      <c r="O95">
        <f t="shared" si="8"/>
        <v>1.0322</v>
      </c>
      <c r="P95">
        <v>100.12</v>
      </c>
      <c r="Q95">
        <f t="shared" si="9"/>
        <v>100.13</v>
      </c>
      <c r="R95" t="s">
        <v>22</v>
      </c>
      <c r="S95">
        <v>1</v>
      </c>
      <c r="U95" s="2">
        <v>46024</v>
      </c>
      <c r="V95" s="2">
        <v>46003</v>
      </c>
      <c r="W95" t="s">
        <v>23</v>
      </c>
      <c r="X95" t="s">
        <v>23</v>
      </c>
      <c r="Y95" s="1">
        <v>45667</v>
      </c>
    </row>
    <row r="96" spans="1:25" x14ac:dyDescent="0.55000000000000004">
      <c r="A96" t="s">
        <v>20</v>
      </c>
      <c r="B96">
        <v>0.02</v>
      </c>
      <c r="C96">
        <v>3410</v>
      </c>
      <c r="D96">
        <v>28.8</v>
      </c>
      <c r="E96">
        <f t="shared" si="5"/>
        <v>28.8</v>
      </c>
      <c r="F96">
        <v>1440</v>
      </c>
      <c r="G96">
        <v>1010504</v>
      </c>
      <c r="H96">
        <v>1411.2</v>
      </c>
      <c r="I96">
        <f t="shared" si="6"/>
        <v>1411.2</v>
      </c>
      <c r="J96">
        <v>28.8</v>
      </c>
      <c r="K96">
        <f t="shared" si="7"/>
        <v>28.8</v>
      </c>
      <c r="L96">
        <v>1010504</v>
      </c>
      <c r="M96" t="s">
        <v>21</v>
      </c>
      <c r="N96">
        <v>14.4</v>
      </c>
      <c r="O96">
        <f t="shared" si="8"/>
        <v>14.4</v>
      </c>
      <c r="P96">
        <v>1396.8</v>
      </c>
      <c r="Q96">
        <f t="shared" si="9"/>
        <v>1396.8</v>
      </c>
      <c r="R96" t="s">
        <v>22</v>
      </c>
      <c r="S96">
        <v>1</v>
      </c>
      <c r="U96" s="2">
        <v>46024</v>
      </c>
      <c r="V96" s="2">
        <v>46003</v>
      </c>
      <c r="W96" t="s">
        <v>23</v>
      </c>
      <c r="X96" t="s">
        <v>23</v>
      </c>
      <c r="Y96" s="1">
        <v>45667</v>
      </c>
    </row>
    <row r="97" spans="1:25" x14ac:dyDescent="0.55000000000000004">
      <c r="A97" t="s">
        <v>20</v>
      </c>
      <c r="B97">
        <v>0.02</v>
      </c>
      <c r="C97">
        <v>3886</v>
      </c>
      <c r="D97">
        <v>0.61</v>
      </c>
      <c r="E97">
        <f t="shared" si="5"/>
        <v>0.61080000000000001</v>
      </c>
      <c r="F97">
        <v>30.54</v>
      </c>
      <c r="G97">
        <v>1010505</v>
      </c>
      <c r="H97">
        <v>29.93</v>
      </c>
      <c r="I97">
        <f t="shared" si="6"/>
        <v>29.93</v>
      </c>
      <c r="J97">
        <v>0.61</v>
      </c>
      <c r="K97">
        <f t="shared" si="7"/>
        <v>0.61080000000000001</v>
      </c>
      <c r="L97">
        <v>1010505</v>
      </c>
      <c r="M97" t="s">
        <v>21</v>
      </c>
      <c r="N97">
        <v>0.31</v>
      </c>
      <c r="O97">
        <f t="shared" si="8"/>
        <v>0.3054</v>
      </c>
      <c r="P97">
        <v>29.62</v>
      </c>
      <c r="Q97">
        <f t="shared" si="9"/>
        <v>29.62</v>
      </c>
      <c r="R97" t="s">
        <v>22</v>
      </c>
      <c r="S97">
        <v>1</v>
      </c>
      <c r="U97" s="2">
        <v>46024</v>
      </c>
      <c r="V97" s="2">
        <v>46003</v>
      </c>
      <c r="W97" t="s">
        <v>23</v>
      </c>
      <c r="X97" t="s">
        <v>23</v>
      </c>
      <c r="Y97" s="1">
        <v>45667</v>
      </c>
    </row>
    <row r="98" spans="1:25" x14ac:dyDescent="0.55000000000000004">
      <c r="A98" t="s">
        <v>20</v>
      </c>
      <c r="B98">
        <v>0.02</v>
      </c>
      <c r="C98">
        <v>3788</v>
      </c>
      <c r="D98">
        <v>1.68</v>
      </c>
      <c r="E98">
        <f t="shared" si="5"/>
        <v>1.6816</v>
      </c>
      <c r="F98">
        <v>84.08</v>
      </c>
      <c r="G98">
        <v>1010506</v>
      </c>
      <c r="H98">
        <v>82.4</v>
      </c>
      <c r="I98">
        <f t="shared" si="6"/>
        <v>82.399999999999991</v>
      </c>
      <c r="J98">
        <v>1.68</v>
      </c>
      <c r="K98">
        <f t="shared" si="7"/>
        <v>1.6816</v>
      </c>
      <c r="L98">
        <v>1010506</v>
      </c>
      <c r="M98" t="s">
        <v>21</v>
      </c>
      <c r="N98">
        <v>0.84</v>
      </c>
      <c r="O98">
        <f t="shared" si="8"/>
        <v>0.84079999999999999</v>
      </c>
      <c r="P98">
        <v>81.56</v>
      </c>
      <c r="Q98">
        <f t="shared" si="9"/>
        <v>81.559999999999988</v>
      </c>
      <c r="R98" t="s">
        <v>22</v>
      </c>
      <c r="S98">
        <v>1</v>
      </c>
      <c r="U98" s="2">
        <v>46024</v>
      </c>
      <c r="V98" s="2">
        <v>46003</v>
      </c>
      <c r="W98" t="s">
        <v>23</v>
      </c>
      <c r="X98" t="s">
        <v>23</v>
      </c>
      <c r="Y98" s="1">
        <v>45667</v>
      </c>
    </row>
    <row r="99" spans="1:25" x14ac:dyDescent="0.55000000000000004">
      <c r="A99" t="s">
        <v>20</v>
      </c>
      <c r="B99">
        <v>0.02</v>
      </c>
      <c r="C99">
        <v>3634</v>
      </c>
      <c r="D99">
        <v>1.01</v>
      </c>
      <c r="E99">
        <f t="shared" si="5"/>
        <v>1.0087999999999999</v>
      </c>
      <c r="F99">
        <v>50.44</v>
      </c>
      <c r="G99">
        <v>1010507</v>
      </c>
      <c r="H99">
        <v>49.43</v>
      </c>
      <c r="I99">
        <f t="shared" si="6"/>
        <v>49.43</v>
      </c>
      <c r="J99">
        <v>1.01</v>
      </c>
      <c r="K99">
        <f t="shared" si="7"/>
        <v>1.0087999999999999</v>
      </c>
      <c r="L99">
        <v>1010507</v>
      </c>
      <c r="M99" t="s">
        <v>21</v>
      </c>
      <c r="N99">
        <v>0.5</v>
      </c>
      <c r="O99">
        <f t="shared" si="8"/>
        <v>0.50439999999999996</v>
      </c>
      <c r="P99">
        <v>48.93</v>
      </c>
      <c r="Q99">
        <f t="shared" si="9"/>
        <v>48.93</v>
      </c>
      <c r="R99" t="s">
        <v>22</v>
      </c>
      <c r="S99">
        <v>1</v>
      </c>
      <c r="U99" s="2">
        <v>46024</v>
      </c>
      <c r="V99" s="2">
        <v>46003</v>
      </c>
      <c r="W99" t="s">
        <v>23</v>
      </c>
      <c r="X99" t="s">
        <v>23</v>
      </c>
      <c r="Y99" s="1">
        <v>45667</v>
      </c>
    </row>
    <row r="100" spans="1:25" x14ac:dyDescent="0.55000000000000004">
      <c r="A100" t="s">
        <v>20</v>
      </c>
      <c r="B100">
        <v>0.02</v>
      </c>
      <c r="C100">
        <v>3459</v>
      </c>
      <c r="D100">
        <v>2.6</v>
      </c>
      <c r="E100">
        <f t="shared" si="5"/>
        <v>2.6039999999999996</v>
      </c>
      <c r="F100">
        <v>130.19999999999999</v>
      </c>
      <c r="G100">
        <v>1010508</v>
      </c>
      <c r="H100">
        <v>127.6</v>
      </c>
      <c r="I100">
        <f t="shared" si="6"/>
        <v>127.6</v>
      </c>
      <c r="J100">
        <v>2.6</v>
      </c>
      <c r="K100">
        <f t="shared" si="7"/>
        <v>2.6039999999999996</v>
      </c>
      <c r="L100">
        <v>1010508</v>
      </c>
      <c r="M100" t="s">
        <v>21</v>
      </c>
      <c r="N100">
        <v>1.3</v>
      </c>
      <c r="O100">
        <f t="shared" si="8"/>
        <v>1.3019999999999998</v>
      </c>
      <c r="P100">
        <v>126.29</v>
      </c>
      <c r="Q100">
        <f t="shared" si="9"/>
        <v>126.3</v>
      </c>
      <c r="R100" t="s">
        <v>22</v>
      </c>
      <c r="S100">
        <v>1</v>
      </c>
      <c r="U100" s="2">
        <v>46024</v>
      </c>
      <c r="V100" s="2">
        <v>46003</v>
      </c>
      <c r="W100" t="s">
        <v>23</v>
      </c>
      <c r="X100" t="s">
        <v>23</v>
      </c>
      <c r="Y100" s="1">
        <v>45667</v>
      </c>
    </row>
    <row r="101" spans="1:25" x14ac:dyDescent="0.55000000000000004">
      <c r="A101" t="s">
        <v>20</v>
      </c>
      <c r="B101">
        <v>0.02</v>
      </c>
      <c r="C101">
        <v>3697</v>
      </c>
      <c r="D101">
        <v>19.88</v>
      </c>
      <c r="E101">
        <f t="shared" si="5"/>
        <v>19.881400000000003</v>
      </c>
      <c r="F101">
        <v>994.07</v>
      </c>
      <c r="G101">
        <v>1010509</v>
      </c>
      <c r="H101">
        <v>974.19</v>
      </c>
      <c r="I101">
        <f t="shared" si="6"/>
        <v>974.19</v>
      </c>
      <c r="J101">
        <v>19.88</v>
      </c>
      <c r="K101">
        <f t="shared" si="7"/>
        <v>19.881400000000003</v>
      </c>
      <c r="L101">
        <v>1010509</v>
      </c>
      <c r="M101" t="s">
        <v>21</v>
      </c>
      <c r="N101">
        <v>9.94</v>
      </c>
      <c r="O101">
        <f t="shared" si="8"/>
        <v>9.9407000000000014</v>
      </c>
      <c r="P101">
        <v>964.25</v>
      </c>
      <c r="Q101">
        <f t="shared" si="9"/>
        <v>964.25</v>
      </c>
      <c r="R101" t="s">
        <v>22</v>
      </c>
      <c r="S101">
        <v>1</v>
      </c>
      <c r="U101" s="2">
        <v>46024</v>
      </c>
      <c r="V101" s="2">
        <v>46003</v>
      </c>
      <c r="W101" t="s">
        <v>23</v>
      </c>
      <c r="X101" t="s">
        <v>23</v>
      </c>
      <c r="Y101" s="1">
        <v>45667</v>
      </c>
    </row>
    <row r="102" spans="1:25" x14ac:dyDescent="0.55000000000000004">
      <c r="A102" t="s">
        <v>20</v>
      </c>
      <c r="B102">
        <v>0.02</v>
      </c>
      <c r="C102">
        <v>3046</v>
      </c>
      <c r="D102">
        <v>21.56</v>
      </c>
      <c r="E102">
        <f t="shared" si="5"/>
        <v>21.5642</v>
      </c>
      <c r="F102">
        <v>1078.21</v>
      </c>
      <c r="G102">
        <v>1010510</v>
      </c>
      <c r="H102">
        <v>1056.6500000000001</v>
      </c>
      <c r="I102">
        <f t="shared" si="6"/>
        <v>1056.6500000000001</v>
      </c>
      <c r="J102">
        <v>21.56</v>
      </c>
      <c r="K102">
        <f t="shared" si="7"/>
        <v>21.5642</v>
      </c>
      <c r="L102">
        <v>1010510</v>
      </c>
      <c r="M102" t="s">
        <v>21</v>
      </c>
      <c r="N102">
        <v>10.78</v>
      </c>
      <c r="O102">
        <f t="shared" si="8"/>
        <v>10.7821</v>
      </c>
      <c r="P102">
        <v>1045.8599999999999</v>
      </c>
      <c r="Q102">
        <f t="shared" si="9"/>
        <v>1045.8700000000001</v>
      </c>
      <c r="R102" t="s">
        <v>22</v>
      </c>
      <c r="S102">
        <v>1</v>
      </c>
      <c r="U102" s="2">
        <v>46024</v>
      </c>
      <c r="V102" s="2">
        <v>46003</v>
      </c>
      <c r="W102" t="s">
        <v>23</v>
      </c>
      <c r="X102" t="s">
        <v>23</v>
      </c>
      <c r="Y102" s="1">
        <v>45667</v>
      </c>
    </row>
    <row r="103" spans="1:25" x14ac:dyDescent="0.55000000000000004">
      <c r="A103" t="s">
        <v>24</v>
      </c>
      <c r="B103">
        <v>0</v>
      </c>
      <c r="C103">
        <v>3529</v>
      </c>
      <c r="D103">
        <v>0</v>
      </c>
      <c r="E103">
        <f t="shared" si="5"/>
        <v>0</v>
      </c>
      <c r="F103">
        <v>6758.96</v>
      </c>
      <c r="G103">
        <v>1010511</v>
      </c>
      <c r="H103">
        <v>6758.96</v>
      </c>
      <c r="I103">
        <f t="shared" si="6"/>
        <v>6758.96</v>
      </c>
      <c r="J103">
        <v>0</v>
      </c>
      <c r="K103">
        <f t="shared" si="7"/>
        <v>0</v>
      </c>
      <c r="L103">
        <v>1010511</v>
      </c>
      <c r="M103" t="s">
        <v>21</v>
      </c>
      <c r="N103">
        <v>67.59</v>
      </c>
      <c r="O103">
        <f t="shared" si="8"/>
        <v>67.589600000000004</v>
      </c>
      <c r="P103">
        <v>6691.37</v>
      </c>
      <c r="Q103">
        <f t="shared" si="9"/>
        <v>6691.37</v>
      </c>
      <c r="R103" t="s">
        <v>22</v>
      </c>
      <c r="S103">
        <v>1</v>
      </c>
      <c r="U103" s="2">
        <v>46024</v>
      </c>
      <c r="V103" s="2">
        <v>46003</v>
      </c>
      <c r="W103" t="s">
        <v>23</v>
      </c>
      <c r="X103" t="s">
        <v>23</v>
      </c>
      <c r="Y103" s="1">
        <v>45667</v>
      </c>
    </row>
    <row r="104" spans="1:25" x14ac:dyDescent="0.55000000000000004">
      <c r="A104" t="s">
        <v>24</v>
      </c>
      <c r="B104">
        <v>0</v>
      </c>
      <c r="C104">
        <v>3606</v>
      </c>
      <c r="D104">
        <v>0</v>
      </c>
      <c r="E104">
        <f t="shared" si="5"/>
        <v>0</v>
      </c>
      <c r="F104">
        <v>6650</v>
      </c>
      <c r="G104">
        <v>1010512</v>
      </c>
      <c r="H104">
        <v>6650</v>
      </c>
      <c r="I104">
        <f t="shared" si="6"/>
        <v>6650</v>
      </c>
      <c r="J104">
        <v>0</v>
      </c>
      <c r="K104">
        <f t="shared" si="7"/>
        <v>0</v>
      </c>
      <c r="L104">
        <v>1010512</v>
      </c>
      <c r="M104" t="s">
        <v>21</v>
      </c>
      <c r="N104">
        <v>66.5</v>
      </c>
      <c r="O104">
        <f t="shared" si="8"/>
        <v>66.5</v>
      </c>
      <c r="P104">
        <v>6583.5</v>
      </c>
      <c r="Q104">
        <f t="shared" si="9"/>
        <v>6583.5</v>
      </c>
      <c r="R104" t="s">
        <v>22</v>
      </c>
      <c r="S104">
        <v>1</v>
      </c>
      <c r="U104" s="2">
        <v>46024</v>
      </c>
      <c r="V104" s="2">
        <v>46003</v>
      </c>
      <c r="W104" t="s">
        <v>23</v>
      </c>
      <c r="X104" t="s">
        <v>23</v>
      </c>
      <c r="Y104" s="1">
        <v>45667</v>
      </c>
    </row>
    <row r="105" spans="1:25" x14ac:dyDescent="0.55000000000000004">
      <c r="A105" t="s">
        <v>24</v>
      </c>
      <c r="B105">
        <v>0</v>
      </c>
      <c r="C105">
        <v>3774</v>
      </c>
      <c r="D105">
        <v>0</v>
      </c>
      <c r="E105">
        <f t="shared" si="5"/>
        <v>0</v>
      </c>
      <c r="F105">
        <v>8522.08</v>
      </c>
      <c r="G105">
        <v>1010513</v>
      </c>
      <c r="H105">
        <v>8522.08</v>
      </c>
      <c r="I105">
        <f t="shared" si="6"/>
        <v>8522.08</v>
      </c>
      <c r="J105">
        <v>0</v>
      </c>
      <c r="K105">
        <f t="shared" si="7"/>
        <v>0</v>
      </c>
      <c r="L105">
        <v>1010513</v>
      </c>
      <c r="M105" t="s">
        <v>21</v>
      </c>
      <c r="N105">
        <v>85.22</v>
      </c>
      <c r="O105">
        <f t="shared" si="8"/>
        <v>85.220799999999997</v>
      </c>
      <c r="P105">
        <v>8436.86</v>
      </c>
      <c r="Q105">
        <f t="shared" si="9"/>
        <v>8436.86</v>
      </c>
      <c r="R105" t="s">
        <v>22</v>
      </c>
      <c r="S105">
        <v>1</v>
      </c>
      <c r="U105" s="2">
        <v>46024</v>
      </c>
      <c r="V105" s="2">
        <v>46003</v>
      </c>
      <c r="W105" t="s">
        <v>23</v>
      </c>
      <c r="X105" t="s">
        <v>23</v>
      </c>
      <c r="Y105" s="1">
        <v>45667</v>
      </c>
    </row>
    <row r="106" spans="1:25" x14ac:dyDescent="0.55000000000000004">
      <c r="A106" t="s">
        <v>24</v>
      </c>
      <c r="B106">
        <v>0</v>
      </c>
      <c r="C106">
        <v>3109</v>
      </c>
      <c r="D106">
        <v>0</v>
      </c>
      <c r="E106">
        <f t="shared" si="5"/>
        <v>0</v>
      </c>
      <c r="F106">
        <v>6740.31</v>
      </c>
      <c r="G106">
        <v>1010514</v>
      </c>
      <c r="H106">
        <v>6740.31</v>
      </c>
      <c r="I106">
        <f t="shared" si="6"/>
        <v>6740.31</v>
      </c>
      <c r="J106">
        <v>0</v>
      </c>
      <c r="K106">
        <f t="shared" si="7"/>
        <v>0</v>
      </c>
      <c r="L106">
        <v>1010514</v>
      </c>
      <c r="M106" t="s">
        <v>21</v>
      </c>
      <c r="N106">
        <v>67.400000000000006</v>
      </c>
      <c r="O106">
        <f t="shared" si="8"/>
        <v>67.403100000000009</v>
      </c>
      <c r="P106">
        <v>6672.91</v>
      </c>
      <c r="Q106">
        <f t="shared" si="9"/>
        <v>6672.9100000000008</v>
      </c>
      <c r="R106" t="s">
        <v>22</v>
      </c>
      <c r="S106">
        <v>1</v>
      </c>
      <c r="U106" s="2">
        <v>46024</v>
      </c>
      <c r="V106" s="2">
        <v>46003</v>
      </c>
      <c r="W106" t="s">
        <v>23</v>
      </c>
      <c r="X106" t="s">
        <v>23</v>
      </c>
      <c r="Y106" s="1">
        <v>45667</v>
      </c>
    </row>
    <row r="107" spans="1:25" x14ac:dyDescent="0.55000000000000004">
      <c r="A107" t="s">
        <v>24</v>
      </c>
      <c r="B107">
        <v>0</v>
      </c>
      <c r="C107">
        <v>2766</v>
      </c>
      <c r="D107">
        <v>0</v>
      </c>
      <c r="E107">
        <f t="shared" si="5"/>
        <v>0</v>
      </c>
      <c r="F107">
        <v>6932.17</v>
      </c>
      <c r="G107">
        <v>1010515</v>
      </c>
      <c r="H107">
        <v>6932.17</v>
      </c>
      <c r="I107">
        <f t="shared" si="6"/>
        <v>6932.17</v>
      </c>
      <c r="J107">
        <v>0</v>
      </c>
      <c r="K107">
        <f t="shared" si="7"/>
        <v>0</v>
      </c>
      <c r="L107">
        <v>1010515</v>
      </c>
      <c r="M107" t="s">
        <v>21</v>
      </c>
      <c r="N107">
        <v>69.319999999999993</v>
      </c>
      <c r="O107">
        <f t="shared" si="8"/>
        <v>69.321700000000007</v>
      </c>
      <c r="P107">
        <v>6862.85</v>
      </c>
      <c r="Q107">
        <f t="shared" si="9"/>
        <v>6862.85</v>
      </c>
      <c r="R107" t="s">
        <v>22</v>
      </c>
      <c r="S107">
        <v>1</v>
      </c>
      <c r="U107" s="2">
        <v>46024</v>
      </c>
      <c r="V107" s="2">
        <v>46003</v>
      </c>
      <c r="W107" t="s">
        <v>23</v>
      </c>
      <c r="X107" t="s">
        <v>23</v>
      </c>
      <c r="Y107" s="1">
        <v>45667</v>
      </c>
    </row>
    <row r="108" spans="1:25" x14ac:dyDescent="0.55000000000000004">
      <c r="A108" t="s">
        <v>24</v>
      </c>
      <c r="B108">
        <v>0</v>
      </c>
      <c r="C108">
        <v>3732</v>
      </c>
      <c r="D108">
        <v>0</v>
      </c>
      <c r="E108">
        <f t="shared" si="5"/>
        <v>0</v>
      </c>
      <c r="F108">
        <v>14647.47</v>
      </c>
      <c r="G108">
        <v>1010516</v>
      </c>
      <c r="H108">
        <v>14647.47</v>
      </c>
      <c r="I108">
        <f t="shared" si="6"/>
        <v>14647.47</v>
      </c>
      <c r="J108">
        <v>0</v>
      </c>
      <c r="K108">
        <f t="shared" si="7"/>
        <v>0</v>
      </c>
      <c r="L108">
        <v>1010516</v>
      </c>
      <c r="M108" t="s">
        <v>21</v>
      </c>
      <c r="N108">
        <v>146.47</v>
      </c>
      <c r="O108">
        <f t="shared" si="8"/>
        <v>146.47469999999998</v>
      </c>
      <c r="P108">
        <v>14501</v>
      </c>
      <c r="Q108">
        <f t="shared" si="9"/>
        <v>14501</v>
      </c>
      <c r="R108" t="s">
        <v>22</v>
      </c>
      <c r="S108">
        <v>1</v>
      </c>
      <c r="U108" s="2">
        <v>46024</v>
      </c>
      <c r="V108" s="2">
        <v>46003</v>
      </c>
      <c r="W108" t="s">
        <v>23</v>
      </c>
      <c r="X108" t="s">
        <v>23</v>
      </c>
      <c r="Y108" s="1">
        <v>45667</v>
      </c>
    </row>
    <row r="109" spans="1:25" x14ac:dyDescent="0.55000000000000004">
      <c r="A109" t="s">
        <v>24</v>
      </c>
      <c r="B109">
        <v>0</v>
      </c>
      <c r="C109">
        <v>3361</v>
      </c>
      <c r="D109">
        <v>0</v>
      </c>
      <c r="E109">
        <f t="shared" si="5"/>
        <v>0</v>
      </c>
      <c r="F109">
        <v>11294.77</v>
      </c>
      <c r="G109">
        <v>1010517</v>
      </c>
      <c r="H109">
        <v>11294.77</v>
      </c>
      <c r="I109">
        <f t="shared" si="6"/>
        <v>11294.77</v>
      </c>
      <c r="J109">
        <v>0</v>
      </c>
      <c r="K109">
        <f t="shared" si="7"/>
        <v>0</v>
      </c>
      <c r="L109">
        <v>1010517</v>
      </c>
      <c r="M109" t="s">
        <v>21</v>
      </c>
      <c r="N109">
        <v>112.95</v>
      </c>
      <c r="O109">
        <f t="shared" si="8"/>
        <v>112.94770000000001</v>
      </c>
      <c r="P109">
        <v>11181.82</v>
      </c>
      <c r="Q109">
        <f t="shared" si="9"/>
        <v>11181.82</v>
      </c>
      <c r="R109" t="s">
        <v>22</v>
      </c>
      <c r="S109">
        <v>1</v>
      </c>
      <c r="U109" s="2">
        <v>46024</v>
      </c>
      <c r="V109" s="2">
        <v>46003</v>
      </c>
      <c r="W109" t="s">
        <v>23</v>
      </c>
      <c r="X109" t="s">
        <v>23</v>
      </c>
      <c r="Y109" s="1">
        <v>45667</v>
      </c>
    </row>
    <row r="110" spans="1:25" x14ac:dyDescent="0.55000000000000004">
      <c r="A110" t="s">
        <v>24</v>
      </c>
      <c r="B110">
        <v>0</v>
      </c>
      <c r="C110">
        <v>3732</v>
      </c>
      <c r="D110">
        <v>0</v>
      </c>
      <c r="E110">
        <f t="shared" si="5"/>
        <v>0</v>
      </c>
      <c r="F110">
        <v>13058.22</v>
      </c>
      <c r="G110">
        <v>1010518</v>
      </c>
      <c r="H110">
        <v>13058.22</v>
      </c>
      <c r="I110">
        <f t="shared" si="6"/>
        <v>13058.22</v>
      </c>
      <c r="J110">
        <v>0</v>
      </c>
      <c r="K110">
        <f t="shared" si="7"/>
        <v>0</v>
      </c>
      <c r="L110">
        <v>1010518</v>
      </c>
      <c r="M110" t="s">
        <v>21</v>
      </c>
      <c r="N110">
        <v>130.58000000000001</v>
      </c>
      <c r="O110">
        <f t="shared" si="8"/>
        <v>130.5822</v>
      </c>
      <c r="P110">
        <v>12927.64</v>
      </c>
      <c r="Q110">
        <f t="shared" si="9"/>
        <v>12927.64</v>
      </c>
      <c r="R110" t="s">
        <v>22</v>
      </c>
      <c r="S110">
        <v>1</v>
      </c>
      <c r="U110" s="2">
        <v>46024</v>
      </c>
      <c r="V110" s="2">
        <v>46003</v>
      </c>
      <c r="W110" t="s">
        <v>23</v>
      </c>
      <c r="X110" t="s">
        <v>23</v>
      </c>
      <c r="Y110" s="1">
        <v>45667</v>
      </c>
    </row>
    <row r="111" spans="1:25" x14ac:dyDescent="0.55000000000000004">
      <c r="A111" t="s">
        <v>24</v>
      </c>
      <c r="B111">
        <v>0</v>
      </c>
      <c r="C111">
        <v>3676</v>
      </c>
      <c r="D111">
        <v>0</v>
      </c>
      <c r="E111">
        <f t="shared" si="5"/>
        <v>0</v>
      </c>
      <c r="F111">
        <v>6529.11</v>
      </c>
      <c r="G111">
        <v>1010519</v>
      </c>
      <c r="H111">
        <v>6529.11</v>
      </c>
      <c r="I111">
        <f t="shared" si="6"/>
        <v>6529.11</v>
      </c>
      <c r="J111">
        <v>0</v>
      </c>
      <c r="K111">
        <f t="shared" si="7"/>
        <v>0</v>
      </c>
      <c r="L111">
        <v>1010519</v>
      </c>
      <c r="M111" t="s">
        <v>21</v>
      </c>
      <c r="N111">
        <v>65.290000000000006</v>
      </c>
      <c r="O111">
        <f t="shared" si="8"/>
        <v>65.2911</v>
      </c>
      <c r="P111">
        <v>6463.82</v>
      </c>
      <c r="Q111">
        <f t="shared" si="9"/>
        <v>6463.82</v>
      </c>
      <c r="R111" t="s">
        <v>22</v>
      </c>
      <c r="S111">
        <v>1</v>
      </c>
      <c r="U111" s="2">
        <v>46024</v>
      </c>
      <c r="V111" s="2">
        <v>46003</v>
      </c>
      <c r="W111" t="s">
        <v>23</v>
      </c>
      <c r="X111" t="s">
        <v>23</v>
      </c>
      <c r="Y111" s="1">
        <v>45667</v>
      </c>
    </row>
    <row r="112" spans="1:25" x14ac:dyDescent="0.55000000000000004">
      <c r="A112" t="s">
        <v>24</v>
      </c>
      <c r="B112">
        <v>0</v>
      </c>
      <c r="C112">
        <v>3592</v>
      </c>
      <c r="D112">
        <v>0</v>
      </c>
      <c r="E112">
        <f t="shared" si="5"/>
        <v>0</v>
      </c>
      <c r="F112">
        <v>6529.11</v>
      </c>
      <c r="G112">
        <v>1010520</v>
      </c>
      <c r="H112">
        <v>6529.11</v>
      </c>
      <c r="I112">
        <f t="shared" si="6"/>
        <v>6529.11</v>
      </c>
      <c r="J112">
        <v>0</v>
      </c>
      <c r="K112">
        <f t="shared" si="7"/>
        <v>0</v>
      </c>
      <c r="L112">
        <v>1010520</v>
      </c>
      <c r="M112" t="s">
        <v>21</v>
      </c>
      <c r="N112">
        <v>65.290000000000006</v>
      </c>
      <c r="O112">
        <f t="shared" si="8"/>
        <v>65.2911</v>
      </c>
      <c r="P112">
        <v>6463.82</v>
      </c>
      <c r="Q112">
        <f t="shared" si="9"/>
        <v>6463.82</v>
      </c>
      <c r="R112" t="s">
        <v>22</v>
      </c>
      <c r="S112">
        <v>1</v>
      </c>
      <c r="U112" s="2">
        <v>46024</v>
      </c>
      <c r="V112" s="2">
        <v>46003</v>
      </c>
      <c r="W112" t="s">
        <v>23</v>
      </c>
      <c r="X112" t="s">
        <v>23</v>
      </c>
      <c r="Y112" s="1">
        <v>45667</v>
      </c>
    </row>
    <row r="113" spans="1:25" x14ac:dyDescent="0.55000000000000004">
      <c r="A113" t="s">
        <v>24</v>
      </c>
      <c r="B113">
        <v>0</v>
      </c>
      <c r="C113">
        <v>2780</v>
      </c>
      <c r="D113">
        <v>0</v>
      </c>
      <c r="E113">
        <f t="shared" si="5"/>
        <v>0</v>
      </c>
      <c r="F113">
        <v>13058.22</v>
      </c>
      <c r="G113">
        <v>1010521</v>
      </c>
      <c r="H113">
        <v>13058.22</v>
      </c>
      <c r="I113">
        <f t="shared" si="6"/>
        <v>13058.22</v>
      </c>
      <c r="J113">
        <v>0</v>
      </c>
      <c r="K113">
        <f t="shared" si="7"/>
        <v>0</v>
      </c>
      <c r="L113">
        <v>1010521</v>
      </c>
      <c r="M113" t="s">
        <v>21</v>
      </c>
      <c r="N113">
        <v>130.58000000000001</v>
      </c>
      <c r="O113">
        <f t="shared" si="8"/>
        <v>130.5822</v>
      </c>
      <c r="P113">
        <v>12927.64</v>
      </c>
      <c r="Q113">
        <f t="shared" si="9"/>
        <v>12927.64</v>
      </c>
      <c r="R113" t="s">
        <v>22</v>
      </c>
      <c r="S113">
        <v>1</v>
      </c>
      <c r="U113" s="2">
        <v>46024</v>
      </c>
      <c r="V113" s="2">
        <v>46003</v>
      </c>
      <c r="W113" t="s">
        <v>23</v>
      </c>
      <c r="X113" t="s">
        <v>23</v>
      </c>
      <c r="Y113" s="1">
        <v>45667</v>
      </c>
    </row>
    <row r="114" spans="1:25" x14ac:dyDescent="0.55000000000000004">
      <c r="A114" t="s">
        <v>25</v>
      </c>
      <c r="B114">
        <v>0.01</v>
      </c>
      <c r="C114">
        <v>3676</v>
      </c>
      <c r="D114">
        <v>30.44</v>
      </c>
      <c r="E114">
        <f t="shared" si="5"/>
        <v>30.436100000000003</v>
      </c>
      <c r="F114">
        <v>3043.61</v>
      </c>
      <c r="G114">
        <v>1010522</v>
      </c>
      <c r="H114">
        <v>3013.17</v>
      </c>
      <c r="I114">
        <f t="shared" si="6"/>
        <v>3013.17</v>
      </c>
      <c r="J114">
        <v>30.44</v>
      </c>
      <c r="K114">
        <f t="shared" si="7"/>
        <v>30.436100000000003</v>
      </c>
      <c r="L114">
        <v>1010522</v>
      </c>
      <c r="M114" t="s">
        <v>21</v>
      </c>
      <c r="N114">
        <v>30.44</v>
      </c>
      <c r="O114">
        <f t="shared" si="8"/>
        <v>30.436100000000003</v>
      </c>
      <c r="P114">
        <v>2982.74</v>
      </c>
      <c r="Q114">
        <f t="shared" si="9"/>
        <v>2982.73</v>
      </c>
      <c r="R114" t="s">
        <v>22</v>
      </c>
      <c r="S114">
        <v>1</v>
      </c>
      <c r="U114" s="2">
        <v>46024</v>
      </c>
      <c r="V114" s="2">
        <v>46003</v>
      </c>
      <c r="W114" t="s">
        <v>23</v>
      </c>
      <c r="X114" t="s">
        <v>23</v>
      </c>
      <c r="Y114" s="1">
        <v>45667</v>
      </c>
    </row>
    <row r="115" spans="1:25" x14ac:dyDescent="0.55000000000000004">
      <c r="A115" t="s">
        <v>25</v>
      </c>
      <c r="B115">
        <v>0.01</v>
      </c>
      <c r="C115">
        <v>3592</v>
      </c>
      <c r="D115">
        <v>21.31</v>
      </c>
      <c r="E115">
        <f t="shared" si="5"/>
        <v>21.3094</v>
      </c>
      <c r="F115">
        <v>2130.94</v>
      </c>
      <c r="G115">
        <v>1010523</v>
      </c>
      <c r="H115">
        <v>2109.63</v>
      </c>
      <c r="I115">
        <f t="shared" si="6"/>
        <v>2109.63</v>
      </c>
      <c r="J115">
        <v>21.31</v>
      </c>
      <c r="K115">
        <f t="shared" si="7"/>
        <v>21.3094</v>
      </c>
      <c r="L115">
        <v>1010523</v>
      </c>
      <c r="M115" t="s">
        <v>21</v>
      </c>
      <c r="N115">
        <v>21.31</v>
      </c>
      <c r="O115">
        <f t="shared" si="8"/>
        <v>21.3094</v>
      </c>
      <c r="P115">
        <v>2088.3200000000002</v>
      </c>
      <c r="Q115">
        <f t="shared" si="9"/>
        <v>2088.3200000000002</v>
      </c>
      <c r="R115" t="s">
        <v>22</v>
      </c>
      <c r="S115">
        <v>1</v>
      </c>
      <c r="U115" s="2">
        <v>46024</v>
      </c>
      <c r="V115" s="2">
        <v>46003</v>
      </c>
      <c r="W115" t="s">
        <v>23</v>
      </c>
      <c r="X115" t="s">
        <v>23</v>
      </c>
      <c r="Y115" s="1">
        <v>45667</v>
      </c>
    </row>
    <row r="116" spans="1:25" x14ac:dyDescent="0.55000000000000004">
      <c r="A116" t="s">
        <v>25</v>
      </c>
      <c r="B116">
        <v>0.01</v>
      </c>
      <c r="C116">
        <v>3592</v>
      </c>
      <c r="D116">
        <v>17.25</v>
      </c>
      <c r="E116">
        <f t="shared" si="5"/>
        <v>17.253800000000002</v>
      </c>
      <c r="F116">
        <v>1725.38</v>
      </c>
      <c r="G116">
        <v>1010524</v>
      </c>
      <c r="H116">
        <v>1708.13</v>
      </c>
      <c r="I116">
        <f t="shared" si="6"/>
        <v>1708.13</v>
      </c>
      <c r="J116">
        <v>17.25</v>
      </c>
      <c r="K116">
        <f t="shared" si="7"/>
        <v>17.253800000000002</v>
      </c>
      <c r="L116">
        <v>1010524</v>
      </c>
      <c r="M116" t="s">
        <v>21</v>
      </c>
      <c r="N116">
        <v>17.25</v>
      </c>
      <c r="O116">
        <f t="shared" si="8"/>
        <v>17.253800000000002</v>
      </c>
      <c r="P116">
        <v>1690.87</v>
      </c>
      <c r="Q116">
        <f t="shared" si="9"/>
        <v>1690.88</v>
      </c>
      <c r="R116" t="s">
        <v>22</v>
      </c>
      <c r="S116">
        <v>1</v>
      </c>
      <c r="U116" s="2">
        <v>46024</v>
      </c>
      <c r="V116" s="2">
        <v>46003</v>
      </c>
      <c r="W116" t="s">
        <v>23</v>
      </c>
      <c r="X116" t="s">
        <v>23</v>
      </c>
      <c r="Y116" s="1">
        <v>45667</v>
      </c>
    </row>
    <row r="117" spans="1:25" x14ac:dyDescent="0.55000000000000004">
      <c r="A117" t="s">
        <v>25</v>
      </c>
      <c r="B117">
        <v>0.01</v>
      </c>
      <c r="C117">
        <v>3046</v>
      </c>
      <c r="D117">
        <v>13.61</v>
      </c>
      <c r="E117">
        <f t="shared" si="5"/>
        <v>13.614800000000001</v>
      </c>
      <c r="F117">
        <v>1361.48</v>
      </c>
      <c r="G117">
        <v>1010525</v>
      </c>
      <c r="H117">
        <v>1347.87</v>
      </c>
      <c r="I117">
        <f t="shared" si="6"/>
        <v>1347.8700000000001</v>
      </c>
      <c r="J117">
        <v>13.61</v>
      </c>
      <c r="K117">
        <f t="shared" si="7"/>
        <v>13.614800000000001</v>
      </c>
      <c r="L117">
        <v>1010525</v>
      </c>
      <c r="M117" t="s">
        <v>21</v>
      </c>
      <c r="N117">
        <v>13.61</v>
      </c>
      <c r="O117">
        <f t="shared" si="8"/>
        <v>13.614800000000001</v>
      </c>
      <c r="P117">
        <v>1334.25</v>
      </c>
      <c r="Q117">
        <f t="shared" si="9"/>
        <v>1334.2600000000002</v>
      </c>
      <c r="R117" t="s">
        <v>22</v>
      </c>
      <c r="S117">
        <v>1</v>
      </c>
      <c r="U117" s="2">
        <v>46024</v>
      </c>
      <c r="V117" s="2">
        <v>46003</v>
      </c>
      <c r="W117" t="s">
        <v>23</v>
      </c>
      <c r="X117" t="s">
        <v>23</v>
      </c>
      <c r="Y117" s="1">
        <v>45667</v>
      </c>
    </row>
    <row r="118" spans="1:25" x14ac:dyDescent="0.55000000000000004">
      <c r="A118" t="s">
        <v>25</v>
      </c>
      <c r="B118">
        <v>0.01</v>
      </c>
      <c r="C118">
        <v>3732</v>
      </c>
      <c r="D118">
        <v>32.950000000000003</v>
      </c>
      <c r="E118">
        <f t="shared" si="5"/>
        <v>32.947400000000002</v>
      </c>
      <c r="F118">
        <v>3294.74</v>
      </c>
      <c r="G118">
        <v>1010526</v>
      </c>
      <c r="H118">
        <v>3261.79</v>
      </c>
      <c r="I118">
        <f t="shared" si="6"/>
        <v>3261.79</v>
      </c>
      <c r="J118">
        <v>32.950000000000003</v>
      </c>
      <c r="K118">
        <f t="shared" si="7"/>
        <v>32.947400000000002</v>
      </c>
      <c r="L118">
        <v>1010526</v>
      </c>
      <c r="M118" t="s">
        <v>21</v>
      </c>
      <c r="N118">
        <v>32.950000000000003</v>
      </c>
      <c r="O118">
        <f t="shared" si="8"/>
        <v>32.947400000000002</v>
      </c>
      <c r="P118">
        <v>3228.85</v>
      </c>
      <c r="Q118">
        <f t="shared" si="9"/>
        <v>3228.84</v>
      </c>
      <c r="R118" t="s">
        <v>22</v>
      </c>
      <c r="S118">
        <v>1</v>
      </c>
      <c r="U118" s="2">
        <v>46024</v>
      </c>
      <c r="V118" s="2">
        <v>46003</v>
      </c>
      <c r="W118" t="s">
        <v>23</v>
      </c>
      <c r="X118" t="s">
        <v>23</v>
      </c>
      <c r="Y118" s="1">
        <v>45667</v>
      </c>
    </row>
    <row r="119" spans="1:25" x14ac:dyDescent="0.55000000000000004">
      <c r="A119" t="s">
        <v>25</v>
      </c>
      <c r="B119">
        <v>0.01</v>
      </c>
      <c r="C119">
        <v>3816</v>
      </c>
      <c r="D119">
        <v>32.46</v>
      </c>
      <c r="E119">
        <f t="shared" si="5"/>
        <v>32.4604</v>
      </c>
      <c r="F119">
        <v>3246.04</v>
      </c>
      <c r="G119">
        <v>1010527</v>
      </c>
      <c r="H119">
        <v>3213.58</v>
      </c>
      <c r="I119">
        <f t="shared" si="6"/>
        <v>3213.58</v>
      </c>
      <c r="J119">
        <v>32.46</v>
      </c>
      <c r="K119">
        <f t="shared" si="7"/>
        <v>32.4604</v>
      </c>
      <c r="L119">
        <v>1010527</v>
      </c>
      <c r="M119" t="s">
        <v>21</v>
      </c>
      <c r="N119">
        <v>32.46</v>
      </c>
      <c r="O119">
        <f t="shared" si="8"/>
        <v>32.4604</v>
      </c>
      <c r="P119">
        <v>3181.12</v>
      </c>
      <c r="Q119">
        <f t="shared" si="9"/>
        <v>3181.12</v>
      </c>
      <c r="R119" t="s">
        <v>22</v>
      </c>
      <c r="S119">
        <v>1</v>
      </c>
      <c r="U119" s="2">
        <v>46024</v>
      </c>
      <c r="V119" s="2">
        <v>46003</v>
      </c>
      <c r="W119" t="s">
        <v>23</v>
      </c>
      <c r="X119" t="s">
        <v>23</v>
      </c>
      <c r="Y119" s="1">
        <v>45667</v>
      </c>
    </row>
    <row r="120" spans="1:25" x14ac:dyDescent="0.55000000000000004">
      <c r="A120" t="s">
        <v>25</v>
      </c>
      <c r="B120">
        <v>0.01</v>
      </c>
      <c r="C120">
        <v>3228</v>
      </c>
      <c r="D120">
        <v>32.46</v>
      </c>
      <c r="E120">
        <f t="shared" si="5"/>
        <v>32.4634</v>
      </c>
      <c r="F120">
        <v>3246.34</v>
      </c>
      <c r="G120">
        <v>1010528</v>
      </c>
      <c r="H120">
        <v>3213.88</v>
      </c>
      <c r="I120">
        <f t="shared" si="6"/>
        <v>3213.88</v>
      </c>
      <c r="J120">
        <v>32.46</v>
      </c>
      <c r="K120">
        <f t="shared" si="7"/>
        <v>32.4634</v>
      </c>
      <c r="L120">
        <v>1010528</v>
      </c>
      <c r="M120" t="s">
        <v>21</v>
      </c>
      <c r="N120">
        <v>32.46</v>
      </c>
      <c r="O120">
        <f t="shared" si="8"/>
        <v>32.4634</v>
      </c>
      <c r="P120">
        <v>3181.41</v>
      </c>
      <c r="Q120">
        <f t="shared" si="9"/>
        <v>3181.42</v>
      </c>
      <c r="R120" t="s">
        <v>22</v>
      </c>
      <c r="S120">
        <v>1</v>
      </c>
      <c r="U120" s="2">
        <v>46024</v>
      </c>
      <c r="V120" s="2">
        <v>46003</v>
      </c>
      <c r="W120" t="s">
        <v>23</v>
      </c>
      <c r="X120" t="s">
        <v>23</v>
      </c>
      <c r="Y120" s="1">
        <v>45667</v>
      </c>
    </row>
    <row r="121" spans="1:25" x14ac:dyDescent="0.55000000000000004">
      <c r="A121" t="s">
        <v>25</v>
      </c>
      <c r="B121">
        <v>0.01</v>
      </c>
      <c r="C121">
        <v>3578</v>
      </c>
      <c r="D121">
        <v>23.57</v>
      </c>
      <c r="E121">
        <f t="shared" si="5"/>
        <v>23.569000000000003</v>
      </c>
      <c r="F121">
        <v>2356.9</v>
      </c>
      <c r="G121">
        <v>1010529</v>
      </c>
      <c r="H121">
        <v>2333.33</v>
      </c>
      <c r="I121">
        <f t="shared" si="6"/>
        <v>2333.33</v>
      </c>
      <c r="J121">
        <v>23.57</v>
      </c>
      <c r="K121">
        <f t="shared" si="7"/>
        <v>23.569000000000003</v>
      </c>
      <c r="L121">
        <v>1010529</v>
      </c>
      <c r="M121" t="s">
        <v>21</v>
      </c>
      <c r="N121">
        <v>23.57</v>
      </c>
      <c r="O121">
        <f t="shared" si="8"/>
        <v>23.569000000000003</v>
      </c>
      <c r="P121">
        <v>2309.7600000000002</v>
      </c>
      <c r="Q121">
        <f t="shared" si="9"/>
        <v>2309.7599999999998</v>
      </c>
      <c r="R121" t="s">
        <v>22</v>
      </c>
      <c r="S121">
        <v>1</v>
      </c>
      <c r="U121" s="2">
        <v>46024</v>
      </c>
      <c r="V121" s="2">
        <v>46003</v>
      </c>
      <c r="W121" t="s">
        <v>23</v>
      </c>
      <c r="X121" t="s">
        <v>23</v>
      </c>
      <c r="Y121" s="1">
        <v>45667</v>
      </c>
    </row>
    <row r="122" spans="1:25" x14ac:dyDescent="0.55000000000000004">
      <c r="A122" t="s">
        <v>25</v>
      </c>
      <c r="B122">
        <v>0.01</v>
      </c>
      <c r="C122">
        <v>3837</v>
      </c>
      <c r="D122">
        <v>21.27</v>
      </c>
      <c r="E122">
        <f t="shared" si="5"/>
        <v>21.270900000000001</v>
      </c>
      <c r="F122">
        <v>2127.09</v>
      </c>
      <c r="G122">
        <v>1010530</v>
      </c>
      <c r="H122">
        <v>2105.8200000000002</v>
      </c>
      <c r="I122">
        <f t="shared" si="6"/>
        <v>2105.8200000000002</v>
      </c>
      <c r="J122">
        <v>21.27</v>
      </c>
      <c r="K122">
        <f t="shared" si="7"/>
        <v>21.270900000000001</v>
      </c>
      <c r="L122">
        <v>1010530</v>
      </c>
      <c r="M122" t="s">
        <v>21</v>
      </c>
      <c r="N122">
        <v>21.27</v>
      </c>
      <c r="O122">
        <f t="shared" si="8"/>
        <v>21.270900000000001</v>
      </c>
      <c r="P122">
        <v>2084.5500000000002</v>
      </c>
      <c r="Q122">
        <f t="shared" si="9"/>
        <v>2084.5500000000002</v>
      </c>
      <c r="R122" t="s">
        <v>22</v>
      </c>
      <c r="S122">
        <v>1</v>
      </c>
      <c r="U122" s="2">
        <v>46024</v>
      </c>
      <c r="V122" s="2">
        <v>46003</v>
      </c>
      <c r="W122" t="s">
        <v>23</v>
      </c>
      <c r="X122" t="s">
        <v>23</v>
      </c>
      <c r="Y122" s="1">
        <v>45667</v>
      </c>
    </row>
    <row r="123" spans="1:25" x14ac:dyDescent="0.55000000000000004">
      <c r="A123" t="s">
        <v>25</v>
      </c>
      <c r="B123">
        <v>0.01</v>
      </c>
      <c r="C123">
        <v>3403</v>
      </c>
      <c r="D123">
        <v>46.82</v>
      </c>
      <c r="E123">
        <f t="shared" si="5"/>
        <v>46.817900000000002</v>
      </c>
      <c r="F123">
        <v>4681.79</v>
      </c>
      <c r="G123">
        <v>1010531</v>
      </c>
      <c r="H123">
        <v>4634.97</v>
      </c>
      <c r="I123">
        <f t="shared" si="6"/>
        <v>4634.97</v>
      </c>
      <c r="J123">
        <v>46.82</v>
      </c>
      <c r="K123">
        <f t="shared" si="7"/>
        <v>46.817900000000002</v>
      </c>
      <c r="L123">
        <v>1010531</v>
      </c>
      <c r="M123" t="s">
        <v>21</v>
      </c>
      <c r="N123">
        <v>46.82</v>
      </c>
      <c r="O123">
        <f t="shared" si="8"/>
        <v>46.817900000000002</v>
      </c>
      <c r="P123">
        <v>4588.1499999999996</v>
      </c>
      <c r="Q123">
        <f t="shared" si="9"/>
        <v>4588.1500000000005</v>
      </c>
      <c r="R123" t="s">
        <v>22</v>
      </c>
      <c r="S123">
        <v>1</v>
      </c>
      <c r="U123" s="2">
        <v>46024</v>
      </c>
      <c r="V123" s="2">
        <v>46003</v>
      </c>
      <c r="W123" t="s">
        <v>23</v>
      </c>
      <c r="X123" t="s">
        <v>23</v>
      </c>
      <c r="Y123" s="1">
        <v>45667</v>
      </c>
    </row>
    <row r="124" spans="1:25" x14ac:dyDescent="0.55000000000000004">
      <c r="A124" t="s">
        <v>20</v>
      </c>
      <c r="B124">
        <v>0.02</v>
      </c>
      <c r="C124">
        <v>3046</v>
      </c>
      <c r="D124">
        <v>20.18</v>
      </c>
      <c r="E124">
        <f t="shared" si="5"/>
        <v>20.182400000000001</v>
      </c>
      <c r="F124">
        <v>1009.12</v>
      </c>
      <c r="G124">
        <v>1010532</v>
      </c>
      <c r="H124">
        <v>988.94</v>
      </c>
      <c r="I124">
        <f t="shared" si="6"/>
        <v>988.94</v>
      </c>
      <c r="J124">
        <v>20.18</v>
      </c>
      <c r="K124">
        <f t="shared" si="7"/>
        <v>20.182400000000001</v>
      </c>
      <c r="L124">
        <v>1010532</v>
      </c>
      <c r="M124" t="s">
        <v>21</v>
      </c>
      <c r="N124">
        <v>10.09</v>
      </c>
      <c r="O124">
        <f t="shared" si="8"/>
        <v>10.091200000000001</v>
      </c>
      <c r="P124">
        <v>978.85</v>
      </c>
      <c r="Q124">
        <f t="shared" si="9"/>
        <v>978.85</v>
      </c>
      <c r="R124" t="s">
        <v>22</v>
      </c>
      <c r="S124">
        <v>1</v>
      </c>
      <c r="U124" s="2">
        <v>46024</v>
      </c>
      <c r="V124" s="2">
        <v>46003</v>
      </c>
      <c r="W124" t="s">
        <v>23</v>
      </c>
      <c r="X124" t="s">
        <v>23</v>
      </c>
      <c r="Y124" s="1">
        <v>45667</v>
      </c>
    </row>
    <row r="125" spans="1:25" x14ac:dyDescent="0.55000000000000004">
      <c r="A125" t="s">
        <v>20</v>
      </c>
      <c r="B125">
        <v>0.02</v>
      </c>
      <c r="C125">
        <v>3046</v>
      </c>
      <c r="D125">
        <v>2.99</v>
      </c>
      <c r="E125">
        <f t="shared" si="5"/>
        <v>2.9862000000000002</v>
      </c>
      <c r="F125">
        <v>149.31</v>
      </c>
      <c r="G125">
        <v>1010533</v>
      </c>
      <c r="H125">
        <v>146.32</v>
      </c>
      <c r="I125">
        <f t="shared" si="6"/>
        <v>146.32</v>
      </c>
      <c r="J125">
        <v>2.99</v>
      </c>
      <c r="K125">
        <f t="shared" si="7"/>
        <v>2.9862000000000002</v>
      </c>
      <c r="L125">
        <v>1010533</v>
      </c>
      <c r="M125" t="s">
        <v>21</v>
      </c>
      <c r="N125">
        <v>1.49</v>
      </c>
      <c r="O125">
        <f t="shared" si="8"/>
        <v>1.4931000000000001</v>
      </c>
      <c r="P125">
        <v>144.83000000000001</v>
      </c>
      <c r="Q125">
        <f t="shared" si="9"/>
        <v>144.82999999999998</v>
      </c>
      <c r="R125" t="s">
        <v>22</v>
      </c>
      <c r="S125">
        <v>1</v>
      </c>
      <c r="U125" s="2">
        <v>46024</v>
      </c>
      <c r="V125" s="2">
        <v>46003</v>
      </c>
      <c r="W125" t="s">
        <v>23</v>
      </c>
      <c r="X125" t="s">
        <v>23</v>
      </c>
      <c r="Y125" s="1">
        <v>45667</v>
      </c>
    </row>
    <row r="126" spans="1:25" x14ac:dyDescent="0.55000000000000004">
      <c r="A126" t="s">
        <v>20</v>
      </c>
      <c r="B126">
        <v>0.02</v>
      </c>
      <c r="C126">
        <v>3046</v>
      </c>
      <c r="D126">
        <v>6.37</v>
      </c>
      <c r="E126">
        <f t="shared" si="5"/>
        <v>6.3736000000000006</v>
      </c>
      <c r="F126">
        <v>318.68</v>
      </c>
      <c r="G126">
        <v>1010534</v>
      </c>
      <c r="H126">
        <v>312.31</v>
      </c>
      <c r="I126">
        <f t="shared" si="6"/>
        <v>312.31</v>
      </c>
      <c r="J126">
        <v>6.37</v>
      </c>
      <c r="K126">
        <f t="shared" si="7"/>
        <v>6.3736000000000006</v>
      </c>
      <c r="L126">
        <v>1010534</v>
      </c>
      <c r="M126" t="s">
        <v>21</v>
      </c>
      <c r="N126">
        <v>3.19</v>
      </c>
      <c r="O126">
        <f t="shared" si="8"/>
        <v>3.1868000000000003</v>
      </c>
      <c r="P126">
        <v>309.12</v>
      </c>
      <c r="Q126">
        <f t="shared" si="9"/>
        <v>309.12</v>
      </c>
      <c r="R126" t="s">
        <v>22</v>
      </c>
      <c r="S126">
        <v>1</v>
      </c>
      <c r="U126" s="2">
        <v>46024</v>
      </c>
      <c r="V126" s="2">
        <v>46003</v>
      </c>
      <c r="W126" t="s">
        <v>23</v>
      </c>
      <c r="X126" t="s">
        <v>23</v>
      </c>
      <c r="Y126" s="1">
        <v>45667</v>
      </c>
    </row>
    <row r="127" spans="1:25" x14ac:dyDescent="0.55000000000000004">
      <c r="A127" t="s">
        <v>20</v>
      </c>
      <c r="B127">
        <v>0.02</v>
      </c>
      <c r="C127">
        <v>3718</v>
      </c>
      <c r="D127">
        <v>54.83</v>
      </c>
      <c r="E127">
        <f t="shared" si="5"/>
        <v>54.832600000000006</v>
      </c>
      <c r="F127">
        <v>2741.63</v>
      </c>
      <c r="G127">
        <v>1010535</v>
      </c>
      <c r="H127">
        <v>2686.8</v>
      </c>
      <c r="I127">
        <f t="shared" si="6"/>
        <v>2686.8</v>
      </c>
      <c r="J127">
        <v>54.83</v>
      </c>
      <c r="K127">
        <f t="shared" si="7"/>
        <v>54.832600000000006</v>
      </c>
      <c r="L127">
        <v>1010535</v>
      </c>
      <c r="M127" t="s">
        <v>21</v>
      </c>
      <c r="N127">
        <v>27.42</v>
      </c>
      <c r="O127">
        <f t="shared" si="8"/>
        <v>27.416300000000003</v>
      </c>
      <c r="P127">
        <v>2659.38</v>
      </c>
      <c r="Q127">
        <f t="shared" si="9"/>
        <v>2659.38</v>
      </c>
      <c r="R127" t="s">
        <v>22</v>
      </c>
      <c r="S127">
        <v>1</v>
      </c>
      <c r="U127" s="2">
        <v>46024</v>
      </c>
      <c r="V127" s="2">
        <v>46003</v>
      </c>
      <c r="W127" t="s">
        <v>23</v>
      </c>
      <c r="X127" t="s">
        <v>23</v>
      </c>
      <c r="Y127" s="1">
        <v>45667</v>
      </c>
    </row>
    <row r="128" spans="1:25" x14ac:dyDescent="0.55000000000000004">
      <c r="A128" t="s">
        <v>20</v>
      </c>
      <c r="B128">
        <v>0.02</v>
      </c>
      <c r="C128">
        <v>2941</v>
      </c>
      <c r="D128">
        <v>46</v>
      </c>
      <c r="E128">
        <f t="shared" si="5"/>
        <v>46.0032</v>
      </c>
      <c r="F128">
        <v>2300.16</v>
      </c>
      <c r="G128">
        <v>1010536</v>
      </c>
      <c r="H128">
        <v>2254.16</v>
      </c>
      <c r="I128">
        <f t="shared" si="6"/>
        <v>2254.16</v>
      </c>
      <c r="J128">
        <v>46</v>
      </c>
      <c r="K128">
        <f t="shared" si="7"/>
        <v>46.0032</v>
      </c>
      <c r="L128">
        <v>1010536</v>
      </c>
      <c r="M128" t="s">
        <v>21</v>
      </c>
      <c r="N128">
        <v>23</v>
      </c>
      <c r="O128">
        <f t="shared" si="8"/>
        <v>23.0016</v>
      </c>
      <c r="P128">
        <v>2231.16</v>
      </c>
      <c r="Q128">
        <f t="shared" si="9"/>
        <v>2231.16</v>
      </c>
      <c r="R128" t="s">
        <v>22</v>
      </c>
      <c r="S128">
        <v>1</v>
      </c>
      <c r="U128" s="2">
        <v>46024</v>
      </c>
      <c r="V128" s="2">
        <v>46003</v>
      </c>
      <c r="W128" t="s">
        <v>23</v>
      </c>
      <c r="X128" t="s">
        <v>23</v>
      </c>
      <c r="Y128" s="1">
        <v>45667</v>
      </c>
    </row>
    <row r="129" spans="1:25" x14ac:dyDescent="0.55000000000000004">
      <c r="A129" t="s">
        <v>20</v>
      </c>
      <c r="B129">
        <v>0.02</v>
      </c>
      <c r="C129">
        <v>3151</v>
      </c>
      <c r="D129">
        <v>16.07</v>
      </c>
      <c r="E129">
        <f t="shared" si="5"/>
        <v>16.069400000000002</v>
      </c>
      <c r="F129">
        <v>803.47</v>
      </c>
      <c r="G129">
        <v>1010537</v>
      </c>
      <c r="H129">
        <v>787.4</v>
      </c>
      <c r="I129">
        <f t="shared" si="6"/>
        <v>787.4</v>
      </c>
      <c r="J129">
        <v>16.07</v>
      </c>
      <c r="K129">
        <f t="shared" si="7"/>
        <v>16.069400000000002</v>
      </c>
      <c r="L129">
        <v>1010537</v>
      </c>
      <c r="M129" t="s">
        <v>21</v>
      </c>
      <c r="N129">
        <v>8.0299999999999994</v>
      </c>
      <c r="O129">
        <f t="shared" si="8"/>
        <v>8.0347000000000008</v>
      </c>
      <c r="P129">
        <v>779.37</v>
      </c>
      <c r="Q129">
        <f t="shared" si="9"/>
        <v>779.37</v>
      </c>
      <c r="R129" t="s">
        <v>22</v>
      </c>
      <c r="S129">
        <v>1</v>
      </c>
      <c r="U129" s="2">
        <v>46024</v>
      </c>
      <c r="V129" s="2">
        <v>46003</v>
      </c>
      <c r="W129" t="s">
        <v>23</v>
      </c>
      <c r="X129" t="s">
        <v>23</v>
      </c>
      <c r="Y129" s="1">
        <v>45667</v>
      </c>
    </row>
    <row r="130" spans="1:25" x14ac:dyDescent="0.55000000000000004">
      <c r="A130" t="s">
        <v>20</v>
      </c>
      <c r="B130">
        <v>0.02</v>
      </c>
      <c r="C130">
        <v>3592</v>
      </c>
      <c r="D130">
        <v>0.92</v>
      </c>
      <c r="E130">
        <f t="shared" si="5"/>
        <v>0.91739999999999999</v>
      </c>
      <c r="F130">
        <v>45.87</v>
      </c>
      <c r="G130">
        <v>1010538</v>
      </c>
      <c r="H130">
        <v>44.95</v>
      </c>
      <c r="I130">
        <f t="shared" si="6"/>
        <v>44.949999999999996</v>
      </c>
      <c r="J130">
        <v>0.92</v>
      </c>
      <c r="K130">
        <f t="shared" si="7"/>
        <v>0.91739999999999999</v>
      </c>
      <c r="L130">
        <v>1010538</v>
      </c>
      <c r="M130" t="s">
        <v>21</v>
      </c>
      <c r="N130">
        <v>0.46</v>
      </c>
      <c r="O130">
        <f t="shared" si="8"/>
        <v>0.4587</v>
      </c>
      <c r="P130">
        <v>44.49</v>
      </c>
      <c r="Q130">
        <f t="shared" si="9"/>
        <v>44.489999999999995</v>
      </c>
      <c r="R130" t="s">
        <v>22</v>
      </c>
      <c r="S130">
        <v>1</v>
      </c>
      <c r="U130" s="2">
        <v>46024</v>
      </c>
      <c r="V130" s="2">
        <v>46003</v>
      </c>
      <c r="W130" t="s">
        <v>23</v>
      </c>
      <c r="X130" t="s">
        <v>23</v>
      </c>
      <c r="Y130" s="1">
        <v>45667</v>
      </c>
    </row>
    <row r="131" spans="1:25" x14ac:dyDescent="0.55000000000000004">
      <c r="A131" t="s">
        <v>20</v>
      </c>
      <c r="B131">
        <v>0.02</v>
      </c>
      <c r="C131">
        <v>3592</v>
      </c>
      <c r="D131">
        <v>2.19</v>
      </c>
      <c r="E131">
        <f t="shared" ref="E131:E194" si="10">F131*B131</f>
        <v>2.1912000000000003</v>
      </c>
      <c r="F131">
        <v>109.56</v>
      </c>
      <c r="G131">
        <v>1010539</v>
      </c>
      <c r="H131">
        <v>107.37</v>
      </c>
      <c r="I131">
        <f t="shared" ref="I131:I194" si="11">F131-J131</f>
        <v>107.37</v>
      </c>
      <c r="J131">
        <v>2.19</v>
      </c>
      <c r="K131">
        <f t="shared" ref="K131:K194" si="12">F131*B131</f>
        <v>2.1912000000000003</v>
      </c>
      <c r="L131">
        <v>1010539</v>
      </c>
      <c r="M131" t="s">
        <v>21</v>
      </c>
      <c r="N131">
        <v>1.1000000000000001</v>
      </c>
      <c r="O131">
        <f t="shared" ref="O131:O194" si="13">F131*0.01</f>
        <v>1.0956000000000001</v>
      </c>
      <c r="P131">
        <v>106.27</v>
      </c>
      <c r="Q131">
        <f t="shared" ref="Q131:Q194" si="14">F131-J131-N131</f>
        <v>106.27000000000001</v>
      </c>
      <c r="R131" t="s">
        <v>22</v>
      </c>
      <c r="S131">
        <v>1</v>
      </c>
      <c r="U131" s="2">
        <v>46024</v>
      </c>
      <c r="V131" s="2">
        <v>46003</v>
      </c>
      <c r="W131" t="s">
        <v>23</v>
      </c>
      <c r="X131" t="s">
        <v>23</v>
      </c>
      <c r="Y131" s="1">
        <v>45667</v>
      </c>
    </row>
    <row r="132" spans="1:25" x14ac:dyDescent="0.55000000000000004">
      <c r="A132" t="s">
        <v>24</v>
      </c>
      <c r="B132">
        <v>0</v>
      </c>
      <c r="C132">
        <v>3592</v>
      </c>
      <c r="D132">
        <v>0</v>
      </c>
      <c r="E132">
        <f t="shared" si="10"/>
        <v>0</v>
      </c>
      <c r="F132">
        <v>198.18</v>
      </c>
      <c r="G132">
        <v>1010540</v>
      </c>
      <c r="H132">
        <v>198.18</v>
      </c>
      <c r="I132">
        <f t="shared" si="11"/>
        <v>198.18</v>
      </c>
      <c r="J132">
        <v>0</v>
      </c>
      <c r="K132">
        <f t="shared" si="12"/>
        <v>0</v>
      </c>
      <c r="L132">
        <v>1010540</v>
      </c>
      <c r="M132" t="s">
        <v>21</v>
      </c>
      <c r="N132">
        <v>1.98</v>
      </c>
      <c r="O132">
        <f t="shared" si="13"/>
        <v>1.9818</v>
      </c>
      <c r="P132">
        <v>196.2</v>
      </c>
      <c r="Q132">
        <f t="shared" si="14"/>
        <v>196.20000000000002</v>
      </c>
      <c r="R132" t="s">
        <v>22</v>
      </c>
      <c r="S132">
        <v>1</v>
      </c>
      <c r="U132" s="2">
        <v>46024</v>
      </c>
      <c r="V132" s="2">
        <v>46003</v>
      </c>
      <c r="W132" t="s">
        <v>23</v>
      </c>
      <c r="X132" t="s">
        <v>23</v>
      </c>
      <c r="Y132" s="1">
        <v>45667</v>
      </c>
    </row>
    <row r="133" spans="1:25" x14ac:dyDescent="0.55000000000000004">
      <c r="A133" t="s">
        <v>20</v>
      </c>
      <c r="B133">
        <v>0.02</v>
      </c>
      <c r="C133">
        <v>3592</v>
      </c>
      <c r="D133">
        <v>10.25</v>
      </c>
      <c r="E133">
        <f t="shared" si="10"/>
        <v>10.2468</v>
      </c>
      <c r="F133">
        <v>512.34</v>
      </c>
      <c r="G133">
        <v>1010541</v>
      </c>
      <c r="H133">
        <v>502.09</v>
      </c>
      <c r="I133">
        <f t="shared" si="11"/>
        <v>502.09000000000003</v>
      </c>
      <c r="J133">
        <v>10.25</v>
      </c>
      <c r="K133">
        <f t="shared" si="12"/>
        <v>10.2468</v>
      </c>
      <c r="L133">
        <v>1010541</v>
      </c>
      <c r="M133" t="s">
        <v>21</v>
      </c>
      <c r="N133">
        <v>5.12</v>
      </c>
      <c r="O133">
        <f t="shared" si="13"/>
        <v>5.1234000000000002</v>
      </c>
      <c r="P133">
        <v>496.97</v>
      </c>
      <c r="Q133">
        <f t="shared" si="14"/>
        <v>496.97</v>
      </c>
      <c r="R133" t="s">
        <v>22</v>
      </c>
      <c r="S133">
        <v>1</v>
      </c>
      <c r="U133" s="2">
        <v>46024</v>
      </c>
      <c r="V133" s="2">
        <v>46003</v>
      </c>
      <c r="W133" t="s">
        <v>23</v>
      </c>
      <c r="X133" t="s">
        <v>23</v>
      </c>
      <c r="Y133" s="1">
        <v>45667</v>
      </c>
    </row>
    <row r="134" spans="1:25" x14ac:dyDescent="0.55000000000000004">
      <c r="A134" t="s">
        <v>24</v>
      </c>
      <c r="B134">
        <v>0</v>
      </c>
      <c r="C134">
        <v>2941</v>
      </c>
      <c r="D134">
        <v>0</v>
      </c>
      <c r="E134">
        <f t="shared" si="10"/>
        <v>0</v>
      </c>
      <c r="F134">
        <v>750</v>
      </c>
      <c r="G134">
        <v>1010542</v>
      </c>
      <c r="H134">
        <v>750</v>
      </c>
      <c r="I134">
        <f t="shared" si="11"/>
        <v>750</v>
      </c>
      <c r="J134">
        <v>0</v>
      </c>
      <c r="K134">
        <f t="shared" si="12"/>
        <v>0</v>
      </c>
      <c r="L134">
        <v>1010542</v>
      </c>
      <c r="M134" t="s">
        <v>21</v>
      </c>
      <c r="N134">
        <v>7.5</v>
      </c>
      <c r="O134">
        <f t="shared" si="13"/>
        <v>7.5</v>
      </c>
      <c r="P134">
        <v>742.5</v>
      </c>
      <c r="Q134">
        <f t="shared" si="14"/>
        <v>742.5</v>
      </c>
      <c r="R134" t="s">
        <v>22</v>
      </c>
      <c r="S134">
        <v>1</v>
      </c>
      <c r="U134" s="2">
        <v>46024</v>
      </c>
      <c r="V134" s="2">
        <v>46003</v>
      </c>
      <c r="W134" t="s">
        <v>23</v>
      </c>
      <c r="X134" t="s">
        <v>23</v>
      </c>
      <c r="Y134" s="1">
        <v>45667</v>
      </c>
    </row>
    <row r="135" spans="1:25" x14ac:dyDescent="0.55000000000000004">
      <c r="A135" t="s">
        <v>24</v>
      </c>
      <c r="B135">
        <v>0</v>
      </c>
      <c r="C135">
        <v>3046</v>
      </c>
      <c r="D135">
        <v>0</v>
      </c>
      <c r="E135">
        <f t="shared" si="10"/>
        <v>0</v>
      </c>
      <c r="F135">
        <v>1654.24</v>
      </c>
      <c r="G135">
        <v>1010543</v>
      </c>
      <c r="H135">
        <v>1654.24</v>
      </c>
      <c r="I135">
        <f t="shared" si="11"/>
        <v>1654.24</v>
      </c>
      <c r="J135">
        <v>0</v>
      </c>
      <c r="K135">
        <f t="shared" si="12"/>
        <v>0</v>
      </c>
      <c r="L135">
        <v>1010543</v>
      </c>
      <c r="M135" t="s">
        <v>21</v>
      </c>
      <c r="N135">
        <v>16.54</v>
      </c>
      <c r="O135">
        <f t="shared" si="13"/>
        <v>16.542400000000001</v>
      </c>
      <c r="P135">
        <v>1637.7</v>
      </c>
      <c r="Q135">
        <f t="shared" si="14"/>
        <v>1637.7</v>
      </c>
      <c r="R135" t="s">
        <v>22</v>
      </c>
      <c r="S135">
        <v>1</v>
      </c>
      <c r="U135" s="2">
        <v>46024</v>
      </c>
      <c r="V135" s="2">
        <v>46003</v>
      </c>
      <c r="W135" t="s">
        <v>23</v>
      </c>
      <c r="X135" t="s">
        <v>23</v>
      </c>
      <c r="Y135" s="1">
        <v>45667</v>
      </c>
    </row>
    <row r="136" spans="1:25" x14ac:dyDescent="0.55000000000000004">
      <c r="A136" t="s">
        <v>24</v>
      </c>
      <c r="B136">
        <v>0</v>
      </c>
      <c r="C136">
        <v>3109</v>
      </c>
      <c r="D136">
        <v>0</v>
      </c>
      <c r="E136">
        <f t="shared" si="10"/>
        <v>0</v>
      </c>
      <c r="F136">
        <v>450</v>
      </c>
      <c r="G136">
        <v>1010544</v>
      </c>
      <c r="H136">
        <v>450</v>
      </c>
      <c r="I136">
        <f t="shared" si="11"/>
        <v>450</v>
      </c>
      <c r="J136">
        <v>0</v>
      </c>
      <c r="K136">
        <f t="shared" si="12"/>
        <v>0</v>
      </c>
      <c r="L136">
        <v>1010544</v>
      </c>
      <c r="M136" t="s">
        <v>21</v>
      </c>
      <c r="N136">
        <v>4.5</v>
      </c>
      <c r="O136">
        <f t="shared" si="13"/>
        <v>4.5</v>
      </c>
      <c r="P136">
        <v>445.5</v>
      </c>
      <c r="Q136">
        <f t="shared" si="14"/>
        <v>445.5</v>
      </c>
      <c r="R136" t="s">
        <v>22</v>
      </c>
      <c r="S136">
        <v>1</v>
      </c>
      <c r="U136" s="2">
        <v>46024</v>
      </c>
      <c r="V136" s="2">
        <v>46003</v>
      </c>
      <c r="W136" t="s">
        <v>23</v>
      </c>
      <c r="X136" t="s">
        <v>23</v>
      </c>
      <c r="Y136" s="1">
        <v>45667</v>
      </c>
    </row>
    <row r="137" spans="1:25" x14ac:dyDescent="0.55000000000000004">
      <c r="A137" t="s">
        <v>24</v>
      </c>
      <c r="B137">
        <v>0</v>
      </c>
      <c r="C137">
        <v>2668</v>
      </c>
      <c r="D137">
        <v>0</v>
      </c>
      <c r="E137">
        <f t="shared" si="10"/>
        <v>0</v>
      </c>
      <c r="F137">
        <v>3204.22</v>
      </c>
      <c r="G137">
        <v>1010545</v>
      </c>
      <c r="H137">
        <v>3204.22</v>
      </c>
      <c r="I137">
        <f t="shared" si="11"/>
        <v>3204.22</v>
      </c>
      <c r="J137">
        <v>0</v>
      </c>
      <c r="K137">
        <f t="shared" si="12"/>
        <v>0</v>
      </c>
      <c r="L137">
        <v>1010545</v>
      </c>
      <c r="M137" t="s">
        <v>21</v>
      </c>
      <c r="N137">
        <v>32.04</v>
      </c>
      <c r="O137">
        <f t="shared" si="13"/>
        <v>32.042200000000001</v>
      </c>
      <c r="P137">
        <v>3172.18</v>
      </c>
      <c r="Q137">
        <f t="shared" si="14"/>
        <v>3172.18</v>
      </c>
      <c r="R137" t="s">
        <v>22</v>
      </c>
      <c r="S137">
        <v>1</v>
      </c>
      <c r="U137" s="2">
        <v>46024</v>
      </c>
      <c r="V137" s="2">
        <v>46003</v>
      </c>
      <c r="W137" t="s">
        <v>23</v>
      </c>
      <c r="X137" t="s">
        <v>23</v>
      </c>
      <c r="Y137" s="1">
        <v>45667</v>
      </c>
    </row>
    <row r="138" spans="1:25" x14ac:dyDescent="0.55000000000000004">
      <c r="A138" t="s">
        <v>24</v>
      </c>
      <c r="B138">
        <v>0</v>
      </c>
      <c r="C138">
        <v>3039</v>
      </c>
      <c r="D138">
        <v>0</v>
      </c>
      <c r="E138">
        <f t="shared" si="10"/>
        <v>0</v>
      </c>
      <c r="F138">
        <v>1052.24</v>
      </c>
      <c r="G138">
        <v>1010546</v>
      </c>
      <c r="H138">
        <v>1052.24</v>
      </c>
      <c r="I138">
        <f t="shared" si="11"/>
        <v>1052.24</v>
      </c>
      <c r="J138">
        <v>0</v>
      </c>
      <c r="K138">
        <f t="shared" si="12"/>
        <v>0</v>
      </c>
      <c r="L138">
        <v>1010546</v>
      </c>
      <c r="M138" t="s">
        <v>21</v>
      </c>
      <c r="N138">
        <v>10.52</v>
      </c>
      <c r="O138">
        <f t="shared" si="13"/>
        <v>10.522400000000001</v>
      </c>
      <c r="P138">
        <v>1041.72</v>
      </c>
      <c r="Q138">
        <f t="shared" si="14"/>
        <v>1041.72</v>
      </c>
      <c r="R138" t="s">
        <v>22</v>
      </c>
      <c r="S138">
        <v>1</v>
      </c>
      <c r="U138" s="2">
        <v>46024</v>
      </c>
      <c r="V138" s="2">
        <v>46003</v>
      </c>
      <c r="W138" t="s">
        <v>23</v>
      </c>
      <c r="X138" t="s">
        <v>23</v>
      </c>
      <c r="Y138" s="1">
        <v>45667</v>
      </c>
    </row>
    <row r="139" spans="1:25" x14ac:dyDescent="0.55000000000000004">
      <c r="A139" t="s">
        <v>24</v>
      </c>
      <c r="B139">
        <v>0</v>
      </c>
      <c r="C139">
        <v>3550</v>
      </c>
      <c r="D139">
        <v>0</v>
      </c>
      <c r="E139">
        <f t="shared" si="10"/>
        <v>0</v>
      </c>
      <c r="F139">
        <v>6529.11</v>
      </c>
      <c r="G139">
        <v>1010547</v>
      </c>
      <c r="H139">
        <v>6529.11</v>
      </c>
      <c r="I139">
        <f t="shared" si="11"/>
        <v>6529.11</v>
      </c>
      <c r="J139">
        <v>0</v>
      </c>
      <c r="K139">
        <f t="shared" si="12"/>
        <v>0</v>
      </c>
      <c r="L139">
        <v>1010547</v>
      </c>
      <c r="M139" t="s">
        <v>21</v>
      </c>
      <c r="N139">
        <v>65.290000000000006</v>
      </c>
      <c r="O139">
        <f t="shared" si="13"/>
        <v>65.2911</v>
      </c>
      <c r="P139">
        <v>6463.82</v>
      </c>
      <c r="Q139">
        <f t="shared" si="14"/>
        <v>6463.82</v>
      </c>
      <c r="R139" t="s">
        <v>22</v>
      </c>
      <c r="S139">
        <v>1</v>
      </c>
      <c r="U139" s="2">
        <v>46024</v>
      </c>
      <c r="V139" s="2">
        <v>46003</v>
      </c>
      <c r="W139" t="s">
        <v>23</v>
      </c>
      <c r="X139" t="s">
        <v>23</v>
      </c>
      <c r="Y139" s="1">
        <v>45667</v>
      </c>
    </row>
    <row r="140" spans="1:25" x14ac:dyDescent="0.55000000000000004">
      <c r="A140" t="s">
        <v>20</v>
      </c>
      <c r="B140">
        <v>0.02</v>
      </c>
      <c r="C140">
        <v>3823</v>
      </c>
      <c r="D140">
        <v>1.47</v>
      </c>
      <c r="E140">
        <f t="shared" si="10"/>
        <v>1.4658000000000002</v>
      </c>
      <c r="F140">
        <v>73.290000000000006</v>
      </c>
      <c r="G140">
        <v>1010548</v>
      </c>
      <c r="H140">
        <v>71.819999999999993</v>
      </c>
      <c r="I140">
        <f t="shared" si="11"/>
        <v>71.820000000000007</v>
      </c>
      <c r="J140">
        <v>1.47</v>
      </c>
      <c r="K140">
        <f t="shared" si="12"/>
        <v>1.4658000000000002</v>
      </c>
      <c r="L140">
        <v>1010548</v>
      </c>
      <c r="M140" t="s">
        <v>21</v>
      </c>
      <c r="N140">
        <v>0.73</v>
      </c>
      <c r="O140">
        <f t="shared" si="13"/>
        <v>0.73290000000000011</v>
      </c>
      <c r="P140">
        <v>71.09</v>
      </c>
      <c r="Q140">
        <f t="shared" si="14"/>
        <v>71.09</v>
      </c>
      <c r="R140" t="s">
        <v>22</v>
      </c>
      <c r="S140">
        <v>1</v>
      </c>
      <c r="U140" s="2">
        <v>46024</v>
      </c>
      <c r="V140" s="2">
        <v>46003</v>
      </c>
      <c r="W140" t="s">
        <v>23</v>
      </c>
      <c r="X140" t="s">
        <v>23</v>
      </c>
      <c r="Y140" s="1">
        <v>45667</v>
      </c>
    </row>
    <row r="141" spans="1:25" x14ac:dyDescent="0.55000000000000004">
      <c r="A141" t="s">
        <v>20</v>
      </c>
      <c r="B141">
        <v>0.02</v>
      </c>
      <c r="C141">
        <v>2878</v>
      </c>
      <c r="D141">
        <v>3.02</v>
      </c>
      <c r="E141">
        <f t="shared" si="10"/>
        <v>3.02</v>
      </c>
      <c r="F141">
        <v>151</v>
      </c>
      <c r="G141">
        <v>1010549</v>
      </c>
      <c r="H141">
        <v>147.97999999999999</v>
      </c>
      <c r="I141">
        <f t="shared" si="11"/>
        <v>147.97999999999999</v>
      </c>
      <c r="J141">
        <v>3.02</v>
      </c>
      <c r="K141">
        <f t="shared" si="12"/>
        <v>3.02</v>
      </c>
      <c r="L141">
        <v>1010549</v>
      </c>
      <c r="M141" t="s">
        <v>21</v>
      </c>
      <c r="N141">
        <v>1.51</v>
      </c>
      <c r="O141">
        <f t="shared" si="13"/>
        <v>1.51</v>
      </c>
      <c r="P141">
        <v>146.47</v>
      </c>
      <c r="Q141">
        <f t="shared" si="14"/>
        <v>146.47</v>
      </c>
      <c r="R141" t="s">
        <v>22</v>
      </c>
      <c r="S141">
        <v>1</v>
      </c>
      <c r="U141" s="2">
        <v>46024</v>
      </c>
      <c r="V141" s="2">
        <v>46003</v>
      </c>
      <c r="W141" t="s">
        <v>23</v>
      </c>
      <c r="X141" t="s">
        <v>23</v>
      </c>
      <c r="Y141" s="1">
        <v>45667</v>
      </c>
    </row>
    <row r="142" spans="1:25" x14ac:dyDescent="0.55000000000000004">
      <c r="A142" t="s">
        <v>20</v>
      </c>
      <c r="B142">
        <v>0.02</v>
      </c>
      <c r="C142">
        <v>3389</v>
      </c>
      <c r="D142">
        <v>26.83</v>
      </c>
      <c r="E142">
        <f t="shared" si="10"/>
        <v>26.825199999999999</v>
      </c>
      <c r="F142">
        <v>1341.26</v>
      </c>
      <c r="G142">
        <v>1010550</v>
      </c>
      <c r="H142">
        <v>1314.43</v>
      </c>
      <c r="I142">
        <f t="shared" si="11"/>
        <v>1314.43</v>
      </c>
      <c r="J142">
        <v>26.83</v>
      </c>
      <c r="K142">
        <f t="shared" si="12"/>
        <v>26.825199999999999</v>
      </c>
      <c r="L142">
        <v>1010550</v>
      </c>
      <c r="M142" t="s">
        <v>21</v>
      </c>
      <c r="N142">
        <v>13.41</v>
      </c>
      <c r="O142">
        <f t="shared" si="13"/>
        <v>13.412599999999999</v>
      </c>
      <c r="P142">
        <v>1301.02</v>
      </c>
      <c r="Q142">
        <f t="shared" si="14"/>
        <v>1301.02</v>
      </c>
      <c r="R142" t="s">
        <v>22</v>
      </c>
      <c r="S142">
        <v>1</v>
      </c>
      <c r="U142" s="2">
        <v>46024</v>
      </c>
      <c r="V142" s="2">
        <v>46003</v>
      </c>
      <c r="W142" t="s">
        <v>23</v>
      </c>
      <c r="X142" t="s">
        <v>23</v>
      </c>
      <c r="Y142" s="1">
        <v>45667</v>
      </c>
    </row>
    <row r="143" spans="1:25" x14ac:dyDescent="0.55000000000000004">
      <c r="A143" t="s">
        <v>20</v>
      </c>
      <c r="B143">
        <v>0.02</v>
      </c>
      <c r="C143">
        <v>3389</v>
      </c>
      <c r="D143">
        <v>1.42</v>
      </c>
      <c r="E143">
        <f t="shared" si="10"/>
        <v>1.4240000000000002</v>
      </c>
      <c r="F143">
        <v>71.2</v>
      </c>
      <c r="G143">
        <v>1010551</v>
      </c>
      <c r="H143">
        <v>69.78</v>
      </c>
      <c r="I143">
        <f t="shared" si="11"/>
        <v>69.78</v>
      </c>
      <c r="J143">
        <v>1.42</v>
      </c>
      <c r="K143">
        <f t="shared" si="12"/>
        <v>1.4240000000000002</v>
      </c>
      <c r="L143">
        <v>1010551</v>
      </c>
      <c r="M143" t="s">
        <v>21</v>
      </c>
      <c r="N143">
        <v>0.71</v>
      </c>
      <c r="O143">
        <f t="shared" si="13"/>
        <v>0.71200000000000008</v>
      </c>
      <c r="P143">
        <v>69.06</v>
      </c>
      <c r="Q143">
        <f t="shared" si="14"/>
        <v>69.070000000000007</v>
      </c>
      <c r="R143" t="s">
        <v>22</v>
      </c>
      <c r="S143">
        <v>1</v>
      </c>
      <c r="U143" s="2">
        <v>46024</v>
      </c>
      <c r="V143" s="2">
        <v>46003</v>
      </c>
      <c r="W143" t="s">
        <v>23</v>
      </c>
      <c r="X143" t="s">
        <v>23</v>
      </c>
      <c r="Y143" s="1">
        <v>45667</v>
      </c>
    </row>
    <row r="144" spans="1:25" x14ac:dyDescent="0.55000000000000004">
      <c r="A144" t="s">
        <v>25</v>
      </c>
      <c r="B144">
        <v>0.01</v>
      </c>
      <c r="C144">
        <v>3830</v>
      </c>
      <c r="D144">
        <v>46.47</v>
      </c>
      <c r="E144">
        <f t="shared" si="10"/>
        <v>46.470200000000006</v>
      </c>
      <c r="F144">
        <v>4647.0200000000004</v>
      </c>
      <c r="G144">
        <v>1010552</v>
      </c>
      <c r="H144">
        <v>4600.55</v>
      </c>
      <c r="I144">
        <f t="shared" si="11"/>
        <v>4600.55</v>
      </c>
      <c r="J144">
        <v>46.47</v>
      </c>
      <c r="K144">
        <f t="shared" si="12"/>
        <v>46.470200000000006</v>
      </c>
      <c r="L144">
        <v>1010552</v>
      </c>
      <c r="M144" t="s">
        <v>21</v>
      </c>
      <c r="N144">
        <v>46.47</v>
      </c>
      <c r="O144">
        <f t="shared" si="13"/>
        <v>46.470200000000006</v>
      </c>
      <c r="P144">
        <v>4554.08</v>
      </c>
      <c r="Q144">
        <f t="shared" si="14"/>
        <v>4554.08</v>
      </c>
      <c r="R144" t="s">
        <v>22</v>
      </c>
      <c r="S144">
        <v>1</v>
      </c>
      <c r="U144" s="2">
        <v>46024</v>
      </c>
      <c r="V144" s="2">
        <v>46003</v>
      </c>
      <c r="W144" t="s">
        <v>23</v>
      </c>
      <c r="X144" t="s">
        <v>23</v>
      </c>
      <c r="Y144" s="1">
        <v>45667</v>
      </c>
    </row>
    <row r="145" spans="1:25" x14ac:dyDescent="0.55000000000000004">
      <c r="A145" t="s">
        <v>25</v>
      </c>
      <c r="B145">
        <v>0.01</v>
      </c>
      <c r="C145">
        <v>2885</v>
      </c>
      <c r="D145">
        <v>18.55</v>
      </c>
      <c r="E145">
        <f t="shared" si="10"/>
        <v>18.554600000000001</v>
      </c>
      <c r="F145">
        <v>1855.46</v>
      </c>
      <c r="G145">
        <v>1010553</v>
      </c>
      <c r="H145">
        <v>1836.91</v>
      </c>
      <c r="I145">
        <f t="shared" si="11"/>
        <v>1836.91</v>
      </c>
      <c r="J145">
        <v>18.55</v>
      </c>
      <c r="K145">
        <f t="shared" si="12"/>
        <v>18.554600000000001</v>
      </c>
      <c r="L145">
        <v>1010553</v>
      </c>
      <c r="M145" t="s">
        <v>21</v>
      </c>
      <c r="N145">
        <v>18.55</v>
      </c>
      <c r="O145">
        <f t="shared" si="13"/>
        <v>18.554600000000001</v>
      </c>
      <c r="P145">
        <v>1818.35</v>
      </c>
      <c r="Q145">
        <f t="shared" si="14"/>
        <v>1818.3600000000001</v>
      </c>
      <c r="R145" t="s">
        <v>22</v>
      </c>
      <c r="S145">
        <v>1</v>
      </c>
      <c r="U145" s="2">
        <v>46024</v>
      </c>
      <c r="V145" s="2">
        <v>46003</v>
      </c>
      <c r="W145" t="s">
        <v>23</v>
      </c>
      <c r="X145" t="s">
        <v>23</v>
      </c>
      <c r="Y145" s="1">
        <v>45667</v>
      </c>
    </row>
    <row r="146" spans="1:25" x14ac:dyDescent="0.55000000000000004">
      <c r="A146" t="s">
        <v>25</v>
      </c>
      <c r="B146">
        <v>0.01</v>
      </c>
      <c r="C146">
        <v>3543</v>
      </c>
      <c r="D146">
        <v>32.07</v>
      </c>
      <c r="E146">
        <f t="shared" si="10"/>
        <v>32.066700000000004</v>
      </c>
      <c r="F146">
        <v>3206.67</v>
      </c>
      <c r="G146">
        <v>1010554</v>
      </c>
      <c r="H146">
        <v>3174.6</v>
      </c>
      <c r="I146">
        <f t="shared" si="11"/>
        <v>3174.6</v>
      </c>
      <c r="J146">
        <v>32.07</v>
      </c>
      <c r="K146">
        <f t="shared" si="12"/>
        <v>32.066700000000004</v>
      </c>
      <c r="L146">
        <v>1010554</v>
      </c>
      <c r="M146" t="s">
        <v>21</v>
      </c>
      <c r="N146">
        <v>32.07</v>
      </c>
      <c r="O146">
        <f t="shared" si="13"/>
        <v>32.066700000000004</v>
      </c>
      <c r="P146">
        <v>3142.54</v>
      </c>
      <c r="Q146">
        <f t="shared" si="14"/>
        <v>3142.5299999999997</v>
      </c>
      <c r="R146" t="s">
        <v>22</v>
      </c>
      <c r="S146">
        <v>1</v>
      </c>
      <c r="U146" s="2">
        <v>46024</v>
      </c>
      <c r="V146" s="2">
        <v>46003</v>
      </c>
      <c r="W146" t="s">
        <v>23</v>
      </c>
      <c r="X146" t="s">
        <v>23</v>
      </c>
      <c r="Y146" s="1">
        <v>45667</v>
      </c>
    </row>
    <row r="147" spans="1:25" x14ac:dyDescent="0.55000000000000004">
      <c r="A147" t="s">
        <v>20</v>
      </c>
      <c r="B147">
        <v>0.02</v>
      </c>
      <c r="C147">
        <v>3837</v>
      </c>
      <c r="D147">
        <v>20.170000000000002</v>
      </c>
      <c r="E147">
        <f t="shared" si="10"/>
        <v>20.166800000000002</v>
      </c>
      <c r="F147">
        <v>1008.34</v>
      </c>
      <c r="G147">
        <v>1010555</v>
      </c>
      <c r="H147">
        <v>988.17</v>
      </c>
      <c r="I147">
        <f t="shared" si="11"/>
        <v>988.17000000000007</v>
      </c>
      <c r="J147">
        <v>20.170000000000002</v>
      </c>
      <c r="K147">
        <f t="shared" si="12"/>
        <v>20.166800000000002</v>
      </c>
      <c r="L147">
        <v>1010555</v>
      </c>
      <c r="M147" t="s">
        <v>21</v>
      </c>
      <c r="N147">
        <v>10.08</v>
      </c>
      <c r="O147">
        <f t="shared" si="13"/>
        <v>10.083400000000001</v>
      </c>
      <c r="P147">
        <v>978.09</v>
      </c>
      <c r="Q147">
        <f t="shared" si="14"/>
        <v>978.09</v>
      </c>
      <c r="R147" t="s">
        <v>22</v>
      </c>
      <c r="S147">
        <v>1</v>
      </c>
      <c r="U147" s="2">
        <v>46024</v>
      </c>
      <c r="V147" s="2">
        <v>46003</v>
      </c>
      <c r="W147" t="s">
        <v>23</v>
      </c>
      <c r="X147" t="s">
        <v>23</v>
      </c>
      <c r="Y147" s="1">
        <v>45667</v>
      </c>
    </row>
    <row r="148" spans="1:25" x14ac:dyDescent="0.55000000000000004">
      <c r="A148" t="s">
        <v>20</v>
      </c>
      <c r="B148">
        <v>0.02</v>
      </c>
      <c r="C148">
        <v>3676</v>
      </c>
      <c r="D148">
        <v>5.08</v>
      </c>
      <c r="E148">
        <f t="shared" si="10"/>
        <v>5.0751999999999997</v>
      </c>
      <c r="F148">
        <v>253.76</v>
      </c>
      <c r="G148">
        <v>1010556</v>
      </c>
      <c r="H148">
        <v>248.68</v>
      </c>
      <c r="I148">
        <f t="shared" si="11"/>
        <v>248.67999999999998</v>
      </c>
      <c r="J148">
        <v>5.08</v>
      </c>
      <c r="K148">
        <f t="shared" si="12"/>
        <v>5.0751999999999997</v>
      </c>
      <c r="L148">
        <v>1010556</v>
      </c>
      <c r="M148" t="s">
        <v>21</v>
      </c>
      <c r="N148">
        <v>2.54</v>
      </c>
      <c r="O148">
        <f t="shared" si="13"/>
        <v>2.5375999999999999</v>
      </c>
      <c r="P148">
        <v>246.15</v>
      </c>
      <c r="Q148">
        <f t="shared" si="14"/>
        <v>246.14</v>
      </c>
      <c r="R148" t="s">
        <v>22</v>
      </c>
      <c r="S148">
        <v>1</v>
      </c>
      <c r="U148" s="2">
        <v>46024</v>
      </c>
      <c r="V148" s="2">
        <v>46003</v>
      </c>
      <c r="W148" t="s">
        <v>23</v>
      </c>
      <c r="X148" t="s">
        <v>23</v>
      </c>
      <c r="Y148" s="1">
        <v>45667</v>
      </c>
    </row>
    <row r="149" spans="1:25" x14ac:dyDescent="0.55000000000000004">
      <c r="A149" t="s">
        <v>20</v>
      </c>
      <c r="B149">
        <v>0.02</v>
      </c>
      <c r="C149">
        <v>3732</v>
      </c>
      <c r="D149">
        <v>19.68</v>
      </c>
      <c r="E149">
        <f t="shared" si="10"/>
        <v>19.678800000000003</v>
      </c>
      <c r="F149">
        <v>983.94</v>
      </c>
      <c r="G149">
        <v>1010557</v>
      </c>
      <c r="H149">
        <v>964.26</v>
      </c>
      <c r="I149">
        <f t="shared" si="11"/>
        <v>964.2600000000001</v>
      </c>
      <c r="J149">
        <v>19.68</v>
      </c>
      <c r="K149">
        <f t="shared" si="12"/>
        <v>19.678800000000003</v>
      </c>
      <c r="L149">
        <v>1010557</v>
      </c>
      <c r="M149" t="s">
        <v>21</v>
      </c>
      <c r="N149">
        <v>9.84</v>
      </c>
      <c r="O149">
        <f t="shared" si="13"/>
        <v>9.8394000000000013</v>
      </c>
      <c r="P149">
        <v>954.42</v>
      </c>
      <c r="Q149">
        <f t="shared" si="14"/>
        <v>954.42000000000007</v>
      </c>
      <c r="R149" t="s">
        <v>22</v>
      </c>
      <c r="S149">
        <v>1</v>
      </c>
      <c r="U149" s="2">
        <v>46024</v>
      </c>
      <c r="V149" s="2">
        <v>46003</v>
      </c>
      <c r="W149" t="s">
        <v>23</v>
      </c>
      <c r="X149" t="s">
        <v>23</v>
      </c>
      <c r="Y149" s="1">
        <v>45667</v>
      </c>
    </row>
    <row r="150" spans="1:25" x14ac:dyDescent="0.55000000000000004">
      <c r="A150" t="s">
        <v>20</v>
      </c>
      <c r="B150">
        <v>0.02</v>
      </c>
      <c r="C150">
        <v>2766</v>
      </c>
      <c r="D150">
        <v>20.079999999999998</v>
      </c>
      <c r="E150">
        <f t="shared" si="10"/>
        <v>20.077000000000002</v>
      </c>
      <c r="F150">
        <v>1003.85</v>
      </c>
      <c r="G150">
        <v>1010558</v>
      </c>
      <c r="H150">
        <v>983.77</v>
      </c>
      <c r="I150">
        <f t="shared" si="11"/>
        <v>983.77</v>
      </c>
      <c r="J150">
        <v>20.079999999999998</v>
      </c>
      <c r="K150">
        <f t="shared" si="12"/>
        <v>20.077000000000002</v>
      </c>
      <c r="L150">
        <v>1010558</v>
      </c>
      <c r="M150" t="s">
        <v>21</v>
      </c>
      <c r="N150">
        <v>10.039999999999999</v>
      </c>
      <c r="O150">
        <f t="shared" si="13"/>
        <v>10.038500000000001</v>
      </c>
      <c r="P150">
        <v>973.73</v>
      </c>
      <c r="Q150">
        <f t="shared" si="14"/>
        <v>973.73</v>
      </c>
      <c r="R150" t="s">
        <v>22</v>
      </c>
      <c r="S150">
        <v>1</v>
      </c>
      <c r="U150" s="2">
        <v>46024</v>
      </c>
      <c r="V150" s="2">
        <v>46003</v>
      </c>
      <c r="W150" t="s">
        <v>23</v>
      </c>
      <c r="X150" t="s">
        <v>23</v>
      </c>
      <c r="Y150" s="1">
        <v>45667</v>
      </c>
    </row>
    <row r="151" spans="1:25" x14ac:dyDescent="0.55000000000000004">
      <c r="A151" t="s">
        <v>20</v>
      </c>
      <c r="B151">
        <v>0.02</v>
      </c>
      <c r="C151">
        <v>3760</v>
      </c>
      <c r="D151">
        <v>12.13</v>
      </c>
      <c r="E151">
        <f t="shared" si="10"/>
        <v>12.131400000000001</v>
      </c>
      <c r="F151">
        <v>606.57000000000005</v>
      </c>
      <c r="G151">
        <v>1010559</v>
      </c>
      <c r="H151">
        <v>594.44000000000005</v>
      </c>
      <c r="I151">
        <f t="shared" si="11"/>
        <v>594.44000000000005</v>
      </c>
      <c r="J151">
        <v>12.13</v>
      </c>
      <c r="K151">
        <f t="shared" si="12"/>
        <v>12.131400000000001</v>
      </c>
      <c r="L151">
        <v>1010559</v>
      </c>
      <c r="M151" t="s">
        <v>21</v>
      </c>
      <c r="N151">
        <v>6.07</v>
      </c>
      <c r="O151">
        <f t="shared" si="13"/>
        <v>6.0657000000000005</v>
      </c>
      <c r="P151">
        <v>588.37</v>
      </c>
      <c r="Q151">
        <f t="shared" si="14"/>
        <v>588.37</v>
      </c>
      <c r="R151" t="s">
        <v>22</v>
      </c>
      <c r="S151">
        <v>1</v>
      </c>
      <c r="U151" s="2">
        <v>46024</v>
      </c>
      <c r="V151" s="2">
        <v>46003</v>
      </c>
      <c r="W151" t="s">
        <v>23</v>
      </c>
      <c r="X151" t="s">
        <v>23</v>
      </c>
      <c r="Y151" s="1">
        <v>45667</v>
      </c>
    </row>
    <row r="152" spans="1:25" x14ac:dyDescent="0.55000000000000004">
      <c r="A152" t="s">
        <v>20</v>
      </c>
      <c r="B152">
        <v>0.02</v>
      </c>
      <c r="C152">
        <v>3753</v>
      </c>
      <c r="D152">
        <v>6.22</v>
      </c>
      <c r="E152">
        <f t="shared" si="10"/>
        <v>6.2232000000000003</v>
      </c>
      <c r="F152">
        <v>311.16000000000003</v>
      </c>
      <c r="G152">
        <v>1010560</v>
      </c>
      <c r="H152">
        <v>304.94</v>
      </c>
      <c r="I152">
        <f t="shared" si="11"/>
        <v>304.94</v>
      </c>
      <c r="J152">
        <v>6.22</v>
      </c>
      <c r="K152">
        <f t="shared" si="12"/>
        <v>6.2232000000000003</v>
      </c>
      <c r="L152">
        <v>1010560</v>
      </c>
      <c r="M152" t="s">
        <v>21</v>
      </c>
      <c r="N152">
        <v>3.11</v>
      </c>
      <c r="O152">
        <f t="shared" si="13"/>
        <v>3.1116000000000001</v>
      </c>
      <c r="P152">
        <v>301.83</v>
      </c>
      <c r="Q152">
        <f t="shared" si="14"/>
        <v>301.83</v>
      </c>
      <c r="R152" t="s">
        <v>22</v>
      </c>
      <c r="S152">
        <v>1</v>
      </c>
      <c r="U152" s="2">
        <v>46024</v>
      </c>
      <c r="V152" s="2">
        <v>46003</v>
      </c>
      <c r="W152" t="s">
        <v>23</v>
      </c>
      <c r="X152" t="s">
        <v>23</v>
      </c>
      <c r="Y152" s="1">
        <v>45667</v>
      </c>
    </row>
    <row r="153" spans="1:25" x14ac:dyDescent="0.55000000000000004">
      <c r="A153" t="s">
        <v>20</v>
      </c>
      <c r="B153">
        <v>0.02</v>
      </c>
      <c r="C153">
        <v>3753</v>
      </c>
      <c r="D153">
        <v>24.75</v>
      </c>
      <c r="E153">
        <f t="shared" si="10"/>
        <v>24.753600000000002</v>
      </c>
      <c r="F153">
        <v>1237.68</v>
      </c>
      <c r="G153">
        <v>1010561</v>
      </c>
      <c r="H153">
        <v>1212.93</v>
      </c>
      <c r="I153">
        <f t="shared" si="11"/>
        <v>1212.93</v>
      </c>
      <c r="J153">
        <v>24.75</v>
      </c>
      <c r="K153">
        <f t="shared" si="12"/>
        <v>24.753600000000002</v>
      </c>
      <c r="L153">
        <v>1010561</v>
      </c>
      <c r="M153" t="s">
        <v>21</v>
      </c>
      <c r="N153">
        <v>12.38</v>
      </c>
      <c r="O153">
        <f t="shared" si="13"/>
        <v>12.376800000000001</v>
      </c>
      <c r="P153">
        <v>1200.55</v>
      </c>
      <c r="Q153">
        <f t="shared" si="14"/>
        <v>1200.55</v>
      </c>
      <c r="R153" t="s">
        <v>22</v>
      </c>
      <c r="S153">
        <v>1</v>
      </c>
      <c r="U153" s="2">
        <v>46024</v>
      </c>
      <c r="V153" s="2">
        <v>46003</v>
      </c>
      <c r="W153" t="s">
        <v>23</v>
      </c>
      <c r="X153" t="s">
        <v>23</v>
      </c>
      <c r="Y153" s="1">
        <v>45667</v>
      </c>
    </row>
    <row r="154" spans="1:25" x14ac:dyDescent="0.55000000000000004">
      <c r="A154" t="s">
        <v>20</v>
      </c>
      <c r="B154">
        <v>0.02</v>
      </c>
      <c r="C154">
        <v>3732</v>
      </c>
      <c r="D154">
        <v>19.690000000000001</v>
      </c>
      <c r="E154">
        <f t="shared" si="10"/>
        <v>19.690799999999999</v>
      </c>
      <c r="F154">
        <v>984.54</v>
      </c>
      <c r="G154">
        <v>1010562</v>
      </c>
      <c r="H154">
        <v>964.85</v>
      </c>
      <c r="I154">
        <f t="shared" si="11"/>
        <v>964.84999999999991</v>
      </c>
      <c r="J154">
        <v>19.690000000000001</v>
      </c>
      <c r="K154">
        <f t="shared" si="12"/>
        <v>19.690799999999999</v>
      </c>
      <c r="L154">
        <v>1010562</v>
      </c>
      <c r="M154" t="s">
        <v>21</v>
      </c>
      <c r="N154">
        <v>9.85</v>
      </c>
      <c r="O154">
        <f t="shared" si="13"/>
        <v>9.8453999999999997</v>
      </c>
      <c r="P154">
        <v>955</v>
      </c>
      <c r="Q154">
        <f t="shared" si="14"/>
        <v>954.99999999999989</v>
      </c>
      <c r="R154" t="s">
        <v>22</v>
      </c>
      <c r="S154">
        <v>1</v>
      </c>
      <c r="U154" s="2">
        <v>46024</v>
      </c>
      <c r="V154" s="2">
        <v>46003</v>
      </c>
      <c r="W154" t="s">
        <v>23</v>
      </c>
      <c r="X154" t="s">
        <v>23</v>
      </c>
      <c r="Y154" s="1">
        <v>45667</v>
      </c>
    </row>
    <row r="155" spans="1:25" x14ac:dyDescent="0.55000000000000004">
      <c r="A155" t="s">
        <v>20</v>
      </c>
      <c r="B155">
        <v>0.02</v>
      </c>
      <c r="C155">
        <v>1810</v>
      </c>
      <c r="D155">
        <v>6.51</v>
      </c>
      <c r="E155">
        <f t="shared" si="10"/>
        <v>6.5120000000000005</v>
      </c>
      <c r="F155">
        <v>325.60000000000002</v>
      </c>
      <c r="G155">
        <v>1010563</v>
      </c>
      <c r="H155">
        <v>319.08999999999997</v>
      </c>
      <c r="I155">
        <f t="shared" si="11"/>
        <v>319.09000000000003</v>
      </c>
      <c r="J155">
        <v>6.51</v>
      </c>
      <c r="K155">
        <f t="shared" si="12"/>
        <v>6.5120000000000005</v>
      </c>
      <c r="L155">
        <v>1010563</v>
      </c>
      <c r="M155" t="s">
        <v>21</v>
      </c>
      <c r="N155">
        <v>3.26</v>
      </c>
      <c r="O155">
        <f t="shared" si="13"/>
        <v>3.2560000000000002</v>
      </c>
      <c r="P155">
        <v>315.83</v>
      </c>
      <c r="Q155">
        <f t="shared" si="14"/>
        <v>315.83000000000004</v>
      </c>
      <c r="R155" t="s">
        <v>22</v>
      </c>
      <c r="S155">
        <v>1</v>
      </c>
      <c r="U155" s="2">
        <v>46024</v>
      </c>
      <c r="V155" s="2">
        <v>46003</v>
      </c>
      <c r="W155" t="s">
        <v>23</v>
      </c>
      <c r="X155" t="s">
        <v>23</v>
      </c>
      <c r="Y155" s="1">
        <v>45667</v>
      </c>
    </row>
    <row r="156" spans="1:25" x14ac:dyDescent="0.55000000000000004">
      <c r="A156" t="s">
        <v>20</v>
      </c>
      <c r="B156">
        <v>0.02</v>
      </c>
      <c r="C156">
        <v>3410</v>
      </c>
      <c r="D156">
        <v>5.65</v>
      </c>
      <c r="E156">
        <f t="shared" si="10"/>
        <v>5.6512000000000002</v>
      </c>
      <c r="F156">
        <v>282.56</v>
      </c>
      <c r="G156">
        <v>1010564</v>
      </c>
      <c r="H156">
        <v>276.91000000000003</v>
      </c>
      <c r="I156">
        <f t="shared" si="11"/>
        <v>276.91000000000003</v>
      </c>
      <c r="J156">
        <v>5.65</v>
      </c>
      <c r="K156">
        <f t="shared" si="12"/>
        <v>5.6512000000000002</v>
      </c>
      <c r="L156">
        <v>1010564</v>
      </c>
      <c r="M156" t="s">
        <v>21</v>
      </c>
      <c r="N156">
        <v>2.83</v>
      </c>
      <c r="O156">
        <f t="shared" si="13"/>
        <v>2.8256000000000001</v>
      </c>
      <c r="P156">
        <v>274.08</v>
      </c>
      <c r="Q156">
        <f t="shared" si="14"/>
        <v>274.08000000000004</v>
      </c>
      <c r="R156" t="s">
        <v>22</v>
      </c>
      <c r="S156">
        <v>1</v>
      </c>
      <c r="U156" s="2">
        <v>46024</v>
      </c>
      <c r="V156" s="2">
        <v>46003</v>
      </c>
      <c r="W156" t="s">
        <v>23</v>
      </c>
      <c r="X156" t="s">
        <v>23</v>
      </c>
      <c r="Y156" s="1">
        <v>45667</v>
      </c>
    </row>
    <row r="157" spans="1:25" x14ac:dyDescent="0.55000000000000004">
      <c r="A157" t="s">
        <v>20</v>
      </c>
      <c r="B157">
        <v>0.02</v>
      </c>
      <c r="C157">
        <v>3592</v>
      </c>
      <c r="D157">
        <v>6.57</v>
      </c>
      <c r="E157">
        <f t="shared" si="10"/>
        <v>6.5684000000000005</v>
      </c>
      <c r="F157">
        <v>328.42</v>
      </c>
      <c r="G157">
        <v>1010565</v>
      </c>
      <c r="H157">
        <v>321.85000000000002</v>
      </c>
      <c r="I157">
        <f t="shared" si="11"/>
        <v>321.85000000000002</v>
      </c>
      <c r="J157">
        <v>6.57</v>
      </c>
      <c r="K157">
        <f t="shared" si="12"/>
        <v>6.5684000000000005</v>
      </c>
      <c r="L157">
        <v>1010565</v>
      </c>
      <c r="M157" t="s">
        <v>21</v>
      </c>
      <c r="N157">
        <v>3.28</v>
      </c>
      <c r="O157">
        <f t="shared" si="13"/>
        <v>3.2842000000000002</v>
      </c>
      <c r="P157">
        <v>318.57</v>
      </c>
      <c r="Q157">
        <f t="shared" si="14"/>
        <v>318.57000000000005</v>
      </c>
      <c r="R157" t="s">
        <v>22</v>
      </c>
      <c r="S157">
        <v>1</v>
      </c>
      <c r="U157" s="2">
        <v>46024</v>
      </c>
      <c r="V157" s="2">
        <v>46003</v>
      </c>
      <c r="W157" t="s">
        <v>23</v>
      </c>
      <c r="X157" t="s">
        <v>23</v>
      </c>
      <c r="Y157" s="1">
        <v>45667</v>
      </c>
    </row>
    <row r="158" spans="1:25" x14ac:dyDescent="0.55000000000000004">
      <c r="A158" t="s">
        <v>24</v>
      </c>
      <c r="B158">
        <v>0</v>
      </c>
      <c r="C158">
        <v>3718</v>
      </c>
      <c r="D158">
        <v>0</v>
      </c>
      <c r="E158">
        <f t="shared" si="10"/>
        <v>0</v>
      </c>
      <c r="F158">
        <v>846.78</v>
      </c>
      <c r="G158">
        <v>1010566</v>
      </c>
      <c r="H158">
        <v>846.78</v>
      </c>
      <c r="I158">
        <f t="shared" si="11"/>
        <v>846.78</v>
      </c>
      <c r="J158">
        <v>0</v>
      </c>
      <c r="K158">
        <f t="shared" si="12"/>
        <v>0</v>
      </c>
      <c r="L158">
        <v>1010566</v>
      </c>
      <c r="M158" t="s">
        <v>21</v>
      </c>
      <c r="N158">
        <v>8.4700000000000006</v>
      </c>
      <c r="O158">
        <f t="shared" si="13"/>
        <v>8.4678000000000004</v>
      </c>
      <c r="P158">
        <v>838.31</v>
      </c>
      <c r="Q158">
        <f t="shared" si="14"/>
        <v>838.31</v>
      </c>
      <c r="R158" t="s">
        <v>22</v>
      </c>
      <c r="S158">
        <v>1</v>
      </c>
      <c r="U158" s="2">
        <v>46024</v>
      </c>
      <c r="V158" s="2">
        <v>46003</v>
      </c>
      <c r="W158" t="s">
        <v>23</v>
      </c>
      <c r="X158" t="s">
        <v>23</v>
      </c>
      <c r="Y158" s="1">
        <v>45667</v>
      </c>
    </row>
    <row r="159" spans="1:25" x14ac:dyDescent="0.55000000000000004">
      <c r="A159" t="s">
        <v>20</v>
      </c>
      <c r="B159">
        <v>0.02</v>
      </c>
      <c r="C159">
        <v>3613</v>
      </c>
      <c r="D159">
        <v>74.14</v>
      </c>
      <c r="E159">
        <f t="shared" si="10"/>
        <v>74.137200000000007</v>
      </c>
      <c r="F159">
        <v>3706.86</v>
      </c>
      <c r="G159">
        <v>1010567</v>
      </c>
      <c r="H159">
        <v>3632.72</v>
      </c>
      <c r="I159">
        <f t="shared" si="11"/>
        <v>3632.7200000000003</v>
      </c>
      <c r="J159">
        <v>74.14</v>
      </c>
      <c r="K159">
        <f t="shared" si="12"/>
        <v>74.137200000000007</v>
      </c>
      <c r="L159">
        <v>1010567</v>
      </c>
      <c r="M159" t="s">
        <v>21</v>
      </c>
      <c r="N159">
        <v>37.07</v>
      </c>
      <c r="O159">
        <f t="shared" si="13"/>
        <v>37.068600000000004</v>
      </c>
      <c r="P159">
        <v>3595.65</v>
      </c>
      <c r="Q159">
        <f t="shared" si="14"/>
        <v>3595.65</v>
      </c>
      <c r="R159" t="s">
        <v>22</v>
      </c>
      <c r="S159">
        <v>1</v>
      </c>
      <c r="U159" s="2">
        <v>46024</v>
      </c>
      <c r="V159" s="2">
        <v>46003</v>
      </c>
      <c r="W159" t="s">
        <v>23</v>
      </c>
      <c r="X159" t="s">
        <v>23</v>
      </c>
      <c r="Y159" s="1">
        <v>45667</v>
      </c>
    </row>
    <row r="160" spans="1:25" x14ac:dyDescent="0.55000000000000004">
      <c r="A160" t="s">
        <v>20</v>
      </c>
      <c r="B160">
        <v>0.02</v>
      </c>
      <c r="C160">
        <v>2871</v>
      </c>
      <c r="D160">
        <v>56.86</v>
      </c>
      <c r="E160">
        <f t="shared" si="10"/>
        <v>56.860799999999998</v>
      </c>
      <c r="F160">
        <v>2843.04</v>
      </c>
      <c r="G160">
        <v>1010568</v>
      </c>
      <c r="H160">
        <v>2786.18</v>
      </c>
      <c r="I160">
        <f t="shared" si="11"/>
        <v>2786.18</v>
      </c>
      <c r="J160">
        <v>56.86</v>
      </c>
      <c r="K160">
        <f t="shared" si="12"/>
        <v>56.860799999999998</v>
      </c>
      <c r="L160">
        <v>1010568</v>
      </c>
      <c r="M160" t="s">
        <v>21</v>
      </c>
      <c r="N160">
        <v>28.43</v>
      </c>
      <c r="O160">
        <f t="shared" si="13"/>
        <v>28.430399999999999</v>
      </c>
      <c r="P160">
        <v>2757.75</v>
      </c>
      <c r="Q160">
        <f t="shared" si="14"/>
        <v>2757.75</v>
      </c>
      <c r="R160" t="s">
        <v>22</v>
      </c>
      <c r="S160">
        <v>1</v>
      </c>
      <c r="U160" s="2">
        <v>46024</v>
      </c>
      <c r="V160" s="2">
        <v>46003</v>
      </c>
      <c r="W160" t="s">
        <v>23</v>
      </c>
      <c r="X160" t="s">
        <v>23</v>
      </c>
      <c r="Y160" s="1">
        <v>45667</v>
      </c>
    </row>
    <row r="161" spans="1:25" x14ac:dyDescent="0.55000000000000004">
      <c r="A161" t="s">
        <v>20</v>
      </c>
      <c r="B161">
        <v>0.02</v>
      </c>
      <c r="C161">
        <v>2668</v>
      </c>
      <c r="D161">
        <v>18.3</v>
      </c>
      <c r="E161">
        <f t="shared" si="10"/>
        <v>18.302600000000002</v>
      </c>
      <c r="F161">
        <v>915.13</v>
      </c>
      <c r="G161">
        <v>1010569</v>
      </c>
      <c r="H161">
        <v>896.83</v>
      </c>
      <c r="I161">
        <f t="shared" si="11"/>
        <v>896.83</v>
      </c>
      <c r="J161">
        <v>18.3</v>
      </c>
      <c r="K161">
        <f t="shared" si="12"/>
        <v>18.302600000000002</v>
      </c>
      <c r="L161">
        <v>1010569</v>
      </c>
      <c r="M161" t="s">
        <v>21</v>
      </c>
      <c r="N161">
        <v>9.15</v>
      </c>
      <c r="O161">
        <f t="shared" si="13"/>
        <v>9.1513000000000009</v>
      </c>
      <c r="P161">
        <v>887.68</v>
      </c>
      <c r="Q161">
        <f t="shared" si="14"/>
        <v>887.68000000000006</v>
      </c>
      <c r="R161" t="s">
        <v>22</v>
      </c>
      <c r="S161">
        <v>1</v>
      </c>
      <c r="U161" s="2">
        <v>46024</v>
      </c>
      <c r="V161" s="2">
        <v>46003</v>
      </c>
      <c r="W161" t="s">
        <v>23</v>
      </c>
      <c r="X161" t="s">
        <v>23</v>
      </c>
      <c r="Y161" s="1">
        <v>45667</v>
      </c>
    </row>
    <row r="162" spans="1:25" x14ac:dyDescent="0.55000000000000004">
      <c r="A162" t="s">
        <v>20</v>
      </c>
      <c r="B162">
        <v>0.02</v>
      </c>
      <c r="C162">
        <v>3529</v>
      </c>
      <c r="D162">
        <v>8.7200000000000006</v>
      </c>
      <c r="E162">
        <f t="shared" si="10"/>
        <v>8.7210000000000001</v>
      </c>
      <c r="F162">
        <v>436.05</v>
      </c>
      <c r="G162">
        <v>1010570</v>
      </c>
      <c r="H162">
        <v>427.33</v>
      </c>
      <c r="I162">
        <f t="shared" si="11"/>
        <v>427.33</v>
      </c>
      <c r="J162">
        <v>8.7200000000000006</v>
      </c>
      <c r="K162">
        <f t="shared" si="12"/>
        <v>8.7210000000000001</v>
      </c>
      <c r="L162">
        <v>1010570</v>
      </c>
      <c r="M162" t="s">
        <v>21</v>
      </c>
      <c r="N162">
        <v>4.3600000000000003</v>
      </c>
      <c r="O162">
        <f t="shared" si="13"/>
        <v>4.3605</v>
      </c>
      <c r="P162">
        <v>422.97</v>
      </c>
      <c r="Q162">
        <f t="shared" si="14"/>
        <v>422.96999999999997</v>
      </c>
      <c r="R162" t="s">
        <v>22</v>
      </c>
      <c r="S162">
        <v>1</v>
      </c>
      <c r="U162" s="2">
        <v>46024</v>
      </c>
      <c r="V162" s="2">
        <v>46003</v>
      </c>
      <c r="W162" t="s">
        <v>23</v>
      </c>
      <c r="X162" t="s">
        <v>23</v>
      </c>
      <c r="Y162" s="1">
        <v>45667</v>
      </c>
    </row>
    <row r="163" spans="1:25" x14ac:dyDescent="0.55000000000000004">
      <c r="A163" t="s">
        <v>20</v>
      </c>
      <c r="B163">
        <v>0.02</v>
      </c>
      <c r="C163">
        <v>1810</v>
      </c>
      <c r="D163">
        <v>6.5</v>
      </c>
      <c r="E163">
        <f t="shared" si="10"/>
        <v>6.4982000000000006</v>
      </c>
      <c r="F163">
        <v>324.91000000000003</v>
      </c>
      <c r="G163">
        <v>1010571</v>
      </c>
      <c r="H163">
        <v>318.41000000000003</v>
      </c>
      <c r="I163">
        <f t="shared" si="11"/>
        <v>318.41000000000003</v>
      </c>
      <c r="J163">
        <v>6.5</v>
      </c>
      <c r="K163">
        <f t="shared" si="12"/>
        <v>6.4982000000000006</v>
      </c>
      <c r="L163">
        <v>1010571</v>
      </c>
      <c r="M163" t="s">
        <v>21</v>
      </c>
      <c r="N163">
        <v>3.25</v>
      </c>
      <c r="O163">
        <f t="shared" si="13"/>
        <v>3.2491000000000003</v>
      </c>
      <c r="P163">
        <v>315.16000000000003</v>
      </c>
      <c r="Q163">
        <f t="shared" si="14"/>
        <v>315.16000000000003</v>
      </c>
      <c r="R163" t="s">
        <v>22</v>
      </c>
      <c r="S163">
        <v>1</v>
      </c>
      <c r="U163" s="2">
        <v>46024</v>
      </c>
      <c r="V163" s="2">
        <v>46003</v>
      </c>
      <c r="W163" t="s">
        <v>23</v>
      </c>
      <c r="X163" t="s">
        <v>23</v>
      </c>
      <c r="Y163" s="1">
        <v>45667</v>
      </c>
    </row>
    <row r="164" spans="1:25" x14ac:dyDescent="0.55000000000000004">
      <c r="A164" t="s">
        <v>20</v>
      </c>
      <c r="B164">
        <v>0.02</v>
      </c>
      <c r="C164">
        <v>3788</v>
      </c>
      <c r="D164">
        <v>6.37</v>
      </c>
      <c r="E164">
        <f t="shared" si="10"/>
        <v>6.3736000000000006</v>
      </c>
      <c r="F164">
        <v>318.68</v>
      </c>
      <c r="G164">
        <v>1010572</v>
      </c>
      <c r="H164">
        <v>312.31</v>
      </c>
      <c r="I164">
        <f t="shared" si="11"/>
        <v>312.31</v>
      </c>
      <c r="J164">
        <v>6.37</v>
      </c>
      <c r="K164">
        <f t="shared" si="12"/>
        <v>6.3736000000000006</v>
      </c>
      <c r="L164">
        <v>1010572</v>
      </c>
      <c r="M164" t="s">
        <v>21</v>
      </c>
      <c r="N164">
        <v>3.19</v>
      </c>
      <c r="O164">
        <f t="shared" si="13"/>
        <v>3.1868000000000003</v>
      </c>
      <c r="P164">
        <v>309.12</v>
      </c>
      <c r="Q164">
        <f t="shared" si="14"/>
        <v>309.12</v>
      </c>
      <c r="R164" t="s">
        <v>22</v>
      </c>
      <c r="S164">
        <v>1</v>
      </c>
      <c r="U164" s="2">
        <v>46024</v>
      </c>
      <c r="V164" s="2">
        <v>46003</v>
      </c>
      <c r="W164" t="s">
        <v>23</v>
      </c>
      <c r="X164" t="s">
        <v>23</v>
      </c>
      <c r="Y164" s="1">
        <v>45667</v>
      </c>
    </row>
    <row r="165" spans="1:25" x14ac:dyDescent="0.55000000000000004">
      <c r="A165" t="s">
        <v>25</v>
      </c>
      <c r="B165">
        <v>0.01</v>
      </c>
      <c r="C165">
        <v>3592</v>
      </c>
      <c r="D165">
        <v>5.85</v>
      </c>
      <c r="E165">
        <f t="shared" si="10"/>
        <v>5.8486000000000002</v>
      </c>
      <c r="F165">
        <v>584.86</v>
      </c>
      <c r="G165">
        <v>1010575</v>
      </c>
      <c r="H165">
        <v>579.01</v>
      </c>
      <c r="I165">
        <f t="shared" si="11"/>
        <v>579.01</v>
      </c>
      <c r="J165">
        <v>5.85</v>
      </c>
      <c r="K165">
        <f t="shared" si="12"/>
        <v>5.8486000000000002</v>
      </c>
      <c r="L165">
        <v>1010575</v>
      </c>
      <c r="M165" t="s">
        <v>21</v>
      </c>
      <c r="N165">
        <v>5.85</v>
      </c>
      <c r="O165">
        <f t="shared" si="13"/>
        <v>5.8486000000000002</v>
      </c>
      <c r="P165">
        <v>573.16</v>
      </c>
      <c r="Q165">
        <f t="shared" si="14"/>
        <v>573.16</v>
      </c>
      <c r="R165" t="s">
        <v>22</v>
      </c>
      <c r="S165">
        <v>1</v>
      </c>
      <c r="U165" s="2">
        <v>46024</v>
      </c>
      <c r="V165" s="2">
        <v>46003</v>
      </c>
      <c r="W165" t="s">
        <v>23</v>
      </c>
      <c r="X165" t="s">
        <v>23</v>
      </c>
      <c r="Y165" s="1">
        <v>45667</v>
      </c>
    </row>
    <row r="166" spans="1:25" x14ac:dyDescent="0.55000000000000004">
      <c r="A166" t="s">
        <v>25</v>
      </c>
      <c r="B166">
        <v>0.01</v>
      </c>
      <c r="C166">
        <v>3592</v>
      </c>
      <c r="D166">
        <v>5.85</v>
      </c>
      <c r="E166">
        <f t="shared" si="10"/>
        <v>5.8486000000000002</v>
      </c>
      <c r="F166">
        <v>584.86</v>
      </c>
      <c r="G166">
        <v>1010576</v>
      </c>
      <c r="H166">
        <v>579.01</v>
      </c>
      <c r="I166">
        <f t="shared" si="11"/>
        <v>579.01</v>
      </c>
      <c r="J166">
        <v>5.85</v>
      </c>
      <c r="K166">
        <f t="shared" si="12"/>
        <v>5.8486000000000002</v>
      </c>
      <c r="L166">
        <v>1010576</v>
      </c>
      <c r="M166" t="s">
        <v>21</v>
      </c>
      <c r="N166">
        <v>5.85</v>
      </c>
      <c r="O166">
        <f t="shared" si="13"/>
        <v>5.8486000000000002</v>
      </c>
      <c r="P166">
        <v>573.16</v>
      </c>
      <c r="Q166">
        <f t="shared" si="14"/>
        <v>573.16</v>
      </c>
      <c r="R166" t="s">
        <v>22</v>
      </c>
      <c r="S166">
        <v>1</v>
      </c>
      <c r="U166" s="2">
        <v>46024</v>
      </c>
      <c r="V166" s="2">
        <v>46003</v>
      </c>
      <c r="W166" t="s">
        <v>23</v>
      </c>
      <c r="X166" t="s">
        <v>23</v>
      </c>
      <c r="Y166" s="1">
        <v>45667</v>
      </c>
    </row>
    <row r="167" spans="1:25" x14ac:dyDescent="0.55000000000000004">
      <c r="A167" t="s">
        <v>25</v>
      </c>
      <c r="B167">
        <v>0.01</v>
      </c>
      <c r="C167">
        <v>3592</v>
      </c>
      <c r="D167">
        <v>5.82</v>
      </c>
      <c r="E167">
        <f t="shared" si="10"/>
        <v>5.8195000000000006</v>
      </c>
      <c r="F167">
        <v>581.95000000000005</v>
      </c>
      <c r="G167">
        <v>1010577</v>
      </c>
      <c r="H167">
        <v>576.13</v>
      </c>
      <c r="I167">
        <f t="shared" si="11"/>
        <v>576.13</v>
      </c>
      <c r="J167">
        <v>5.82</v>
      </c>
      <c r="K167">
        <f t="shared" si="12"/>
        <v>5.8195000000000006</v>
      </c>
      <c r="L167">
        <v>1010577</v>
      </c>
      <c r="M167" t="s">
        <v>21</v>
      </c>
      <c r="N167">
        <v>5.82</v>
      </c>
      <c r="O167">
        <f t="shared" si="13"/>
        <v>5.8195000000000006</v>
      </c>
      <c r="P167">
        <v>570.30999999999995</v>
      </c>
      <c r="Q167">
        <f t="shared" si="14"/>
        <v>570.30999999999995</v>
      </c>
      <c r="R167" t="s">
        <v>22</v>
      </c>
      <c r="S167">
        <v>1</v>
      </c>
      <c r="U167" s="2">
        <v>46024</v>
      </c>
      <c r="V167" s="2">
        <v>46003</v>
      </c>
      <c r="W167" t="s">
        <v>23</v>
      </c>
      <c r="X167" t="s">
        <v>23</v>
      </c>
      <c r="Y167" s="1">
        <v>45667</v>
      </c>
    </row>
    <row r="168" spans="1:25" x14ac:dyDescent="0.55000000000000004">
      <c r="A168" t="s">
        <v>25</v>
      </c>
      <c r="B168">
        <v>0.01</v>
      </c>
      <c r="C168">
        <v>2780</v>
      </c>
      <c r="D168">
        <v>48.63</v>
      </c>
      <c r="E168">
        <f t="shared" si="10"/>
        <v>48.632299999999994</v>
      </c>
      <c r="F168">
        <v>4863.2299999999996</v>
      </c>
      <c r="G168">
        <v>1010578</v>
      </c>
      <c r="H168">
        <v>4814.6000000000004</v>
      </c>
      <c r="I168">
        <f t="shared" si="11"/>
        <v>4814.5999999999995</v>
      </c>
      <c r="J168">
        <v>48.63</v>
      </c>
      <c r="K168">
        <f t="shared" si="12"/>
        <v>48.632299999999994</v>
      </c>
      <c r="L168">
        <v>1010578</v>
      </c>
      <c r="M168" t="s">
        <v>21</v>
      </c>
      <c r="N168">
        <v>48.63</v>
      </c>
      <c r="O168">
        <f t="shared" si="13"/>
        <v>48.632299999999994</v>
      </c>
      <c r="P168">
        <v>4765.97</v>
      </c>
      <c r="Q168">
        <f t="shared" si="14"/>
        <v>4765.9699999999993</v>
      </c>
      <c r="R168" t="s">
        <v>22</v>
      </c>
      <c r="S168">
        <v>1</v>
      </c>
      <c r="U168" s="2">
        <v>46024</v>
      </c>
      <c r="V168" s="2">
        <v>46003</v>
      </c>
      <c r="W168" t="s">
        <v>23</v>
      </c>
      <c r="X168" t="s">
        <v>23</v>
      </c>
      <c r="Y168" s="1">
        <v>45667</v>
      </c>
    </row>
    <row r="169" spans="1:25" x14ac:dyDescent="0.55000000000000004">
      <c r="A169" t="s">
        <v>25</v>
      </c>
      <c r="B169">
        <v>0.01</v>
      </c>
      <c r="C169">
        <v>3046</v>
      </c>
      <c r="D169">
        <v>5.85</v>
      </c>
      <c r="E169">
        <f t="shared" si="10"/>
        <v>5.8486000000000002</v>
      </c>
      <c r="F169">
        <v>584.86</v>
      </c>
      <c r="G169">
        <v>1010579</v>
      </c>
      <c r="H169">
        <v>579.01</v>
      </c>
      <c r="I169">
        <f t="shared" si="11"/>
        <v>579.01</v>
      </c>
      <c r="J169">
        <v>5.85</v>
      </c>
      <c r="K169">
        <f t="shared" si="12"/>
        <v>5.8486000000000002</v>
      </c>
      <c r="L169">
        <v>1010579</v>
      </c>
      <c r="M169" t="s">
        <v>21</v>
      </c>
      <c r="N169">
        <v>5.85</v>
      </c>
      <c r="O169">
        <f t="shared" si="13"/>
        <v>5.8486000000000002</v>
      </c>
      <c r="P169">
        <v>573.16</v>
      </c>
      <c r="Q169">
        <f t="shared" si="14"/>
        <v>573.16</v>
      </c>
      <c r="R169" t="s">
        <v>22</v>
      </c>
      <c r="S169">
        <v>1</v>
      </c>
      <c r="U169" s="2">
        <v>46024</v>
      </c>
      <c r="V169" s="2">
        <v>46003</v>
      </c>
      <c r="W169" t="s">
        <v>23</v>
      </c>
      <c r="X169" t="s">
        <v>23</v>
      </c>
      <c r="Y169" s="1">
        <v>45667</v>
      </c>
    </row>
    <row r="170" spans="1:25" x14ac:dyDescent="0.55000000000000004">
      <c r="A170" t="s">
        <v>25</v>
      </c>
      <c r="B170">
        <v>0.01</v>
      </c>
      <c r="C170">
        <v>2035</v>
      </c>
      <c r="D170">
        <v>19.260000000000002</v>
      </c>
      <c r="E170">
        <f t="shared" si="10"/>
        <v>19.2638</v>
      </c>
      <c r="F170">
        <v>1926.38</v>
      </c>
      <c r="G170">
        <v>1010580</v>
      </c>
      <c r="H170">
        <v>1907.12</v>
      </c>
      <c r="I170">
        <f t="shared" si="11"/>
        <v>1907.1200000000001</v>
      </c>
      <c r="J170">
        <v>19.260000000000002</v>
      </c>
      <c r="K170">
        <f t="shared" si="12"/>
        <v>19.2638</v>
      </c>
      <c r="L170">
        <v>1010580</v>
      </c>
      <c r="M170" t="s">
        <v>21</v>
      </c>
      <c r="N170">
        <v>19.260000000000002</v>
      </c>
      <c r="O170">
        <f t="shared" si="13"/>
        <v>19.2638</v>
      </c>
      <c r="P170">
        <v>1887.85</v>
      </c>
      <c r="Q170">
        <f t="shared" si="14"/>
        <v>1887.8600000000001</v>
      </c>
      <c r="R170" t="s">
        <v>22</v>
      </c>
      <c r="S170">
        <v>1</v>
      </c>
      <c r="U170" s="2">
        <v>46024</v>
      </c>
      <c r="V170" s="2">
        <v>46003</v>
      </c>
      <c r="W170" t="s">
        <v>23</v>
      </c>
      <c r="X170" t="s">
        <v>23</v>
      </c>
      <c r="Y170" s="1">
        <v>45667</v>
      </c>
    </row>
    <row r="171" spans="1:25" x14ac:dyDescent="0.55000000000000004">
      <c r="A171" t="s">
        <v>25</v>
      </c>
      <c r="B171">
        <v>0.01</v>
      </c>
      <c r="C171">
        <v>3718</v>
      </c>
      <c r="D171">
        <v>17.46</v>
      </c>
      <c r="E171">
        <f t="shared" si="10"/>
        <v>17.458500000000001</v>
      </c>
      <c r="F171">
        <v>1745.85</v>
      </c>
      <c r="G171">
        <v>1010581</v>
      </c>
      <c r="H171">
        <v>1728.39</v>
      </c>
      <c r="I171">
        <f t="shared" si="11"/>
        <v>1728.3899999999999</v>
      </c>
      <c r="J171">
        <v>17.46</v>
      </c>
      <c r="K171">
        <f t="shared" si="12"/>
        <v>17.458500000000001</v>
      </c>
      <c r="L171">
        <v>1010581</v>
      </c>
      <c r="M171" t="s">
        <v>21</v>
      </c>
      <c r="N171">
        <v>17.46</v>
      </c>
      <c r="O171">
        <f t="shared" si="13"/>
        <v>17.458500000000001</v>
      </c>
      <c r="P171">
        <v>1710.93</v>
      </c>
      <c r="Q171">
        <f t="shared" si="14"/>
        <v>1710.9299999999998</v>
      </c>
      <c r="R171" t="s">
        <v>22</v>
      </c>
      <c r="S171">
        <v>1</v>
      </c>
      <c r="U171" s="2">
        <v>46024</v>
      </c>
      <c r="V171" s="2">
        <v>46003</v>
      </c>
      <c r="W171" t="s">
        <v>23</v>
      </c>
      <c r="X171" t="s">
        <v>23</v>
      </c>
      <c r="Y171" s="1">
        <v>45667</v>
      </c>
    </row>
    <row r="172" spans="1:25" x14ac:dyDescent="0.55000000000000004">
      <c r="A172" t="s">
        <v>25</v>
      </c>
      <c r="B172">
        <v>0.01</v>
      </c>
      <c r="C172">
        <v>3718</v>
      </c>
      <c r="D172">
        <v>29.1</v>
      </c>
      <c r="E172">
        <f t="shared" si="10"/>
        <v>29.0975</v>
      </c>
      <c r="F172">
        <v>2909.75</v>
      </c>
      <c r="G172">
        <v>1010582</v>
      </c>
      <c r="H172">
        <v>2880.65</v>
      </c>
      <c r="I172">
        <f t="shared" si="11"/>
        <v>2880.65</v>
      </c>
      <c r="J172">
        <v>29.1</v>
      </c>
      <c r="K172">
        <f t="shared" si="12"/>
        <v>29.0975</v>
      </c>
      <c r="L172">
        <v>1010582</v>
      </c>
      <c r="M172" t="s">
        <v>21</v>
      </c>
      <c r="N172">
        <v>29.1</v>
      </c>
      <c r="O172">
        <f t="shared" si="13"/>
        <v>29.0975</v>
      </c>
      <c r="P172">
        <v>2851.56</v>
      </c>
      <c r="Q172">
        <f t="shared" si="14"/>
        <v>2851.55</v>
      </c>
      <c r="R172" t="s">
        <v>22</v>
      </c>
      <c r="S172">
        <v>1</v>
      </c>
      <c r="U172" s="2">
        <v>46024</v>
      </c>
      <c r="V172" s="2">
        <v>46003</v>
      </c>
      <c r="W172" t="s">
        <v>23</v>
      </c>
      <c r="X172" t="s">
        <v>23</v>
      </c>
      <c r="Y172" s="1">
        <v>45667</v>
      </c>
    </row>
    <row r="173" spans="1:25" x14ac:dyDescent="0.55000000000000004">
      <c r="A173" t="s">
        <v>25</v>
      </c>
      <c r="B173">
        <v>0.01</v>
      </c>
      <c r="C173">
        <v>1810</v>
      </c>
      <c r="D173">
        <v>34.92</v>
      </c>
      <c r="E173">
        <f t="shared" si="10"/>
        <v>34.917000000000002</v>
      </c>
      <c r="F173">
        <v>3491.7</v>
      </c>
      <c r="G173">
        <v>1010583</v>
      </c>
      <c r="H173">
        <v>3456.78</v>
      </c>
      <c r="I173">
        <f t="shared" si="11"/>
        <v>3456.7799999999997</v>
      </c>
      <c r="J173">
        <v>34.92</v>
      </c>
      <c r="K173">
        <f t="shared" si="12"/>
        <v>34.917000000000002</v>
      </c>
      <c r="L173">
        <v>1010583</v>
      </c>
      <c r="M173" t="s">
        <v>21</v>
      </c>
      <c r="N173">
        <v>34.92</v>
      </c>
      <c r="O173">
        <f t="shared" si="13"/>
        <v>34.917000000000002</v>
      </c>
      <c r="P173">
        <v>3421.87</v>
      </c>
      <c r="Q173">
        <f t="shared" si="14"/>
        <v>3421.8599999999997</v>
      </c>
      <c r="R173" t="s">
        <v>22</v>
      </c>
      <c r="S173">
        <v>1</v>
      </c>
      <c r="U173" s="2">
        <v>46024</v>
      </c>
      <c r="V173" s="2">
        <v>46003</v>
      </c>
      <c r="W173" t="s">
        <v>23</v>
      </c>
      <c r="X173" t="s">
        <v>23</v>
      </c>
      <c r="Y173" s="1">
        <v>45667</v>
      </c>
    </row>
    <row r="174" spans="1:25" x14ac:dyDescent="0.55000000000000004">
      <c r="A174" t="s">
        <v>25</v>
      </c>
      <c r="B174">
        <v>0.01</v>
      </c>
      <c r="C174">
        <v>1810</v>
      </c>
      <c r="D174">
        <v>144.77000000000001</v>
      </c>
      <c r="E174">
        <f t="shared" si="10"/>
        <v>144.77379999999999</v>
      </c>
      <c r="F174">
        <v>14477.38</v>
      </c>
      <c r="G174">
        <v>1010584</v>
      </c>
      <c r="H174">
        <v>14332.61</v>
      </c>
      <c r="I174">
        <f t="shared" si="11"/>
        <v>14332.609999999999</v>
      </c>
      <c r="J174">
        <v>144.77000000000001</v>
      </c>
      <c r="K174">
        <f t="shared" si="12"/>
        <v>144.77379999999999</v>
      </c>
      <c r="L174">
        <v>1010584</v>
      </c>
      <c r="M174" t="s">
        <v>21</v>
      </c>
      <c r="N174">
        <v>144.77000000000001</v>
      </c>
      <c r="O174">
        <f t="shared" si="13"/>
        <v>144.77379999999999</v>
      </c>
      <c r="P174">
        <v>14187.83</v>
      </c>
      <c r="Q174">
        <f t="shared" si="14"/>
        <v>14187.839999999998</v>
      </c>
      <c r="R174" t="s">
        <v>22</v>
      </c>
      <c r="S174">
        <v>1</v>
      </c>
      <c r="U174" s="2">
        <v>46024</v>
      </c>
      <c r="V174" s="2">
        <v>46003</v>
      </c>
      <c r="W174" t="s">
        <v>23</v>
      </c>
      <c r="X174" t="s">
        <v>23</v>
      </c>
      <c r="Y174" s="1">
        <v>45667</v>
      </c>
    </row>
    <row r="175" spans="1:25" x14ac:dyDescent="0.55000000000000004">
      <c r="A175" t="s">
        <v>25</v>
      </c>
      <c r="B175">
        <v>0.01</v>
      </c>
      <c r="C175">
        <v>2675</v>
      </c>
      <c r="D175">
        <v>15.26</v>
      </c>
      <c r="E175">
        <f t="shared" si="10"/>
        <v>15.2561</v>
      </c>
      <c r="F175">
        <v>1525.61</v>
      </c>
      <c r="G175">
        <v>1010585</v>
      </c>
      <c r="H175">
        <v>1510.35</v>
      </c>
      <c r="I175">
        <f t="shared" si="11"/>
        <v>1510.35</v>
      </c>
      <c r="J175">
        <v>15.26</v>
      </c>
      <c r="K175">
        <f t="shared" si="12"/>
        <v>15.2561</v>
      </c>
      <c r="L175">
        <v>1010585</v>
      </c>
      <c r="M175" t="s">
        <v>21</v>
      </c>
      <c r="N175">
        <v>15.26</v>
      </c>
      <c r="O175">
        <f t="shared" si="13"/>
        <v>15.2561</v>
      </c>
      <c r="P175">
        <v>1495.1</v>
      </c>
      <c r="Q175">
        <f t="shared" si="14"/>
        <v>1495.09</v>
      </c>
      <c r="R175" t="s">
        <v>22</v>
      </c>
      <c r="S175">
        <v>1</v>
      </c>
      <c r="U175" s="2">
        <v>46024</v>
      </c>
      <c r="V175" s="2">
        <v>46003</v>
      </c>
      <c r="W175" t="s">
        <v>23</v>
      </c>
      <c r="X175" t="s">
        <v>23</v>
      </c>
      <c r="Y175" s="1">
        <v>45667</v>
      </c>
    </row>
    <row r="176" spans="1:25" x14ac:dyDescent="0.55000000000000004">
      <c r="A176" t="s">
        <v>25</v>
      </c>
      <c r="B176">
        <v>0.01</v>
      </c>
      <c r="C176">
        <v>1747</v>
      </c>
      <c r="D176">
        <v>5.85</v>
      </c>
      <c r="E176">
        <f t="shared" si="10"/>
        <v>5.8486000000000002</v>
      </c>
      <c r="F176">
        <v>584.86</v>
      </c>
      <c r="G176">
        <v>1010586</v>
      </c>
      <c r="H176">
        <v>579.01</v>
      </c>
      <c r="I176">
        <f t="shared" si="11"/>
        <v>579.01</v>
      </c>
      <c r="J176">
        <v>5.85</v>
      </c>
      <c r="K176">
        <f t="shared" si="12"/>
        <v>5.8486000000000002</v>
      </c>
      <c r="L176">
        <v>1010586</v>
      </c>
      <c r="M176" t="s">
        <v>21</v>
      </c>
      <c r="N176">
        <v>5.85</v>
      </c>
      <c r="O176">
        <f t="shared" si="13"/>
        <v>5.8486000000000002</v>
      </c>
      <c r="P176">
        <v>573.16</v>
      </c>
      <c r="Q176">
        <f t="shared" si="14"/>
        <v>573.16</v>
      </c>
      <c r="R176" t="s">
        <v>22</v>
      </c>
      <c r="S176">
        <v>1</v>
      </c>
      <c r="U176" s="2">
        <v>46024</v>
      </c>
      <c r="V176" s="2">
        <v>46003</v>
      </c>
      <c r="W176" t="s">
        <v>23</v>
      </c>
      <c r="X176" t="s">
        <v>23</v>
      </c>
      <c r="Y176" s="1">
        <v>45667</v>
      </c>
    </row>
    <row r="177" spans="1:25" x14ac:dyDescent="0.55000000000000004">
      <c r="A177" t="s">
        <v>25</v>
      </c>
      <c r="B177">
        <v>0.01</v>
      </c>
      <c r="C177">
        <v>2941</v>
      </c>
      <c r="D177">
        <v>9.6300000000000008</v>
      </c>
      <c r="E177">
        <f t="shared" si="10"/>
        <v>9.6318999999999999</v>
      </c>
      <c r="F177">
        <v>963.19</v>
      </c>
      <c r="G177">
        <v>1010587</v>
      </c>
      <c r="H177">
        <v>953.56</v>
      </c>
      <c r="I177">
        <f t="shared" si="11"/>
        <v>953.56000000000006</v>
      </c>
      <c r="J177">
        <v>9.6300000000000008</v>
      </c>
      <c r="K177">
        <f t="shared" si="12"/>
        <v>9.6318999999999999</v>
      </c>
      <c r="L177">
        <v>1010587</v>
      </c>
      <c r="M177" t="s">
        <v>21</v>
      </c>
      <c r="N177">
        <v>9.6300000000000008</v>
      </c>
      <c r="O177">
        <f t="shared" si="13"/>
        <v>9.6318999999999999</v>
      </c>
      <c r="P177">
        <v>943.93</v>
      </c>
      <c r="Q177">
        <f t="shared" si="14"/>
        <v>943.93000000000006</v>
      </c>
      <c r="R177" t="s">
        <v>22</v>
      </c>
      <c r="S177">
        <v>1</v>
      </c>
      <c r="U177" s="2">
        <v>46024</v>
      </c>
      <c r="V177" s="2">
        <v>46003</v>
      </c>
      <c r="W177" t="s">
        <v>23</v>
      </c>
      <c r="X177" t="s">
        <v>23</v>
      </c>
      <c r="Y177" s="1">
        <v>45667</v>
      </c>
    </row>
    <row r="178" spans="1:25" x14ac:dyDescent="0.55000000000000004">
      <c r="A178" t="s">
        <v>25</v>
      </c>
      <c r="B178">
        <v>0.01</v>
      </c>
      <c r="C178">
        <v>3886</v>
      </c>
      <c r="D178">
        <v>11.7</v>
      </c>
      <c r="E178">
        <f t="shared" si="10"/>
        <v>11.6972</v>
      </c>
      <c r="F178">
        <v>1169.72</v>
      </c>
      <c r="G178">
        <v>1010588</v>
      </c>
      <c r="H178">
        <v>1158.02</v>
      </c>
      <c r="I178">
        <f t="shared" si="11"/>
        <v>1158.02</v>
      </c>
      <c r="J178">
        <v>11.7</v>
      </c>
      <c r="K178">
        <f t="shared" si="12"/>
        <v>11.6972</v>
      </c>
      <c r="L178">
        <v>1010588</v>
      </c>
      <c r="M178" t="s">
        <v>21</v>
      </c>
      <c r="N178">
        <v>11.7</v>
      </c>
      <c r="O178">
        <f t="shared" si="13"/>
        <v>11.6972</v>
      </c>
      <c r="P178">
        <v>1146.33</v>
      </c>
      <c r="Q178">
        <f t="shared" si="14"/>
        <v>1146.32</v>
      </c>
      <c r="R178" t="s">
        <v>22</v>
      </c>
      <c r="S178">
        <v>1</v>
      </c>
      <c r="U178" s="2">
        <v>46024</v>
      </c>
      <c r="V178" s="2">
        <v>46003</v>
      </c>
      <c r="W178" t="s">
        <v>23</v>
      </c>
      <c r="X178" t="s">
        <v>23</v>
      </c>
      <c r="Y178" s="1">
        <v>45667</v>
      </c>
    </row>
    <row r="179" spans="1:25" x14ac:dyDescent="0.55000000000000004">
      <c r="A179" t="s">
        <v>25</v>
      </c>
      <c r="B179">
        <v>0.01</v>
      </c>
      <c r="C179">
        <v>3886</v>
      </c>
      <c r="D179">
        <v>5.85</v>
      </c>
      <c r="E179">
        <f t="shared" si="10"/>
        <v>5.8486000000000002</v>
      </c>
      <c r="F179">
        <v>584.86</v>
      </c>
      <c r="G179">
        <v>1010589</v>
      </c>
      <c r="H179">
        <v>579.01</v>
      </c>
      <c r="I179">
        <f t="shared" si="11"/>
        <v>579.01</v>
      </c>
      <c r="J179">
        <v>5.85</v>
      </c>
      <c r="K179">
        <f t="shared" si="12"/>
        <v>5.8486000000000002</v>
      </c>
      <c r="L179">
        <v>1010589</v>
      </c>
      <c r="M179" t="s">
        <v>21</v>
      </c>
      <c r="N179">
        <v>5.85</v>
      </c>
      <c r="O179">
        <f t="shared" si="13"/>
        <v>5.8486000000000002</v>
      </c>
      <c r="P179">
        <v>573.16</v>
      </c>
      <c r="Q179">
        <f t="shared" si="14"/>
        <v>573.16</v>
      </c>
      <c r="R179" t="s">
        <v>22</v>
      </c>
      <c r="S179">
        <v>1</v>
      </c>
      <c r="U179" s="2">
        <v>46024</v>
      </c>
      <c r="V179" s="2">
        <v>46003</v>
      </c>
      <c r="W179" t="s">
        <v>23</v>
      </c>
      <c r="X179" t="s">
        <v>23</v>
      </c>
      <c r="Y179" s="1">
        <v>45667</v>
      </c>
    </row>
    <row r="180" spans="1:25" x14ac:dyDescent="0.55000000000000004">
      <c r="A180" t="s">
        <v>25</v>
      </c>
      <c r="B180">
        <v>0.01</v>
      </c>
      <c r="C180">
        <v>2913</v>
      </c>
      <c r="D180">
        <v>76.680000000000007</v>
      </c>
      <c r="E180">
        <f t="shared" si="10"/>
        <v>76.682200000000009</v>
      </c>
      <c r="F180">
        <v>7668.22</v>
      </c>
      <c r="G180">
        <v>1010590</v>
      </c>
      <c r="H180">
        <v>7591.54</v>
      </c>
      <c r="I180">
        <f t="shared" si="11"/>
        <v>7591.54</v>
      </c>
      <c r="J180">
        <v>76.680000000000007</v>
      </c>
      <c r="K180">
        <f t="shared" si="12"/>
        <v>76.682200000000009</v>
      </c>
      <c r="L180">
        <v>1010590</v>
      </c>
      <c r="M180" t="s">
        <v>21</v>
      </c>
      <c r="N180">
        <v>76.680000000000007</v>
      </c>
      <c r="O180">
        <f t="shared" si="13"/>
        <v>76.682200000000009</v>
      </c>
      <c r="P180">
        <v>7514.86</v>
      </c>
      <c r="Q180">
        <f t="shared" si="14"/>
        <v>7514.86</v>
      </c>
      <c r="R180" t="s">
        <v>22</v>
      </c>
      <c r="S180">
        <v>1</v>
      </c>
      <c r="U180" s="2">
        <v>46024</v>
      </c>
      <c r="V180" s="2">
        <v>46003</v>
      </c>
      <c r="W180" t="s">
        <v>23</v>
      </c>
      <c r="X180" t="s">
        <v>23</v>
      </c>
      <c r="Y180" s="1">
        <v>45667</v>
      </c>
    </row>
    <row r="181" spans="1:25" x14ac:dyDescent="0.55000000000000004">
      <c r="A181" t="s">
        <v>25</v>
      </c>
      <c r="B181">
        <v>0.01</v>
      </c>
      <c r="C181">
        <v>3837</v>
      </c>
      <c r="D181">
        <v>35.68</v>
      </c>
      <c r="E181">
        <f t="shared" si="10"/>
        <v>35.683300000000003</v>
      </c>
      <c r="F181">
        <v>3568.33</v>
      </c>
      <c r="G181">
        <v>1010591</v>
      </c>
      <c r="H181">
        <v>3532.65</v>
      </c>
      <c r="I181">
        <f t="shared" si="11"/>
        <v>3532.65</v>
      </c>
      <c r="J181">
        <v>35.68</v>
      </c>
      <c r="K181">
        <f t="shared" si="12"/>
        <v>35.683300000000003</v>
      </c>
      <c r="L181">
        <v>1010591</v>
      </c>
      <c r="M181" t="s">
        <v>21</v>
      </c>
      <c r="N181">
        <v>35.68</v>
      </c>
      <c r="O181">
        <f t="shared" si="13"/>
        <v>35.683300000000003</v>
      </c>
      <c r="P181">
        <v>3496.96</v>
      </c>
      <c r="Q181">
        <f t="shared" si="14"/>
        <v>3496.9700000000003</v>
      </c>
      <c r="R181" t="s">
        <v>22</v>
      </c>
      <c r="S181">
        <v>1</v>
      </c>
      <c r="U181" s="2">
        <v>46024</v>
      </c>
      <c r="V181" s="2">
        <v>46003</v>
      </c>
      <c r="W181" t="s">
        <v>23</v>
      </c>
      <c r="X181" t="s">
        <v>23</v>
      </c>
      <c r="Y181" s="1">
        <v>45667</v>
      </c>
    </row>
    <row r="182" spans="1:25" x14ac:dyDescent="0.55000000000000004">
      <c r="A182" t="s">
        <v>25</v>
      </c>
      <c r="B182">
        <v>0.01</v>
      </c>
      <c r="C182">
        <v>3781</v>
      </c>
      <c r="D182">
        <v>5.85</v>
      </c>
      <c r="E182">
        <f t="shared" si="10"/>
        <v>5.8486000000000002</v>
      </c>
      <c r="F182">
        <v>584.86</v>
      </c>
      <c r="G182">
        <v>1010592</v>
      </c>
      <c r="H182">
        <v>579.01</v>
      </c>
      <c r="I182">
        <f t="shared" si="11"/>
        <v>579.01</v>
      </c>
      <c r="J182">
        <v>5.85</v>
      </c>
      <c r="K182">
        <f t="shared" si="12"/>
        <v>5.8486000000000002</v>
      </c>
      <c r="L182">
        <v>1010592</v>
      </c>
      <c r="M182" t="s">
        <v>21</v>
      </c>
      <c r="N182">
        <v>5.85</v>
      </c>
      <c r="O182">
        <f t="shared" si="13"/>
        <v>5.8486000000000002</v>
      </c>
      <c r="P182">
        <v>573.16</v>
      </c>
      <c r="Q182">
        <f t="shared" si="14"/>
        <v>573.16</v>
      </c>
      <c r="R182" t="s">
        <v>22</v>
      </c>
      <c r="S182">
        <v>1</v>
      </c>
      <c r="U182" s="2">
        <v>46024</v>
      </c>
      <c r="V182" s="2">
        <v>46003</v>
      </c>
      <c r="W182" t="s">
        <v>23</v>
      </c>
      <c r="X182" t="s">
        <v>23</v>
      </c>
      <c r="Y182" s="1">
        <v>45667</v>
      </c>
    </row>
    <row r="183" spans="1:25" x14ac:dyDescent="0.55000000000000004">
      <c r="A183" t="s">
        <v>25</v>
      </c>
      <c r="B183">
        <v>0.01</v>
      </c>
      <c r="C183">
        <v>3536</v>
      </c>
      <c r="D183">
        <v>80.92</v>
      </c>
      <c r="E183">
        <f t="shared" si="10"/>
        <v>80.921099999999996</v>
      </c>
      <c r="F183">
        <v>8092.11</v>
      </c>
      <c r="G183">
        <v>1010593</v>
      </c>
      <c r="H183">
        <v>8011.19</v>
      </c>
      <c r="I183">
        <f t="shared" si="11"/>
        <v>8011.19</v>
      </c>
      <c r="J183">
        <v>80.92</v>
      </c>
      <c r="K183">
        <f t="shared" si="12"/>
        <v>80.921099999999996</v>
      </c>
      <c r="L183">
        <v>1010593</v>
      </c>
      <c r="M183" t="s">
        <v>21</v>
      </c>
      <c r="N183">
        <v>80.92</v>
      </c>
      <c r="O183">
        <f t="shared" si="13"/>
        <v>80.921099999999996</v>
      </c>
      <c r="P183">
        <v>7930.27</v>
      </c>
      <c r="Q183">
        <f t="shared" si="14"/>
        <v>7930.2699999999995</v>
      </c>
      <c r="R183" t="s">
        <v>22</v>
      </c>
      <c r="S183">
        <v>1</v>
      </c>
      <c r="U183" s="2">
        <v>46024</v>
      </c>
      <c r="V183" s="2">
        <v>46003</v>
      </c>
      <c r="W183" t="s">
        <v>23</v>
      </c>
      <c r="X183" t="s">
        <v>23</v>
      </c>
      <c r="Y183" s="1">
        <v>45667</v>
      </c>
    </row>
    <row r="184" spans="1:25" x14ac:dyDescent="0.55000000000000004">
      <c r="A184" t="s">
        <v>25</v>
      </c>
      <c r="B184">
        <v>0.01</v>
      </c>
      <c r="C184">
        <v>3543</v>
      </c>
      <c r="D184">
        <v>5.85</v>
      </c>
      <c r="E184">
        <f t="shared" si="10"/>
        <v>5.8486000000000002</v>
      </c>
      <c r="F184">
        <v>584.86</v>
      </c>
      <c r="G184">
        <v>1010594</v>
      </c>
      <c r="H184">
        <v>579.01</v>
      </c>
      <c r="I184">
        <f t="shared" si="11"/>
        <v>579.01</v>
      </c>
      <c r="J184">
        <v>5.85</v>
      </c>
      <c r="K184">
        <f t="shared" si="12"/>
        <v>5.8486000000000002</v>
      </c>
      <c r="L184">
        <v>1010594</v>
      </c>
      <c r="M184" t="s">
        <v>21</v>
      </c>
      <c r="N184">
        <v>5.85</v>
      </c>
      <c r="O184">
        <f t="shared" si="13"/>
        <v>5.8486000000000002</v>
      </c>
      <c r="P184">
        <v>573.16</v>
      </c>
      <c r="Q184">
        <f t="shared" si="14"/>
        <v>573.16</v>
      </c>
      <c r="R184" t="s">
        <v>22</v>
      </c>
      <c r="S184">
        <v>1</v>
      </c>
      <c r="U184" s="2">
        <v>46024</v>
      </c>
      <c r="V184" s="2">
        <v>46003</v>
      </c>
      <c r="W184" t="s">
        <v>23</v>
      </c>
      <c r="X184" t="s">
        <v>23</v>
      </c>
      <c r="Y184" s="1">
        <v>45667</v>
      </c>
    </row>
    <row r="185" spans="1:25" x14ac:dyDescent="0.55000000000000004">
      <c r="A185" t="s">
        <v>24</v>
      </c>
      <c r="B185">
        <v>0</v>
      </c>
      <c r="C185">
        <v>3410</v>
      </c>
      <c r="D185">
        <v>0</v>
      </c>
      <c r="E185">
        <f t="shared" si="10"/>
        <v>0</v>
      </c>
      <c r="F185">
        <v>354.82</v>
      </c>
      <c r="G185">
        <v>1010595</v>
      </c>
      <c r="H185">
        <v>354.82</v>
      </c>
      <c r="I185">
        <f t="shared" si="11"/>
        <v>354.82</v>
      </c>
      <c r="J185">
        <v>0</v>
      </c>
      <c r="K185">
        <f t="shared" si="12"/>
        <v>0</v>
      </c>
      <c r="L185">
        <v>1010595</v>
      </c>
      <c r="M185" t="s">
        <v>21</v>
      </c>
      <c r="N185">
        <v>3.55</v>
      </c>
      <c r="O185">
        <f t="shared" si="13"/>
        <v>3.5482</v>
      </c>
      <c r="P185">
        <v>351.27</v>
      </c>
      <c r="Q185">
        <f t="shared" si="14"/>
        <v>351.27</v>
      </c>
      <c r="R185" t="s">
        <v>22</v>
      </c>
      <c r="S185">
        <v>1</v>
      </c>
      <c r="U185" s="2">
        <v>46024</v>
      </c>
      <c r="V185" s="2">
        <v>46003</v>
      </c>
      <c r="W185" t="s">
        <v>23</v>
      </c>
      <c r="X185" t="s">
        <v>23</v>
      </c>
      <c r="Y185" s="1">
        <v>45667</v>
      </c>
    </row>
    <row r="186" spans="1:25" x14ac:dyDescent="0.55000000000000004">
      <c r="A186" t="s">
        <v>24</v>
      </c>
      <c r="B186">
        <v>0</v>
      </c>
      <c r="C186">
        <v>3410</v>
      </c>
      <c r="D186">
        <v>0</v>
      </c>
      <c r="E186">
        <f t="shared" si="10"/>
        <v>0</v>
      </c>
      <c r="F186">
        <v>56.84</v>
      </c>
      <c r="G186">
        <v>1010596</v>
      </c>
      <c r="H186">
        <v>56.84</v>
      </c>
      <c r="I186">
        <f t="shared" si="11"/>
        <v>56.84</v>
      </c>
      <c r="J186">
        <v>0</v>
      </c>
      <c r="K186">
        <f t="shared" si="12"/>
        <v>0</v>
      </c>
      <c r="L186">
        <v>1010596</v>
      </c>
      <c r="M186" t="s">
        <v>21</v>
      </c>
      <c r="N186">
        <v>0.56999999999999995</v>
      </c>
      <c r="O186">
        <f t="shared" si="13"/>
        <v>0.56840000000000002</v>
      </c>
      <c r="P186">
        <v>56.27</v>
      </c>
      <c r="Q186">
        <f t="shared" si="14"/>
        <v>56.27</v>
      </c>
      <c r="R186" t="s">
        <v>22</v>
      </c>
      <c r="S186">
        <v>1</v>
      </c>
      <c r="U186" s="2">
        <v>46024</v>
      </c>
      <c r="V186" s="2">
        <v>46003</v>
      </c>
      <c r="W186" t="s">
        <v>23</v>
      </c>
      <c r="X186" t="s">
        <v>23</v>
      </c>
      <c r="Y186" s="1">
        <v>45667</v>
      </c>
    </row>
    <row r="187" spans="1:25" x14ac:dyDescent="0.55000000000000004">
      <c r="A187" t="s">
        <v>20</v>
      </c>
      <c r="B187">
        <v>0.02</v>
      </c>
      <c r="C187">
        <v>3578</v>
      </c>
      <c r="D187">
        <v>33.409999999999997</v>
      </c>
      <c r="E187">
        <f t="shared" si="10"/>
        <v>33.410600000000002</v>
      </c>
      <c r="F187">
        <v>1670.53</v>
      </c>
      <c r="G187">
        <v>1010597</v>
      </c>
      <c r="H187">
        <v>1637.12</v>
      </c>
      <c r="I187">
        <f t="shared" si="11"/>
        <v>1637.12</v>
      </c>
      <c r="J187">
        <v>33.409999999999997</v>
      </c>
      <c r="K187">
        <f t="shared" si="12"/>
        <v>33.410600000000002</v>
      </c>
      <c r="L187">
        <v>1010597</v>
      </c>
      <c r="M187" t="s">
        <v>21</v>
      </c>
      <c r="N187">
        <v>16.71</v>
      </c>
      <c r="O187">
        <f t="shared" si="13"/>
        <v>16.705300000000001</v>
      </c>
      <c r="P187">
        <v>1620.41</v>
      </c>
      <c r="Q187">
        <f t="shared" si="14"/>
        <v>1620.4099999999999</v>
      </c>
      <c r="R187" t="s">
        <v>22</v>
      </c>
      <c r="S187">
        <v>1</v>
      </c>
      <c r="U187" s="2">
        <v>46024</v>
      </c>
      <c r="V187" s="2">
        <v>46003</v>
      </c>
      <c r="W187" t="s">
        <v>23</v>
      </c>
      <c r="X187" t="s">
        <v>23</v>
      </c>
      <c r="Y187" s="1">
        <v>45667</v>
      </c>
    </row>
    <row r="188" spans="1:25" x14ac:dyDescent="0.55000000000000004">
      <c r="A188" t="s">
        <v>20</v>
      </c>
      <c r="B188">
        <v>0.02</v>
      </c>
      <c r="C188">
        <v>3893</v>
      </c>
      <c r="D188">
        <v>7.82</v>
      </c>
      <c r="E188">
        <f t="shared" si="10"/>
        <v>7.8174000000000001</v>
      </c>
      <c r="F188">
        <v>390.87</v>
      </c>
      <c r="G188">
        <v>1010598</v>
      </c>
      <c r="H188">
        <v>383.05</v>
      </c>
      <c r="I188">
        <f t="shared" si="11"/>
        <v>383.05</v>
      </c>
      <c r="J188">
        <v>7.82</v>
      </c>
      <c r="K188">
        <f t="shared" si="12"/>
        <v>7.8174000000000001</v>
      </c>
      <c r="L188">
        <v>1010598</v>
      </c>
      <c r="M188" t="s">
        <v>21</v>
      </c>
      <c r="N188">
        <v>3.91</v>
      </c>
      <c r="O188">
        <f t="shared" si="13"/>
        <v>3.9087000000000001</v>
      </c>
      <c r="P188">
        <v>379.14</v>
      </c>
      <c r="Q188">
        <f t="shared" si="14"/>
        <v>379.14</v>
      </c>
      <c r="R188" t="s">
        <v>22</v>
      </c>
      <c r="S188">
        <v>1</v>
      </c>
      <c r="U188" s="2">
        <v>46024</v>
      </c>
      <c r="V188" s="2">
        <v>46003</v>
      </c>
      <c r="W188" t="s">
        <v>23</v>
      </c>
      <c r="X188" t="s">
        <v>23</v>
      </c>
      <c r="Y188" s="1">
        <v>45667</v>
      </c>
    </row>
    <row r="189" spans="1:25" x14ac:dyDescent="0.55000000000000004">
      <c r="A189" t="s">
        <v>24</v>
      </c>
      <c r="B189">
        <v>0</v>
      </c>
      <c r="C189">
        <v>3886</v>
      </c>
      <c r="D189">
        <v>0</v>
      </c>
      <c r="E189">
        <f t="shared" si="10"/>
        <v>0</v>
      </c>
      <c r="F189">
        <v>438.9</v>
      </c>
      <c r="G189">
        <v>1010599</v>
      </c>
      <c r="H189">
        <v>438.9</v>
      </c>
      <c r="I189">
        <f t="shared" si="11"/>
        <v>438.9</v>
      </c>
      <c r="J189">
        <v>0</v>
      </c>
      <c r="K189">
        <f t="shared" si="12"/>
        <v>0</v>
      </c>
      <c r="L189">
        <v>1010599</v>
      </c>
      <c r="M189" t="s">
        <v>21</v>
      </c>
      <c r="N189">
        <v>4.3899999999999997</v>
      </c>
      <c r="O189">
        <f t="shared" si="13"/>
        <v>4.3890000000000002</v>
      </c>
      <c r="P189">
        <v>434.51</v>
      </c>
      <c r="Q189">
        <f t="shared" si="14"/>
        <v>434.51</v>
      </c>
      <c r="R189" t="s">
        <v>22</v>
      </c>
      <c r="S189">
        <v>1</v>
      </c>
      <c r="U189" s="2">
        <v>46024</v>
      </c>
      <c r="V189" s="2">
        <v>46003</v>
      </c>
      <c r="W189" t="s">
        <v>23</v>
      </c>
      <c r="X189" t="s">
        <v>23</v>
      </c>
      <c r="Y189" s="1">
        <v>45667</v>
      </c>
    </row>
    <row r="190" spans="1:25" x14ac:dyDescent="0.55000000000000004">
      <c r="A190" t="s">
        <v>24</v>
      </c>
      <c r="B190">
        <v>0</v>
      </c>
      <c r="C190">
        <v>3151</v>
      </c>
      <c r="D190">
        <v>0</v>
      </c>
      <c r="E190">
        <f t="shared" si="10"/>
        <v>0</v>
      </c>
      <c r="F190">
        <v>16156.13</v>
      </c>
      <c r="G190">
        <v>1010600</v>
      </c>
      <c r="H190">
        <v>16156.13</v>
      </c>
      <c r="I190">
        <f t="shared" si="11"/>
        <v>16156.13</v>
      </c>
      <c r="J190">
        <v>0</v>
      </c>
      <c r="K190">
        <f t="shared" si="12"/>
        <v>0</v>
      </c>
      <c r="L190">
        <v>1010600</v>
      </c>
      <c r="M190" t="s">
        <v>21</v>
      </c>
      <c r="N190">
        <v>161.56</v>
      </c>
      <c r="O190">
        <f t="shared" si="13"/>
        <v>161.56129999999999</v>
      </c>
      <c r="P190">
        <v>15994.57</v>
      </c>
      <c r="Q190">
        <f t="shared" si="14"/>
        <v>15994.57</v>
      </c>
      <c r="R190" t="s">
        <v>22</v>
      </c>
      <c r="S190">
        <v>1</v>
      </c>
      <c r="U190" s="2">
        <v>46024</v>
      </c>
      <c r="V190" s="2">
        <v>46003</v>
      </c>
      <c r="W190" t="s">
        <v>23</v>
      </c>
      <c r="X190" t="s">
        <v>23</v>
      </c>
      <c r="Y190" s="1">
        <v>45667</v>
      </c>
    </row>
    <row r="191" spans="1:25" x14ac:dyDescent="0.55000000000000004">
      <c r="A191" t="s">
        <v>24</v>
      </c>
      <c r="B191">
        <v>0</v>
      </c>
      <c r="C191">
        <v>3732</v>
      </c>
      <c r="D191">
        <v>0</v>
      </c>
      <c r="E191">
        <f t="shared" si="10"/>
        <v>0</v>
      </c>
      <c r="F191">
        <v>6510.24</v>
      </c>
      <c r="G191">
        <v>1010601</v>
      </c>
      <c r="H191">
        <v>6510.24</v>
      </c>
      <c r="I191">
        <f t="shared" si="11"/>
        <v>6510.24</v>
      </c>
      <c r="J191">
        <v>0</v>
      </c>
      <c r="K191">
        <f t="shared" si="12"/>
        <v>0</v>
      </c>
      <c r="L191">
        <v>1010601</v>
      </c>
      <c r="M191" t="s">
        <v>21</v>
      </c>
      <c r="N191">
        <v>65.099999999999994</v>
      </c>
      <c r="O191">
        <f t="shared" si="13"/>
        <v>65.102400000000003</v>
      </c>
      <c r="P191">
        <v>6445.14</v>
      </c>
      <c r="Q191">
        <f t="shared" si="14"/>
        <v>6445.1399999999994</v>
      </c>
      <c r="R191" t="s">
        <v>22</v>
      </c>
      <c r="S191">
        <v>1</v>
      </c>
      <c r="U191" s="2">
        <v>46024</v>
      </c>
      <c r="V191" s="2">
        <v>46003</v>
      </c>
      <c r="W191" t="s">
        <v>23</v>
      </c>
      <c r="X191" t="s">
        <v>23</v>
      </c>
      <c r="Y191" s="1">
        <v>45667</v>
      </c>
    </row>
    <row r="192" spans="1:25" x14ac:dyDescent="0.55000000000000004">
      <c r="A192" t="s">
        <v>20</v>
      </c>
      <c r="B192">
        <v>0.02</v>
      </c>
      <c r="C192">
        <v>3361</v>
      </c>
      <c r="D192">
        <v>4.32</v>
      </c>
      <c r="E192">
        <f t="shared" si="10"/>
        <v>4.3174000000000001</v>
      </c>
      <c r="F192">
        <v>215.87</v>
      </c>
      <c r="G192">
        <v>1010603</v>
      </c>
      <c r="H192">
        <v>211.55</v>
      </c>
      <c r="I192">
        <f t="shared" si="11"/>
        <v>211.55</v>
      </c>
      <c r="J192">
        <v>4.32</v>
      </c>
      <c r="K192">
        <f t="shared" si="12"/>
        <v>4.3174000000000001</v>
      </c>
      <c r="L192">
        <v>1010603</v>
      </c>
      <c r="M192" t="s">
        <v>21</v>
      </c>
      <c r="N192">
        <v>2.16</v>
      </c>
      <c r="O192">
        <f t="shared" si="13"/>
        <v>2.1587000000000001</v>
      </c>
      <c r="P192">
        <v>209.39</v>
      </c>
      <c r="Q192">
        <f t="shared" si="14"/>
        <v>209.39000000000001</v>
      </c>
      <c r="R192" t="s">
        <v>22</v>
      </c>
      <c r="S192">
        <v>1</v>
      </c>
      <c r="U192" s="2">
        <v>46024</v>
      </c>
      <c r="V192" s="2">
        <v>46003</v>
      </c>
      <c r="W192" t="s">
        <v>23</v>
      </c>
      <c r="X192" t="s">
        <v>23</v>
      </c>
      <c r="Y192" s="1">
        <v>45667</v>
      </c>
    </row>
    <row r="193" spans="1:25" x14ac:dyDescent="0.55000000000000004">
      <c r="A193" t="s">
        <v>20</v>
      </c>
      <c r="B193">
        <v>0.02</v>
      </c>
      <c r="C193">
        <v>3711</v>
      </c>
      <c r="D193">
        <v>3.42</v>
      </c>
      <c r="E193">
        <f t="shared" si="10"/>
        <v>3.42</v>
      </c>
      <c r="F193">
        <v>171</v>
      </c>
      <c r="G193">
        <v>1010604</v>
      </c>
      <c r="H193">
        <v>167.58</v>
      </c>
      <c r="I193">
        <f t="shared" si="11"/>
        <v>167.58</v>
      </c>
      <c r="J193">
        <v>3.42</v>
      </c>
      <c r="K193">
        <f t="shared" si="12"/>
        <v>3.42</v>
      </c>
      <c r="L193">
        <v>1010604</v>
      </c>
      <c r="M193" t="s">
        <v>21</v>
      </c>
      <c r="N193">
        <v>1.71</v>
      </c>
      <c r="O193">
        <f t="shared" si="13"/>
        <v>1.71</v>
      </c>
      <c r="P193">
        <v>165.87</v>
      </c>
      <c r="Q193">
        <f t="shared" si="14"/>
        <v>165.87</v>
      </c>
      <c r="R193" t="s">
        <v>22</v>
      </c>
      <c r="S193">
        <v>1</v>
      </c>
      <c r="U193" s="2">
        <v>46024</v>
      </c>
      <c r="V193" s="2">
        <v>46003</v>
      </c>
      <c r="W193" t="s">
        <v>23</v>
      </c>
      <c r="X193" t="s">
        <v>23</v>
      </c>
      <c r="Y193" s="1">
        <v>45667</v>
      </c>
    </row>
    <row r="194" spans="1:25" x14ac:dyDescent="0.55000000000000004">
      <c r="A194" t="s">
        <v>20</v>
      </c>
      <c r="B194">
        <v>0.02</v>
      </c>
      <c r="C194">
        <v>3781</v>
      </c>
      <c r="D194">
        <v>3.29</v>
      </c>
      <c r="E194">
        <f t="shared" si="10"/>
        <v>3.2924000000000002</v>
      </c>
      <c r="F194">
        <v>164.62</v>
      </c>
      <c r="G194">
        <v>1010605</v>
      </c>
      <c r="H194">
        <v>161.33000000000001</v>
      </c>
      <c r="I194">
        <f t="shared" si="11"/>
        <v>161.33000000000001</v>
      </c>
      <c r="J194">
        <v>3.29</v>
      </c>
      <c r="K194">
        <f t="shared" si="12"/>
        <v>3.2924000000000002</v>
      </c>
      <c r="L194">
        <v>1010605</v>
      </c>
      <c r="M194" t="s">
        <v>21</v>
      </c>
      <c r="N194">
        <v>1.65</v>
      </c>
      <c r="O194">
        <f t="shared" si="13"/>
        <v>1.6462000000000001</v>
      </c>
      <c r="P194">
        <v>159.68</v>
      </c>
      <c r="Q194">
        <f t="shared" si="14"/>
        <v>159.68</v>
      </c>
      <c r="R194" t="s">
        <v>22</v>
      </c>
      <c r="S194">
        <v>1</v>
      </c>
      <c r="U194" s="2">
        <v>46024</v>
      </c>
      <c r="V194" s="2">
        <v>46003</v>
      </c>
      <c r="W194" t="s">
        <v>23</v>
      </c>
      <c r="X194" t="s">
        <v>23</v>
      </c>
      <c r="Y194" s="1">
        <v>45667</v>
      </c>
    </row>
    <row r="195" spans="1:25" x14ac:dyDescent="0.55000000000000004">
      <c r="A195" t="s">
        <v>20</v>
      </c>
      <c r="B195">
        <v>0.02</v>
      </c>
      <c r="C195">
        <v>1720</v>
      </c>
      <c r="D195">
        <v>5.03</v>
      </c>
      <c r="E195">
        <f t="shared" ref="E195:E255" si="15">F195*B195</f>
        <v>5.03</v>
      </c>
      <c r="F195">
        <v>251.5</v>
      </c>
      <c r="G195">
        <v>1010606</v>
      </c>
      <c r="H195">
        <v>246.47</v>
      </c>
      <c r="I195">
        <f t="shared" ref="I195:I255" si="16">F195-J195</f>
        <v>246.47</v>
      </c>
      <c r="J195">
        <v>5.03</v>
      </c>
      <c r="K195">
        <f t="shared" ref="K195:K255" si="17">F195*B195</f>
        <v>5.03</v>
      </c>
      <c r="L195">
        <v>1010606</v>
      </c>
      <c r="M195" t="s">
        <v>21</v>
      </c>
      <c r="N195">
        <v>2.52</v>
      </c>
      <c r="O195">
        <f t="shared" ref="O195:O255" si="18">F195*0.01</f>
        <v>2.5150000000000001</v>
      </c>
      <c r="P195">
        <v>243.96</v>
      </c>
      <c r="Q195">
        <f t="shared" ref="Q195:Q255" si="19">F195-J195-N195</f>
        <v>243.95</v>
      </c>
      <c r="R195" t="s">
        <v>22</v>
      </c>
      <c r="S195">
        <v>1</v>
      </c>
      <c r="U195" s="2">
        <v>46024</v>
      </c>
      <c r="V195" s="2">
        <v>46003</v>
      </c>
      <c r="W195" t="s">
        <v>23</v>
      </c>
      <c r="X195" t="s">
        <v>23</v>
      </c>
      <c r="Y195" s="1">
        <v>45667</v>
      </c>
    </row>
    <row r="196" spans="1:25" x14ac:dyDescent="0.55000000000000004">
      <c r="A196" t="s">
        <v>20</v>
      </c>
      <c r="B196">
        <v>0.02</v>
      </c>
      <c r="C196">
        <v>1720</v>
      </c>
      <c r="D196">
        <v>17.37</v>
      </c>
      <c r="E196">
        <f t="shared" si="15"/>
        <v>17.374400000000001</v>
      </c>
      <c r="F196">
        <v>868.72</v>
      </c>
      <c r="G196">
        <v>1010607</v>
      </c>
      <c r="H196">
        <v>851.35</v>
      </c>
      <c r="I196">
        <f t="shared" si="16"/>
        <v>851.35</v>
      </c>
      <c r="J196">
        <v>17.37</v>
      </c>
      <c r="K196">
        <f t="shared" si="17"/>
        <v>17.374400000000001</v>
      </c>
      <c r="L196">
        <v>1010607</v>
      </c>
      <c r="M196" t="s">
        <v>21</v>
      </c>
      <c r="N196">
        <v>8.69</v>
      </c>
      <c r="O196">
        <f t="shared" si="18"/>
        <v>8.6872000000000007</v>
      </c>
      <c r="P196">
        <v>842.66</v>
      </c>
      <c r="Q196">
        <f t="shared" si="19"/>
        <v>842.66</v>
      </c>
      <c r="R196" t="s">
        <v>22</v>
      </c>
      <c r="S196">
        <v>1</v>
      </c>
      <c r="U196" s="2">
        <v>46024</v>
      </c>
      <c r="V196" s="2">
        <v>46003</v>
      </c>
      <c r="W196" t="s">
        <v>23</v>
      </c>
      <c r="X196" t="s">
        <v>23</v>
      </c>
      <c r="Y196" s="1">
        <v>45667</v>
      </c>
    </row>
    <row r="197" spans="1:25" x14ac:dyDescent="0.55000000000000004">
      <c r="A197" t="s">
        <v>20</v>
      </c>
      <c r="B197">
        <v>0.02</v>
      </c>
      <c r="C197">
        <v>1720</v>
      </c>
      <c r="D197">
        <v>0.94</v>
      </c>
      <c r="E197">
        <f t="shared" si="15"/>
        <v>0.93680000000000008</v>
      </c>
      <c r="F197">
        <v>46.84</v>
      </c>
      <c r="G197">
        <v>1010608</v>
      </c>
      <c r="H197">
        <v>45.9</v>
      </c>
      <c r="I197">
        <f t="shared" si="16"/>
        <v>45.900000000000006</v>
      </c>
      <c r="J197">
        <v>0.94</v>
      </c>
      <c r="K197">
        <f t="shared" si="17"/>
        <v>0.93680000000000008</v>
      </c>
      <c r="L197">
        <v>1010608</v>
      </c>
      <c r="M197" t="s">
        <v>21</v>
      </c>
      <c r="N197">
        <v>0.47</v>
      </c>
      <c r="O197">
        <f t="shared" si="18"/>
        <v>0.46840000000000004</v>
      </c>
      <c r="P197">
        <v>45.43</v>
      </c>
      <c r="Q197">
        <f t="shared" si="19"/>
        <v>45.430000000000007</v>
      </c>
      <c r="R197" t="s">
        <v>22</v>
      </c>
      <c r="S197">
        <v>1</v>
      </c>
      <c r="U197" s="2">
        <v>46024</v>
      </c>
      <c r="V197" s="2">
        <v>46003</v>
      </c>
      <c r="W197" t="s">
        <v>23</v>
      </c>
      <c r="X197" t="s">
        <v>23</v>
      </c>
      <c r="Y197" s="1">
        <v>45667</v>
      </c>
    </row>
    <row r="198" spans="1:25" x14ac:dyDescent="0.55000000000000004">
      <c r="A198" t="s">
        <v>20</v>
      </c>
      <c r="B198">
        <v>0.02</v>
      </c>
      <c r="C198">
        <v>3886</v>
      </c>
      <c r="D198">
        <v>6.9</v>
      </c>
      <c r="E198">
        <f t="shared" si="15"/>
        <v>6.8967999999999998</v>
      </c>
      <c r="F198">
        <v>344.84</v>
      </c>
      <c r="G198">
        <v>1010609</v>
      </c>
      <c r="H198">
        <v>337.94</v>
      </c>
      <c r="I198">
        <f t="shared" si="16"/>
        <v>337.94</v>
      </c>
      <c r="J198">
        <v>6.9</v>
      </c>
      <c r="K198">
        <f t="shared" si="17"/>
        <v>6.8967999999999998</v>
      </c>
      <c r="L198">
        <v>1010609</v>
      </c>
      <c r="M198" t="s">
        <v>21</v>
      </c>
      <c r="N198">
        <v>3.45</v>
      </c>
      <c r="O198">
        <f t="shared" si="18"/>
        <v>3.4483999999999999</v>
      </c>
      <c r="P198">
        <v>334.49</v>
      </c>
      <c r="Q198">
        <f t="shared" si="19"/>
        <v>334.49</v>
      </c>
      <c r="R198" t="s">
        <v>22</v>
      </c>
      <c r="S198">
        <v>1</v>
      </c>
      <c r="U198" s="2">
        <v>46024</v>
      </c>
      <c r="V198" s="2">
        <v>46003</v>
      </c>
      <c r="W198" t="s">
        <v>23</v>
      </c>
      <c r="X198" t="s">
        <v>23</v>
      </c>
      <c r="Y198" s="1">
        <v>45667</v>
      </c>
    </row>
    <row r="199" spans="1:25" x14ac:dyDescent="0.55000000000000004">
      <c r="A199" t="s">
        <v>20</v>
      </c>
      <c r="B199">
        <v>0.02</v>
      </c>
      <c r="C199">
        <v>3550</v>
      </c>
      <c r="D199">
        <v>22.68</v>
      </c>
      <c r="E199">
        <f t="shared" si="15"/>
        <v>22.678400000000003</v>
      </c>
      <c r="F199">
        <v>1133.92</v>
      </c>
      <c r="G199">
        <v>1010610</v>
      </c>
      <c r="H199">
        <v>1111.24</v>
      </c>
      <c r="I199">
        <f t="shared" si="16"/>
        <v>1111.24</v>
      </c>
      <c r="J199">
        <v>22.68</v>
      </c>
      <c r="K199">
        <f t="shared" si="17"/>
        <v>22.678400000000003</v>
      </c>
      <c r="L199">
        <v>1010610</v>
      </c>
      <c r="M199" t="s">
        <v>21</v>
      </c>
      <c r="N199">
        <v>11.34</v>
      </c>
      <c r="O199">
        <f t="shared" si="18"/>
        <v>11.339200000000002</v>
      </c>
      <c r="P199">
        <v>1099.9000000000001</v>
      </c>
      <c r="Q199">
        <f t="shared" si="19"/>
        <v>1099.9000000000001</v>
      </c>
      <c r="R199" t="s">
        <v>22</v>
      </c>
      <c r="S199">
        <v>1</v>
      </c>
      <c r="U199" s="2">
        <v>46024</v>
      </c>
      <c r="V199" s="2">
        <v>46003</v>
      </c>
      <c r="W199" t="s">
        <v>23</v>
      </c>
      <c r="X199" t="s">
        <v>23</v>
      </c>
      <c r="Y199" s="1">
        <v>45667</v>
      </c>
    </row>
    <row r="200" spans="1:25" x14ac:dyDescent="0.55000000000000004">
      <c r="A200" t="s">
        <v>20</v>
      </c>
      <c r="B200">
        <v>0.02</v>
      </c>
      <c r="C200">
        <v>3753</v>
      </c>
      <c r="D200">
        <v>22.68</v>
      </c>
      <c r="E200">
        <f t="shared" si="15"/>
        <v>22.678400000000003</v>
      </c>
      <c r="F200">
        <v>1133.92</v>
      </c>
      <c r="G200">
        <v>1010611</v>
      </c>
      <c r="H200">
        <v>1111.24</v>
      </c>
      <c r="I200">
        <f t="shared" si="16"/>
        <v>1111.24</v>
      </c>
      <c r="J200">
        <v>22.68</v>
      </c>
      <c r="K200">
        <f t="shared" si="17"/>
        <v>22.678400000000003</v>
      </c>
      <c r="L200">
        <v>1010611</v>
      </c>
      <c r="M200" t="s">
        <v>21</v>
      </c>
      <c r="N200">
        <v>11.34</v>
      </c>
      <c r="O200">
        <f t="shared" si="18"/>
        <v>11.339200000000002</v>
      </c>
      <c r="P200">
        <v>1099.9000000000001</v>
      </c>
      <c r="Q200">
        <f t="shared" si="19"/>
        <v>1099.9000000000001</v>
      </c>
      <c r="R200" t="s">
        <v>22</v>
      </c>
      <c r="S200">
        <v>1</v>
      </c>
      <c r="U200" s="2">
        <v>46024</v>
      </c>
      <c r="V200" s="2">
        <v>46003</v>
      </c>
      <c r="W200" t="s">
        <v>23</v>
      </c>
      <c r="X200" t="s">
        <v>23</v>
      </c>
      <c r="Y200" s="1">
        <v>45667</v>
      </c>
    </row>
    <row r="201" spans="1:25" x14ac:dyDescent="0.55000000000000004">
      <c r="A201" t="s">
        <v>20</v>
      </c>
      <c r="B201">
        <v>0.02</v>
      </c>
      <c r="C201">
        <v>3823</v>
      </c>
      <c r="D201">
        <v>1.6</v>
      </c>
      <c r="E201">
        <f t="shared" si="15"/>
        <v>1.5990000000000002</v>
      </c>
      <c r="F201">
        <v>79.95</v>
      </c>
      <c r="G201">
        <v>1010612</v>
      </c>
      <c r="H201">
        <v>78.349999999999994</v>
      </c>
      <c r="I201">
        <f t="shared" si="16"/>
        <v>78.350000000000009</v>
      </c>
      <c r="J201">
        <v>1.6</v>
      </c>
      <c r="K201">
        <f t="shared" si="17"/>
        <v>1.5990000000000002</v>
      </c>
      <c r="L201">
        <v>1010612</v>
      </c>
      <c r="M201" t="s">
        <v>21</v>
      </c>
      <c r="N201">
        <v>0.8</v>
      </c>
      <c r="O201">
        <f t="shared" si="18"/>
        <v>0.7995000000000001</v>
      </c>
      <c r="P201">
        <v>77.55</v>
      </c>
      <c r="Q201">
        <f t="shared" si="19"/>
        <v>77.550000000000011</v>
      </c>
      <c r="R201" t="s">
        <v>22</v>
      </c>
      <c r="S201">
        <v>1</v>
      </c>
      <c r="U201" s="2">
        <v>46024</v>
      </c>
      <c r="V201" s="2">
        <v>46003</v>
      </c>
      <c r="W201" t="s">
        <v>23</v>
      </c>
      <c r="X201" t="s">
        <v>23</v>
      </c>
      <c r="Y201" s="1">
        <v>45667</v>
      </c>
    </row>
    <row r="202" spans="1:25" x14ac:dyDescent="0.55000000000000004">
      <c r="A202" t="s">
        <v>20</v>
      </c>
      <c r="B202">
        <v>0.02</v>
      </c>
      <c r="C202">
        <v>1810</v>
      </c>
      <c r="D202">
        <v>3.72</v>
      </c>
      <c r="E202">
        <f t="shared" si="15"/>
        <v>3.7236000000000002</v>
      </c>
      <c r="F202">
        <v>186.18</v>
      </c>
      <c r="G202">
        <v>1010613</v>
      </c>
      <c r="H202">
        <v>182.46</v>
      </c>
      <c r="I202">
        <f t="shared" si="16"/>
        <v>182.46</v>
      </c>
      <c r="J202">
        <v>3.72</v>
      </c>
      <c r="K202">
        <f t="shared" si="17"/>
        <v>3.7236000000000002</v>
      </c>
      <c r="L202">
        <v>1010613</v>
      </c>
      <c r="M202" t="s">
        <v>21</v>
      </c>
      <c r="N202">
        <v>1.86</v>
      </c>
      <c r="O202">
        <f t="shared" si="18"/>
        <v>1.8618000000000001</v>
      </c>
      <c r="P202">
        <v>180.59</v>
      </c>
      <c r="Q202">
        <f t="shared" si="19"/>
        <v>180.6</v>
      </c>
      <c r="R202" t="s">
        <v>22</v>
      </c>
      <c r="S202">
        <v>1</v>
      </c>
      <c r="U202" s="2">
        <v>46024</v>
      </c>
      <c r="V202" s="2">
        <v>46003</v>
      </c>
      <c r="W202" t="s">
        <v>23</v>
      </c>
      <c r="X202" t="s">
        <v>23</v>
      </c>
      <c r="Y202" s="1">
        <v>45667</v>
      </c>
    </row>
    <row r="203" spans="1:25" x14ac:dyDescent="0.55000000000000004">
      <c r="A203" t="s">
        <v>25</v>
      </c>
      <c r="B203">
        <v>0.01</v>
      </c>
      <c r="C203">
        <v>3893</v>
      </c>
      <c r="D203">
        <v>31</v>
      </c>
      <c r="E203">
        <f t="shared" si="15"/>
        <v>30.999200000000002</v>
      </c>
      <c r="F203">
        <v>3099.92</v>
      </c>
      <c r="G203">
        <v>1010614</v>
      </c>
      <c r="H203">
        <v>3068.92</v>
      </c>
      <c r="I203">
        <f t="shared" si="16"/>
        <v>3068.92</v>
      </c>
      <c r="J203">
        <v>31</v>
      </c>
      <c r="K203">
        <f t="shared" si="17"/>
        <v>30.999200000000002</v>
      </c>
      <c r="L203">
        <v>1010614</v>
      </c>
      <c r="M203" t="s">
        <v>21</v>
      </c>
      <c r="N203">
        <v>31</v>
      </c>
      <c r="O203">
        <f t="shared" si="18"/>
        <v>30.999200000000002</v>
      </c>
      <c r="P203">
        <v>3037.92</v>
      </c>
      <c r="Q203">
        <f t="shared" si="19"/>
        <v>3037.92</v>
      </c>
      <c r="R203" t="s">
        <v>22</v>
      </c>
      <c r="S203">
        <v>1</v>
      </c>
      <c r="U203" s="2">
        <v>46024</v>
      </c>
      <c r="V203" s="2">
        <v>46003</v>
      </c>
      <c r="W203" t="s">
        <v>23</v>
      </c>
      <c r="X203" t="s">
        <v>23</v>
      </c>
      <c r="Y203" s="1">
        <v>45667</v>
      </c>
    </row>
    <row r="204" spans="1:25" x14ac:dyDescent="0.55000000000000004">
      <c r="A204" t="s">
        <v>25</v>
      </c>
      <c r="B204">
        <v>0.01</v>
      </c>
      <c r="C204">
        <v>3081</v>
      </c>
      <c r="D204">
        <v>23.02</v>
      </c>
      <c r="E204">
        <f t="shared" si="15"/>
        <v>23.0169</v>
      </c>
      <c r="F204">
        <v>2301.69</v>
      </c>
      <c r="G204">
        <v>1010615</v>
      </c>
      <c r="H204">
        <v>2278.67</v>
      </c>
      <c r="I204">
        <f t="shared" si="16"/>
        <v>2278.67</v>
      </c>
      <c r="J204">
        <v>23.02</v>
      </c>
      <c r="K204">
        <f t="shared" si="17"/>
        <v>23.0169</v>
      </c>
      <c r="L204">
        <v>1010615</v>
      </c>
      <c r="M204" t="s">
        <v>21</v>
      </c>
      <c r="N204">
        <v>23.02</v>
      </c>
      <c r="O204">
        <f t="shared" si="18"/>
        <v>23.0169</v>
      </c>
      <c r="P204">
        <v>2255.66</v>
      </c>
      <c r="Q204">
        <f t="shared" si="19"/>
        <v>2255.65</v>
      </c>
      <c r="R204" t="s">
        <v>22</v>
      </c>
      <c r="S204">
        <v>1</v>
      </c>
      <c r="U204" s="2">
        <v>46024</v>
      </c>
      <c r="V204" s="2">
        <v>46003</v>
      </c>
      <c r="W204" t="s">
        <v>23</v>
      </c>
      <c r="X204" t="s">
        <v>23</v>
      </c>
      <c r="Y204" s="1">
        <v>45667</v>
      </c>
    </row>
    <row r="205" spans="1:25" x14ac:dyDescent="0.55000000000000004">
      <c r="A205" t="s">
        <v>25</v>
      </c>
      <c r="B205">
        <v>0.01</v>
      </c>
      <c r="C205">
        <v>1810</v>
      </c>
      <c r="D205">
        <v>60.29</v>
      </c>
      <c r="E205">
        <f t="shared" si="15"/>
        <v>60.291200000000003</v>
      </c>
      <c r="F205">
        <v>6029.12</v>
      </c>
      <c r="G205">
        <v>1010616</v>
      </c>
      <c r="H205">
        <v>5968.83</v>
      </c>
      <c r="I205">
        <f t="shared" si="16"/>
        <v>5968.83</v>
      </c>
      <c r="J205">
        <v>60.29</v>
      </c>
      <c r="K205">
        <f t="shared" si="17"/>
        <v>60.291200000000003</v>
      </c>
      <c r="L205">
        <v>1010616</v>
      </c>
      <c r="M205" t="s">
        <v>21</v>
      </c>
      <c r="N205">
        <v>60.29</v>
      </c>
      <c r="O205">
        <f t="shared" si="18"/>
        <v>60.291200000000003</v>
      </c>
      <c r="P205">
        <v>5908.54</v>
      </c>
      <c r="Q205">
        <f t="shared" si="19"/>
        <v>5908.54</v>
      </c>
      <c r="R205" t="s">
        <v>22</v>
      </c>
      <c r="S205">
        <v>1</v>
      </c>
      <c r="U205" s="2">
        <v>46024</v>
      </c>
      <c r="V205" s="2">
        <v>46003</v>
      </c>
      <c r="W205" t="s">
        <v>23</v>
      </c>
      <c r="X205" t="s">
        <v>23</v>
      </c>
      <c r="Y205" s="1">
        <v>45667</v>
      </c>
    </row>
    <row r="206" spans="1:25" x14ac:dyDescent="0.55000000000000004">
      <c r="A206" t="s">
        <v>25</v>
      </c>
      <c r="B206">
        <v>0.01</v>
      </c>
      <c r="C206">
        <v>1810</v>
      </c>
      <c r="D206">
        <v>6.11</v>
      </c>
      <c r="E206">
        <f t="shared" si="15"/>
        <v>6.1105</v>
      </c>
      <c r="F206">
        <v>611.04999999999995</v>
      </c>
      <c r="G206">
        <v>1010617</v>
      </c>
      <c r="H206">
        <v>604.94000000000005</v>
      </c>
      <c r="I206">
        <f t="shared" si="16"/>
        <v>604.93999999999994</v>
      </c>
      <c r="J206">
        <v>6.11</v>
      </c>
      <c r="K206">
        <f t="shared" si="17"/>
        <v>6.1105</v>
      </c>
      <c r="L206">
        <v>1010617</v>
      </c>
      <c r="M206" t="s">
        <v>21</v>
      </c>
      <c r="N206">
        <v>6.11</v>
      </c>
      <c r="O206">
        <f t="shared" si="18"/>
        <v>6.1105</v>
      </c>
      <c r="P206">
        <v>598.83000000000004</v>
      </c>
      <c r="Q206">
        <f t="shared" si="19"/>
        <v>598.82999999999993</v>
      </c>
      <c r="R206" t="s">
        <v>22</v>
      </c>
      <c r="S206">
        <v>1</v>
      </c>
      <c r="U206" s="2">
        <v>46024</v>
      </c>
      <c r="V206" s="2">
        <v>46003</v>
      </c>
      <c r="W206" t="s">
        <v>23</v>
      </c>
      <c r="X206" t="s">
        <v>23</v>
      </c>
      <c r="Y206" s="1">
        <v>45667</v>
      </c>
    </row>
    <row r="207" spans="1:25" x14ac:dyDescent="0.55000000000000004">
      <c r="A207" t="s">
        <v>25</v>
      </c>
      <c r="B207">
        <v>0.01</v>
      </c>
      <c r="C207">
        <v>3074</v>
      </c>
      <c r="D207">
        <v>0.1</v>
      </c>
      <c r="E207">
        <f t="shared" si="15"/>
        <v>9.9000000000000005E-2</v>
      </c>
      <c r="F207">
        <v>9.9</v>
      </c>
      <c r="G207">
        <v>1010618</v>
      </c>
      <c r="H207">
        <v>9.8000000000000007</v>
      </c>
      <c r="I207">
        <f t="shared" si="16"/>
        <v>9.8000000000000007</v>
      </c>
      <c r="J207">
        <v>0.1</v>
      </c>
      <c r="K207">
        <f t="shared" si="17"/>
        <v>9.9000000000000005E-2</v>
      </c>
      <c r="L207">
        <v>1010618</v>
      </c>
      <c r="M207" t="s">
        <v>21</v>
      </c>
      <c r="N207">
        <v>0.1</v>
      </c>
      <c r="O207">
        <f t="shared" si="18"/>
        <v>9.9000000000000005E-2</v>
      </c>
      <c r="P207">
        <v>9.6999999999999993</v>
      </c>
      <c r="Q207">
        <f t="shared" si="19"/>
        <v>9.7000000000000011</v>
      </c>
      <c r="R207" t="s">
        <v>22</v>
      </c>
      <c r="S207">
        <v>1</v>
      </c>
      <c r="U207" s="2">
        <v>46024</v>
      </c>
      <c r="V207" s="2">
        <v>46003</v>
      </c>
      <c r="W207" t="s">
        <v>23</v>
      </c>
      <c r="X207" t="s">
        <v>23</v>
      </c>
      <c r="Y207" s="1">
        <v>45667</v>
      </c>
    </row>
    <row r="208" spans="1:25" x14ac:dyDescent="0.55000000000000004">
      <c r="A208" t="s">
        <v>20</v>
      </c>
      <c r="B208">
        <v>0.02</v>
      </c>
      <c r="C208">
        <v>2941</v>
      </c>
      <c r="D208">
        <v>3.01</v>
      </c>
      <c r="E208">
        <f t="shared" si="15"/>
        <v>3.0095999999999998</v>
      </c>
      <c r="F208">
        <v>150.47999999999999</v>
      </c>
      <c r="G208">
        <v>1010619</v>
      </c>
      <c r="H208">
        <v>147.47</v>
      </c>
      <c r="I208">
        <f t="shared" si="16"/>
        <v>147.47</v>
      </c>
      <c r="J208">
        <v>3.01</v>
      </c>
      <c r="K208">
        <f t="shared" si="17"/>
        <v>3.0095999999999998</v>
      </c>
      <c r="L208">
        <v>1010619</v>
      </c>
      <c r="M208" t="s">
        <v>21</v>
      </c>
      <c r="N208">
        <v>1.5</v>
      </c>
      <c r="O208">
        <f t="shared" si="18"/>
        <v>1.5047999999999999</v>
      </c>
      <c r="P208">
        <v>145.97</v>
      </c>
      <c r="Q208">
        <f t="shared" si="19"/>
        <v>145.97</v>
      </c>
      <c r="R208" t="s">
        <v>22</v>
      </c>
      <c r="S208">
        <v>1</v>
      </c>
      <c r="U208" s="2">
        <v>46024</v>
      </c>
      <c r="V208" s="2">
        <v>46003</v>
      </c>
      <c r="W208" t="s">
        <v>23</v>
      </c>
      <c r="X208" t="s">
        <v>23</v>
      </c>
      <c r="Y208" s="1">
        <v>45667</v>
      </c>
    </row>
    <row r="209" spans="1:25" x14ac:dyDescent="0.55000000000000004">
      <c r="A209" t="s">
        <v>24</v>
      </c>
      <c r="B209">
        <v>0</v>
      </c>
      <c r="C209">
        <v>3151</v>
      </c>
      <c r="D209">
        <v>0</v>
      </c>
      <c r="E209">
        <f t="shared" si="15"/>
        <v>0</v>
      </c>
      <c r="F209">
        <v>208.05</v>
      </c>
      <c r="G209">
        <v>1010620</v>
      </c>
      <c r="H209">
        <v>208.05</v>
      </c>
      <c r="I209">
        <f t="shared" si="16"/>
        <v>208.05</v>
      </c>
      <c r="J209">
        <v>0</v>
      </c>
      <c r="K209">
        <f t="shared" si="17"/>
        <v>0</v>
      </c>
      <c r="L209">
        <v>1010620</v>
      </c>
      <c r="M209" t="s">
        <v>21</v>
      </c>
      <c r="N209">
        <v>2.08</v>
      </c>
      <c r="O209">
        <f t="shared" si="18"/>
        <v>2.0805000000000002</v>
      </c>
      <c r="P209">
        <v>205.97</v>
      </c>
      <c r="Q209">
        <f t="shared" si="19"/>
        <v>205.97</v>
      </c>
      <c r="R209" t="s">
        <v>22</v>
      </c>
      <c r="S209">
        <v>1</v>
      </c>
      <c r="U209" s="2">
        <v>46024</v>
      </c>
      <c r="V209" s="2">
        <v>46003</v>
      </c>
      <c r="W209" t="s">
        <v>23</v>
      </c>
      <c r="X209" t="s">
        <v>23</v>
      </c>
      <c r="Y209" s="1">
        <v>45667</v>
      </c>
    </row>
    <row r="210" spans="1:25" x14ac:dyDescent="0.55000000000000004">
      <c r="A210" t="s">
        <v>20</v>
      </c>
      <c r="B210">
        <v>0.02</v>
      </c>
      <c r="C210">
        <v>3403</v>
      </c>
      <c r="D210">
        <v>1.96</v>
      </c>
      <c r="E210">
        <f t="shared" si="15"/>
        <v>1.9563999999999999</v>
      </c>
      <c r="F210">
        <v>97.82</v>
      </c>
      <c r="G210">
        <v>1010621</v>
      </c>
      <c r="H210">
        <v>95.86</v>
      </c>
      <c r="I210">
        <f t="shared" si="16"/>
        <v>95.86</v>
      </c>
      <c r="J210">
        <v>1.96</v>
      </c>
      <c r="K210">
        <f t="shared" si="17"/>
        <v>1.9563999999999999</v>
      </c>
      <c r="L210">
        <v>1010621</v>
      </c>
      <c r="M210" t="s">
        <v>21</v>
      </c>
      <c r="N210">
        <v>0.98</v>
      </c>
      <c r="O210">
        <f t="shared" si="18"/>
        <v>0.97819999999999996</v>
      </c>
      <c r="P210">
        <v>94.89</v>
      </c>
      <c r="Q210">
        <f t="shared" si="19"/>
        <v>94.88</v>
      </c>
      <c r="R210" t="s">
        <v>22</v>
      </c>
      <c r="S210">
        <v>1</v>
      </c>
      <c r="U210" s="2">
        <v>46024</v>
      </c>
      <c r="V210" s="2">
        <v>46003</v>
      </c>
      <c r="W210" t="s">
        <v>23</v>
      </c>
      <c r="X210" t="s">
        <v>23</v>
      </c>
      <c r="Y210" s="1">
        <v>45667</v>
      </c>
    </row>
    <row r="211" spans="1:25" x14ac:dyDescent="0.55000000000000004">
      <c r="A211" t="s">
        <v>20</v>
      </c>
      <c r="B211">
        <v>0.02</v>
      </c>
      <c r="C211">
        <v>3403</v>
      </c>
      <c r="D211">
        <v>3.92</v>
      </c>
      <c r="E211">
        <f t="shared" si="15"/>
        <v>3.9169999999999998</v>
      </c>
      <c r="F211">
        <v>195.85</v>
      </c>
      <c r="G211">
        <v>1010622</v>
      </c>
      <c r="H211">
        <v>191.93</v>
      </c>
      <c r="I211">
        <f t="shared" si="16"/>
        <v>191.93</v>
      </c>
      <c r="J211">
        <v>3.92</v>
      </c>
      <c r="K211">
        <f t="shared" si="17"/>
        <v>3.9169999999999998</v>
      </c>
      <c r="L211">
        <v>1010622</v>
      </c>
      <c r="M211" t="s">
        <v>21</v>
      </c>
      <c r="N211">
        <v>1.96</v>
      </c>
      <c r="O211">
        <f t="shared" si="18"/>
        <v>1.9584999999999999</v>
      </c>
      <c r="P211">
        <v>189.97</v>
      </c>
      <c r="Q211">
        <f t="shared" si="19"/>
        <v>189.97</v>
      </c>
      <c r="R211" t="s">
        <v>22</v>
      </c>
      <c r="S211">
        <v>1</v>
      </c>
      <c r="U211" s="2">
        <v>46024</v>
      </c>
      <c r="V211" s="2">
        <v>46003</v>
      </c>
      <c r="W211" t="s">
        <v>23</v>
      </c>
      <c r="X211" t="s">
        <v>23</v>
      </c>
      <c r="Y211" s="1">
        <v>45667</v>
      </c>
    </row>
    <row r="212" spans="1:25" x14ac:dyDescent="0.55000000000000004">
      <c r="A212" t="s">
        <v>20</v>
      </c>
      <c r="B212">
        <v>0.02</v>
      </c>
      <c r="C212">
        <v>3039</v>
      </c>
      <c r="D212">
        <v>6.09</v>
      </c>
      <c r="E212">
        <f t="shared" si="15"/>
        <v>6.0924000000000005</v>
      </c>
      <c r="F212">
        <v>304.62</v>
      </c>
      <c r="G212">
        <v>1010623</v>
      </c>
      <c r="H212">
        <v>298.52999999999997</v>
      </c>
      <c r="I212">
        <f t="shared" si="16"/>
        <v>298.53000000000003</v>
      </c>
      <c r="J212">
        <v>6.09</v>
      </c>
      <c r="K212">
        <f t="shared" si="17"/>
        <v>6.0924000000000005</v>
      </c>
      <c r="L212">
        <v>1010623</v>
      </c>
      <c r="M212" t="s">
        <v>21</v>
      </c>
      <c r="N212">
        <v>3.05</v>
      </c>
      <c r="O212">
        <f t="shared" si="18"/>
        <v>3.0462000000000002</v>
      </c>
      <c r="P212">
        <v>295.48</v>
      </c>
      <c r="Q212">
        <f t="shared" si="19"/>
        <v>295.48</v>
      </c>
      <c r="R212" t="s">
        <v>22</v>
      </c>
      <c r="S212">
        <v>1</v>
      </c>
      <c r="U212" s="2">
        <v>46024</v>
      </c>
      <c r="V212" s="2">
        <v>46003</v>
      </c>
      <c r="W212" t="s">
        <v>23</v>
      </c>
      <c r="X212" t="s">
        <v>23</v>
      </c>
      <c r="Y212" s="1">
        <v>45667</v>
      </c>
    </row>
    <row r="213" spans="1:25" x14ac:dyDescent="0.55000000000000004">
      <c r="A213" t="s">
        <v>27</v>
      </c>
      <c r="B213">
        <v>0.01</v>
      </c>
      <c r="C213">
        <v>2780</v>
      </c>
      <c r="D213">
        <v>68.31</v>
      </c>
      <c r="E213">
        <f t="shared" si="15"/>
        <v>68.313599999999994</v>
      </c>
      <c r="F213">
        <v>6831.36</v>
      </c>
      <c r="G213">
        <v>1012978</v>
      </c>
      <c r="H213">
        <v>6763.05</v>
      </c>
      <c r="I213">
        <f t="shared" si="16"/>
        <v>6763.0499999999993</v>
      </c>
      <c r="J213">
        <v>68.31</v>
      </c>
      <c r="K213">
        <f t="shared" si="17"/>
        <v>68.313599999999994</v>
      </c>
      <c r="L213">
        <v>1012978</v>
      </c>
      <c r="M213" t="s">
        <v>21</v>
      </c>
      <c r="N213">
        <v>68.31</v>
      </c>
      <c r="O213">
        <f t="shared" si="18"/>
        <v>68.313599999999994</v>
      </c>
      <c r="P213">
        <v>6694.73</v>
      </c>
      <c r="Q213">
        <f t="shared" si="19"/>
        <v>6694.7399999999989</v>
      </c>
      <c r="R213" t="s">
        <v>22</v>
      </c>
      <c r="S213">
        <v>1</v>
      </c>
      <c r="U213" s="2">
        <v>46024</v>
      </c>
      <c r="V213" s="2">
        <v>46017</v>
      </c>
      <c r="W213" t="s">
        <v>23</v>
      </c>
      <c r="X213" t="s">
        <v>23</v>
      </c>
      <c r="Y213" s="1">
        <v>45698</v>
      </c>
    </row>
    <row r="214" spans="1:25" x14ac:dyDescent="0.55000000000000004">
      <c r="A214" t="s">
        <v>27</v>
      </c>
      <c r="B214">
        <v>0.01</v>
      </c>
      <c r="C214">
        <v>3249</v>
      </c>
      <c r="D214">
        <v>64.8</v>
      </c>
      <c r="E214">
        <f t="shared" si="15"/>
        <v>64.796000000000006</v>
      </c>
      <c r="F214">
        <v>6479.6</v>
      </c>
      <c r="G214">
        <v>1012979</v>
      </c>
      <c r="H214">
        <v>6414.8</v>
      </c>
      <c r="I214">
        <f t="shared" si="16"/>
        <v>6414.8</v>
      </c>
      <c r="J214">
        <v>64.8</v>
      </c>
      <c r="K214">
        <f t="shared" si="17"/>
        <v>64.796000000000006</v>
      </c>
      <c r="L214">
        <v>1012979</v>
      </c>
      <c r="M214" t="s">
        <v>21</v>
      </c>
      <c r="N214">
        <v>64.8</v>
      </c>
      <c r="O214">
        <f t="shared" si="18"/>
        <v>64.796000000000006</v>
      </c>
      <c r="P214">
        <v>6350.01</v>
      </c>
      <c r="Q214">
        <f t="shared" si="19"/>
        <v>6350</v>
      </c>
      <c r="R214" t="s">
        <v>22</v>
      </c>
      <c r="S214">
        <v>1</v>
      </c>
      <c r="U214" s="2">
        <v>46024</v>
      </c>
      <c r="V214" s="2">
        <v>46017</v>
      </c>
      <c r="W214" t="s">
        <v>23</v>
      </c>
      <c r="X214" t="s">
        <v>23</v>
      </c>
      <c r="Y214" s="1">
        <v>45698</v>
      </c>
    </row>
    <row r="215" spans="1:25" x14ac:dyDescent="0.55000000000000004">
      <c r="A215" t="s">
        <v>27</v>
      </c>
      <c r="B215">
        <v>0.01</v>
      </c>
      <c r="C215">
        <v>3858</v>
      </c>
      <c r="D215">
        <v>22.99</v>
      </c>
      <c r="E215">
        <f t="shared" si="15"/>
        <v>22.987500000000001</v>
      </c>
      <c r="F215">
        <v>2298.75</v>
      </c>
      <c r="G215">
        <v>1012980</v>
      </c>
      <c r="H215">
        <v>2275.7600000000002</v>
      </c>
      <c r="I215">
        <f t="shared" si="16"/>
        <v>2275.7600000000002</v>
      </c>
      <c r="J215">
        <v>22.99</v>
      </c>
      <c r="K215">
        <f t="shared" si="17"/>
        <v>22.987500000000001</v>
      </c>
      <c r="L215">
        <v>1012980</v>
      </c>
      <c r="M215" t="s">
        <v>21</v>
      </c>
      <c r="N215">
        <v>22.99</v>
      </c>
      <c r="O215">
        <f t="shared" si="18"/>
        <v>22.987500000000001</v>
      </c>
      <c r="P215">
        <v>2252.77</v>
      </c>
      <c r="Q215">
        <f t="shared" si="19"/>
        <v>2252.7700000000004</v>
      </c>
      <c r="R215" t="s">
        <v>22</v>
      </c>
      <c r="S215">
        <v>1</v>
      </c>
      <c r="U215" s="2">
        <v>46024</v>
      </c>
      <c r="V215" s="2">
        <v>46017</v>
      </c>
      <c r="W215" t="s">
        <v>23</v>
      </c>
      <c r="X215" t="s">
        <v>23</v>
      </c>
      <c r="Y215" s="1">
        <v>45698</v>
      </c>
    </row>
    <row r="216" spans="1:25" x14ac:dyDescent="0.55000000000000004">
      <c r="A216" t="s">
        <v>27</v>
      </c>
      <c r="B216">
        <v>0.01</v>
      </c>
      <c r="C216">
        <v>3305</v>
      </c>
      <c r="D216">
        <v>15.92</v>
      </c>
      <c r="E216">
        <f t="shared" si="15"/>
        <v>15.9162</v>
      </c>
      <c r="F216">
        <v>1591.62</v>
      </c>
      <c r="G216">
        <v>1012981</v>
      </c>
      <c r="H216">
        <v>1575.7</v>
      </c>
      <c r="I216">
        <f t="shared" si="16"/>
        <v>1575.6999999999998</v>
      </c>
      <c r="J216">
        <v>15.92</v>
      </c>
      <c r="K216">
        <f t="shared" si="17"/>
        <v>15.9162</v>
      </c>
      <c r="L216">
        <v>1012981</v>
      </c>
      <c r="M216" t="s">
        <v>21</v>
      </c>
      <c r="N216">
        <v>15.92</v>
      </c>
      <c r="O216">
        <f t="shared" si="18"/>
        <v>15.9162</v>
      </c>
      <c r="P216">
        <v>1559.79</v>
      </c>
      <c r="Q216">
        <f t="shared" si="19"/>
        <v>1559.7799999999997</v>
      </c>
      <c r="R216" t="s">
        <v>22</v>
      </c>
      <c r="S216">
        <v>1</v>
      </c>
      <c r="U216" s="2">
        <v>46024</v>
      </c>
      <c r="V216" s="2">
        <v>46017</v>
      </c>
      <c r="W216" t="s">
        <v>23</v>
      </c>
      <c r="X216" t="s">
        <v>23</v>
      </c>
      <c r="Y216" s="1">
        <v>45698</v>
      </c>
    </row>
    <row r="217" spans="1:25" x14ac:dyDescent="0.55000000000000004">
      <c r="A217" t="s">
        <v>28</v>
      </c>
      <c r="B217">
        <v>0</v>
      </c>
      <c r="C217">
        <v>3410</v>
      </c>
      <c r="D217">
        <v>0</v>
      </c>
      <c r="E217">
        <f t="shared" si="15"/>
        <v>0</v>
      </c>
      <c r="F217">
        <v>131.68</v>
      </c>
      <c r="G217">
        <v>1012982</v>
      </c>
      <c r="H217">
        <v>131.68</v>
      </c>
      <c r="I217">
        <f t="shared" si="16"/>
        <v>131.68</v>
      </c>
      <c r="J217">
        <v>0</v>
      </c>
      <c r="K217">
        <f t="shared" si="17"/>
        <v>0</v>
      </c>
      <c r="L217">
        <v>1012982</v>
      </c>
      <c r="M217" t="s">
        <v>21</v>
      </c>
      <c r="N217">
        <v>1.32</v>
      </c>
      <c r="O217">
        <f t="shared" si="18"/>
        <v>1.3168000000000002</v>
      </c>
      <c r="P217">
        <v>130.36000000000001</v>
      </c>
      <c r="Q217">
        <f t="shared" si="19"/>
        <v>130.36000000000001</v>
      </c>
      <c r="R217" t="s">
        <v>22</v>
      </c>
      <c r="S217">
        <v>1</v>
      </c>
      <c r="U217" s="2">
        <v>46024</v>
      </c>
      <c r="V217" s="2">
        <v>46017</v>
      </c>
      <c r="W217" t="s">
        <v>23</v>
      </c>
      <c r="X217" t="s">
        <v>23</v>
      </c>
      <c r="Y217" s="1">
        <v>45698</v>
      </c>
    </row>
    <row r="218" spans="1:25" x14ac:dyDescent="0.55000000000000004">
      <c r="A218" t="s">
        <v>29</v>
      </c>
      <c r="B218">
        <v>0.02</v>
      </c>
      <c r="C218">
        <v>3578</v>
      </c>
      <c r="D218">
        <v>5.86</v>
      </c>
      <c r="E218">
        <f t="shared" si="15"/>
        <v>5.8553999999999995</v>
      </c>
      <c r="F218">
        <v>292.77</v>
      </c>
      <c r="G218">
        <v>1012983</v>
      </c>
      <c r="H218">
        <v>286.91000000000003</v>
      </c>
      <c r="I218">
        <f t="shared" si="16"/>
        <v>286.90999999999997</v>
      </c>
      <c r="J218">
        <v>5.86</v>
      </c>
      <c r="K218">
        <f t="shared" si="17"/>
        <v>5.8553999999999995</v>
      </c>
      <c r="L218">
        <v>1012983</v>
      </c>
      <c r="M218" t="s">
        <v>21</v>
      </c>
      <c r="N218">
        <v>2.93</v>
      </c>
      <c r="O218">
        <f t="shared" si="18"/>
        <v>2.9276999999999997</v>
      </c>
      <c r="P218">
        <v>283.99</v>
      </c>
      <c r="Q218">
        <f t="shared" si="19"/>
        <v>283.97999999999996</v>
      </c>
      <c r="R218" t="s">
        <v>22</v>
      </c>
      <c r="S218">
        <v>1</v>
      </c>
      <c r="U218" s="2">
        <v>46024</v>
      </c>
      <c r="V218" s="2">
        <v>46017</v>
      </c>
      <c r="W218" t="s">
        <v>23</v>
      </c>
      <c r="X218" t="s">
        <v>23</v>
      </c>
      <c r="Y218" s="1">
        <v>45698</v>
      </c>
    </row>
    <row r="219" spans="1:25" x14ac:dyDescent="0.55000000000000004">
      <c r="A219" t="s">
        <v>28</v>
      </c>
      <c r="B219">
        <v>0</v>
      </c>
      <c r="C219">
        <v>3592</v>
      </c>
      <c r="D219">
        <v>0</v>
      </c>
      <c r="E219">
        <f t="shared" si="15"/>
        <v>0</v>
      </c>
      <c r="F219">
        <v>15675.5</v>
      </c>
      <c r="G219">
        <v>1012984</v>
      </c>
      <c r="H219">
        <v>15675.5</v>
      </c>
      <c r="I219">
        <f t="shared" si="16"/>
        <v>15675.5</v>
      </c>
      <c r="J219">
        <v>0</v>
      </c>
      <c r="K219">
        <f t="shared" si="17"/>
        <v>0</v>
      </c>
      <c r="L219">
        <v>1012984</v>
      </c>
      <c r="M219" t="s">
        <v>21</v>
      </c>
      <c r="N219">
        <v>156.75</v>
      </c>
      <c r="O219">
        <f t="shared" si="18"/>
        <v>156.755</v>
      </c>
      <c r="P219">
        <v>15518.75</v>
      </c>
      <c r="Q219">
        <f t="shared" si="19"/>
        <v>15518.75</v>
      </c>
      <c r="R219" t="s">
        <v>22</v>
      </c>
      <c r="S219">
        <v>1</v>
      </c>
      <c r="U219" s="2">
        <v>46024</v>
      </c>
      <c r="V219" s="2">
        <v>46017</v>
      </c>
      <c r="W219" t="s">
        <v>23</v>
      </c>
      <c r="X219" t="s">
        <v>23</v>
      </c>
      <c r="Y219" s="1">
        <v>45698</v>
      </c>
    </row>
    <row r="220" spans="1:25" x14ac:dyDescent="0.55000000000000004">
      <c r="A220" t="s">
        <v>28</v>
      </c>
      <c r="B220">
        <v>0</v>
      </c>
      <c r="C220">
        <v>3529</v>
      </c>
      <c r="D220">
        <v>0</v>
      </c>
      <c r="E220">
        <f t="shared" si="15"/>
        <v>0</v>
      </c>
      <c r="F220">
        <v>2118.4</v>
      </c>
      <c r="G220">
        <v>1012985</v>
      </c>
      <c r="H220">
        <v>2118.4</v>
      </c>
      <c r="I220">
        <f t="shared" si="16"/>
        <v>2118.4</v>
      </c>
      <c r="J220">
        <v>0</v>
      </c>
      <c r="K220">
        <f t="shared" si="17"/>
        <v>0</v>
      </c>
      <c r="L220">
        <v>1012985</v>
      </c>
      <c r="M220" t="s">
        <v>21</v>
      </c>
      <c r="N220">
        <v>21.18</v>
      </c>
      <c r="O220">
        <f t="shared" si="18"/>
        <v>21.184000000000001</v>
      </c>
      <c r="P220">
        <v>2097.2199999999998</v>
      </c>
      <c r="Q220">
        <f t="shared" si="19"/>
        <v>2097.2200000000003</v>
      </c>
      <c r="R220" t="s">
        <v>22</v>
      </c>
      <c r="S220">
        <v>1</v>
      </c>
      <c r="U220" s="2">
        <v>46024</v>
      </c>
      <c r="V220" s="2">
        <v>46017</v>
      </c>
      <c r="W220" t="s">
        <v>23</v>
      </c>
      <c r="X220" t="s">
        <v>23</v>
      </c>
      <c r="Y220" s="1">
        <v>45698</v>
      </c>
    </row>
    <row r="221" spans="1:25" x14ac:dyDescent="0.55000000000000004">
      <c r="A221" t="s">
        <v>27</v>
      </c>
      <c r="B221">
        <v>0.01</v>
      </c>
      <c r="C221">
        <v>3865</v>
      </c>
      <c r="D221">
        <v>22.46</v>
      </c>
      <c r="E221">
        <f t="shared" si="15"/>
        <v>22.464200000000002</v>
      </c>
      <c r="F221">
        <v>2246.42</v>
      </c>
      <c r="G221">
        <v>1012989</v>
      </c>
      <c r="H221">
        <v>2223.96</v>
      </c>
      <c r="I221">
        <f t="shared" si="16"/>
        <v>2223.96</v>
      </c>
      <c r="J221">
        <v>22.46</v>
      </c>
      <c r="K221">
        <f t="shared" si="17"/>
        <v>22.464200000000002</v>
      </c>
      <c r="L221">
        <v>1012989</v>
      </c>
      <c r="M221" t="s">
        <v>21</v>
      </c>
      <c r="N221">
        <v>22.46</v>
      </c>
      <c r="O221">
        <f t="shared" si="18"/>
        <v>22.464200000000002</v>
      </c>
      <c r="P221">
        <v>2201.4899999999998</v>
      </c>
      <c r="Q221">
        <f t="shared" si="19"/>
        <v>2201.5</v>
      </c>
      <c r="R221" t="s">
        <v>22</v>
      </c>
      <c r="S221">
        <v>1</v>
      </c>
      <c r="U221" s="2">
        <v>46024</v>
      </c>
      <c r="V221" s="2">
        <v>46017</v>
      </c>
      <c r="W221" t="s">
        <v>23</v>
      </c>
      <c r="X221" t="s">
        <v>23</v>
      </c>
      <c r="Y221" s="1">
        <v>45698</v>
      </c>
    </row>
    <row r="222" spans="1:25" x14ac:dyDescent="0.55000000000000004">
      <c r="A222" t="s">
        <v>27</v>
      </c>
      <c r="B222">
        <v>0.01</v>
      </c>
      <c r="C222">
        <v>1810</v>
      </c>
      <c r="D222">
        <v>56.92</v>
      </c>
      <c r="E222">
        <f t="shared" si="15"/>
        <v>56.9176</v>
      </c>
      <c r="F222">
        <v>5691.76</v>
      </c>
      <c r="G222">
        <v>1012990</v>
      </c>
      <c r="H222">
        <v>5634.84</v>
      </c>
      <c r="I222">
        <f t="shared" si="16"/>
        <v>5634.84</v>
      </c>
      <c r="J222">
        <v>56.92</v>
      </c>
      <c r="K222">
        <f t="shared" si="17"/>
        <v>56.9176</v>
      </c>
      <c r="L222">
        <v>1012990</v>
      </c>
      <c r="M222" t="s">
        <v>21</v>
      </c>
      <c r="N222">
        <v>56.92</v>
      </c>
      <c r="O222">
        <f t="shared" si="18"/>
        <v>56.9176</v>
      </c>
      <c r="P222">
        <v>5577.92</v>
      </c>
      <c r="Q222">
        <f t="shared" si="19"/>
        <v>5577.92</v>
      </c>
      <c r="R222" t="s">
        <v>22</v>
      </c>
      <c r="S222">
        <v>1</v>
      </c>
      <c r="U222" s="2">
        <v>46024</v>
      </c>
      <c r="V222" s="2">
        <v>46017</v>
      </c>
      <c r="W222" t="s">
        <v>23</v>
      </c>
      <c r="X222" t="s">
        <v>23</v>
      </c>
      <c r="Y222" s="1">
        <v>45698</v>
      </c>
    </row>
    <row r="223" spans="1:25" x14ac:dyDescent="0.55000000000000004">
      <c r="A223" t="s">
        <v>27</v>
      </c>
      <c r="B223">
        <v>0.01</v>
      </c>
      <c r="C223">
        <v>2626</v>
      </c>
      <c r="D223">
        <v>21.87</v>
      </c>
      <c r="E223">
        <f t="shared" si="15"/>
        <v>21.871500000000001</v>
      </c>
      <c r="F223">
        <v>2187.15</v>
      </c>
      <c r="G223">
        <v>1012991</v>
      </c>
      <c r="H223">
        <v>2165.2800000000002</v>
      </c>
      <c r="I223">
        <f t="shared" si="16"/>
        <v>2165.2800000000002</v>
      </c>
      <c r="J223">
        <v>21.87</v>
      </c>
      <c r="K223">
        <f t="shared" si="17"/>
        <v>21.871500000000001</v>
      </c>
      <c r="L223">
        <v>1012991</v>
      </c>
      <c r="M223" t="s">
        <v>21</v>
      </c>
      <c r="N223">
        <v>21.87</v>
      </c>
      <c r="O223">
        <f t="shared" si="18"/>
        <v>21.871500000000001</v>
      </c>
      <c r="P223">
        <v>2143.41</v>
      </c>
      <c r="Q223">
        <f t="shared" si="19"/>
        <v>2143.4100000000003</v>
      </c>
      <c r="R223" t="s">
        <v>22</v>
      </c>
      <c r="S223">
        <v>1</v>
      </c>
      <c r="U223" s="2">
        <v>46024</v>
      </c>
      <c r="V223" s="2">
        <v>46017</v>
      </c>
      <c r="W223" t="s">
        <v>23</v>
      </c>
      <c r="X223" t="s">
        <v>23</v>
      </c>
      <c r="Y223" s="1">
        <v>45698</v>
      </c>
    </row>
    <row r="224" spans="1:25" x14ac:dyDescent="0.55000000000000004">
      <c r="A224" t="s">
        <v>27</v>
      </c>
      <c r="B224">
        <v>0.01</v>
      </c>
      <c r="C224">
        <v>3746</v>
      </c>
      <c r="D224">
        <v>18.84</v>
      </c>
      <c r="E224">
        <f t="shared" si="15"/>
        <v>18.836400000000001</v>
      </c>
      <c r="F224">
        <v>1883.64</v>
      </c>
      <c r="G224">
        <v>1012992</v>
      </c>
      <c r="H224">
        <v>1864.8</v>
      </c>
      <c r="I224">
        <f t="shared" si="16"/>
        <v>1864.8000000000002</v>
      </c>
      <c r="J224">
        <v>18.84</v>
      </c>
      <c r="K224">
        <f t="shared" si="17"/>
        <v>18.836400000000001</v>
      </c>
      <c r="L224">
        <v>1012992</v>
      </c>
      <c r="M224" t="s">
        <v>21</v>
      </c>
      <c r="N224">
        <v>18.84</v>
      </c>
      <c r="O224">
        <f t="shared" si="18"/>
        <v>18.836400000000001</v>
      </c>
      <c r="P224">
        <v>1845.97</v>
      </c>
      <c r="Q224">
        <f t="shared" si="19"/>
        <v>1845.9600000000003</v>
      </c>
      <c r="R224" t="s">
        <v>22</v>
      </c>
      <c r="S224">
        <v>1</v>
      </c>
      <c r="U224" s="2">
        <v>46024</v>
      </c>
      <c r="V224" s="2">
        <v>46017</v>
      </c>
      <c r="W224" t="s">
        <v>23</v>
      </c>
      <c r="X224" t="s">
        <v>23</v>
      </c>
      <c r="Y224" s="1">
        <v>45698</v>
      </c>
    </row>
    <row r="225" spans="1:25" x14ac:dyDescent="0.55000000000000004">
      <c r="A225" t="s">
        <v>27</v>
      </c>
      <c r="B225">
        <v>0.01</v>
      </c>
      <c r="C225">
        <v>3823</v>
      </c>
      <c r="D225">
        <v>3.6</v>
      </c>
      <c r="E225">
        <f t="shared" si="15"/>
        <v>3.6042000000000001</v>
      </c>
      <c r="F225">
        <v>360.42</v>
      </c>
      <c r="G225">
        <v>1012993</v>
      </c>
      <c r="H225">
        <v>356.82</v>
      </c>
      <c r="I225">
        <f t="shared" si="16"/>
        <v>356.82</v>
      </c>
      <c r="J225">
        <v>3.6</v>
      </c>
      <c r="K225">
        <f t="shared" si="17"/>
        <v>3.6042000000000001</v>
      </c>
      <c r="L225">
        <v>1012993</v>
      </c>
      <c r="M225" t="s">
        <v>21</v>
      </c>
      <c r="N225">
        <v>3.6</v>
      </c>
      <c r="O225">
        <f t="shared" si="18"/>
        <v>3.6042000000000001</v>
      </c>
      <c r="P225">
        <v>353.21</v>
      </c>
      <c r="Q225">
        <f t="shared" si="19"/>
        <v>353.21999999999997</v>
      </c>
      <c r="R225" t="s">
        <v>22</v>
      </c>
      <c r="S225">
        <v>1</v>
      </c>
      <c r="U225" s="2">
        <v>46024</v>
      </c>
      <c r="V225" s="2">
        <v>46017</v>
      </c>
      <c r="W225" t="s">
        <v>23</v>
      </c>
      <c r="X225" t="s">
        <v>23</v>
      </c>
      <c r="Y225" s="1">
        <v>45698</v>
      </c>
    </row>
    <row r="226" spans="1:25" x14ac:dyDescent="0.55000000000000004">
      <c r="A226" t="s">
        <v>27</v>
      </c>
      <c r="B226">
        <v>0.01</v>
      </c>
      <c r="C226">
        <v>3886</v>
      </c>
      <c r="D226">
        <v>21.33</v>
      </c>
      <c r="E226">
        <f t="shared" si="15"/>
        <v>21.3291</v>
      </c>
      <c r="F226">
        <v>2132.91</v>
      </c>
      <c r="G226">
        <v>1012994</v>
      </c>
      <c r="H226">
        <v>2111.58</v>
      </c>
      <c r="I226">
        <f t="shared" si="16"/>
        <v>2111.58</v>
      </c>
      <c r="J226">
        <v>21.33</v>
      </c>
      <c r="K226">
        <f t="shared" si="17"/>
        <v>21.3291</v>
      </c>
      <c r="L226">
        <v>1012994</v>
      </c>
      <c r="M226" t="s">
        <v>21</v>
      </c>
      <c r="N226">
        <v>21.33</v>
      </c>
      <c r="O226">
        <f t="shared" si="18"/>
        <v>21.3291</v>
      </c>
      <c r="P226">
        <v>2090.25</v>
      </c>
      <c r="Q226">
        <f t="shared" si="19"/>
        <v>2090.25</v>
      </c>
      <c r="R226" t="s">
        <v>22</v>
      </c>
      <c r="S226">
        <v>1</v>
      </c>
      <c r="U226" s="2">
        <v>46024</v>
      </c>
      <c r="V226" s="2">
        <v>46017</v>
      </c>
      <c r="W226" t="s">
        <v>23</v>
      </c>
      <c r="X226" t="s">
        <v>23</v>
      </c>
      <c r="Y226" s="1">
        <v>45698</v>
      </c>
    </row>
    <row r="227" spans="1:25" x14ac:dyDescent="0.55000000000000004">
      <c r="A227" t="s">
        <v>27</v>
      </c>
      <c r="B227">
        <v>0.01</v>
      </c>
      <c r="C227">
        <v>3781</v>
      </c>
      <c r="D227">
        <v>22.7</v>
      </c>
      <c r="E227">
        <f t="shared" si="15"/>
        <v>22.696999999999999</v>
      </c>
      <c r="F227">
        <v>2269.6999999999998</v>
      </c>
      <c r="G227">
        <v>1012995</v>
      </c>
      <c r="H227">
        <v>2247</v>
      </c>
      <c r="I227">
        <f t="shared" si="16"/>
        <v>2247</v>
      </c>
      <c r="J227">
        <v>22.7</v>
      </c>
      <c r="K227">
        <f t="shared" si="17"/>
        <v>22.696999999999999</v>
      </c>
      <c r="L227">
        <v>1012995</v>
      </c>
      <c r="M227" t="s">
        <v>21</v>
      </c>
      <c r="N227">
        <v>22.7</v>
      </c>
      <c r="O227">
        <f t="shared" si="18"/>
        <v>22.696999999999999</v>
      </c>
      <c r="P227">
        <v>2224.31</v>
      </c>
      <c r="Q227">
        <f t="shared" si="19"/>
        <v>2224.3000000000002</v>
      </c>
      <c r="R227" t="s">
        <v>22</v>
      </c>
      <c r="S227">
        <v>1</v>
      </c>
      <c r="U227" s="2">
        <v>46024</v>
      </c>
      <c r="V227" s="2">
        <v>46017</v>
      </c>
      <c r="W227" t="s">
        <v>23</v>
      </c>
      <c r="X227" t="s">
        <v>23</v>
      </c>
      <c r="Y227" s="1">
        <v>45698</v>
      </c>
    </row>
    <row r="228" spans="1:25" x14ac:dyDescent="0.55000000000000004">
      <c r="A228" t="s">
        <v>27</v>
      </c>
      <c r="B228">
        <v>0.01</v>
      </c>
      <c r="C228">
        <v>2871</v>
      </c>
      <c r="D228">
        <v>15.33</v>
      </c>
      <c r="E228">
        <f t="shared" si="15"/>
        <v>15.325000000000001</v>
      </c>
      <c r="F228">
        <v>1532.5</v>
      </c>
      <c r="G228">
        <v>1012996</v>
      </c>
      <c r="H228">
        <v>1517.17</v>
      </c>
      <c r="I228">
        <f t="shared" si="16"/>
        <v>1517.17</v>
      </c>
      <c r="J228">
        <v>15.33</v>
      </c>
      <c r="K228">
        <f t="shared" si="17"/>
        <v>15.325000000000001</v>
      </c>
      <c r="L228">
        <v>1012996</v>
      </c>
      <c r="M228" t="s">
        <v>21</v>
      </c>
      <c r="N228">
        <v>15.33</v>
      </c>
      <c r="O228">
        <f t="shared" si="18"/>
        <v>15.325000000000001</v>
      </c>
      <c r="P228">
        <v>1501.85</v>
      </c>
      <c r="Q228">
        <f t="shared" si="19"/>
        <v>1501.8400000000001</v>
      </c>
      <c r="R228" t="s">
        <v>22</v>
      </c>
      <c r="S228">
        <v>1</v>
      </c>
      <c r="U228" s="2">
        <v>46024</v>
      </c>
      <c r="V228" s="2">
        <v>46017</v>
      </c>
      <c r="W228" t="s">
        <v>23</v>
      </c>
      <c r="X228" t="s">
        <v>23</v>
      </c>
      <c r="Y228" s="1">
        <v>45698</v>
      </c>
    </row>
    <row r="229" spans="1:25" x14ac:dyDescent="0.55000000000000004">
      <c r="A229" t="s">
        <v>27</v>
      </c>
      <c r="B229">
        <v>0.01</v>
      </c>
      <c r="C229">
        <v>3403</v>
      </c>
      <c r="D229">
        <v>37.14</v>
      </c>
      <c r="E229">
        <f t="shared" si="15"/>
        <v>37.137800000000006</v>
      </c>
      <c r="F229">
        <v>3713.78</v>
      </c>
      <c r="G229">
        <v>1012997</v>
      </c>
      <c r="H229">
        <v>3676.64</v>
      </c>
      <c r="I229">
        <f t="shared" si="16"/>
        <v>3676.6400000000003</v>
      </c>
      <c r="J229">
        <v>37.14</v>
      </c>
      <c r="K229">
        <f t="shared" si="17"/>
        <v>37.137800000000006</v>
      </c>
      <c r="L229">
        <v>1012997</v>
      </c>
      <c r="M229" t="s">
        <v>21</v>
      </c>
      <c r="N229">
        <v>37.14</v>
      </c>
      <c r="O229">
        <f t="shared" si="18"/>
        <v>37.137800000000006</v>
      </c>
      <c r="P229">
        <v>3639.5</v>
      </c>
      <c r="Q229">
        <f t="shared" si="19"/>
        <v>3639.5000000000005</v>
      </c>
      <c r="R229" t="s">
        <v>22</v>
      </c>
      <c r="S229">
        <v>1</v>
      </c>
      <c r="U229" s="2">
        <v>46024</v>
      </c>
      <c r="V229" s="2">
        <v>46017</v>
      </c>
      <c r="W229" t="s">
        <v>23</v>
      </c>
      <c r="X229" t="s">
        <v>23</v>
      </c>
      <c r="Y229" s="1">
        <v>45698</v>
      </c>
    </row>
    <row r="230" spans="1:25" x14ac:dyDescent="0.55000000000000004">
      <c r="A230" t="s">
        <v>27</v>
      </c>
      <c r="B230">
        <v>0.01</v>
      </c>
      <c r="C230">
        <v>3543</v>
      </c>
      <c r="D230">
        <v>13.83</v>
      </c>
      <c r="E230">
        <f t="shared" si="15"/>
        <v>13.829000000000001</v>
      </c>
      <c r="F230">
        <v>1382.9</v>
      </c>
      <c r="G230">
        <v>1012998</v>
      </c>
      <c r="H230">
        <v>1369.07</v>
      </c>
      <c r="I230">
        <f t="shared" si="16"/>
        <v>1369.0700000000002</v>
      </c>
      <c r="J230">
        <v>13.83</v>
      </c>
      <c r="K230">
        <f t="shared" si="17"/>
        <v>13.829000000000001</v>
      </c>
      <c r="L230">
        <v>1012998</v>
      </c>
      <c r="M230" t="s">
        <v>21</v>
      </c>
      <c r="N230">
        <v>13.83</v>
      </c>
      <c r="O230">
        <f t="shared" si="18"/>
        <v>13.829000000000001</v>
      </c>
      <c r="P230">
        <v>1355.24</v>
      </c>
      <c r="Q230">
        <f t="shared" si="19"/>
        <v>1355.2400000000002</v>
      </c>
      <c r="R230" t="s">
        <v>22</v>
      </c>
      <c r="S230">
        <v>1</v>
      </c>
      <c r="U230" s="2">
        <v>46024</v>
      </c>
      <c r="V230" s="2">
        <v>46017</v>
      </c>
      <c r="W230" t="s">
        <v>23</v>
      </c>
      <c r="X230" t="s">
        <v>23</v>
      </c>
      <c r="Y230" s="1">
        <v>45698</v>
      </c>
    </row>
    <row r="231" spans="1:25" x14ac:dyDescent="0.55000000000000004">
      <c r="A231" t="s">
        <v>29</v>
      </c>
      <c r="B231">
        <v>0.02</v>
      </c>
      <c r="C231">
        <v>3151</v>
      </c>
      <c r="D231">
        <v>27.67</v>
      </c>
      <c r="E231">
        <f t="shared" si="15"/>
        <v>27.670200000000001</v>
      </c>
      <c r="F231">
        <v>1383.51</v>
      </c>
      <c r="G231">
        <v>1012999</v>
      </c>
      <c r="H231">
        <v>1355.84</v>
      </c>
      <c r="I231">
        <f t="shared" si="16"/>
        <v>1355.84</v>
      </c>
      <c r="J231">
        <v>27.67</v>
      </c>
      <c r="K231">
        <f t="shared" si="17"/>
        <v>27.670200000000001</v>
      </c>
      <c r="L231">
        <v>1012999</v>
      </c>
      <c r="M231" t="s">
        <v>21</v>
      </c>
      <c r="N231">
        <v>13.84</v>
      </c>
      <c r="O231">
        <f t="shared" si="18"/>
        <v>13.835100000000001</v>
      </c>
      <c r="P231">
        <v>1342</v>
      </c>
      <c r="Q231">
        <f t="shared" si="19"/>
        <v>1342</v>
      </c>
      <c r="R231" t="s">
        <v>22</v>
      </c>
      <c r="S231">
        <v>1</v>
      </c>
      <c r="U231" s="2">
        <v>46024</v>
      </c>
      <c r="V231" s="2">
        <v>46017</v>
      </c>
      <c r="W231" t="s">
        <v>23</v>
      </c>
      <c r="X231" t="s">
        <v>23</v>
      </c>
      <c r="Y231" s="1">
        <v>45698</v>
      </c>
    </row>
    <row r="232" spans="1:25" x14ac:dyDescent="0.55000000000000004">
      <c r="A232" t="s">
        <v>29</v>
      </c>
      <c r="B232">
        <v>0.02</v>
      </c>
      <c r="C232">
        <v>3151</v>
      </c>
      <c r="D232">
        <v>0.5</v>
      </c>
      <c r="E232">
        <f t="shared" si="15"/>
        <v>0.50219999999999998</v>
      </c>
      <c r="F232">
        <v>25.11</v>
      </c>
      <c r="G232">
        <v>1013000</v>
      </c>
      <c r="H232">
        <v>24.61</v>
      </c>
      <c r="I232">
        <f t="shared" si="16"/>
        <v>24.61</v>
      </c>
      <c r="J232">
        <v>0.5</v>
      </c>
      <c r="K232">
        <f t="shared" si="17"/>
        <v>0.50219999999999998</v>
      </c>
      <c r="L232">
        <v>1013000</v>
      </c>
      <c r="M232" t="s">
        <v>21</v>
      </c>
      <c r="N232">
        <v>0.25</v>
      </c>
      <c r="O232">
        <f t="shared" si="18"/>
        <v>0.25109999999999999</v>
      </c>
      <c r="P232">
        <v>24.36</v>
      </c>
      <c r="Q232">
        <f t="shared" si="19"/>
        <v>24.36</v>
      </c>
      <c r="R232" t="s">
        <v>22</v>
      </c>
      <c r="S232">
        <v>1</v>
      </c>
      <c r="U232" s="2">
        <v>46024</v>
      </c>
      <c r="V232" s="2">
        <v>46017</v>
      </c>
      <c r="W232" t="s">
        <v>23</v>
      </c>
      <c r="X232" t="s">
        <v>23</v>
      </c>
      <c r="Y232" s="1">
        <v>45698</v>
      </c>
    </row>
    <row r="233" spans="1:25" x14ac:dyDescent="0.55000000000000004">
      <c r="A233" t="s">
        <v>29</v>
      </c>
      <c r="B233">
        <v>0.02</v>
      </c>
      <c r="C233">
        <v>2941</v>
      </c>
      <c r="D233">
        <v>48.21</v>
      </c>
      <c r="E233">
        <f t="shared" si="15"/>
        <v>48.214399999999998</v>
      </c>
      <c r="F233">
        <v>2410.7199999999998</v>
      </c>
      <c r="G233">
        <v>1013001</v>
      </c>
      <c r="H233">
        <v>2362.5100000000002</v>
      </c>
      <c r="I233">
        <f t="shared" si="16"/>
        <v>2362.5099999999998</v>
      </c>
      <c r="J233">
        <v>48.21</v>
      </c>
      <c r="K233">
        <f t="shared" si="17"/>
        <v>48.214399999999998</v>
      </c>
      <c r="L233">
        <v>1013001</v>
      </c>
      <c r="M233" t="s">
        <v>21</v>
      </c>
      <c r="N233">
        <v>24.11</v>
      </c>
      <c r="O233">
        <f t="shared" si="18"/>
        <v>24.107199999999999</v>
      </c>
      <c r="P233">
        <v>2338.4</v>
      </c>
      <c r="Q233">
        <f t="shared" si="19"/>
        <v>2338.3999999999996</v>
      </c>
      <c r="R233" t="s">
        <v>22</v>
      </c>
      <c r="S233">
        <v>1</v>
      </c>
      <c r="U233" s="2">
        <v>46024</v>
      </c>
      <c r="V233" s="2">
        <v>46017</v>
      </c>
      <c r="W233" t="s">
        <v>23</v>
      </c>
      <c r="X233" t="s">
        <v>23</v>
      </c>
      <c r="Y233" s="1">
        <v>45698</v>
      </c>
    </row>
    <row r="234" spans="1:25" x14ac:dyDescent="0.55000000000000004">
      <c r="A234" t="s">
        <v>29</v>
      </c>
      <c r="B234">
        <v>0.02</v>
      </c>
      <c r="C234">
        <v>3613</v>
      </c>
      <c r="D234">
        <v>2.12</v>
      </c>
      <c r="E234">
        <f t="shared" si="15"/>
        <v>2.1214</v>
      </c>
      <c r="F234">
        <v>106.07</v>
      </c>
      <c r="G234">
        <v>1013002</v>
      </c>
      <c r="H234">
        <v>103.95</v>
      </c>
      <c r="I234">
        <f t="shared" si="16"/>
        <v>103.94999999999999</v>
      </c>
      <c r="J234">
        <v>2.12</v>
      </c>
      <c r="K234">
        <f t="shared" si="17"/>
        <v>2.1214</v>
      </c>
      <c r="L234">
        <v>1013002</v>
      </c>
      <c r="M234" t="s">
        <v>21</v>
      </c>
      <c r="N234">
        <v>1.06</v>
      </c>
      <c r="O234">
        <f t="shared" si="18"/>
        <v>1.0607</v>
      </c>
      <c r="P234">
        <v>102.89</v>
      </c>
      <c r="Q234">
        <f t="shared" si="19"/>
        <v>102.88999999999999</v>
      </c>
      <c r="R234" t="s">
        <v>22</v>
      </c>
      <c r="S234">
        <v>1</v>
      </c>
      <c r="U234" s="2">
        <v>46024</v>
      </c>
      <c r="V234" s="2">
        <v>46017</v>
      </c>
      <c r="W234" t="s">
        <v>23</v>
      </c>
      <c r="X234" t="s">
        <v>23</v>
      </c>
      <c r="Y234" s="1">
        <v>45698</v>
      </c>
    </row>
    <row r="235" spans="1:25" x14ac:dyDescent="0.55000000000000004">
      <c r="A235" t="s">
        <v>29</v>
      </c>
      <c r="B235">
        <v>0.02</v>
      </c>
      <c r="C235">
        <v>3760</v>
      </c>
      <c r="D235">
        <v>1.95</v>
      </c>
      <c r="E235">
        <f t="shared" si="15"/>
        <v>1.95</v>
      </c>
      <c r="F235">
        <v>97.5</v>
      </c>
      <c r="G235">
        <v>1013003</v>
      </c>
      <c r="H235">
        <v>95.55</v>
      </c>
      <c r="I235">
        <f t="shared" si="16"/>
        <v>95.55</v>
      </c>
      <c r="J235">
        <v>1.95</v>
      </c>
      <c r="K235">
        <f t="shared" si="17"/>
        <v>1.95</v>
      </c>
      <c r="L235">
        <v>1013003</v>
      </c>
      <c r="M235" t="s">
        <v>21</v>
      </c>
      <c r="N235">
        <v>0.98</v>
      </c>
      <c r="O235">
        <f t="shared" si="18"/>
        <v>0.97499999999999998</v>
      </c>
      <c r="P235">
        <v>94.58</v>
      </c>
      <c r="Q235">
        <f t="shared" si="19"/>
        <v>94.57</v>
      </c>
      <c r="R235" t="s">
        <v>22</v>
      </c>
      <c r="S235">
        <v>1</v>
      </c>
      <c r="U235" s="2">
        <v>46024</v>
      </c>
      <c r="V235" s="2">
        <v>46017</v>
      </c>
      <c r="W235" t="s">
        <v>23</v>
      </c>
      <c r="X235" t="s">
        <v>23</v>
      </c>
      <c r="Y235" s="1">
        <v>45698</v>
      </c>
    </row>
    <row r="236" spans="1:25" x14ac:dyDescent="0.55000000000000004">
      <c r="A236" t="s">
        <v>29</v>
      </c>
      <c r="B236">
        <v>0.02</v>
      </c>
      <c r="C236">
        <v>3760</v>
      </c>
      <c r="D236">
        <v>5.56</v>
      </c>
      <c r="E236">
        <f t="shared" si="15"/>
        <v>5.5568</v>
      </c>
      <c r="F236">
        <v>277.83999999999997</v>
      </c>
      <c r="G236">
        <v>1013004</v>
      </c>
      <c r="H236">
        <v>272.27999999999997</v>
      </c>
      <c r="I236">
        <f t="shared" si="16"/>
        <v>272.27999999999997</v>
      </c>
      <c r="J236">
        <v>5.56</v>
      </c>
      <c r="K236">
        <f t="shared" si="17"/>
        <v>5.5568</v>
      </c>
      <c r="L236">
        <v>1013004</v>
      </c>
      <c r="M236" t="s">
        <v>21</v>
      </c>
      <c r="N236">
        <v>2.78</v>
      </c>
      <c r="O236">
        <f t="shared" si="18"/>
        <v>2.7784</v>
      </c>
      <c r="P236">
        <v>269.5</v>
      </c>
      <c r="Q236">
        <f t="shared" si="19"/>
        <v>269.5</v>
      </c>
      <c r="R236" t="s">
        <v>22</v>
      </c>
      <c r="S236">
        <v>1</v>
      </c>
      <c r="U236" s="2">
        <v>46024</v>
      </c>
      <c r="V236" s="2">
        <v>46017</v>
      </c>
      <c r="W236" t="s">
        <v>23</v>
      </c>
      <c r="X236" t="s">
        <v>23</v>
      </c>
      <c r="Y236" s="1">
        <v>45698</v>
      </c>
    </row>
    <row r="237" spans="1:25" x14ac:dyDescent="0.55000000000000004">
      <c r="A237" t="s">
        <v>29</v>
      </c>
      <c r="B237">
        <v>0.02</v>
      </c>
      <c r="C237">
        <v>3760</v>
      </c>
      <c r="D237">
        <v>10.85</v>
      </c>
      <c r="E237">
        <f t="shared" si="15"/>
        <v>10.8506</v>
      </c>
      <c r="F237">
        <v>542.53</v>
      </c>
      <c r="G237">
        <v>1013005</v>
      </c>
      <c r="H237">
        <v>531.67999999999995</v>
      </c>
      <c r="I237">
        <f t="shared" si="16"/>
        <v>531.67999999999995</v>
      </c>
      <c r="J237">
        <v>10.85</v>
      </c>
      <c r="K237">
        <f t="shared" si="17"/>
        <v>10.8506</v>
      </c>
      <c r="L237">
        <v>1013005</v>
      </c>
      <c r="M237" t="s">
        <v>21</v>
      </c>
      <c r="N237">
        <v>5.43</v>
      </c>
      <c r="O237">
        <f t="shared" si="18"/>
        <v>5.4253</v>
      </c>
      <c r="P237">
        <v>526.25</v>
      </c>
      <c r="Q237">
        <f t="shared" si="19"/>
        <v>526.25</v>
      </c>
      <c r="R237" t="s">
        <v>22</v>
      </c>
      <c r="S237">
        <v>1</v>
      </c>
      <c r="U237" s="2">
        <v>46024</v>
      </c>
      <c r="V237" s="2">
        <v>46017</v>
      </c>
      <c r="W237" t="s">
        <v>23</v>
      </c>
      <c r="X237" t="s">
        <v>23</v>
      </c>
      <c r="Y237" s="1">
        <v>45698</v>
      </c>
    </row>
    <row r="238" spans="1:25" x14ac:dyDescent="0.55000000000000004">
      <c r="A238" t="s">
        <v>29</v>
      </c>
      <c r="B238">
        <v>0.02</v>
      </c>
      <c r="C238">
        <v>3760</v>
      </c>
      <c r="D238">
        <v>20.74</v>
      </c>
      <c r="E238">
        <f t="shared" si="15"/>
        <v>20.736799999999999</v>
      </c>
      <c r="F238">
        <v>1036.8399999999999</v>
      </c>
      <c r="G238">
        <v>1013006</v>
      </c>
      <c r="H238">
        <v>1016.1</v>
      </c>
      <c r="I238">
        <f t="shared" si="16"/>
        <v>1016.0999999999999</v>
      </c>
      <c r="J238">
        <v>20.74</v>
      </c>
      <c r="K238">
        <f t="shared" si="17"/>
        <v>20.736799999999999</v>
      </c>
      <c r="L238">
        <v>1013006</v>
      </c>
      <c r="M238" t="s">
        <v>21</v>
      </c>
      <c r="N238">
        <v>10.37</v>
      </c>
      <c r="O238">
        <f t="shared" si="18"/>
        <v>10.368399999999999</v>
      </c>
      <c r="P238">
        <v>1005.73</v>
      </c>
      <c r="Q238">
        <f t="shared" si="19"/>
        <v>1005.7299999999999</v>
      </c>
      <c r="R238" t="s">
        <v>22</v>
      </c>
      <c r="S238">
        <v>1</v>
      </c>
      <c r="U238" s="2">
        <v>46024</v>
      </c>
      <c r="V238" s="2">
        <v>46017</v>
      </c>
      <c r="W238" t="s">
        <v>23</v>
      </c>
      <c r="X238" t="s">
        <v>23</v>
      </c>
      <c r="Y238" s="1">
        <v>45698</v>
      </c>
    </row>
    <row r="239" spans="1:25" x14ac:dyDescent="0.55000000000000004">
      <c r="A239" t="s">
        <v>28</v>
      </c>
      <c r="B239">
        <v>0</v>
      </c>
      <c r="C239">
        <v>3760</v>
      </c>
      <c r="D239">
        <v>0</v>
      </c>
      <c r="E239">
        <f t="shared" si="15"/>
        <v>0</v>
      </c>
      <c r="F239">
        <v>416.76</v>
      </c>
      <c r="G239">
        <v>1013007</v>
      </c>
      <c r="H239">
        <v>416.76</v>
      </c>
      <c r="I239">
        <f t="shared" si="16"/>
        <v>416.76</v>
      </c>
      <c r="J239">
        <v>0</v>
      </c>
      <c r="K239">
        <f t="shared" si="17"/>
        <v>0</v>
      </c>
      <c r="L239">
        <v>1013007</v>
      </c>
      <c r="M239" t="s">
        <v>21</v>
      </c>
      <c r="N239">
        <v>4.17</v>
      </c>
      <c r="O239">
        <f t="shared" si="18"/>
        <v>4.1676000000000002</v>
      </c>
      <c r="P239">
        <v>412.59</v>
      </c>
      <c r="Q239">
        <f t="shared" si="19"/>
        <v>412.59</v>
      </c>
      <c r="R239" t="s">
        <v>22</v>
      </c>
      <c r="S239">
        <v>1</v>
      </c>
      <c r="U239" s="2">
        <v>46024</v>
      </c>
      <c r="V239" s="2">
        <v>46017</v>
      </c>
      <c r="W239" t="s">
        <v>23</v>
      </c>
      <c r="X239" t="s">
        <v>23</v>
      </c>
      <c r="Y239" s="1">
        <v>45698</v>
      </c>
    </row>
    <row r="240" spans="1:25" x14ac:dyDescent="0.55000000000000004">
      <c r="A240" t="s">
        <v>28</v>
      </c>
      <c r="B240">
        <v>0</v>
      </c>
      <c r="C240">
        <v>3760</v>
      </c>
      <c r="D240">
        <v>0</v>
      </c>
      <c r="E240">
        <f t="shared" si="15"/>
        <v>0</v>
      </c>
      <c r="F240">
        <v>2661.23</v>
      </c>
      <c r="G240">
        <v>1013008</v>
      </c>
      <c r="H240">
        <v>2661.23</v>
      </c>
      <c r="I240">
        <f t="shared" si="16"/>
        <v>2661.23</v>
      </c>
      <c r="J240">
        <v>0</v>
      </c>
      <c r="K240">
        <f t="shared" si="17"/>
        <v>0</v>
      </c>
      <c r="L240">
        <v>1013008</v>
      </c>
      <c r="M240" t="s">
        <v>21</v>
      </c>
      <c r="N240">
        <v>26.61</v>
      </c>
      <c r="O240">
        <f t="shared" si="18"/>
        <v>26.612300000000001</v>
      </c>
      <c r="P240">
        <v>2634.62</v>
      </c>
      <c r="Q240">
        <f t="shared" si="19"/>
        <v>2634.62</v>
      </c>
      <c r="R240" t="s">
        <v>22</v>
      </c>
      <c r="S240">
        <v>1</v>
      </c>
      <c r="U240" s="2">
        <v>46024</v>
      </c>
      <c r="V240" s="2">
        <v>46017</v>
      </c>
      <c r="W240" t="s">
        <v>23</v>
      </c>
      <c r="X240" t="s">
        <v>23</v>
      </c>
      <c r="Y240" s="1">
        <v>45698</v>
      </c>
    </row>
    <row r="241" spans="1:25" x14ac:dyDescent="0.55000000000000004">
      <c r="A241" t="s">
        <v>29</v>
      </c>
      <c r="B241">
        <v>0.02</v>
      </c>
      <c r="C241">
        <v>3837</v>
      </c>
      <c r="D241">
        <v>33.35</v>
      </c>
      <c r="E241">
        <f t="shared" si="15"/>
        <v>33.35</v>
      </c>
      <c r="F241">
        <v>1667.5</v>
      </c>
      <c r="G241">
        <v>1013009</v>
      </c>
      <c r="H241">
        <v>1634.15</v>
      </c>
      <c r="I241">
        <f t="shared" si="16"/>
        <v>1634.15</v>
      </c>
      <c r="J241">
        <v>33.35</v>
      </c>
      <c r="K241">
        <f t="shared" si="17"/>
        <v>33.35</v>
      </c>
      <c r="L241">
        <v>1013009</v>
      </c>
      <c r="M241" t="s">
        <v>21</v>
      </c>
      <c r="N241">
        <v>16.68</v>
      </c>
      <c r="O241">
        <f t="shared" si="18"/>
        <v>16.675000000000001</v>
      </c>
      <c r="P241">
        <v>1617.48</v>
      </c>
      <c r="Q241">
        <f t="shared" si="19"/>
        <v>1617.47</v>
      </c>
      <c r="R241" t="s">
        <v>22</v>
      </c>
      <c r="S241">
        <v>1</v>
      </c>
      <c r="U241" s="2">
        <v>46024</v>
      </c>
      <c r="V241" s="2">
        <v>46017</v>
      </c>
      <c r="W241" t="s">
        <v>23</v>
      </c>
      <c r="X241" t="s">
        <v>23</v>
      </c>
      <c r="Y241" s="1">
        <v>45698</v>
      </c>
    </row>
    <row r="242" spans="1:25" x14ac:dyDescent="0.55000000000000004">
      <c r="A242" t="s">
        <v>28</v>
      </c>
      <c r="B242">
        <v>0</v>
      </c>
      <c r="C242">
        <v>3837</v>
      </c>
      <c r="D242">
        <v>0</v>
      </c>
      <c r="E242">
        <f t="shared" si="15"/>
        <v>0</v>
      </c>
      <c r="F242">
        <v>208.05</v>
      </c>
      <c r="G242">
        <v>1013010</v>
      </c>
      <c r="H242">
        <v>208.05</v>
      </c>
      <c r="I242">
        <f t="shared" si="16"/>
        <v>208.05</v>
      </c>
      <c r="J242">
        <v>0</v>
      </c>
      <c r="K242">
        <f t="shared" si="17"/>
        <v>0</v>
      </c>
      <c r="L242">
        <v>1013010</v>
      </c>
      <c r="M242" t="s">
        <v>21</v>
      </c>
      <c r="N242">
        <v>2.08</v>
      </c>
      <c r="O242">
        <f t="shared" si="18"/>
        <v>2.0805000000000002</v>
      </c>
      <c r="P242">
        <v>205.97</v>
      </c>
      <c r="Q242">
        <f t="shared" si="19"/>
        <v>205.97</v>
      </c>
      <c r="R242" t="s">
        <v>22</v>
      </c>
      <c r="S242">
        <v>1</v>
      </c>
      <c r="U242" s="2">
        <v>46024</v>
      </c>
      <c r="V242" s="2">
        <v>46017</v>
      </c>
      <c r="W242" t="s">
        <v>23</v>
      </c>
      <c r="X242" t="s">
        <v>23</v>
      </c>
      <c r="Y242" s="1">
        <v>45698</v>
      </c>
    </row>
    <row r="243" spans="1:25" x14ac:dyDescent="0.55000000000000004">
      <c r="A243" t="s">
        <v>29</v>
      </c>
      <c r="B243">
        <v>0.02</v>
      </c>
      <c r="C243">
        <v>3837</v>
      </c>
      <c r="D243">
        <v>22.66</v>
      </c>
      <c r="E243">
        <f t="shared" si="15"/>
        <v>22.661200000000001</v>
      </c>
      <c r="F243">
        <v>1133.06</v>
      </c>
      <c r="G243">
        <v>1013011</v>
      </c>
      <c r="H243">
        <v>1110.4000000000001</v>
      </c>
      <c r="I243">
        <f t="shared" si="16"/>
        <v>1110.3999999999999</v>
      </c>
      <c r="J243">
        <v>22.66</v>
      </c>
      <c r="K243">
        <f t="shared" si="17"/>
        <v>22.661200000000001</v>
      </c>
      <c r="L243">
        <v>1013011</v>
      </c>
      <c r="M243" t="s">
        <v>21</v>
      </c>
      <c r="N243">
        <v>11.33</v>
      </c>
      <c r="O243">
        <f t="shared" si="18"/>
        <v>11.3306</v>
      </c>
      <c r="P243">
        <v>1099.07</v>
      </c>
      <c r="Q243">
        <f t="shared" si="19"/>
        <v>1099.07</v>
      </c>
      <c r="R243" t="s">
        <v>22</v>
      </c>
      <c r="S243">
        <v>1</v>
      </c>
      <c r="U243" s="2">
        <v>46024</v>
      </c>
      <c r="V243" s="2">
        <v>46017</v>
      </c>
      <c r="W243" t="s">
        <v>23</v>
      </c>
      <c r="X243" t="s">
        <v>23</v>
      </c>
      <c r="Y243" s="1">
        <v>45698</v>
      </c>
    </row>
    <row r="244" spans="1:25" x14ac:dyDescent="0.55000000000000004">
      <c r="A244" t="s">
        <v>29</v>
      </c>
      <c r="B244">
        <v>0.02</v>
      </c>
      <c r="C244">
        <v>3389</v>
      </c>
      <c r="D244">
        <v>0.61</v>
      </c>
      <c r="E244">
        <f t="shared" si="15"/>
        <v>0.61140000000000005</v>
      </c>
      <c r="F244">
        <v>30.57</v>
      </c>
      <c r="G244">
        <v>1013012</v>
      </c>
      <c r="H244">
        <v>29.96</v>
      </c>
      <c r="I244">
        <f t="shared" si="16"/>
        <v>29.96</v>
      </c>
      <c r="J244">
        <v>0.61</v>
      </c>
      <c r="K244">
        <f t="shared" si="17"/>
        <v>0.61140000000000005</v>
      </c>
      <c r="L244">
        <v>1013012</v>
      </c>
      <c r="M244" t="s">
        <v>21</v>
      </c>
      <c r="N244">
        <v>0.31</v>
      </c>
      <c r="O244">
        <f t="shared" si="18"/>
        <v>0.30570000000000003</v>
      </c>
      <c r="P244">
        <v>29.65</v>
      </c>
      <c r="Q244">
        <f t="shared" si="19"/>
        <v>29.650000000000002</v>
      </c>
      <c r="R244" t="s">
        <v>22</v>
      </c>
      <c r="S244">
        <v>1</v>
      </c>
      <c r="U244" s="2">
        <v>46024</v>
      </c>
      <c r="V244" s="2">
        <v>46017</v>
      </c>
      <c r="W244" t="s">
        <v>23</v>
      </c>
      <c r="X244" t="s">
        <v>23</v>
      </c>
      <c r="Y244" s="1">
        <v>45698</v>
      </c>
    </row>
    <row r="245" spans="1:25" x14ac:dyDescent="0.55000000000000004">
      <c r="A245" t="s">
        <v>29</v>
      </c>
      <c r="B245">
        <v>0.02</v>
      </c>
      <c r="C245">
        <v>3389</v>
      </c>
      <c r="D245">
        <v>1.59</v>
      </c>
      <c r="E245">
        <f t="shared" si="15"/>
        <v>1.5904</v>
      </c>
      <c r="F245">
        <v>79.52</v>
      </c>
      <c r="G245">
        <v>1013013</v>
      </c>
      <c r="H245">
        <v>77.930000000000007</v>
      </c>
      <c r="I245">
        <f t="shared" si="16"/>
        <v>77.929999999999993</v>
      </c>
      <c r="J245">
        <v>1.59</v>
      </c>
      <c r="K245">
        <f t="shared" si="17"/>
        <v>1.5904</v>
      </c>
      <c r="L245">
        <v>1013013</v>
      </c>
      <c r="M245" t="s">
        <v>21</v>
      </c>
      <c r="N245">
        <v>0.8</v>
      </c>
      <c r="O245">
        <f t="shared" si="18"/>
        <v>0.79520000000000002</v>
      </c>
      <c r="P245">
        <v>77.13</v>
      </c>
      <c r="Q245">
        <f t="shared" si="19"/>
        <v>77.13</v>
      </c>
      <c r="R245" t="s">
        <v>22</v>
      </c>
      <c r="S245">
        <v>1</v>
      </c>
      <c r="U245" s="2">
        <v>46024</v>
      </c>
      <c r="V245" s="2">
        <v>46017</v>
      </c>
      <c r="W245" t="s">
        <v>23</v>
      </c>
      <c r="X245" t="s">
        <v>23</v>
      </c>
      <c r="Y245" s="1">
        <v>45698</v>
      </c>
    </row>
    <row r="246" spans="1:25" x14ac:dyDescent="0.55000000000000004">
      <c r="A246" t="s">
        <v>29</v>
      </c>
      <c r="B246">
        <v>0.02</v>
      </c>
      <c r="C246">
        <v>3578</v>
      </c>
      <c r="D246">
        <v>5.19</v>
      </c>
      <c r="E246">
        <f t="shared" si="15"/>
        <v>5.1875999999999998</v>
      </c>
      <c r="F246">
        <v>259.38</v>
      </c>
      <c r="G246">
        <v>1013014</v>
      </c>
      <c r="H246">
        <v>254.19</v>
      </c>
      <c r="I246">
        <f t="shared" si="16"/>
        <v>254.19</v>
      </c>
      <c r="J246">
        <v>5.19</v>
      </c>
      <c r="K246">
        <f t="shared" si="17"/>
        <v>5.1875999999999998</v>
      </c>
      <c r="L246">
        <v>1013014</v>
      </c>
      <c r="M246" t="s">
        <v>21</v>
      </c>
      <c r="N246">
        <v>2.59</v>
      </c>
      <c r="O246">
        <f t="shared" si="18"/>
        <v>2.5937999999999999</v>
      </c>
      <c r="P246">
        <v>251.6</v>
      </c>
      <c r="Q246">
        <f t="shared" si="19"/>
        <v>251.6</v>
      </c>
      <c r="R246" t="s">
        <v>22</v>
      </c>
      <c r="S246">
        <v>1</v>
      </c>
      <c r="U246" s="2">
        <v>46024</v>
      </c>
      <c r="V246" s="2">
        <v>46017</v>
      </c>
      <c r="W246" t="s">
        <v>23</v>
      </c>
      <c r="X246" t="s">
        <v>23</v>
      </c>
      <c r="Y246" s="1">
        <v>45698</v>
      </c>
    </row>
    <row r="247" spans="1:25" x14ac:dyDescent="0.55000000000000004">
      <c r="A247" t="s">
        <v>29</v>
      </c>
      <c r="B247">
        <v>0.02</v>
      </c>
      <c r="C247">
        <v>3529</v>
      </c>
      <c r="D247">
        <v>21.4</v>
      </c>
      <c r="E247">
        <f t="shared" si="15"/>
        <v>21.396000000000001</v>
      </c>
      <c r="F247">
        <v>1069.8</v>
      </c>
      <c r="G247">
        <v>1013015</v>
      </c>
      <c r="H247">
        <v>1048.4000000000001</v>
      </c>
      <c r="I247">
        <f t="shared" si="16"/>
        <v>1048.3999999999999</v>
      </c>
      <c r="J247">
        <v>21.4</v>
      </c>
      <c r="K247">
        <f t="shared" si="17"/>
        <v>21.396000000000001</v>
      </c>
      <c r="L247">
        <v>1013015</v>
      </c>
      <c r="M247" t="s">
        <v>21</v>
      </c>
      <c r="N247">
        <v>10.7</v>
      </c>
      <c r="O247">
        <f t="shared" si="18"/>
        <v>10.698</v>
      </c>
      <c r="P247">
        <v>1037.71</v>
      </c>
      <c r="Q247">
        <f t="shared" si="19"/>
        <v>1037.6999999999998</v>
      </c>
      <c r="R247" t="s">
        <v>22</v>
      </c>
      <c r="S247">
        <v>1</v>
      </c>
      <c r="U247" s="2">
        <v>46024</v>
      </c>
      <c r="V247" s="2">
        <v>46017</v>
      </c>
      <c r="W247" t="s">
        <v>23</v>
      </c>
      <c r="X247" t="s">
        <v>23</v>
      </c>
      <c r="Y247" s="1">
        <v>45698</v>
      </c>
    </row>
    <row r="248" spans="1:25" x14ac:dyDescent="0.55000000000000004">
      <c r="A248" t="s">
        <v>29</v>
      </c>
      <c r="B248">
        <v>0.02</v>
      </c>
      <c r="C248">
        <v>3753</v>
      </c>
      <c r="D248">
        <v>14.26</v>
      </c>
      <c r="E248">
        <f t="shared" si="15"/>
        <v>14.264000000000001</v>
      </c>
      <c r="F248">
        <v>713.2</v>
      </c>
      <c r="G248">
        <v>1013016</v>
      </c>
      <c r="H248">
        <v>698.94</v>
      </c>
      <c r="I248">
        <f t="shared" si="16"/>
        <v>698.94</v>
      </c>
      <c r="J248">
        <v>14.26</v>
      </c>
      <c r="K248">
        <f t="shared" si="17"/>
        <v>14.264000000000001</v>
      </c>
      <c r="L248">
        <v>1013016</v>
      </c>
      <c r="M248" t="s">
        <v>21</v>
      </c>
      <c r="N248">
        <v>7.13</v>
      </c>
      <c r="O248">
        <f t="shared" si="18"/>
        <v>7.1320000000000006</v>
      </c>
      <c r="P248">
        <v>691.8</v>
      </c>
      <c r="Q248">
        <f t="shared" si="19"/>
        <v>691.81000000000006</v>
      </c>
      <c r="R248" t="s">
        <v>22</v>
      </c>
      <c r="S248">
        <v>1</v>
      </c>
      <c r="U248" s="2">
        <v>46024</v>
      </c>
      <c r="V248" s="2">
        <v>46017</v>
      </c>
      <c r="W248" t="s">
        <v>23</v>
      </c>
      <c r="X248" t="s">
        <v>23</v>
      </c>
      <c r="Y248" s="1">
        <v>45698</v>
      </c>
    </row>
    <row r="249" spans="1:25" x14ac:dyDescent="0.55000000000000004">
      <c r="A249" t="s">
        <v>29</v>
      </c>
      <c r="B249">
        <v>0.02</v>
      </c>
      <c r="C249">
        <v>2451</v>
      </c>
      <c r="D249">
        <v>18.64</v>
      </c>
      <c r="E249">
        <f t="shared" si="15"/>
        <v>18.638400000000001</v>
      </c>
      <c r="F249">
        <v>931.92</v>
      </c>
      <c r="G249">
        <v>1013017</v>
      </c>
      <c r="H249">
        <v>913.28</v>
      </c>
      <c r="I249">
        <f t="shared" si="16"/>
        <v>913.28</v>
      </c>
      <c r="J249">
        <v>18.64</v>
      </c>
      <c r="K249">
        <f t="shared" si="17"/>
        <v>18.638400000000001</v>
      </c>
      <c r="L249">
        <v>1013017</v>
      </c>
      <c r="M249" t="s">
        <v>21</v>
      </c>
      <c r="N249">
        <v>9.32</v>
      </c>
      <c r="O249">
        <f t="shared" si="18"/>
        <v>9.3192000000000004</v>
      </c>
      <c r="P249">
        <v>903.96</v>
      </c>
      <c r="Q249">
        <f t="shared" si="19"/>
        <v>903.95999999999992</v>
      </c>
      <c r="R249" t="s">
        <v>22</v>
      </c>
      <c r="S249">
        <v>1</v>
      </c>
      <c r="U249" s="2">
        <v>46024</v>
      </c>
      <c r="V249" s="2">
        <v>46017</v>
      </c>
      <c r="W249" t="s">
        <v>23</v>
      </c>
      <c r="X249" t="s">
        <v>23</v>
      </c>
      <c r="Y249" s="1">
        <v>45698</v>
      </c>
    </row>
    <row r="250" spans="1:25" x14ac:dyDescent="0.55000000000000004">
      <c r="A250" t="s">
        <v>27</v>
      </c>
      <c r="B250">
        <v>0.01</v>
      </c>
      <c r="C250">
        <v>2626</v>
      </c>
      <c r="D250">
        <v>22.46</v>
      </c>
      <c r="E250">
        <f t="shared" si="15"/>
        <v>22.464200000000002</v>
      </c>
      <c r="F250">
        <v>2246.42</v>
      </c>
      <c r="G250">
        <v>1013020</v>
      </c>
      <c r="H250">
        <v>2223.96</v>
      </c>
      <c r="I250">
        <f t="shared" si="16"/>
        <v>2223.96</v>
      </c>
      <c r="J250">
        <v>22.46</v>
      </c>
      <c r="K250">
        <f t="shared" si="17"/>
        <v>22.464200000000002</v>
      </c>
      <c r="L250">
        <v>1013020</v>
      </c>
      <c r="M250" t="s">
        <v>21</v>
      </c>
      <c r="N250">
        <v>22.46</v>
      </c>
      <c r="O250">
        <f t="shared" si="18"/>
        <v>22.464200000000002</v>
      </c>
      <c r="P250">
        <v>2201.4899999999998</v>
      </c>
      <c r="Q250">
        <f t="shared" si="19"/>
        <v>2201.5</v>
      </c>
      <c r="R250" t="s">
        <v>22</v>
      </c>
      <c r="S250">
        <v>1</v>
      </c>
      <c r="U250" s="2">
        <v>46024</v>
      </c>
      <c r="V250" s="2">
        <v>46017</v>
      </c>
      <c r="W250" t="s">
        <v>23</v>
      </c>
      <c r="X250" t="s">
        <v>23</v>
      </c>
      <c r="Y250" s="1">
        <v>45698</v>
      </c>
    </row>
    <row r="251" spans="1:25" x14ac:dyDescent="0.55000000000000004">
      <c r="A251" t="s">
        <v>27</v>
      </c>
      <c r="B251">
        <v>0.01</v>
      </c>
      <c r="C251">
        <v>2941</v>
      </c>
      <c r="D251">
        <v>11.04</v>
      </c>
      <c r="E251">
        <f t="shared" si="15"/>
        <v>11.0381</v>
      </c>
      <c r="F251">
        <v>1103.81</v>
      </c>
      <c r="G251">
        <v>1013021</v>
      </c>
      <c r="H251">
        <v>1092.77</v>
      </c>
      <c r="I251">
        <f t="shared" si="16"/>
        <v>1092.77</v>
      </c>
      <c r="J251">
        <v>11.04</v>
      </c>
      <c r="K251">
        <f t="shared" si="17"/>
        <v>11.0381</v>
      </c>
      <c r="L251">
        <v>1013021</v>
      </c>
      <c r="M251" t="s">
        <v>21</v>
      </c>
      <c r="N251">
        <v>11.04</v>
      </c>
      <c r="O251">
        <f t="shared" si="18"/>
        <v>11.0381</v>
      </c>
      <c r="P251">
        <v>1081.73</v>
      </c>
      <c r="Q251">
        <f t="shared" si="19"/>
        <v>1081.73</v>
      </c>
      <c r="R251" t="s">
        <v>22</v>
      </c>
      <c r="S251">
        <v>1</v>
      </c>
      <c r="U251" s="2">
        <v>46024</v>
      </c>
      <c r="V251" s="2">
        <v>46017</v>
      </c>
      <c r="W251" t="s">
        <v>23</v>
      </c>
      <c r="X251" t="s">
        <v>23</v>
      </c>
      <c r="Y251" s="1">
        <v>45698</v>
      </c>
    </row>
    <row r="252" spans="1:25" x14ac:dyDescent="0.55000000000000004">
      <c r="A252" t="s">
        <v>27</v>
      </c>
      <c r="B252">
        <v>0.01</v>
      </c>
      <c r="C252">
        <v>3249</v>
      </c>
      <c r="D252">
        <v>67.430000000000007</v>
      </c>
      <c r="E252">
        <f t="shared" si="15"/>
        <v>67.430400000000006</v>
      </c>
      <c r="F252">
        <v>6743.04</v>
      </c>
      <c r="G252">
        <v>1013022</v>
      </c>
      <c r="H252">
        <v>6675.61</v>
      </c>
      <c r="I252">
        <f t="shared" si="16"/>
        <v>6675.61</v>
      </c>
      <c r="J252">
        <v>67.430000000000007</v>
      </c>
      <c r="K252">
        <f t="shared" si="17"/>
        <v>67.430400000000006</v>
      </c>
      <c r="L252">
        <v>1013022</v>
      </c>
      <c r="M252" t="s">
        <v>21</v>
      </c>
      <c r="N252">
        <v>67.430000000000007</v>
      </c>
      <c r="O252">
        <f t="shared" si="18"/>
        <v>67.430400000000006</v>
      </c>
      <c r="P252">
        <v>6608.18</v>
      </c>
      <c r="Q252">
        <f t="shared" si="19"/>
        <v>6608.1799999999994</v>
      </c>
      <c r="R252" t="s">
        <v>22</v>
      </c>
      <c r="S252">
        <v>1</v>
      </c>
      <c r="U252" s="2">
        <v>46024</v>
      </c>
      <c r="V252" s="2">
        <v>46017</v>
      </c>
      <c r="W252" t="s">
        <v>23</v>
      </c>
      <c r="X252" t="s">
        <v>23</v>
      </c>
      <c r="Y252" s="1">
        <v>45698</v>
      </c>
    </row>
    <row r="253" spans="1:25" x14ac:dyDescent="0.55000000000000004">
      <c r="A253" t="s">
        <v>27</v>
      </c>
      <c r="B253">
        <v>0.01</v>
      </c>
      <c r="C253">
        <v>3886</v>
      </c>
      <c r="D253">
        <v>7.54</v>
      </c>
      <c r="E253">
        <f t="shared" si="15"/>
        <v>7.5364000000000004</v>
      </c>
      <c r="F253">
        <v>753.64</v>
      </c>
      <c r="G253">
        <v>1013023</v>
      </c>
      <c r="H253">
        <v>746.1</v>
      </c>
      <c r="I253">
        <f t="shared" si="16"/>
        <v>746.1</v>
      </c>
      <c r="J253">
        <v>7.54</v>
      </c>
      <c r="K253">
        <f t="shared" si="17"/>
        <v>7.5364000000000004</v>
      </c>
      <c r="L253">
        <v>1013023</v>
      </c>
      <c r="M253" t="s">
        <v>21</v>
      </c>
      <c r="N253">
        <v>7.54</v>
      </c>
      <c r="O253">
        <f t="shared" si="18"/>
        <v>7.5364000000000004</v>
      </c>
      <c r="P253">
        <v>738.57</v>
      </c>
      <c r="Q253">
        <f t="shared" si="19"/>
        <v>738.56000000000006</v>
      </c>
      <c r="R253" t="s">
        <v>22</v>
      </c>
      <c r="S253">
        <v>1</v>
      </c>
      <c r="U253" s="2">
        <v>46024</v>
      </c>
      <c r="V253" s="2">
        <v>46017</v>
      </c>
      <c r="W253" t="s">
        <v>23</v>
      </c>
      <c r="X253" t="s">
        <v>23</v>
      </c>
      <c r="Y253" s="1">
        <v>45698</v>
      </c>
    </row>
    <row r="254" spans="1:25" x14ac:dyDescent="0.55000000000000004">
      <c r="A254" t="s">
        <v>30</v>
      </c>
      <c r="B254">
        <v>0</v>
      </c>
      <c r="C254">
        <v>2948</v>
      </c>
      <c r="D254">
        <v>0</v>
      </c>
      <c r="E254">
        <f t="shared" si="15"/>
        <v>0</v>
      </c>
      <c r="F254">
        <v>571.01</v>
      </c>
      <c r="G254" t="s">
        <v>31</v>
      </c>
      <c r="H254">
        <v>571.01</v>
      </c>
      <c r="I254">
        <f t="shared" si="16"/>
        <v>571.01</v>
      </c>
      <c r="J254">
        <v>0</v>
      </c>
      <c r="K254">
        <f t="shared" si="17"/>
        <v>0</v>
      </c>
      <c r="L254" t="s">
        <v>31</v>
      </c>
      <c r="M254" t="s">
        <v>21</v>
      </c>
      <c r="N254">
        <v>5.71</v>
      </c>
      <c r="O254">
        <f t="shared" si="18"/>
        <v>5.7100999999999997</v>
      </c>
      <c r="P254">
        <v>565.29999999999995</v>
      </c>
      <c r="Q254">
        <f t="shared" si="19"/>
        <v>565.29999999999995</v>
      </c>
      <c r="R254" t="s">
        <v>22</v>
      </c>
      <c r="S254">
        <v>1</v>
      </c>
      <c r="U254" s="2">
        <v>46024</v>
      </c>
      <c r="V254" s="2">
        <v>45961</v>
      </c>
      <c r="W254" t="s">
        <v>23</v>
      </c>
      <c r="X254" t="s">
        <v>23</v>
      </c>
      <c r="Y254" t="s">
        <v>23</v>
      </c>
    </row>
    <row r="255" spans="1:25" x14ac:dyDescent="0.55000000000000004">
      <c r="A255" t="s">
        <v>30</v>
      </c>
      <c r="B255">
        <v>0</v>
      </c>
      <c r="C255">
        <v>5051</v>
      </c>
      <c r="D255">
        <v>0</v>
      </c>
      <c r="E255">
        <f t="shared" si="15"/>
        <v>0</v>
      </c>
      <c r="F255">
        <v>83.16</v>
      </c>
      <c r="G255" t="s">
        <v>32</v>
      </c>
      <c r="H255">
        <v>83.16</v>
      </c>
      <c r="I255">
        <f t="shared" si="16"/>
        <v>83.16</v>
      </c>
      <c r="J255">
        <v>0</v>
      </c>
      <c r="K255">
        <f t="shared" si="17"/>
        <v>0</v>
      </c>
      <c r="L255" t="s">
        <v>32</v>
      </c>
      <c r="M255" t="s">
        <v>21</v>
      </c>
      <c r="N255">
        <v>0.83</v>
      </c>
      <c r="O255">
        <f t="shared" si="18"/>
        <v>0.83160000000000001</v>
      </c>
      <c r="P255">
        <v>82.33</v>
      </c>
      <c r="Q255">
        <f t="shared" si="19"/>
        <v>82.33</v>
      </c>
      <c r="R255" t="s">
        <v>22</v>
      </c>
      <c r="S255">
        <v>1</v>
      </c>
      <c r="U255" s="2">
        <v>46024</v>
      </c>
      <c r="V255" s="2">
        <v>45961</v>
      </c>
      <c r="W255" t="s">
        <v>23</v>
      </c>
      <c r="X255" t="s">
        <v>23</v>
      </c>
      <c r="Y25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Klass</dc:creator>
  <cp:lastModifiedBy>Mark Klass</cp:lastModifiedBy>
  <dcterms:created xsi:type="dcterms:W3CDTF">2025-12-30T14:53:54Z</dcterms:created>
  <dcterms:modified xsi:type="dcterms:W3CDTF">2025-12-30T15:01:19Z</dcterms:modified>
</cp:coreProperties>
</file>