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50BDBA92-1672-4A2A-A982-74FB0584EBA1}" xr6:coauthVersionLast="47" xr6:coauthVersionMax="47" xr10:uidLastSave="{00000000-0000-0000-0000-000000000000}"/>
  <bookViews>
    <workbookView xWindow="-96" yWindow="-96" windowWidth="23232" windowHeight="13872" xr2:uid="{5D76EC8D-FAC5-44EE-8B96-A6F0019360DF}"/>
  </bookViews>
  <sheets>
    <sheet name="ezpay_1219_15" sheetId="1" r:id="rId1"/>
    <sheet name="Sheet1" sheetId="2" r:id="rId2"/>
  </sheets>
  <definedNames>
    <definedName name="_xlnm._FilterDatabase" localSheetId="0" hidden="1">ezpay_1219_15!$A$1:$AJ$1622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295" i="1" l="1"/>
  <c r="AM1286" i="1"/>
  <c r="AM1278" i="1"/>
  <c r="AM1276" i="1"/>
  <c r="AM1274" i="1"/>
  <c r="AM1269" i="1"/>
  <c r="AM1263" i="1"/>
  <c r="AM1262" i="1"/>
  <c r="AM1259" i="1"/>
  <c r="AM1248" i="1"/>
  <c r="AM1245" i="1"/>
  <c r="AM1244" i="1"/>
  <c r="AM1242" i="1"/>
  <c r="AM1238" i="1"/>
  <c r="AM1237" i="1"/>
  <c r="AM1235" i="1"/>
  <c r="AM1205" i="1"/>
  <c r="AM1202" i="1"/>
  <c r="AM1030" i="1"/>
  <c r="AM1028" i="1"/>
  <c r="AM1027" i="1"/>
  <c r="AM1025" i="1"/>
  <c r="AM1022" i="1"/>
  <c r="AM1021" i="1"/>
  <c r="AM1020" i="1"/>
  <c r="AM1011" i="1"/>
  <c r="AM1010" i="1"/>
  <c r="AM1006" i="1"/>
  <c r="AM1004" i="1"/>
  <c r="AM1003" i="1"/>
  <c r="AM1001" i="1"/>
  <c r="AM993" i="1"/>
  <c r="AM991" i="1"/>
  <c r="AM989" i="1"/>
  <c r="AM988" i="1"/>
  <c r="AM987" i="1"/>
  <c r="AM975" i="1"/>
  <c r="AM974" i="1"/>
  <c r="AM973" i="1"/>
  <c r="AM972" i="1"/>
  <c r="AM971" i="1"/>
  <c r="AM970" i="1"/>
  <c r="AM969" i="1"/>
  <c r="AM967" i="1"/>
  <c r="AM966" i="1"/>
  <c r="AM965" i="1"/>
  <c r="AM875" i="1"/>
  <c r="AM874" i="1"/>
  <c r="AM871" i="1"/>
  <c r="AM870" i="1"/>
  <c r="AM866" i="1"/>
  <c r="AM861" i="1"/>
  <c r="AM860" i="1"/>
  <c r="AM859" i="1"/>
  <c r="AM855" i="1"/>
  <c r="AM854" i="1"/>
  <c r="AM853" i="1"/>
  <c r="AM852" i="1"/>
  <c r="AM850" i="1"/>
  <c r="AM848" i="1"/>
  <c r="AM847" i="1"/>
  <c r="AM846" i="1"/>
  <c r="AM845" i="1"/>
  <c r="AM844" i="1"/>
  <c r="AM843" i="1"/>
  <c r="AM719" i="1"/>
  <c r="AM717" i="1"/>
  <c r="AM716" i="1"/>
  <c r="AM714" i="1"/>
  <c r="AM712" i="1"/>
  <c r="AM710" i="1"/>
  <c r="AM709" i="1"/>
  <c r="AM708" i="1"/>
  <c r="AM707" i="1"/>
  <c r="AM634" i="1"/>
  <c r="AM632" i="1"/>
  <c r="AM629" i="1"/>
  <c r="AM627" i="1"/>
  <c r="AM626" i="1"/>
  <c r="AM624" i="1"/>
  <c r="AM623" i="1"/>
  <c r="AM595" i="1"/>
  <c r="AM594" i="1"/>
  <c r="AM586" i="1"/>
  <c r="AM571" i="1"/>
  <c r="AM570" i="1"/>
  <c r="AM563" i="1"/>
  <c r="AM479" i="1"/>
  <c r="AM165" i="1"/>
  <c r="AM164" i="1"/>
  <c r="AM163" i="1"/>
  <c r="AM162" i="1"/>
  <c r="AM161" i="1"/>
  <c r="AM160" i="1"/>
  <c r="AM159" i="1"/>
  <c r="AM155" i="1"/>
  <c r="AM153" i="1"/>
  <c r="AM152" i="1"/>
  <c r="AM90" i="1"/>
  <c r="AM87" i="1"/>
  <c r="AM86" i="1"/>
  <c r="AM85" i="1"/>
  <c r="AM84" i="1"/>
  <c r="AM83" i="1"/>
  <c r="AM82" i="1"/>
  <c r="AM81" i="1"/>
  <c r="AM80" i="1"/>
  <c r="AM48" i="1"/>
  <c r="AM47" i="1"/>
  <c r="AM46" i="1"/>
  <c r="AM45" i="1"/>
  <c r="AM14" i="1"/>
  <c r="AM10" i="1"/>
  <c r="AM6" i="1"/>
  <c r="I1068" i="1"/>
  <c r="I1066" i="1"/>
  <c r="I787" i="1"/>
  <c r="I76" i="1"/>
  <c r="I74" i="1"/>
  <c r="H1301" i="1"/>
  <c r="I1301" i="1" s="1"/>
  <c r="H1300" i="1"/>
  <c r="I1300" i="1" s="1"/>
  <c r="H1299" i="1"/>
  <c r="I1299" i="1" s="1"/>
  <c r="H1298" i="1"/>
  <c r="I1298" i="1" s="1"/>
  <c r="H1297" i="1"/>
  <c r="I1297" i="1" s="1"/>
  <c r="H1296" i="1"/>
  <c r="I1296" i="1" s="1"/>
  <c r="H1295" i="1"/>
  <c r="I1295" i="1" s="1"/>
  <c r="H1293" i="1"/>
  <c r="I1293" i="1" s="1"/>
  <c r="H1292" i="1"/>
  <c r="I1292" i="1" s="1"/>
  <c r="H1291" i="1"/>
  <c r="I1291" i="1" s="1"/>
  <c r="H1290" i="1"/>
  <c r="I1290" i="1" s="1"/>
  <c r="H1289" i="1"/>
  <c r="I1289" i="1" s="1"/>
  <c r="H1288" i="1"/>
  <c r="I1288" i="1" s="1"/>
  <c r="H1287" i="1"/>
  <c r="I1287" i="1" s="1"/>
  <c r="H1286" i="1"/>
  <c r="I1286" i="1" s="1"/>
  <c r="H1285" i="1"/>
  <c r="I1285" i="1" s="1"/>
  <c r="H1284" i="1"/>
  <c r="I1284" i="1" s="1"/>
  <c r="H1283" i="1"/>
  <c r="I1283" i="1" s="1"/>
  <c r="H1282" i="1"/>
  <c r="I1282" i="1" s="1"/>
  <c r="H1281" i="1"/>
  <c r="I1281" i="1" s="1"/>
  <c r="H1280" i="1"/>
  <c r="I1280" i="1" s="1"/>
  <c r="H1278" i="1"/>
  <c r="I1278" i="1" s="1"/>
  <c r="H1276" i="1"/>
  <c r="I1276" i="1" s="1"/>
  <c r="H1274" i="1"/>
  <c r="I1274" i="1" s="1"/>
  <c r="H1269" i="1"/>
  <c r="I1269" i="1" s="1"/>
  <c r="H1263" i="1"/>
  <c r="I1263" i="1" s="1"/>
  <c r="H1262" i="1"/>
  <c r="I1262" i="1" s="1"/>
  <c r="H1259" i="1"/>
  <c r="I1259" i="1" s="1"/>
  <c r="H1256" i="1"/>
  <c r="I1256" i="1" s="1"/>
  <c r="H1254" i="1"/>
  <c r="I1254" i="1" s="1"/>
  <c r="H1253" i="1"/>
  <c r="I1253" i="1" s="1"/>
  <c r="H1248" i="1"/>
  <c r="I1248" i="1" s="1"/>
  <c r="H1245" i="1"/>
  <c r="I1245" i="1" s="1"/>
  <c r="H1244" i="1"/>
  <c r="I1244" i="1" s="1"/>
  <c r="H1242" i="1"/>
  <c r="I1242" i="1" s="1"/>
  <c r="H1238" i="1"/>
  <c r="I1238" i="1" s="1"/>
  <c r="H1237" i="1"/>
  <c r="I1237" i="1" s="1"/>
  <c r="H1235" i="1"/>
  <c r="I1235" i="1" s="1"/>
  <c r="H1234" i="1"/>
  <c r="I1234" i="1" s="1"/>
  <c r="H1230" i="1"/>
  <c r="I1230" i="1" s="1"/>
  <c r="H1229" i="1"/>
  <c r="I1229" i="1" s="1"/>
  <c r="H1221" i="1"/>
  <c r="I1221" i="1" s="1"/>
  <c r="H1220" i="1"/>
  <c r="I1220" i="1" s="1"/>
  <c r="H1219" i="1"/>
  <c r="I1219" i="1" s="1"/>
  <c r="H1218" i="1"/>
  <c r="I1218" i="1" s="1"/>
  <c r="H1216" i="1"/>
  <c r="I1216" i="1" s="1"/>
  <c r="H1215" i="1"/>
  <c r="I1215" i="1" s="1"/>
  <c r="H1214" i="1"/>
  <c r="I1214" i="1" s="1"/>
  <c r="H1213" i="1"/>
  <c r="I1213" i="1" s="1"/>
  <c r="H1212" i="1"/>
  <c r="I1212" i="1" s="1"/>
  <c r="H1211" i="1"/>
  <c r="I1211" i="1" s="1"/>
  <c r="H1210" i="1"/>
  <c r="I1210" i="1" s="1"/>
  <c r="H1209" i="1"/>
  <c r="I1209" i="1" s="1"/>
  <c r="H1208" i="1"/>
  <c r="I1208" i="1" s="1"/>
  <c r="H1207" i="1"/>
  <c r="I1207" i="1" s="1"/>
  <c r="H1206" i="1"/>
  <c r="I1206" i="1" s="1"/>
  <c r="H1205" i="1"/>
  <c r="I1205" i="1" s="1"/>
  <c r="H1202" i="1"/>
  <c r="I1202" i="1" s="1"/>
  <c r="H1197" i="1"/>
  <c r="I1197" i="1" s="1"/>
  <c r="H1190" i="1"/>
  <c r="I1190" i="1" s="1"/>
  <c r="H1188" i="1"/>
  <c r="I1188" i="1" s="1"/>
  <c r="H1185" i="1"/>
  <c r="I1185" i="1" s="1"/>
  <c r="H1184" i="1"/>
  <c r="I1184" i="1" s="1"/>
  <c r="H1183" i="1"/>
  <c r="I1183" i="1" s="1"/>
  <c r="H1182" i="1"/>
  <c r="I1182" i="1" s="1"/>
  <c r="H1181" i="1"/>
  <c r="I1181" i="1" s="1"/>
  <c r="H1162" i="1"/>
  <c r="I1162" i="1" s="1"/>
  <c r="H1161" i="1"/>
  <c r="I1161" i="1" s="1"/>
  <c r="H1160" i="1"/>
  <c r="I1160" i="1" s="1"/>
  <c r="H1159" i="1"/>
  <c r="I1159" i="1" s="1"/>
  <c r="H1158" i="1"/>
  <c r="I1158" i="1" s="1"/>
  <c r="H1157" i="1"/>
  <c r="I1157" i="1" s="1"/>
  <c r="H1150" i="1"/>
  <c r="I1150" i="1" s="1"/>
  <c r="H1149" i="1"/>
  <c r="I1149" i="1" s="1"/>
  <c r="H1147" i="1"/>
  <c r="I1147" i="1" s="1"/>
  <c r="H1146" i="1"/>
  <c r="I1146" i="1" s="1"/>
  <c r="H1145" i="1"/>
  <c r="I1145" i="1" s="1"/>
  <c r="H1144" i="1"/>
  <c r="I1144" i="1" s="1"/>
  <c r="H1143" i="1"/>
  <c r="I1143" i="1" s="1"/>
  <c r="H1142" i="1"/>
  <c r="I1142" i="1" s="1"/>
  <c r="H1140" i="1"/>
  <c r="I1140" i="1" s="1"/>
  <c r="H1139" i="1"/>
  <c r="I1139" i="1" s="1"/>
  <c r="H1137" i="1"/>
  <c r="I1137" i="1" s="1"/>
  <c r="H1136" i="1"/>
  <c r="I1136" i="1" s="1"/>
  <c r="H1132" i="1"/>
  <c r="I1132" i="1" s="1"/>
  <c r="H1125" i="1"/>
  <c r="I1125" i="1" s="1"/>
  <c r="H1124" i="1"/>
  <c r="I1124" i="1" s="1"/>
  <c r="H1123" i="1"/>
  <c r="I1123" i="1" s="1"/>
  <c r="H1122" i="1"/>
  <c r="I1122" i="1" s="1"/>
  <c r="H1121" i="1"/>
  <c r="I1121" i="1" s="1"/>
  <c r="H1120" i="1"/>
  <c r="I1120" i="1" s="1"/>
  <c r="H1119" i="1"/>
  <c r="I1119" i="1" s="1"/>
  <c r="H1118" i="1"/>
  <c r="I1118" i="1" s="1"/>
  <c r="H1117" i="1"/>
  <c r="I1117" i="1" s="1"/>
  <c r="H1113" i="1"/>
  <c r="I1113" i="1" s="1"/>
  <c r="H1112" i="1"/>
  <c r="I1112" i="1" s="1"/>
  <c r="H1111" i="1"/>
  <c r="I1111" i="1" s="1"/>
  <c r="H1108" i="1"/>
  <c r="I1108" i="1" s="1"/>
  <c r="H1105" i="1"/>
  <c r="I1105" i="1" s="1"/>
  <c r="H1104" i="1"/>
  <c r="I1104" i="1" s="1"/>
  <c r="H1103" i="1"/>
  <c r="I1103" i="1" s="1"/>
  <c r="H1101" i="1"/>
  <c r="I1101" i="1" s="1"/>
  <c r="H1099" i="1"/>
  <c r="I1099" i="1" s="1"/>
  <c r="H1098" i="1"/>
  <c r="I1098" i="1" s="1"/>
  <c r="H1096" i="1"/>
  <c r="I1096" i="1" s="1"/>
  <c r="H1095" i="1"/>
  <c r="I1095" i="1" s="1"/>
  <c r="H1089" i="1"/>
  <c r="I1089" i="1" s="1"/>
  <c r="H1086" i="1"/>
  <c r="I1086" i="1" s="1"/>
  <c r="H1084" i="1"/>
  <c r="I1084" i="1" s="1"/>
  <c r="H1082" i="1"/>
  <c r="I1082" i="1" s="1"/>
  <c r="H1081" i="1"/>
  <c r="I1081" i="1" s="1"/>
  <c r="H1079" i="1"/>
  <c r="I1079" i="1" s="1"/>
  <c r="H1078" i="1"/>
  <c r="I1078" i="1" s="1"/>
  <c r="H1077" i="1"/>
  <c r="I1077" i="1" s="1"/>
  <c r="H1076" i="1"/>
  <c r="I1076" i="1" s="1"/>
  <c r="H1075" i="1"/>
  <c r="I1075" i="1" s="1"/>
  <c r="H1074" i="1"/>
  <c r="I1074" i="1" s="1"/>
  <c r="H1073" i="1"/>
  <c r="I1073" i="1" s="1"/>
  <c r="H1072" i="1"/>
  <c r="I1072" i="1" s="1"/>
  <c r="H1071" i="1"/>
  <c r="I1071" i="1" s="1"/>
  <c r="H1070" i="1"/>
  <c r="I1070" i="1" s="1"/>
  <c r="H1069" i="1"/>
  <c r="I1069" i="1" s="1"/>
  <c r="H1068" i="1"/>
  <c r="H1066" i="1"/>
  <c r="H1065" i="1"/>
  <c r="I1065" i="1" s="1"/>
  <c r="H1064" i="1"/>
  <c r="I1064" i="1" s="1"/>
  <c r="H1063" i="1"/>
  <c r="I1063" i="1" s="1"/>
  <c r="H1062" i="1"/>
  <c r="I1062" i="1" s="1"/>
  <c r="H1061" i="1"/>
  <c r="I1061" i="1" s="1"/>
  <c r="H1058" i="1"/>
  <c r="I1058" i="1" s="1"/>
  <c r="H1056" i="1"/>
  <c r="I1056" i="1" s="1"/>
  <c r="H1055" i="1"/>
  <c r="I1055" i="1" s="1"/>
  <c r="H1052" i="1"/>
  <c r="I1052" i="1" s="1"/>
  <c r="H1050" i="1"/>
  <c r="I1050" i="1" s="1"/>
  <c r="H1049" i="1"/>
  <c r="I1049" i="1" s="1"/>
  <c r="H1048" i="1"/>
  <c r="I1048" i="1" s="1"/>
  <c r="H1046" i="1"/>
  <c r="I1046" i="1" s="1"/>
  <c r="H1043" i="1"/>
  <c r="I1043" i="1" s="1"/>
  <c r="H1042" i="1"/>
  <c r="I1042" i="1" s="1"/>
  <c r="H1041" i="1"/>
  <c r="I1041" i="1" s="1"/>
  <c r="H1040" i="1"/>
  <c r="I1040" i="1" s="1"/>
  <c r="H1039" i="1"/>
  <c r="I1039" i="1" s="1"/>
  <c r="H1036" i="1"/>
  <c r="I1036" i="1" s="1"/>
  <c r="H1035" i="1"/>
  <c r="I1035" i="1" s="1"/>
  <c r="H1034" i="1"/>
  <c r="I1034" i="1" s="1"/>
  <c r="H1030" i="1"/>
  <c r="I1030" i="1" s="1"/>
  <c r="H1028" i="1"/>
  <c r="I1028" i="1" s="1"/>
  <c r="H1027" i="1"/>
  <c r="I1027" i="1" s="1"/>
  <c r="H1025" i="1"/>
  <c r="I1025" i="1" s="1"/>
  <c r="H1022" i="1"/>
  <c r="I1022" i="1" s="1"/>
  <c r="H1021" i="1"/>
  <c r="I1021" i="1" s="1"/>
  <c r="H1020" i="1"/>
  <c r="I1020" i="1" s="1"/>
  <c r="H1016" i="1"/>
  <c r="I1016" i="1" s="1"/>
  <c r="H1015" i="1"/>
  <c r="I1015" i="1" s="1"/>
  <c r="H1014" i="1"/>
  <c r="I1014" i="1" s="1"/>
  <c r="H1013" i="1"/>
  <c r="I1013" i="1" s="1"/>
  <c r="H1012" i="1"/>
  <c r="I1012" i="1" s="1"/>
  <c r="H1011" i="1"/>
  <c r="I1011" i="1" s="1"/>
  <c r="H1010" i="1"/>
  <c r="I1010" i="1" s="1"/>
  <c r="H1006" i="1"/>
  <c r="I1006" i="1" s="1"/>
  <c r="H1004" i="1"/>
  <c r="I1004" i="1" s="1"/>
  <c r="H1003" i="1"/>
  <c r="I1003" i="1" s="1"/>
  <c r="H1001" i="1"/>
  <c r="I1001" i="1" s="1"/>
  <c r="H993" i="1"/>
  <c r="I993" i="1" s="1"/>
  <c r="H991" i="1"/>
  <c r="I991" i="1" s="1"/>
  <c r="H989" i="1"/>
  <c r="I989" i="1" s="1"/>
  <c r="H988" i="1"/>
  <c r="I988" i="1" s="1"/>
  <c r="H987" i="1"/>
  <c r="I987" i="1" s="1"/>
  <c r="H975" i="1"/>
  <c r="I975" i="1" s="1"/>
  <c r="H974" i="1"/>
  <c r="I974" i="1" s="1"/>
  <c r="H973" i="1"/>
  <c r="I973" i="1" s="1"/>
  <c r="H972" i="1"/>
  <c r="I972" i="1" s="1"/>
  <c r="H971" i="1"/>
  <c r="I971" i="1" s="1"/>
  <c r="H970" i="1"/>
  <c r="I970" i="1" s="1"/>
  <c r="H969" i="1"/>
  <c r="I969" i="1" s="1"/>
  <c r="H967" i="1"/>
  <c r="I967" i="1" s="1"/>
  <c r="H966" i="1"/>
  <c r="I966" i="1" s="1"/>
  <c r="H965" i="1"/>
  <c r="I965" i="1" s="1"/>
  <c r="H961" i="1"/>
  <c r="I961" i="1" s="1"/>
  <c r="H959" i="1"/>
  <c r="I959" i="1" s="1"/>
  <c r="H957" i="1"/>
  <c r="I957" i="1" s="1"/>
  <c r="H956" i="1"/>
  <c r="I956" i="1" s="1"/>
  <c r="H955" i="1"/>
  <c r="I955" i="1" s="1"/>
  <c r="H953" i="1"/>
  <c r="I953" i="1" s="1"/>
  <c r="H951" i="1"/>
  <c r="I951" i="1" s="1"/>
  <c r="H946" i="1"/>
  <c r="I946" i="1" s="1"/>
  <c r="H945" i="1"/>
  <c r="I945" i="1" s="1"/>
  <c r="H944" i="1"/>
  <c r="I944" i="1" s="1"/>
  <c r="H941" i="1"/>
  <c r="I941" i="1" s="1"/>
  <c r="H937" i="1"/>
  <c r="I937" i="1" s="1"/>
  <c r="H936" i="1"/>
  <c r="I936" i="1" s="1"/>
  <c r="H935" i="1"/>
  <c r="I935" i="1" s="1"/>
  <c r="H934" i="1"/>
  <c r="I934" i="1" s="1"/>
  <c r="H933" i="1"/>
  <c r="I933" i="1" s="1"/>
  <c r="H932" i="1"/>
  <c r="I932" i="1" s="1"/>
  <c r="H926" i="1"/>
  <c r="I926" i="1" s="1"/>
  <c r="H922" i="1"/>
  <c r="I922" i="1" s="1"/>
  <c r="H921" i="1"/>
  <c r="I921" i="1" s="1"/>
  <c r="H920" i="1"/>
  <c r="I920" i="1" s="1"/>
  <c r="H918" i="1"/>
  <c r="I918" i="1" s="1"/>
  <c r="H917" i="1"/>
  <c r="I917" i="1" s="1"/>
  <c r="H916" i="1"/>
  <c r="I916" i="1" s="1"/>
  <c r="H914" i="1"/>
  <c r="I914" i="1" s="1"/>
  <c r="H909" i="1"/>
  <c r="I909" i="1" s="1"/>
  <c r="H908" i="1"/>
  <c r="I908" i="1" s="1"/>
  <c r="H907" i="1"/>
  <c r="I907" i="1" s="1"/>
  <c r="H906" i="1"/>
  <c r="I906" i="1" s="1"/>
  <c r="H905" i="1"/>
  <c r="I905" i="1" s="1"/>
  <c r="H904" i="1"/>
  <c r="I904" i="1" s="1"/>
  <c r="H903" i="1"/>
  <c r="I903" i="1" s="1"/>
  <c r="H902" i="1"/>
  <c r="I902" i="1" s="1"/>
  <c r="H901" i="1"/>
  <c r="I901" i="1" s="1"/>
  <c r="H875" i="1"/>
  <c r="I875" i="1" s="1"/>
  <c r="H874" i="1"/>
  <c r="I874" i="1" s="1"/>
  <c r="H871" i="1"/>
  <c r="I871" i="1" s="1"/>
  <c r="H870" i="1"/>
  <c r="I870" i="1" s="1"/>
  <c r="H866" i="1"/>
  <c r="I866" i="1" s="1"/>
  <c r="H861" i="1"/>
  <c r="I861" i="1" s="1"/>
  <c r="H860" i="1"/>
  <c r="I860" i="1" s="1"/>
  <c r="H859" i="1"/>
  <c r="I859" i="1" s="1"/>
  <c r="H855" i="1"/>
  <c r="I855" i="1" s="1"/>
  <c r="H854" i="1"/>
  <c r="I854" i="1" s="1"/>
  <c r="H853" i="1"/>
  <c r="I853" i="1" s="1"/>
  <c r="H852" i="1"/>
  <c r="I852" i="1" s="1"/>
  <c r="H850" i="1"/>
  <c r="I850" i="1" s="1"/>
  <c r="H848" i="1"/>
  <c r="I848" i="1" s="1"/>
  <c r="H847" i="1"/>
  <c r="I847" i="1" s="1"/>
  <c r="H846" i="1"/>
  <c r="I846" i="1" s="1"/>
  <c r="H845" i="1"/>
  <c r="I845" i="1" s="1"/>
  <c r="H844" i="1"/>
  <c r="I844" i="1" s="1"/>
  <c r="H843" i="1"/>
  <c r="I843" i="1" s="1"/>
  <c r="H830" i="1"/>
  <c r="I830" i="1" s="1"/>
  <c r="H829" i="1"/>
  <c r="I829" i="1" s="1"/>
  <c r="H827" i="1"/>
  <c r="I827" i="1" s="1"/>
  <c r="H824" i="1"/>
  <c r="I824" i="1" s="1"/>
  <c r="H819" i="1"/>
  <c r="I819" i="1" s="1"/>
  <c r="H815" i="1"/>
  <c r="I815" i="1" s="1"/>
  <c r="H812" i="1"/>
  <c r="I812" i="1" s="1"/>
  <c r="H811" i="1"/>
  <c r="I811" i="1" s="1"/>
  <c r="H804" i="1"/>
  <c r="I804" i="1" s="1"/>
  <c r="H803" i="1"/>
  <c r="I803" i="1" s="1"/>
  <c r="H801" i="1"/>
  <c r="I801" i="1" s="1"/>
  <c r="H795" i="1"/>
  <c r="I795" i="1" s="1"/>
  <c r="H794" i="1"/>
  <c r="I794" i="1" s="1"/>
  <c r="H793" i="1"/>
  <c r="I793" i="1" s="1"/>
  <c r="H792" i="1"/>
  <c r="I792" i="1" s="1"/>
  <c r="H791" i="1"/>
  <c r="I791" i="1" s="1"/>
  <c r="H790" i="1"/>
  <c r="I790" i="1" s="1"/>
  <c r="H789" i="1"/>
  <c r="I789" i="1" s="1"/>
  <c r="H788" i="1"/>
  <c r="I788" i="1" s="1"/>
  <c r="H787" i="1"/>
  <c r="H786" i="1"/>
  <c r="I786" i="1" s="1"/>
  <c r="H785" i="1"/>
  <c r="I785" i="1" s="1"/>
  <c r="H783" i="1"/>
  <c r="I783" i="1" s="1"/>
  <c r="H782" i="1"/>
  <c r="I782" i="1" s="1"/>
  <c r="H781" i="1"/>
  <c r="I781" i="1" s="1"/>
  <c r="H780" i="1"/>
  <c r="I780" i="1" s="1"/>
  <c r="H776" i="1"/>
  <c r="I776" i="1" s="1"/>
  <c r="H775" i="1"/>
  <c r="I775" i="1" s="1"/>
  <c r="H771" i="1"/>
  <c r="I771" i="1" s="1"/>
  <c r="H770" i="1"/>
  <c r="I770" i="1" s="1"/>
  <c r="H769" i="1"/>
  <c r="I769" i="1" s="1"/>
  <c r="H768" i="1"/>
  <c r="I768" i="1" s="1"/>
  <c r="H767" i="1"/>
  <c r="I767" i="1" s="1"/>
  <c r="H765" i="1"/>
  <c r="I765" i="1" s="1"/>
  <c r="H764" i="1"/>
  <c r="I764" i="1" s="1"/>
  <c r="H763" i="1"/>
  <c r="I763" i="1" s="1"/>
  <c r="H761" i="1"/>
  <c r="I761" i="1" s="1"/>
  <c r="H760" i="1"/>
  <c r="I760" i="1" s="1"/>
  <c r="H759" i="1"/>
  <c r="I759" i="1" s="1"/>
  <c r="H758" i="1"/>
  <c r="I758" i="1" s="1"/>
  <c r="H756" i="1"/>
  <c r="I756" i="1" s="1"/>
  <c r="H755" i="1"/>
  <c r="I755" i="1" s="1"/>
  <c r="H751" i="1"/>
  <c r="I751" i="1" s="1"/>
  <c r="H749" i="1"/>
  <c r="I749" i="1" s="1"/>
  <c r="H748" i="1"/>
  <c r="I748" i="1" s="1"/>
  <c r="H743" i="1"/>
  <c r="I743" i="1" s="1"/>
  <c r="H741" i="1"/>
  <c r="I741" i="1" s="1"/>
  <c r="H739" i="1"/>
  <c r="I739" i="1" s="1"/>
  <c r="H738" i="1"/>
  <c r="I738" i="1" s="1"/>
  <c r="H737" i="1"/>
  <c r="I737" i="1" s="1"/>
  <c r="H736" i="1"/>
  <c r="I736" i="1" s="1"/>
  <c r="H734" i="1"/>
  <c r="I734" i="1" s="1"/>
  <c r="H729" i="1"/>
  <c r="I729" i="1" s="1"/>
  <c r="H728" i="1"/>
  <c r="I728" i="1" s="1"/>
  <c r="H725" i="1"/>
  <c r="I725" i="1" s="1"/>
  <c r="H724" i="1"/>
  <c r="I724" i="1" s="1"/>
  <c r="H723" i="1"/>
  <c r="I723" i="1" s="1"/>
  <c r="H722" i="1"/>
  <c r="I722" i="1" s="1"/>
  <c r="H719" i="1"/>
  <c r="I719" i="1" s="1"/>
  <c r="H717" i="1"/>
  <c r="I717" i="1" s="1"/>
  <c r="H716" i="1"/>
  <c r="I716" i="1" s="1"/>
  <c r="H714" i="1"/>
  <c r="I714" i="1" s="1"/>
  <c r="H712" i="1"/>
  <c r="I712" i="1" s="1"/>
  <c r="H710" i="1"/>
  <c r="I710" i="1" s="1"/>
  <c r="H709" i="1"/>
  <c r="I709" i="1" s="1"/>
  <c r="H708" i="1"/>
  <c r="I708" i="1" s="1"/>
  <c r="H707" i="1"/>
  <c r="I707" i="1" s="1"/>
  <c r="H704" i="1"/>
  <c r="I704" i="1" s="1"/>
  <c r="H703" i="1"/>
  <c r="I703" i="1" s="1"/>
  <c r="H702" i="1"/>
  <c r="I702" i="1" s="1"/>
  <c r="H699" i="1"/>
  <c r="I699" i="1" s="1"/>
  <c r="H698" i="1"/>
  <c r="I698" i="1" s="1"/>
  <c r="H697" i="1"/>
  <c r="I697" i="1" s="1"/>
  <c r="H695" i="1"/>
  <c r="I695" i="1" s="1"/>
  <c r="H694" i="1"/>
  <c r="I694" i="1" s="1"/>
  <c r="H689" i="1"/>
  <c r="I689" i="1" s="1"/>
  <c r="H688" i="1"/>
  <c r="I688" i="1" s="1"/>
  <c r="H687" i="1"/>
  <c r="I687" i="1" s="1"/>
  <c r="H680" i="1"/>
  <c r="I680" i="1" s="1"/>
  <c r="H679" i="1"/>
  <c r="I679" i="1" s="1"/>
  <c r="H678" i="1"/>
  <c r="I678" i="1" s="1"/>
  <c r="H677" i="1"/>
  <c r="I677" i="1" s="1"/>
  <c r="H674" i="1"/>
  <c r="I674" i="1" s="1"/>
  <c r="H673" i="1"/>
  <c r="I673" i="1" s="1"/>
  <c r="H672" i="1"/>
  <c r="I672" i="1" s="1"/>
  <c r="H670" i="1"/>
  <c r="I670" i="1" s="1"/>
  <c r="H667" i="1"/>
  <c r="I667" i="1" s="1"/>
  <c r="H665" i="1"/>
  <c r="I665" i="1" s="1"/>
  <c r="H664" i="1"/>
  <c r="I664" i="1" s="1"/>
  <c r="H663" i="1"/>
  <c r="I663" i="1" s="1"/>
  <c r="H659" i="1"/>
  <c r="I659" i="1" s="1"/>
  <c r="H657" i="1"/>
  <c r="I657" i="1" s="1"/>
  <c r="H656" i="1"/>
  <c r="I656" i="1" s="1"/>
  <c r="H652" i="1"/>
  <c r="I652" i="1" s="1"/>
  <c r="H649" i="1"/>
  <c r="I649" i="1" s="1"/>
  <c r="H648" i="1"/>
  <c r="I648" i="1" s="1"/>
  <c r="H647" i="1"/>
  <c r="I647" i="1" s="1"/>
  <c r="H646" i="1"/>
  <c r="I646" i="1" s="1"/>
  <c r="H644" i="1"/>
  <c r="I644" i="1" s="1"/>
  <c r="H643" i="1"/>
  <c r="I643" i="1" s="1"/>
  <c r="H640" i="1"/>
  <c r="I640" i="1" s="1"/>
  <c r="H639" i="1"/>
  <c r="I639" i="1" s="1"/>
  <c r="H634" i="1"/>
  <c r="I634" i="1" s="1"/>
  <c r="H632" i="1"/>
  <c r="I632" i="1" s="1"/>
  <c r="H629" i="1"/>
  <c r="I629" i="1" s="1"/>
  <c r="H627" i="1"/>
  <c r="I627" i="1" s="1"/>
  <c r="H626" i="1"/>
  <c r="I626" i="1" s="1"/>
  <c r="H624" i="1"/>
  <c r="I624" i="1" s="1"/>
  <c r="H623" i="1"/>
  <c r="I623" i="1" s="1"/>
  <c r="H621" i="1"/>
  <c r="I621" i="1" s="1"/>
  <c r="H620" i="1"/>
  <c r="I620" i="1" s="1"/>
  <c r="H618" i="1"/>
  <c r="I618" i="1" s="1"/>
  <c r="H617" i="1"/>
  <c r="I617" i="1" s="1"/>
  <c r="H615" i="1"/>
  <c r="I615" i="1" s="1"/>
  <c r="H614" i="1"/>
  <c r="I614" i="1" s="1"/>
  <c r="H612" i="1"/>
  <c r="I612" i="1" s="1"/>
  <c r="H610" i="1"/>
  <c r="I610" i="1" s="1"/>
  <c r="H608" i="1"/>
  <c r="I608" i="1" s="1"/>
  <c r="H607" i="1"/>
  <c r="I607" i="1" s="1"/>
  <c r="H606" i="1"/>
  <c r="I606" i="1" s="1"/>
  <c r="H603" i="1"/>
  <c r="I603" i="1" s="1"/>
  <c r="H601" i="1"/>
  <c r="I601" i="1" s="1"/>
  <c r="H599" i="1"/>
  <c r="I599" i="1" s="1"/>
  <c r="H598" i="1"/>
  <c r="I598" i="1" s="1"/>
  <c r="H595" i="1"/>
  <c r="I595" i="1" s="1"/>
  <c r="H594" i="1"/>
  <c r="I594" i="1" s="1"/>
  <c r="H592" i="1"/>
  <c r="I592" i="1" s="1"/>
  <c r="H591" i="1"/>
  <c r="I591" i="1" s="1"/>
  <c r="H589" i="1"/>
  <c r="I589" i="1" s="1"/>
  <c r="H586" i="1"/>
  <c r="I586" i="1" s="1"/>
  <c r="H585" i="1"/>
  <c r="I585" i="1" s="1"/>
  <c r="H582" i="1"/>
  <c r="I582" i="1" s="1"/>
  <c r="H578" i="1"/>
  <c r="I578" i="1" s="1"/>
  <c r="H576" i="1"/>
  <c r="I576" i="1" s="1"/>
  <c r="H575" i="1"/>
  <c r="I575" i="1" s="1"/>
  <c r="H574" i="1"/>
  <c r="I574" i="1" s="1"/>
  <c r="H571" i="1"/>
  <c r="I571" i="1" s="1"/>
  <c r="H570" i="1"/>
  <c r="I570" i="1" s="1"/>
  <c r="H568" i="1"/>
  <c r="I568" i="1" s="1"/>
  <c r="H563" i="1"/>
  <c r="I563" i="1" s="1"/>
  <c r="H562" i="1"/>
  <c r="I562" i="1" s="1"/>
  <c r="H560" i="1"/>
  <c r="I560" i="1" s="1"/>
  <c r="H559" i="1"/>
  <c r="I559" i="1" s="1"/>
  <c r="H555" i="1"/>
  <c r="I555" i="1" s="1"/>
  <c r="H554" i="1"/>
  <c r="I554" i="1" s="1"/>
  <c r="H545" i="1"/>
  <c r="I545" i="1" s="1"/>
  <c r="H544" i="1"/>
  <c r="I544" i="1" s="1"/>
  <c r="H543" i="1"/>
  <c r="I543" i="1" s="1"/>
  <c r="H542" i="1"/>
  <c r="I542" i="1" s="1"/>
  <c r="H541" i="1"/>
  <c r="I541" i="1" s="1"/>
  <c r="H540" i="1"/>
  <c r="I540" i="1" s="1"/>
  <c r="H538" i="1"/>
  <c r="I538" i="1" s="1"/>
  <c r="H536" i="1"/>
  <c r="I536" i="1" s="1"/>
  <c r="H535" i="1"/>
  <c r="I535" i="1" s="1"/>
  <c r="H533" i="1"/>
  <c r="I533" i="1" s="1"/>
  <c r="H532" i="1"/>
  <c r="I532" i="1" s="1"/>
  <c r="H531" i="1"/>
  <c r="I531" i="1" s="1"/>
  <c r="H530" i="1"/>
  <c r="I530" i="1" s="1"/>
  <c r="H529" i="1"/>
  <c r="I529" i="1" s="1"/>
  <c r="H528" i="1"/>
  <c r="I528" i="1" s="1"/>
  <c r="H527" i="1"/>
  <c r="I527" i="1" s="1"/>
  <c r="H524" i="1"/>
  <c r="I524" i="1" s="1"/>
  <c r="H517" i="1"/>
  <c r="I517" i="1" s="1"/>
  <c r="H516" i="1"/>
  <c r="I516" i="1" s="1"/>
  <c r="H514" i="1"/>
  <c r="I514" i="1" s="1"/>
  <c r="H513" i="1"/>
  <c r="I513" i="1" s="1"/>
  <c r="H511" i="1"/>
  <c r="I511" i="1" s="1"/>
  <c r="H510" i="1"/>
  <c r="I510" i="1" s="1"/>
  <c r="H509" i="1"/>
  <c r="I509" i="1" s="1"/>
  <c r="H508" i="1"/>
  <c r="I508" i="1" s="1"/>
  <c r="H507" i="1"/>
  <c r="I507" i="1" s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6" i="1"/>
  <c r="I486" i="1" s="1"/>
  <c r="H483" i="1"/>
  <c r="I483" i="1" s="1"/>
  <c r="H480" i="1"/>
  <c r="I480" i="1" s="1"/>
  <c r="H479" i="1"/>
  <c r="I479" i="1" s="1"/>
  <c r="H478" i="1"/>
  <c r="I478" i="1" s="1"/>
  <c r="H477" i="1"/>
  <c r="I477" i="1" s="1"/>
  <c r="H476" i="1"/>
  <c r="I476" i="1" s="1"/>
  <c r="H474" i="1"/>
  <c r="I474" i="1" s="1"/>
  <c r="H467" i="1"/>
  <c r="I467" i="1" s="1"/>
  <c r="H466" i="1"/>
  <c r="I466" i="1" s="1"/>
  <c r="H465" i="1"/>
  <c r="I465" i="1" s="1"/>
  <c r="H462" i="1"/>
  <c r="I462" i="1" s="1"/>
  <c r="H461" i="1"/>
  <c r="I461" i="1" s="1"/>
  <c r="H460" i="1"/>
  <c r="I460" i="1" s="1"/>
  <c r="H459" i="1"/>
  <c r="I459" i="1" s="1"/>
  <c r="H458" i="1"/>
  <c r="I458" i="1" s="1"/>
  <c r="H456" i="1"/>
  <c r="I456" i="1" s="1"/>
  <c r="H455" i="1"/>
  <c r="I455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1" i="1"/>
  <c r="I431" i="1" s="1"/>
  <c r="H430" i="1"/>
  <c r="I430" i="1" s="1"/>
  <c r="H429" i="1"/>
  <c r="I429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14" i="1"/>
  <c r="I414" i="1" s="1"/>
  <c r="H413" i="1"/>
  <c r="I413" i="1" s="1"/>
  <c r="H412" i="1"/>
  <c r="I412" i="1" s="1"/>
  <c r="H407" i="1"/>
  <c r="I407" i="1" s="1"/>
  <c r="H406" i="1"/>
  <c r="I406" i="1" s="1"/>
  <c r="H401" i="1"/>
  <c r="I401" i="1" s="1"/>
  <c r="H399" i="1"/>
  <c r="I399" i="1" s="1"/>
  <c r="H397" i="1"/>
  <c r="I397" i="1" s="1"/>
  <c r="H394" i="1"/>
  <c r="I394" i="1" s="1"/>
  <c r="H393" i="1"/>
  <c r="I393" i="1" s="1"/>
  <c r="H392" i="1"/>
  <c r="I392" i="1" s="1"/>
  <c r="H391" i="1"/>
  <c r="I391" i="1" s="1"/>
  <c r="H388" i="1"/>
  <c r="I388" i="1" s="1"/>
  <c r="H384" i="1"/>
  <c r="I384" i="1" s="1"/>
  <c r="H382" i="1"/>
  <c r="I382" i="1" s="1"/>
  <c r="H381" i="1"/>
  <c r="I381" i="1" s="1"/>
  <c r="H380" i="1"/>
  <c r="I380" i="1" s="1"/>
  <c r="H378" i="1"/>
  <c r="I378" i="1" s="1"/>
  <c r="H377" i="1"/>
  <c r="I377" i="1" s="1"/>
  <c r="H373" i="1"/>
  <c r="I373" i="1" s="1"/>
  <c r="H371" i="1"/>
  <c r="I371" i="1" s="1"/>
  <c r="H370" i="1"/>
  <c r="I370" i="1" s="1"/>
  <c r="H368" i="1"/>
  <c r="I368" i="1" s="1"/>
  <c r="H367" i="1"/>
  <c r="I367" i="1" s="1"/>
  <c r="H366" i="1"/>
  <c r="I366" i="1" s="1"/>
  <c r="H365" i="1"/>
  <c r="I365" i="1" s="1"/>
  <c r="H364" i="1"/>
  <c r="I364" i="1" s="1"/>
  <c r="H358" i="1"/>
  <c r="I358" i="1" s="1"/>
  <c r="H357" i="1"/>
  <c r="I357" i="1" s="1"/>
  <c r="H356" i="1"/>
  <c r="I356" i="1" s="1"/>
  <c r="H353" i="1"/>
  <c r="I353" i="1" s="1"/>
  <c r="H351" i="1"/>
  <c r="I351" i="1" s="1"/>
  <c r="H350" i="1"/>
  <c r="I350" i="1" s="1"/>
  <c r="H347" i="1"/>
  <c r="I347" i="1" s="1"/>
  <c r="H346" i="1"/>
  <c r="I346" i="1" s="1"/>
  <c r="H344" i="1"/>
  <c r="I344" i="1" s="1"/>
  <c r="H343" i="1"/>
  <c r="I343" i="1" s="1"/>
  <c r="H342" i="1"/>
  <c r="I342" i="1" s="1"/>
  <c r="H339" i="1"/>
  <c r="I339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0" i="1"/>
  <c r="I320" i="1" s="1"/>
  <c r="H319" i="1"/>
  <c r="I319" i="1" s="1"/>
  <c r="H315" i="1"/>
  <c r="I315" i="1" s="1"/>
  <c r="H313" i="1"/>
  <c r="I313" i="1" s="1"/>
  <c r="H312" i="1"/>
  <c r="I312" i="1" s="1"/>
  <c r="H311" i="1"/>
  <c r="I311" i="1" s="1"/>
  <c r="H308" i="1"/>
  <c r="I308" i="1" s="1"/>
  <c r="H306" i="1"/>
  <c r="I306" i="1" s="1"/>
  <c r="H303" i="1"/>
  <c r="I303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2" i="1"/>
  <c r="I292" i="1" s="1"/>
  <c r="H289" i="1"/>
  <c r="I289" i="1" s="1"/>
  <c r="H286" i="1"/>
  <c r="I286" i="1" s="1"/>
  <c r="H285" i="1"/>
  <c r="I285" i="1" s="1"/>
  <c r="H284" i="1"/>
  <c r="I284" i="1" s="1"/>
  <c r="H282" i="1"/>
  <c r="I282" i="1" s="1"/>
  <c r="H281" i="1"/>
  <c r="I281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54" i="1"/>
  <c r="I254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2" i="1"/>
  <c r="I242" i="1" s="1"/>
  <c r="H241" i="1"/>
  <c r="I241" i="1" s="1"/>
  <c r="H236" i="1"/>
  <c r="I236" i="1" s="1"/>
  <c r="H235" i="1"/>
  <c r="I235" i="1" s="1"/>
  <c r="H233" i="1"/>
  <c r="I233" i="1" s="1"/>
  <c r="H230" i="1"/>
  <c r="I230" i="1" s="1"/>
  <c r="H229" i="1"/>
  <c r="I229" i="1" s="1"/>
  <c r="H228" i="1"/>
  <c r="I228" i="1" s="1"/>
  <c r="H226" i="1"/>
  <c r="I226" i="1" s="1"/>
  <c r="H225" i="1"/>
  <c r="I225" i="1" s="1"/>
  <c r="H224" i="1"/>
  <c r="I224" i="1" s="1"/>
  <c r="H223" i="1"/>
  <c r="I223" i="1" s="1"/>
  <c r="H222" i="1"/>
  <c r="I222" i="1" s="1"/>
  <c r="H220" i="1"/>
  <c r="I220" i="1" s="1"/>
  <c r="H215" i="1"/>
  <c r="I215" i="1" s="1"/>
  <c r="H213" i="1"/>
  <c r="I213" i="1" s="1"/>
  <c r="H212" i="1"/>
  <c r="I212" i="1" s="1"/>
  <c r="H211" i="1"/>
  <c r="I211" i="1" s="1"/>
  <c r="H209" i="1"/>
  <c r="I209" i="1" s="1"/>
  <c r="H206" i="1"/>
  <c r="I206" i="1" s="1"/>
  <c r="H205" i="1"/>
  <c r="I205" i="1" s="1"/>
  <c r="H203" i="1"/>
  <c r="I203" i="1" s="1"/>
  <c r="H200" i="1"/>
  <c r="I200" i="1" s="1"/>
  <c r="H199" i="1"/>
  <c r="I199" i="1" s="1"/>
  <c r="H198" i="1"/>
  <c r="I198" i="1" s="1"/>
  <c r="H195" i="1"/>
  <c r="I195" i="1" s="1"/>
  <c r="H193" i="1"/>
  <c r="I193" i="1" s="1"/>
  <c r="H192" i="1"/>
  <c r="I192" i="1" s="1"/>
  <c r="H191" i="1"/>
  <c r="I191" i="1" s="1"/>
  <c r="H190" i="1"/>
  <c r="I190" i="1" s="1"/>
  <c r="H189" i="1"/>
  <c r="I189" i="1" s="1"/>
  <c r="H184" i="1"/>
  <c r="I184" i="1" s="1"/>
  <c r="H182" i="1"/>
  <c r="I182" i="1" s="1"/>
  <c r="H181" i="1"/>
  <c r="I181" i="1" s="1"/>
  <c r="H180" i="1"/>
  <c r="I180" i="1" s="1"/>
  <c r="H179" i="1"/>
  <c r="I179" i="1" s="1"/>
  <c r="H177" i="1"/>
  <c r="I177" i="1" s="1"/>
  <c r="H176" i="1"/>
  <c r="I176" i="1" s="1"/>
  <c r="H175" i="1"/>
  <c r="I175" i="1" s="1"/>
  <c r="H174" i="1"/>
  <c r="I174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5" i="1"/>
  <c r="I155" i="1" s="1"/>
  <c r="H153" i="1"/>
  <c r="I153" i="1" s="1"/>
  <c r="H152" i="1"/>
  <c r="I152" i="1" s="1"/>
  <c r="H150" i="1"/>
  <c r="I150" i="1" s="1"/>
  <c r="H149" i="1"/>
  <c r="I149" i="1" s="1"/>
  <c r="H147" i="1"/>
  <c r="I147" i="1" s="1"/>
  <c r="H144" i="1"/>
  <c r="I144" i="1" s="1"/>
  <c r="H143" i="1"/>
  <c r="I143" i="1" s="1"/>
  <c r="H141" i="1"/>
  <c r="I141" i="1" s="1"/>
  <c r="H140" i="1"/>
  <c r="I140" i="1" s="1"/>
  <c r="H138" i="1"/>
  <c r="I138" i="1" s="1"/>
  <c r="H137" i="1"/>
  <c r="I137" i="1" s="1"/>
  <c r="H134" i="1"/>
  <c r="I134" i="1" s="1"/>
  <c r="H133" i="1"/>
  <c r="I133" i="1" s="1"/>
  <c r="H131" i="1"/>
  <c r="I131" i="1" s="1"/>
  <c r="H129" i="1"/>
  <c r="I129" i="1" s="1"/>
  <c r="H126" i="1"/>
  <c r="I126" i="1" s="1"/>
  <c r="H125" i="1"/>
  <c r="I125" i="1" s="1"/>
  <c r="H123" i="1"/>
  <c r="I123" i="1" s="1"/>
  <c r="H122" i="1"/>
  <c r="I122" i="1" s="1"/>
  <c r="H114" i="1"/>
  <c r="I114" i="1" s="1"/>
  <c r="H112" i="1"/>
  <c r="I112" i="1" s="1"/>
  <c r="H109" i="1"/>
  <c r="I109" i="1" s="1"/>
  <c r="H108" i="1"/>
  <c r="I108" i="1" s="1"/>
  <c r="H107" i="1"/>
  <c r="I107" i="1" s="1"/>
  <c r="H106" i="1"/>
  <c r="I106" i="1" s="1"/>
  <c r="H103" i="1"/>
  <c r="I103" i="1" s="1"/>
  <c r="H102" i="1"/>
  <c r="I102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6" i="1"/>
  <c r="H74" i="1"/>
  <c r="H72" i="1"/>
  <c r="I72" i="1" s="1"/>
  <c r="H71" i="1"/>
  <c r="I71" i="1" s="1"/>
  <c r="H69" i="1"/>
  <c r="I69" i="1" s="1"/>
  <c r="H66" i="1"/>
  <c r="I66" i="1" s="1"/>
  <c r="H64" i="1"/>
  <c r="I64" i="1" s="1"/>
  <c r="H62" i="1"/>
  <c r="I62" i="1" s="1"/>
  <c r="H59" i="1"/>
  <c r="I59" i="1" s="1"/>
  <c r="H55" i="1"/>
  <c r="I55" i="1" s="1"/>
  <c r="H52" i="1"/>
  <c r="I52" i="1" s="1"/>
  <c r="H51" i="1"/>
  <c r="I51" i="1" s="1"/>
  <c r="H50" i="1"/>
  <c r="I50" i="1" s="1"/>
  <c r="H48" i="1"/>
  <c r="I48" i="1" s="1"/>
  <c r="H47" i="1"/>
  <c r="I47" i="1" s="1"/>
  <c r="H46" i="1"/>
  <c r="I46" i="1" s="1"/>
  <c r="H45" i="1"/>
  <c r="I45" i="1" s="1"/>
  <c r="H42" i="1"/>
  <c r="I42" i="1" s="1"/>
  <c r="H41" i="1"/>
  <c r="I41" i="1" s="1"/>
  <c r="H34" i="1"/>
  <c r="I34" i="1" s="1"/>
  <c r="H31" i="1"/>
  <c r="I31" i="1" s="1"/>
  <c r="H30" i="1"/>
  <c r="I30" i="1" s="1"/>
  <c r="H23" i="1"/>
  <c r="I23" i="1" s="1"/>
  <c r="H21" i="1"/>
  <c r="I21" i="1" s="1"/>
  <c r="H18" i="1"/>
  <c r="I18" i="1" s="1"/>
  <c r="H17" i="1"/>
  <c r="I17" i="1" s="1"/>
  <c r="H16" i="1"/>
  <c r="I16" i="1" s="1"/>
  <c r="H15" i="1"/>
  <c r="I15" i="1" s="1"/>
  <c r="H14" i="1"/>
  <c r="I14" i="1" s="1"/>
  <c r="H10" i="1"/>
  <c r="I10" i="1" s="1"/>
  <c r="H6" i="1"/>
  <c r="I6" i="1" s="1"/>
  <c r="H4" i="1"/>
  <c r="I4" i="1" s="1"/>
  <c r="H3" i="1"/>
  <c r="I3" i="1" s="1"/>
  <c r="AK50" i="1"/>
  <c r="AK1274" i="1"/>
  <c r="AK812" i="1"/>
  <c r="AK677" i="1"/>
  <c r="AK652" i="1"/>
  <c r="AK479" i="1"/>
  <c r="AK1301" i="1"/>
  <c r="AK1300" i="1"/>
  <c r="AK1299" i="1"/>
  <c r="AK1298" i="1"/>
  <c r="AK1297" i="1"/>
  <c r="AK1296" i="1"/>
  <c r="AK1295" i="1"/>
  <c r="AK1293" i="1"/>
  <c r="AK1292" i="1"/>
  <c r="AK1291" i="1"/>
  <c r="AK1290" i="1"/>
  <c r="AK1289" i="1"/>
  <c r="AK1288" i="1"/>
  <c r="AK1287" i="1"/>
  <c r="AK1286" i="1"/>
  <c r="AK1285" i="1"/>
  <c r="AK1284" i="1"/>
  <c r="AK1283" i="1"/>
  <c r="AK1282" i="1"/>
  <c r="AK1281" i="1"/>
  <c r="AK1280" i="1"/>
  <c r="AK1278" i="1"/>
  <c r="AK1276" i="1"/>
  <c r="AK1269" i="1"/>
  <c r="AK1263" i="1"/>
  <c r="AK1262" i="1"/>
  <c r="AK1259" i="1"/>
  <c r="AK1256" i="1"/>
  <c r="AK1254" i="1"/>
  <c r="AK1253" i="1"/>
  <c r="AK1248" i="1"/>
  <c r="AK1245" i="1"/>
  <c r="AK1244" i="1"/>
  <c r="AK1242" i="1"/>
  <c r="AK1238" i="1"/>
  <c r="AK1237" i="1"/>
  <c r="AK1235" i="1"/>
  <c r="AK1234" i="1"/>
  <c r="AK1230" i="1"/>
  <c r="AK1229" i="1"/>
  <c r="AK1221" i="1"/>
  <c r="AK1220" i="1"/>
  <c r="AK1219" i="1"/>
  <c r="AK1218" i="1"/>
  <c r="AK1216" i="1"/>
  <c r="AK1215" i="1"/>
  <c r="AK1214" i="1"/>
  <c r="AK1213" i="1"/>
  <c r="AK1212" i="1"/>
  <c r="AK1211" i="1"/>
  <c r="AK1210" i="1"/>
  <c r="AK1209" i="1"/>
  <c r="AK1208" i="1"/>
  <c r="AK1207" i="1"/>
  <c r="AK1206" i="1"/>
  <c r="AK1205" i="1"/>
  <c r="AK1202" i="1"/>
  <c r="AK1197" i="1"/>
  <c r="AK1190" i="1"/>
  <c r="AK1188" i="1"/>
  <c r="AK1185" i="1"/>
  <c r="AK1184" i="1"/>
  <c r="AK1183" i="1"/>
  <c r="AK1182" i="1"/>
  <c r="AK1181" i="1"/>
  <c r="AK1162" i="1"/>
  <c r="AK1161" i="1"/>
  <c r="AK1160" i="1"/>
  <c r="AK1159" i="1"/>
  <c r="AK1158" i="1"/>
  <c r="AK1157" i="1"/>
  <c r="AK1150" i="1"/>
  <c r="AK1149" i="1"/>
  <c r="AK1147" i="1"/>
  <c r="AK1146" i="1"/>
  <c r="AK1145" i="1"/>
  <c r="AK1144" i="1"/>
  <c r="AK1143" i="1"/>
  <c r="AK1142" i="1"/>
  <c r="AK1140" i="1"/>
  <c r="AK1139" i="1"/>
  <c r="AK1137" i="1"/>
  <c r="AK1136" i="1"/>
  <c r="AK1132" i="1"/>
  <c r="AK1125" i="1"/>
  <c r="AK1124" i="1"/>
  <c r="AK1123" i="1"/>
  <c r="AK1122" i="1"/>
  <c r="AK1121" i="1"/>
  <c r="AK1120" i="1"/>
  <c r="AK1119" i="1"/>
  <c r="AK1118" i="1"/>
  <c r="AK1117" i="1"/>
  <c r="AK1113" i="1"/>
  <c r="AK1112" i="1"/>
  <c r="AK1111" i="1"/>
  <c r="AK1108" i="1"/>
  <c r="AK1105" i="1"/>
  <c r="AK1104" i="1"/>
  <c r="AK1103" i="1"/>
  <c r="AK1101" i="1"/>
  <c r="AK1099" i="1"/>
  <c r="AK1098" i="1"/>
  <c r="AK1096" i="1"/>
  <c r="AK1095" i="1"/>
  <c r="AK1089" i="1"/>
  <c r="AK1086" i="1"/>
  <c r="AK1084" i="1"/>
  <c r="AK1082" i="1"/>
  <c r="AK1081" i="1"/>
  <c r="AK1079" i="1"/>
  <c r="AK1078" i="1"/>
  <c r="AK1077" i="1"/>
  <c r="AK1076" i="1"/>
  <c r="AK1075" i="1"/>
  <c r="AK1074" i="1"/>
  <c r="AK1073" i="1"/>
  <c r="AK1072" i="1"/>
  <c r="AK1071" i="1"/>
  <c r="AK1070" i="1"/>
  <c r="AK1069" i="1"/>
  <c r="AK1068" i="1"/>
  <c r="AK1066" i="1"/>
  <c r="AK1065" i="1"/>
  <c r="AK1064" i="1"/>
  <c r="AK1063" i="1"/>
  <c r="AK1062" i="1"/>
  <c r="AK1061" i="1"/>
  <c r="AK1058" i="1"/>
  <c r="AK1056" i="1"/>
  <c r="AK1055" i="1"/>
  <c r="AK1052" i="1"/>
  <c r="AK1050" i="1"/>
  <c r="AK1049" i="1"/>
  <c r="AK1048" i="1"/>
  <c r="AK1046" i="1"/>
  <c r="AK1043" i="1"/>
  <c r="AK1042" i="1"/>
  <c r="AK1041" i="1"/>
  <c r="AK1040" i="1"/>
  <c r="AK1039" i="1"/>
  <c r="AK1036" i="1"/>
  <c r="AK1035" i="1"/>
  <c r="AK1034" i="1"/>
  <c r="AK1030" i="1"/>
  <c r="AK1028" i="1"/>
  <c r="AK1027" i="1"/>
  <c r="AK1025" i="1"/>
  <c r="AK1022" i="1"/>
  <c r="AK1021" i="1"/>
  <c r="AK1020" i="1"/>
  <c r="AK1016" i="1"/>
  <c r="AK1015" i="1"/>
  <c r="AK1014" i="1"/>
  <c r="AK1013" i="1"/>
  <c r="AK1012" i="1"/>
  <c r="AK1011" i="1"/>
  <c r="AK1010" i="1"/>
  <c r="AK1006" i="1"/>
  <c r="AK1004" i="1"/>
  <c r="AK1003" i="1"/>
  <c r="AK1001" i="1"/>
  <c r="AK993" i="1"/>
  <c r="AK991" i="1"/>
  <c r="AK989" i="1"/>
  <c r="AK988" i="1"/>
  <c r="AK987" i="1"/>
  <c r="AK975" i="1"/>
  <c r="AK974" i="1"/>
  <c r="AK973" i="1"/>
  <c r="AK972" i="1"/>
  <c r="AK971" i="1"/>
  <c r="AK970" i="1"/>
  <c r="AK969" i="1"/>
  <c r="AK967" i="1"/>
  <c r="AK966" i="1"/>
  <c r="AK965" i="1"/>
  <c r="AK961" i="1"/>
  <c r="AK959" i="1"/>
  <c r="AK957" i="1"/>
  <c r="AK956" i="1"/>
  <c r="AK955" i="1"/>
  <c r="AK953" i="1"/>
  <c r="AK951" i="1"/>
  <c r="AK946" i="1"/>
  <c r="AK945" i="1"/>
  <c r="AK944" i="1"/>
  <c r="AK941" i="1"/>
  <c r="AK937" i="1"/>
  <c r="AK936" i="1"/>
  <c r="AK935" i="1"/>
  <c r="AK934" i="1"/>
  <c r="AK933" i="1"/>
  <c r="AK932" i="1"/>
  <c r="AK926" i="1"/>
  <c r="AK922" i="1"/>
  <c r="AK921" i="1"/>
  <c r="AK920" i="1"/>
  <c r="AK918" i="1"/>
  <c r="AK917" i="1"/>
  <c r="AK916" i="1"/>
  <c r="AK914" i="1"/>
  <c r="AK909" i="1"/>
  <c r="AK908" i="1"/>
  <c r="AK907" i="1"/>
  <c r="AK906" i="1"/>
  <c r="AK905" i="1"/>
  <c r="AK904" i="1"/>
  <c r="AK903" i="1"/>
  <c r="AK902" i="1"/>
  <c r="AK901" i="1"/>
  <c r="AK875" i="1"/>
  <c r="AK874" i="1"/>
  <c r="AK871" i="1"/>
  <c r="AK870" i="1"/>
  <c r="AK866" i="1"/>
  <c r="AK861" i="1"/>
  <c r="AK860" i="1"/>
  <c r="AK859" i="1"/>
  <c r="AK855" i="1"/>
  <c r="AK854" i="1"/>
  <c r="AK853" i="1"/>
  <c r="AK852" i="1"/>
  <c r="AK850" i="1"/>
  <c r="AK848" i="1"/>
  <c r="AK847" i="1"/>
  <c r="AK846" i="1"/>
  <c r="AK845" i="1"/>
  <c r="AK844" i="1"/>
  <c r="AK843" i="1"/>
  <c r="AK830" i="1"/>
  <c r="AK829" i="1"/>
  <c r="AK827" i="1"/>
  <c r="AK824" i="1"/>
  <c r="AK819" i="1"/>
  <c r="AK815" i="1"/>
  <c r="AK811" i="1"/>
  <c r="AK804" i="1"/>
  <c r="AK803" i="1"/>
  <c r="AK801" i="1"/>
  <c r="AK795" i="1"/>
  <c r="AK794" i="1"/>
  <c r="AK793" i="1"/>
  <c r="AK792" i="1"/>
  <c r="AK791" i="1"/>
  <c r="AK790" i="1"/>
  <c r="AK789" i="1"/>
  <c r="AK788" i="1"/>
  <c r="AK787" i="1"/>
  <c r="AK786" i="1"/>
  <c r="AK785" i="1"/>
  <c r="AK783" i="1"/>
  <c r="AK782" i="1"/>
  <c r="AK781" i="1"/>
  <c r="AK780" i="1"/>
  <c r="AK776" i="1"/>
  <c r="AK775" i="1"/>
  <c r="AK771" i="1"/>
  <c r="AK770" i="1"/>
  <c r="AK769" i="1"/>
  <c r="AK768" i="1"/>
  <c r="AK767" i="1"/>
  <c r="AK765" i="1"/>
  <c r="AK764" i="1"/>
  <c r="AK763" i="1"/>
  <c r="AK761" i="1"/>
  <c r="AK760" i="1"/>
  <c r="AK759" i="1"/>
  <c r="AK758" i="1"/>
  <c r="AK756" i="1"/>
  <c r="AK755" i="1"/>
  <c r="AK751" i="1"/>
  <c r="AK749" i="1"/>
  <c r="AK748" i="1"/>
  <c r="AK743" i="1"/>
  <c r="AK741" i="1"/>
  <c r="AK739" i="1"/>
  <c r="AK738" i="1"/>
  <c r="AK737" i="1"/>
  <c r="AK736" i="1"/>
  <c r="AK734" i="1"/>
  <c r="AK729" i="1"/>
  <c r="AK728" i="1"/>
  <c r="AK725" i="1"/>
  <c r="AK724" i="1"/>
  <c r="AK723" i="1"/>
  <c r="AK722" i="1"/>
  <c r="AK719" i="1"/>
  <c r="AK717" i="1"/>
  <c r="AK716" i="1"/>
  <c r="AK714" i="1"/>
  <c r="AK712" i="1"/>
  <c r="AK710" i="1"/>
  <c r="AK709" i="1"/>
  <c r="AK708" i="1"/>
  <c r="AK707" i="1"/>
  <c r="AK704" i="1"/>
  <c r="AK703" i="1"/>
  <c r="AK702" i="1"/>
  <c r="AK699" i="1"/>
  <c r="AK698" i="1"/>
  <c r="AK697" i="1"/>
  <c r="AK695" i="1"/>
  <c r="AK694" i="1"/>
  <c r="AK689" i="1"/>
  <c r="AK688" i="1"/>
  <c r="AK687" i="1"/>
  <c r="AK680" i="1"/>
  <c r="AK679" i="1"/>
  <c r="AK678" i="1"/>
  <c r="AK674" i="1"/>
  <c r="AK673" i="1"/>
  <c r="AK672" i="1"/>
  <c r="AK670" i="1"/>
  <c r="AK667" i="1"/>
  <c r="AK665" i="1"/>
  <c r="AK664" i="1"/>
  <c r="AK663" i="1"/>
  <c r="AK659" i="1"/>
  <c r="AK657" i="1"/>
  <c r="AK656" i="1"/>
  <c r="AK649" i="1"/>
  <c r="AK648" i="1"/>
  <c r="AK647" i="1"/>
  <c r="AK646" i="1"/>
  <c r="AK644" i="1"/>
  <c r="AK643" i="1"/>
  <c r="AK640" i="1"/>
  <c r="AK639" i="1"/>
  <c r="AK634" i="1"/>
  <c r="AK632" i="1"/>
  <c r="AK629" i="1"/>
  <c r="AK627" i="1"/>
  <c r="AK626" i="1"/>
  <c r="AK624" i="1"/>
  <c r="AK623" i="1"/>
  <c r="AK621" i="1"/>
  <c r="AK620" i="1"/>
  <c r="AK618" i="1"/>
  <c r="AK617" i="1"/>
  <c r="AK615" i="1"/>
  <c r="AK614" i="1"/>
  <c r="AK612" i="1"/>
  <c r="AK610" i="1"/>
  <c r="AK608" i="1"/>
  <c r="AK607" i="1"/>
  <c r="AK603" i="1"/>
  <c r="AK601" i="1"/>
  <c r="AK599" i="1"/>
  <c r="AK598" i="1"/>
  <c r="AK595" i="1"/>
  <c r="AK594" i="1"/>
  <c r="AK592" i="1"/>
  <c r="AK591" i="1"/>
  <c r="AK589" i="1"/>
  <c r="AK586" i="1"/>
  <c r="AK585" i="1"/>
  <c r="AK582" i="1"/>
  <c r="AK578" i="1"/>
  <c r="AK576" i="1"/>
  <c r="AK575" i="1"/>
  <c r="AK574" i="1"/>
  <c r="AK571" i="1"/>
  <c r="AK570" i="1"/>
  <c r="AK568" i="1"/>
  <c r="AK563" i="1"/>
  <c r="AK562" i="1"/>
  <c r="AK560" i="1"/>
  <c r="AK559" i="1"/>
  <c r="AK555" i="1"/>
  <c r="AK554" i="1"/>
  <c r="AK545" i="1"/>
  <c r="AK544" i="1"/>
  <c r="AK543" i="1"/>
  <c r="AK542" i="1"/>
  <c r="AK541" i="1"/>
  <c r="AK540" i="1"/>
  <c r="AK538" i="1"/>
  <c r="AK536" i="1"/>
  <c r="AK535" i="1"/>
  <c r="AK533" i="1"/>
  <c r="AK532" i="1"/>
  <c r="AK531" i="1"/>
  <c r="AK530" i="1"/>
  <c r="AK529" i="1"/>
  <c r="AK528" i="1"/>
  <c r="AK527" i="1"/>
  <c r="AK524" i="1"/>
  <c r="AK517" i="1"/>
  <c r="AK516" i="1"/>
  <c r="AK514" i="1"/>
  <c r="AK513" i="1"/>
  <c r="AK511" i="1"/>
  <c r="AK510" i="1"/>
  <c r="AK509" i="1"/>
  <c r="AK508" i="1"/>
  <c r="AK507" i="1"/>
  <c r="AK493" i="1"/>
  <c r="AK492" i="1"/>
  <c r="AK491" i="1"/>
  <c r="AK490" i="1"/>
  <c r="AK489" i="1"/>
  <c r="AK488" i="1"/>
  <c r="AK486" i="1"/>
  <c r="AK480" i="1"/>
  <c r="AK476" i="1"/>
  <c r="AK474" i="1"/>
  <c r="AK467" i="1"/>
  <c r="AK466" i="1"/>
  <c r="AK465" i="1"/>
  <c r="AK462" i="1"/>
  <c r="AK461" i="1"/>
  <c r="AK460" i="1"/>
  <c r="AK459" i="1"/>
  <c r="AK456" i="1"/>
  <c r="AK455" i="1"/>
  <c r="AK440" i="1"/>
  <c r="AK439" i="1"/>
  <c r="AK438" i="1"/>
  <c r="AK434" i="1"/>
  <c r="AK431" i="1"/>
  <c r="AK430" i="1"/>
  <c r="AK429" i="1"/>
  <c r="AK427" i="1"/>
  <c r="AK426" i="1"/>
  <c r="AK425" i="1"/>
  <c r="AK424" i="1"/>
  <c r="AK423" i="1"/>
  <c r="AK422" i="1"/>
  <c r="AK421" i="1"/>
  <c r="AK414" i="1"/>
  <c r="AK413" i="1"/>
  <c r="AK412" i="1"/>
  <c r="AK407" i="1"/>
  <c r="AK406" i="1"/>
  <c r="AK401" i="1"/>
  <c r="AK399" i="1"/>
  <c r="AK397" i="1"/>
  <c r="AK394" i="1"/>
  <c r="AK393" i="1"/>
  <c r="AK392" i="1"/>
  <c r="AK391" i="1"/>
  <c r="AK388" i="1"/>
  <c r="AK384" i="1"/>
  <c r="AK382" i="1"/>
  <c r="AK381" i="1"/>
  <c r="AK380" i="1"/>
  <c r="AK378" i="1"/>
  <c r="AK377" i="1"/>
  <c r="AK373" i="1"/>
  <c r="AK371" i="1"/>
  <c r="AK370" i="1"/>
  <c r="AK368" i="1"/>
  <c r="AK367" i="1"/>
  <c r="AK366" i="1"/>
  <c r="AK365" i="1"/>
  <c r="AK364" i="1"/>
  <c r="AK358" i="1"/>
  <c r="AK357" i="1"/>
  <c r="AK356" i="1"/>
  <c r="AK353" i="1"/>
  <c r="AK351" i="1"/>
  <c r="AK350" i="1"/>
  <c r="AK347" i="1"/>
  <c r="AK346" i="1"/>
  <c r="AK344" i="1"/>
  <c r="AK343" i="1"/>
  <c r="AK342" i="1"/>
  <c r="AK339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0" i="1"/>
  <c r="AK319" i="1"/>
  <c r="AK315" i="1"/>
  <c r="AK313" i="1"/>
  <c r="AK312" i="1"/>
  <c r="AK311" i="1"/>
  <c r="AK308" i="1"/>
  <c r="AK306" i="1"/>
  <c r="AK303" i="1"/>
  <c r="AK301" i="1"/>
  <c r="AK300" i="1"/>
  <c r="AK299" i="1"/>
  <c r="AK298" i="1"/>
  <c r="AK297" i="1"/>
  <c r="AK296" i="1"/>
  <c r="AK295" i="1"/>
  <c r="AK294" i="1"/>
  <c r="AK292" i="1"/>
  <c r="AK289" i="1"/>
  <c r="AK282" i="1"/>
  <c r="AK281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54" i="1"/>
  <c r="AK250" i="1"/>
  <c r="AK249" i="1"/>
  <c r="AK248" i="1"/>
  <c r="AK245" i="1"/>
  <c r="AK244" i="1"/>
  <c r="AK242" i="1"/>
  <c r="AK241" i="1"/>
  <c r="AK236" i="1"/>
  <c r="AK235" i="1"/>
  <c r="AK233" i="1"/>
  <c r="AK230" i="1"/>
  <c r="AK229" i="1"/>
  <c r="AK228" i="1"/>
  <c r="AK226" i="1"/>
  <c r="AK225" i="1"/>
  <c r="AK224" i="1"/>
  <c r="AK223" i="1"/>
  <c r="AK222" i="1"/>
  <c r="AK220" i="1"/>
  <c r="AK215" i="1"/>
  <c r="AK213" i="1"/>
  <c r="AK212" i="1"/>
  <c r="AK211" i="1"/>
  <c r="AK209" i="1"/>
  <c r="AK206" i="1"/>
  <c r="AK205" i="1"/>
  <c r="AK203" i="1"/>
  <c r="AK200" i="1"/>
  <c r="AK199" i="1"/>
  <c r="AK198" i="1"/>
  <c r="AK195" i="1"/>
  <c r="AK193" i="1"/>
  <c r="AK192" i="1"/>
  <c r="AK191" i="1"/>
  <c r="AK190" i="1"/>
  <c r="AK189" i="1"/>
  <c r="AK184" i="1"/>
  <c r="AK182" i="1"/>
  <c r="AK181" i="1"/>
  <c r="AK180" i="1"/>
  <c r="AK179" i="1"/>
  <c r="AK177" i="1"/>
  <c r="AK176" i="1"/>
  <c r="AK175" i="1"/>
  <c r="AK174" i="1"/>
  <c r="AK165" i="1"/>
  <c r="AK164" i="1"/>
  <c r="AK163" i="1"/>
  <c r="AK162" i="1"/>
  <c r="AK161" i="1"/>
  <c r="AK160" i="1"/>
  <c r="AK159" i="1"/>
  <c r="AK155" i="1"/>
  <c r="AK153" i="1"/>
  <c r="AK152" i="1"/>
  <c r="AK150" i="1"/>
  <c r="AK149" i="1"/>
  <c r="AK147" i="1"/>
  <c r="AK144" i="1"/>
  <c r="AK143" i="1"/>
  <c r="AK141" i="1"/>
  <c r="AK140" i="1"/>
  <c r="AK138" i="1"/>
  <c r="AK137" i="1"/>
  <c r="AK134" i="1"/>
  <c r="AK133" i="1"/>
  <c r="AK131" i="1"/>
  <c r="AK129" i="1"/>
  <c r="AK125" i="1"/>
  <c r="AK123" i="1"/>
  <c r="AK122" i="1"/>
  <c r="AK114" i="1"/>
  <c r="AK112" i="1"/>
  <c r="AK109" i="1"/>
  <c r="AK108" i="1"/>
  <c r="AK107" i="1"/>
  <c r="AK106" i="1"/>
  <c r="AK103" i="1"/>
  <c r="AK102" i="1"/>
  <c r="AK99" i="1"/>
  <c r="AK98" i="1"/>
  <c r="AK97" i="1"/>
  <c r="AK96" i="1"/>
  <c r="AK95" i="1"/>
  <c r="AK94" i="1"/>
  <c r="AK93" i="1"/>
  <c r="AK92" i="1"/>
  <c r="AK91" i="1"/>
  <c r="AK90" i="1"/>
  <c r="AK87" i="1"/>
  <c r="AK86" i="1"/>
  <c r="AK85" i="1"/>
  <c r="AK84" i="1"/>
  <c r="AK83" i="1"/>
  <c r="AK82" i="1"/>
  <c r="AK81" i="1"/>
  <c r="AK80" i="1"/>
  <c r="AK76" i="1"/>
  <c r="AK74" i="1"/>
  <c r="AK72" i="1"/>
  <c r="AK71" i="1"/>
  <c r="AK69" i="1"/>
  <c r="AK66" i="1"/>
  <c r="AK64" i="1"/>
  <c r="AK62" i="1"/>
  <c r="AK59" i="1"/>
  <c r="AK55" i="1"/>
  <c r="AK52" i="1"/>
  <c r="AK51" i="1"/>
  <c r="AK48" i="1"/>
  <c r="AK47" i="1"/>
  <c r="AK46" i="1"/>
  <c r="AK45" i="1"/>
  <c r="AK42" i="1"/>
  <c r="AK41" i="1"/>
  <c r="AK34" i="1"/>
  <c r="AK31" i="1"/>
  <c r="AK30" i="1"/>
  <c r="AK23" i="1"/>
  <c r="AK21" i="1"/>
  <c r="AK18" i="1"/>
  <c r="AK17" i="1"/>
  <c r="AK16" i="1"/>
  <c r="AK15" i="1"/>
  <c r="AK14" i="1"/>
  <c r="AK10" i="1"/>
  <c r="AK6" i="1"/>
  <c r="AK4" i="1"/>
  <c r="AK3" i="1"/>
</calcChain>
</file>

<file path=xl/sharedStrings.xml><?xml version="1.0" encoding="utf-8"?>
<sst xmlns="http://schemas.openxmlformats.org/spreadsheetml/2006/main" count="6582" uniqueCount="680">
  <si>
    <t>S3400</t>
  </si>
  <si>
    <t>S3404</t>
  </si>
  <si>
    <t>Discount</t>
  </si>
  <si>
    <t>Member</t>
  </si>
  <si>
    <t>Inv</t>
  </si>
  <si>
    <t>Gross</t>
  </si>
  <si>
    <t>extended</t>
  </si>
  <si>
    <t>EZPAY</t>
  </si>
  <si>
    <t>NET</t>
  </si>
  <si>
    <t>date</t>
  </si>
  <si>
    <t>ID</t>
  </si>
  <si>
    <t>Account</t>
  </si>
  <si>
    <t>Date</t>
  </si>
  <si>
    <t>Invoice</t>
  </si>
  <si>
    <t>DISC</t>
  </si>
  <si>
    <t>VENDORINV</t>
  </si>
  <si>
    <t>VENDOR_NAME</t>
  </si>
  <si>
    <t>EZPAYNET</t>
  </si>
  <si>
    <t>BTSA</t>
  </si>
  <si>
    <t>AT1</t>
  </si>
  <si>
    <t>RECIEPT</t>
  </si>
  <si>
    <t>BDATE</t>
  </si>
  <si>
    <t>DT_Posted</t>
  </si>
  <si>
    <t>AT2</t>
  </si>
  <si>
    <t>DA</t>
  </si>
  <si>
    <t>DATE_SUBMITTED</t>
  </si>
  <si>
    <t>DATE_C</t>
  </si>
  <si>
    <t>P_O_</t>
  </si>
  <si>
    <t>TERMS</t>
  </si>
  <si>
    <t>VINVNO</t>
  </si>
  <si>
    <t>DT_POSTED</t>
  </si>
  <si>
    <t>DT_PAID</t>
  </si>
  <si>
    <t>NULL</t>
  </si>
  <si>
    <t>PRO</t>
  </si>
  <si>
    <t>PAID</t>
  </si>
  <si>
    <t>NET 02/10/26</t>
  </si>
  <si>
    <t>DM120225</t>
  </si>
  <si>
    <t>2% 01/10/26</t>
  </si>
  <si>
    <t>NET 01/10/26</t>
  </si>
  <si>
    <t>Auto263888407650787</t>
  </si>
  <si>
    <t>NMCNoINV</t>
  </si>
  <si>
    <t>N/A</t>
  </si>
  <si>
    <t>A113001</t>
  </si>
  <si>
    <t>HAHNEMUHLE</t>
  </si>
  <si>
    <t>CLT112525C</t>
  </si>
  <si>
    <t>CJD014FFF</t>
  </si>
  <si>
    <t>LA0974S</t>
  </si>
  <si>
    <t>LKSA11414</t>
  </si>
  <si>
    <t>LAKS010SS</t>
  </si>
  <si>
    <t>JHSD01000</t>
  </si>
  <si>
    <t>KOP12012025</t>
  </si>
  <si>
    <t>LA0432</t>
  </si>
  <si>
    <t>LAS0747SSS</t>
  </si>
  <si>
    <t>54SSSSS</t>
  </si>
  <si>
    <t>LANSDALE12012025</t>
  </si>
  <si>
    <t>LAKSS01DD</t>
  </si>
  <si>
    <t>LKF010D</t>
  </si>
  <si>
    <t>HGEF010R</t>
  </si>
  <si>
    <t>LAX14014</t>
  </si>
  <si>
    <t>ELITE</t>
  </si>
  <si>
    <t>KJDD5FF</t>
  </si>
  <si>
    <t>LKJDF047F</t>
  </si>
  <si>
    <t>45656D</t>
  </si>
  <si>
    <t>Auto1020863313600249</t>
  </si>
  <si>
    <t>A12102225</t>
  </si>
  <si>
    <t>NET 12/10/25</t>
  </si>
  <si>
    <t>01-00891300</t>
  </si>
  <si>
    <t>TAMRON</t>
  </si>
  <si>
    <t>TAM82925</t>
  </si>
  <si>
    <t>1% 12/10/25</t>
  </si>
  <si>
    <t>PRO11325</t>
  </si>
  <si>
    <t>2% 12/10/25</t>
  </si>
  <si>
    <t>TCC731FR</t>
  </si>
  <si>
    <t>LAWRENCE</t>
  </si>
  <si>
    <t>PRO111725</t>
  </si>
  <si>
    <t>A112933</t>
  </si>
  <si>
    <t>CC-349127</t>
  </si>
  <si>
    <t>CC-351157</t>
  </si>
  <si>
    <t>CC-351267</t>
  </si>
  <si>
    <t>CC-350574</t>
  </si>
  <si>
    <t>OLYM112467</t>
  </si>
  <si>
    <t>OLYM112526</t>
  </si>
  <si>
    <t>NET DUE 10TH</t>
  </si>
  <si>
    <t>Auto673927628037829</t>
  </si>
  <si>
    <t>PROSHOW2025</t>
  </si>
  <si>
    <t>OM102025</t>
  </si>
  <si>
    <t>OLYM112461</t>
  </si>
  <si>
    <t>INSTAX1020</t>
  </si>
  <si>
    <t>FUJI112462</t>
  </si>
  <si>
    <t>FUJI102025</t>
  </si>
  <si>
    <t>FUJI112463</t>
  </si>
  <si>
    <t>SMALLRIG10</t>
  </si>
  <si>
    <t>Sma112464</t>
  </si>
  <si>
    <t>Sma112465</t>
  </si>
  <si>
    <t>Sma112466</t>
  </si>
  <si>
    <t>01-00891152</t>
  </si>
  <si>
    <t>01-00889902</t>
  </si>
  <si>
    <t>FAL25 T</t>
  </si>
  <si>
    <t>2% 11/10/25</t>
  </si>
  <si>
    <t>Auto739457004939976</t>
  </si>
  <si>
    <t>102886 F</t>
  </si>
  <si>
    <t>102820 P</t>
  </si>
  <si>
    <t>102701 MF</t>
  </si>
  <si>
    <t>REGIS</t>
  </si>
  <si>
    <t>NMC103691491x</t>
  </si>
  <si>
    <t>251043-A</t>
  </si>
  <si>
    <t>OLYM112501</t>
  </si>
  <si>
    <t>OLYM112503</t>
  </si>
  <si>
    <t>251051-A</t>
  </si>
  <si>
    <t>PRO112508</t>
  </si>
  <si>
    <t>Nom112509</t>
  </si>
  <si>
    <t>251055-A</t>
  </si>
  <si>
    <t>PANA112521</t>
  </si>
  <si>
    <t>oly101224</t>
  </si>
  <si>
    <t>OLYM112469</t>
  </si>
  <si>
    <t>MS102325</t>
  </si>
  <si>
    <t>MS102425</t>
  </si>
  <si>
    <t>AUG202025</t>
  </si>
  <si>
    <t xml:space="preserve">FuH112925 </t>
  </si>
  <si>
    <t>FUJI112541</t>
  </si>
  <si>
    <t>PS92425AGF</t>
  </si>
  <si>
    <t>RN91125</t>
  </si>
  <si>
    <t>ROCKY NOOK</t>
  </si>
  <si>
    <t>A112987</t>
  </si>
  <si>
    <t>091625P</t>
  </si>
  <si>
    <t>120325P</t>
  </si>
  <si>
    <t>120425P</t>
  </si>
  <si>
    <t>1006500LCWH</t>
  </si>
  <si>
    <t>1201500QIKZ</t>
  </si>
  <si>
    <t>1110500OSZD</t>
  </si>
  <si>
    <t>1128500QFNE</t>
  </si>
  <si>
    <t>1202500QJQT</t>
  </si>
  <si>
    <t>1118500PSMC</t>
  </si>
  <si>
    <t>1126500QDTO</t>
  </si>
  <si>
    <t>1203500QKQP</t>
  </si>
  <si>
    <t>OPTECH</t>
  </si>
  <si>
    <t>1203500Q</t>
  </si>
  <si>
    <t>USW811960</t>
  </si>
  <si>
    <t>NISI</t>
  </si>
  <si>
    <t>USW811997</t>
  </si>
  <si>
    <t>1204500QLPS</t>
  </si>
  <si>
    <t>1022500MOZW</t>
  </si>
  <si>
    <t>NMC103691493x</t>
  </si>
  <si>
    <t>IR102925SM</t>
  </si>
  <si>
    <t>Sma112425</t>
  </si>
  <si>
    <t>IR112525OM</t>
  </si>
  <si>
    <t>OLYM112523</t>
  </si>
  <si>
    <t>IR112525PR</t>
  </si>
  <si>
    <t>PRO112524</t>
  </si>
  <si>
    <t>P103125KM</t>
  </si>
  <si>
    <t>P111225KM</t>
  </si>
  <si>
    <t>P112125KM</t>
  </si>
  <si>
    <t>SKB</t>
  </si>
  <si>
    <t>112125KM</t>
  </si>
  <si>
    <t>1% 01/10/26</t>
  </si>
  <si>
    <t>110925KM</t>
  </si>
  <si>
    <t>P100625KM</t>
  </si>
  <si>
    <t>OLYM112457</t>
  </si>
  <si>
    <t>OLYM112468</t>
  </si>
  <si>
    <t>OLYM112476</t>
  </si>
  <si>
    <t>100725HART</t>
  </si>
  <si>
    <t>NET 11/10/25</t>
  </si>
  <si>
    <t>2948S3400</t>
  </si>
  <si>
    <t>3601061-OKC</t>
  </si>
  <si>
    <t>3599808-SFD</t>
  </si>
  <si>
    <t>3599811-OKC</t>
  </si>
  <si>
    <t>3600005-LR</t>
  </si>
  <si>
    <t>3599810-LR</t>
  </si>
  <si>
    <t>3601065-SFD</t>
  </si>
  <si>
    <t>3600003-OKC</t>
  </si>
  <si>
    <t>3601062-LR</t>
  </si>
  <si>
    <t>3601066-KC</t>
  </si>
  <si>
    <t>3599807-TUL</t>
  </si>
  <si>
    <t>3599809-KC</t>
  </si>
  <si>
    <t>3599806-FAY</t>
  </si>
  <si>
    <t>3601064-TUL</t>
  </si>
  <si>
    <t>3601063-FAY</t>
  </si>
  <si>
    <t>3600004-KC</t>
  </si>
  <si>
    <t>3601183-EST</t>
  </si>
  <si>
    <t>3600070-FAY</t>
  </si>
  <si>
    <t>3600432-OKC</t>
  </si>
  <si>
    <t>3600796-FAY</t>
  </si>
  <si>
    <t>3601213-FAY</t>
  </si>
  <si>
    <t>3601214-OKC</t>
  </si>
  <si>
    <t>3600072-TUL</t>
  </si>
  <si>
    <t>NMC333683</t>
  </si>
  <si>
    <t>MAC GROUP</t>
  </si>
  <si>
    <t>USW811896</t>
  </si>
  <si>
    <t>USW811465</t>
  </si>
  <si>
    <t>PROWAND</t>
  </si>
  <si>
    <t>NMCCM104637</t>
  </si>
  <si>
    <t>DELKIN</t>
  </si>
  <si>
    <t>OCTSPIFF</t>
  </si>
  <si>
    <t>USW811962</t>
  </si>
  <si>
    <t>WW-PRO-9600</t>
  </si>
  <si>
    <t>WW-PRO-9449</t>
  </si>
  <si>
    <t>WW-PRO-9347</t>
  </si>
  <si>
    <t>WW-PRO-9547</t>
  </si>
  <si>
    <t>CM-PRO-8965</t>
  </si>
  <si>
    <t>ACP-PRO-9353</t>
  </si>
  <si>
    <t>TC8925</t>
  </si>
  <si>
    <t>ACP-PRO-9621</t>
  </si>
  <si>
    <t>TC101825</t>
  </si>
  <si>
    <t>ACP-PRO-9184</t>
  </si>
  <si>
    <t>WW-PRO-9509</t>
  </si>
  <si>
    <t>ACP-PRO-9605</t>
  </si>
  <si>
    <t>WW-PRO-9615</t>
  </si>
  <si>
    <t>WW-PRO-9653</t>
  </si>
  <si>
    <t>CM-PRO-9631</t>
  </si>
  <si>
    <t>ACP-PRO-9650</t>
  </si>
  <si>
    <t>MKG-9676-PRO</t>
  </si>
  <si>
    <t>LAN120325</t>
  </si>
  <si>
    <t>CMOT9671</t>
  </si>
  <si>
    <t>A112988</t>
  </si>
  <si>
    <t>A112989</t>
  </si>
  <si>
    <t>LAN12032</t>
  </si>
  <si>
    <t>ACP-PRO-9480</t>
  </si>
  <si>
    <t>MPV50200DEMO</t>
  </si>
  <si>
    <t>MKG-9640</t>
  </si>
  <si>
    <t>WW-PRO-9674</t>
  </si>
  <si>
    <t>ACP-PRO-9685</t>
  </si>
  <si>
    <t>LAN112425.</t>
  </si>
  <si>
    <t>WW-PRO-9691</t>
  </si>
  <si>
    <t>INV124997</t>
  </si>
  <si>
    <t>NMCCM104632</t>
  </si>
  <si>
    <t>250801P</t>
  </si>
  <si>
    <t>251021P</t>
  </si>
  <si>
    <t>251128P</t>
  </si>
  <si>
    <t>NMCCM104640</t>
  </si>
  <si>
    <t>P25F06A</t>
  </si>
  <si>
    <t>PHOTOGENIC</t>
  </si>
  <si>
    <t>GLAOMOCT25</t>
  </si>
  <si>
    <t>OLYM112441</t>
  </si>
  <si>
    <t>031325TA</t>
  </si>
  <si>
    <t>A INSTAX MINI 11/6/25</t>
  </si>
  <si>
    <t>PRO101125</t>
  </si>
  <si>
    <t>PRO9625</t>
  </si>
  <si>
    <t>PHO111725C</t>
  </si>
  <si>
    <t>DS112825B</t>
  </si>
  <si>
    <t>DS112825C</t>
  </si>
  <si>
    <t>PHO112925TA</t>
  </si>
  <si>
    <t>DS112925</t>
  </si>
  <si>
    <t>DS112825A</t>
  </si>
  <si>
    <t>PHO12225B</t>
  </si>
  <si>
    <t>PHO12225</t>
  </si>
  <si>
    <t>PRO12325</t>
  </si>
  <si>
    <t>PHO12525</t>
  </si>
  <si>
    <t>PHO12525B</t>
  </si>
  <si>
    <t>PHO102425</t>
  </si>
  <si>
    <t>PHONEXTDAYOLY</t>
  </si>
  <si>
    <t>OLYM112419</t>
  </si>
  <si>
    <t>PANA112420</t>
  </si>
  <si>
    <t>PANA112434</t>
  </si>
  <si>
    <t>PANA112435</t>
  </si>
  <si>
    <t>PANA112436</t>
  </si>
  <si>
    <t>OLYM112440</t>
  </si>
  <si>
    <t>OLYM112447</t>
  </si>
  <si>
    <t>OLYM112458</t>
  </si>
  <si>
    <t>OLYM112459</t>
  </si>
  <si>
    <t>PANA112470</t>
  </si>
  <si>
    <t>OLYM112492</t>
  </si>
  <si>
    <t>OLYM112493</t>
  </si>
  <si>
    <t>01-00891826</t>
  </si>
  <si>
    <t>81325JR</t>
  </si>
  <si>
    <t>INV404264</t>
  </si>
  <si>
    <t>TIFFEN</t>
  </si>
  <si>
    <t>PAKOR</t>
  </si>
  <si>
    <t>NMC103671634x</t>
  </si>
  <si>
    <t>42525PU</t>
  </si>
  <si>
    <t>41325PU</t>
  </si>
  <si>
    <t>BUFF61325</t>
  </si>
  <si>
    <t>110925PU</t>
  </si>
  <si>
    <t>FUJIBUFF11525</t>
  </si>
  <si>
    <t>01-00891450</t>
  </si>
  <si>
    <t>82725HV</t>
  </si>
  <si>
    <t>01-00891451</t>
  </si>
  <si>
    <t>5% 12/10/25</t>
  </si>
  <si>
    <t>111125PU</t>
  </si>
  <si>
    <t>102925PU</t>
  </si>
  <si>
    <t>RA 1489</t>
  </si>
  <si>
    <t>01-00892005</t>
  </si>
  <si>
    <t>BUFF72325</t>
  </si>
  <si>
    <t>110725PU</t>
  </si>
  <si>
    <t>111225PU</t>
  </si>
  <si>
    <t>BUFF11525</t>
  </si>
  <si>
    <t>101425PU</t>
  </si>
  <si>
    <t>SHOWBUFF916</t>
  </si>
  <si>
    <t>FBA102225</t>
  </si>
  <si>
    <t>PU111325</t>
  </si>
  <si>
    <t>102325PU</t>
  </si>
  <si>
    <t>8625PU</t>
  </si>
  <si>
    <t>9328PU</t>
  </si>
  <si>
    <t>62025PU</t>
  </si>
  <si>
    <t>82925PU</t>
  </si>
  <si>
    <t>91425PU</t>
  </si>
  <si>
    <t>62825PU</t>
  </si>
  <si>
    <t>FUJIBUFF102325</t>
  </si>
  <si>
    <t>91725 PAN BF</t>
  </si>
  <si>
    <t>BUFF8825</t>
  </si>
  <si>
    <t>BUFF10825</t>
  </si>
  <si>
    <t>112925PU</t>
  </si>
  <si>
    <t>120125PU</t>
  </si>
  <si>
    <t>112525BF</t>
  </si>
  <si>
    <t>103125PU</t>
  </si>
  <si>
    <t>120225PU</t>
  </si>
  <si>
    <t>BUFF112925</t>
  </si>
  <si>
    <t>FBA112525</t>
  </si>
  <si>
    <t>112725PU</t>
  </si>
  <si>
    <t>LAOWA11625</t>
  </si>
  <si>
    <t>120425PU</t>
  </si>
  <si>
    <t>WANDRD50%OFFBU</t>
  </si>
  <si>
    <t>120325PU</t>
  </si>
  <si>
    <t>12525PU</t>
  </si>
  <si>
    <t>H80334</t>
  </si>
  <si>
    <t>H80182</t>
  </si>
  <si>
    <t>H80316</t>
  </si>
  <si>
    <t>H79786</t>
  </si>
  <si>
    <t>H80391</t>
  </si>
  <si>
    <t>H80390</t>
  </si>
  <si>
    <t>H80275</t>
  </si>
  <si>
    <t>H80120</t>
  </si>
  <si>
    <t>H80330</t>
  </si>
  <si>
    <t>H80208</t>
  </si>
  <si>
    <t>H80411</t>
  </si>
  <si>
    <t>H78954</t>
  </si>
  <si>
    <t>H80388</t>
  </si>
  <si>
    <t>H80402</t>
  </si>
  <si>
    <t>H79558</t>
  </si>
  <si>
    <t>H80420</t>
  </si>
  <si>
    <t>NMCODS-11792025X</t>
  </si>
  <si>
    <t>H80333</t>
  </si>
  <si>
    <t>NMCCM104643</t>
  </si>
  <si>
    <t>A112947</t>
  </si>
  <si>
    <t>H80389</t>
  </si>
  <si>
    <t>H79553</t>
  </si>
  <si>
    <t>Auto387597044647121</t>
  </si>
  <si>
    <t>PIONEER</t>
  </si>
  <si>
    <t>SELLEC</t>
  </si>
  <si>
    <t>HOURS</t>
  </si>
  <si>
    <t>ARMANDOSTHEMAN</t>
  </si>
  <si>
    <t>HOCKYPUK</t>
  </si>
  <si>
    <t>75MM FOR MMEHANDRU</t>
  </si>
  <si>
    <t>CHRISANN TICE</t>
  </si>
  <si>
    <t>Auto298619855293660</t>
  </si>
  <si>
    <t>LGLGLGL</t>
  </si>
  <si>
    <t>Auto1025294434148005</t>
  </si>
  <si>
    <t>11072025AH1</t>
  </si>
  <si>
    <t>MCS</t>
  </si>
  <si>
    <t>92025AH1</t>
  </si>
  <si>
    <t>CM583223388</t>
  </si>
  <si>
    <t>10222025AH1</t>
  </si>
  <si>
    <t>7058K</t>
  </si>
  <si>
    <t>7064G</t>
  </si>
  <si>
    <t>7067G</t>
  </si>
  <si>
    <t>7068K</t>
  </si>
  <si>
    <t>7050G</t>
  </si>
  <si>
    <t>7024G</t>
  </si>
  <si>
    <t>7075G</t>
  </si>
  <si>
    <t>Auto159536831867835</t>
  </si>
  <si>
    <t>P4164974</t>
  </si>
  <si>
    <t>P4164229</t>
  </si>
  <si>
    <t>P4165116</t>
  </si>
  <si>
    <t>P4165150</t>
  </si>
  <si>
    <t>P4165106</t>
  </si>
  <si>
    <t>P4165000</t>
  </si>
  <si>
    <t>TYNDELL</t>
  </si>
  <si>
    <t>P4165114</t>
  </si>
  <si>
    <t>OM1025-A</t>
  </si>
  <si>
    <t>OLYM112473</t>
  </si>
  <si>
    <t>1-75903</t>
  </si>
  <si>
    <t>1-75777</t>
  </si>
  <si>
    <t>1-76147</t>
  </si>
  <si>
    <t>1-76543</t>
  </si>
  <si>
    <t>1-76614</t>
  </si>
  <si>
    <t>21103969PROMA</t>
  </si>
  <si>
    <t>1-75427</t>
  </si>
  <si>
    <t>1-76492</t>
  </si>
  <si>
    <t>1-76505</t>
  </si>
  <si>
    <t>1-76633</t>
  </si>
  <si>
    <t>NMC333688</t>
  </si>
  <si>
    <t>C102025</t>
  </si>
  <si>
    <t>USW811979</t>
  </si>
  <si>
    <t>USW812004</t>
  </si>
  <si>
    <t>21103951PRO</t>
  </si>
  <si>
    <t>1-76532</t>
  </si>
  <si>
    <t xml:space="preserve">OM System </t>
  </si>
  <si>
    <t>OLYM112520</t>
  </si>
  <si>
    <t>KC12225</t>
  </si>
  <si>
    <t>10-27-25o</t>
  </si>
  <si>
    <t>OLYM112413</t>
  </si>
  <si>
    <t>OLYM112504</t>
  </si>
  <si>
    <t>G10311</t>
  </si>
  <si>
    <t>NMC70057160x</t>
  </si>
  <si>
    <t>NMC70057161x</t>
  </si>
  <si>
    <t>NMC70057162x</t>
  </si>
  <si>
    <t>A036425</t>
  </si>
  <si>
    <t>172911S</t>
  </si>
  <si>
    <t>172726S</t>
  </si>
  <si>
    <t>A036395</t>
  </si>
  <si>
    <t>NMCT203959x</t>
  </si>
  <si>
    <t>T203903</t>
  </si>
  <si>
    <t>OLYM112474</t>
  </si>
  <si>
    <t>T203904</t>
  </si>
  <si>
    <t>OLYM112475</t>
  </si>
  <si>
    <t>Auto901030304908014</t>
  </si>
  <si>
    <t>080125PRO-DC</t>
  </si>
  <si>
    <t>112425PRO-DC</t>
  </si>
  <si>
    <t>112825PRO-B</t>
  </si>
  <si>
    <t>120125PRO-DC</t>
  </si>
  <si>
    <t>112725PRO-B</t>
  </si>
  <si>
    <t>112925PRO-DC</t>
  </si>
  <si>
    <t>111525PRO-DC</t>
  </si>
  <si>
    <t>NMCCN1071</t>
  </si>
  <si>
    <t>080125PRO-ARL</t>
  </si>
  <si>
    <t>NMC103702054x</t>
  </si>
  <si>
    <t>A112999</t>
  </si>
  <si>
    <t>OLYM112514</t>
  </si>
  <si>
    <t>17445  PRO SHOW</t>
  </si>
  <si>
    <t>PO-25-01130</t>
  </si>
  <si>
    <t>PO-25-01636</t>
  </si>
  <si>
    <t>PO-25-01592</t>
  </si>
  <si>
    <t>PO-25-01522</t>
  </si>
  <si>
    <t>A112946</t>
  </si>
  <si>
    <t>USW811720</t>
  </si>
  <si>
    <t>LVXE5</t>
  </si>
  <si>
    <t>LV10PROM2425</t>
  </si>
  <si>
    <t>LV9125</t>
  </si>
  <si>
    <t>LVPORODALLAS</t>
  </si>
  <si>
    <t>LVVTHATA</t>
  </si>
  <si>
    <t>LV10725</t>
  </si>
  <si>
    <t>SDPROMAS92125</t>
  </si>
  <si>
    <t>LVOMS111025</t>
  </si>
  <si>
    <t>SD11PRO202515</t>
  </si>
  <si>
    <t>SDSECOP10132025</t>
  </si>
  <si>
    <t>LV1192025</t>
  </si>
  <si>
    <t>SD915252025</t>
  </si>
  <si>
    <t>LV112925</t>
  </si>
  <si>
    <t>SDPANA112925</t>
  </si>
  <si>
    <t>PRO SHOW DALLAS N</t>
  </si>
  <si>
    <t>LV92425</t>
  </si>
  <si>
    <t>SD92425</t>
  </si>
  <si>
    <t>LV113025</t>
  </si>
  <si>
    <t>SD12325</t>
  </si>
  <si>
    <t>LVFUJI111525</t>
  </si>
  <si>
    <t>LV112925FUJI</t>
  </si>
  <si>
    <t>SD1123FUJ30</t>
  </si>
  <si>
    <t>LV12225</t>
  </si>
  <si>
    <t>INV404084</t>
  </si>
  <si>
    <t>P25F03FIN</t>
  </si>
  <si>
    <t>P25F04FIN</t>
  </si>
  <si>
    <t>LV12325</t>
  </si>
  <si>
    <t>SD122325OMS</t>
  </si>
  <si>
    <t>204724A</t>
  </si>
  <si>
    <t>10-31-25 CC</t>
  </si>
  <si>
    <t>1-28-25 CC</t>
  </si>
  <si>
    <t>12-2-25 CC</t>
  </si>
  <si>
    <t>12-4-25 CC</t>
  </si>
  <si>
    <t>RFJ100625</t>
  </si>
  <si>
    <t>R110625</t>
  </si>
  <si>
    <t>SO111725</t>
  </si>
  <si>
    <t>R111425</t>
  </si>
  <si>
    <t>R080825</t>
  </si>
  <si>
    <t>SO112825</t>
  </si>
  <si>
    <t>R112825</t>
  </si>
  <si>
    <t>R091625MAN</t>
  </si>
  <si>
    <t>USW811656</t>
  </si>
  <si>
    <t>P25F10FIN</t>
  </si>
  <si>
    <t>R101725</t>
  </si>
  <si>
    <t>R102825</t>
  </si>
  <si>
    <t>OM 250908</t>
  </si>
  <si>
    <t>OLYM112443</t>
  </si>
  <si>
    <t>OM 251013</t>
  </si>
  <si>
    <t>OLYM112444</t>
  </si>
  <si>
    <t>PAN 251005</t>
  </si>
  <si>
    <t>PANA112445</t>
  </si>
  <si>
    <t>RFJ101525</t>
  </si>
  <si>
    <t>FJ100625</t>
  </si>
  <si>
    <t>FJ082125</t>
  </si>
  <si>
    <t>NEWFJ0625</t>
  </si>
  <si>
    <t>Auto154404523943387</t>
  </si>
  <si>
    <t>20932 F</t>
  </si>
  <si>
    <t>20943 P</t>
  </si>
  <si>
    <t>20785 MF</t>
  </si>
  <si>
    <t>20769 OM</t>
  </si>
  <si>
    <t>250965-B</t>
  </si>
  <si>
    <t>PANA112410</t>
  </si>
  <si>
    <t>251043-B</t>
  </si>
  <si>
    <t>OLYM112506</t>
  </si>
  <si>
    <t>OLYM112507</t>
  </si>
  <si>
    <t>251051-B</t>
  </si>
  <si>
    <t>PRO112511</t>
  </si>
  <si>
    <t>Nom112512</t>
  </si>
  <si>
    <t>251055-B</t>
  </si>
  <si>
    <t>PANA112522</t>
  </si>
  <si>
    <t>102925DETPRO</t>
  </si>
  <si>
    <t>102925DET PRO</t>
  </si>
  <si>
    <t>102925CIN PRO</t>
  </si>
  <si>
    <t>102925CINPRO</t>
  </si>
  <si>
    <t>102925CHIPRO</t>
  </si>
  <si>
    <t>102925CHI PRO</t>
  </si>
  <si>
    <t>102925AA PRO</t>
  </si>
  <si>
    <t>102925AAPRO</t>
  </si>
  <si>
    <t>FUPROSHOW925AA</t>
  </si>
  <si>
    <t>FUPROSHOW925DET</t>
  </si>
  <si>
    <t>FUPROSHOW925CIN</t>
  </si>
  <si>
    <t>FUPROSHOW925CHI</t>
  </si>
  <si>
    <t>XT30III102225CIN</t>
  </si>
  <si>
    <t>XE5-061225AA</t>
  </si>
  <si>
    <t>XT30III102225DET</t>
  </si>
  <si>
    <t>102725DET</t>
  </si>
  <si>
    <t>112825DETLAB</t>
  </si>
  <si>
    <t>PROSHOW82025X4AA</t>
  </si>
  <si>
    <t>CI080825BS</t>
  </si>
  <si>
    <t>PROSHOW92225CHI</t>
  </si>
  <si>
    <t>PROSHOW92225AA</t>
  </si>
  <si>
    <t>PROSHOW92225DET</t>
  </si>
  <si>
    <t>PROSHOW92225CIN</t>
  </si>
  <si>
    <t>CH102225BS</t>
  </si>
  <si>
    <t>XT30III102225CHI</t>
  </si>
  <si>
    <t>12324CHI-FUJI</t>
  </si>
  <si>
    <t>CI103125BS</t>
  </si>
  <si>
    <t>INV404655</t>
  </si>
  <si>
    <t>INV404659</t>
  </si>
  <si>
    <t>INV404663</t>
  </si>
  <si>
    <t>USW811617</t>
  </si>
  <si>
    <t>102225DE</t>
  </si>
  <si>
    <t>102025CIN</t>
  </si>
  <si>
    <t>102025DET</t>
  </si>
  <si>
    <t>102025CHI</t>
  </si>
  <si>
    <t>ROCT25</t>
  </si>
  <si>
    <t>PANA112510</t>
  </si>
  <si>
    <t>RNOV25</t>
  </si>
  <si>
    <t>PANA112546</t>
  </si>
  <si>
    <t>INV124382</t>
  </si>
  <si>
    <t>ACOct25OMs</t>
  </si>
  <si>
    <t>OLYM112442</t>
  </si>
  <si>
    <t>0906501XIDD.</t>
  </si>
  <si>
    <t xml:space="preserve">1130501JCSM </t>
  </si>
  <si>
    <t xml:space="preserve">1129501IMWZ </t>
  </si>
  <si>
    <t>01128DEC</t>
  </si>
  <si>
    <t>PC1203</t>
  </si>
  <si>
    <t>1114LP</t>
  </si>
  <si>
    <t>21099-RT</t>
  </si>
  <si>
    <t>21015-RT</t>
  </si>
  <si>
    <t>21096-MS</t>
  </si>
  <si>
    <t>21286-RT</t>
  </si>
  <si>
    <t>21287-RT</t>
  </si>
  <si>
    <t>19773-RT</t>
  </si>
  <si>
    <t>19772-RT</t>
  </si>
  <si>
    <t>21008-RT</t>
  </si>
  <si>
    <t>USW811930</t>
  </si>
  <si>
    <t>21280-RT</t>
  </si>
  <si>
    <t>NMC103696695x</t>
  </si>
  <si>
    <t>202508-09_</t>
  </si>
  <si>
    <t>PANA112417</t>
  </si>
  <si>
    <t>202509_SRG</t>
  </si>
  <si>
    <t>Sma112422</t>
  </si>
  <si>
    <t>USW811977</t>
  </si>
  <si>
    <t>USW811618</t>
  </si>
  <si>
    <t>111925EJ2</t>
  </si>
  <si>
    <t>BC51273</t>
  </si>
  <si>
    <t>BC51323</t>
  </si>
  <si>
    <t>BC51289</t>
  </si>
  <si>
    <t>BC50545</t>
  </si>
  <si>
    <t>PROMASTER</t>
  </si>
  <si>
    <t>120225TA</t>
  </si>
  <si>
    <t>INV404493</t>
  </si>
  <si>
    <t>QUO6689</t>
  </si>
  <si>
    <t>ACE10/5-11</t>
  </si>
  <si>
    <t>PANA112446</t>
  </si>
  <si>
    <t>NMCCM104652</t>
  </si>
  <si>
    <t>PO89809</t>
  </si>
  <si>
    <t>PO89808</t>
  </si>
  <si>
    <t>PO89810</t>
  </si>
  <si>
    <t>PO89782</t>
  </si>
  <si>
    <t>PO89784</t>
  </si>
  <si>
    <t>PO89783</t>
  </si>
  <si>
    <t>PO89758</t>
  </si>
  <si>
    <t>PO89525</t>
  </si>
  <si>
    <t>PO89057</t>
  </si>
  <si>
    <t>PO89266</t>
  </si>
  <si>
    <t>PO89759</t>
  </si>
  <si>
    <t>PO89840</t>
  </si>
  <si>
    <t>PO89842</t>
  </si>
  <si>
    <t>PO89841</t>
  </si>
  <si>
    <t>PO89386</t>
  </si>
  <si>
    <t>PO89385</t>
  </si>
  <si>
    <t>PO89498</t>
  </si>
  <si>
    <t>NMCCM104646</t>
  </si>
  <si>
    <t>PROMARK</t>
  </si>
  <si>
    <t>INV124026</t>
  </si>
  <si>
    <t>38656 P</t>
  </si>
  <si>
    <t>INV124142</t>
  </si>
  <si>
    <t>3774S3404</t>
  </si>
  <si>
    <t>69088HOU</t>
  </si>
  <si>
    <t>66907HOU</t>
  </si>
  <si>
    <t>68576HOU</t>
  </si>
  <si>
    <t>67460HOU</t>
  </si>
  <si>
    <t>66435HOU</t>
  </si>
  <si>
    <t>69303HOU</t>
  </si>
  <si>
    <t>NMC01350194x</t>
  </si>
  <si>
    <t>69234HOU</t>
  </si>
  <si>
    <t>68292HOU</t>
  </si>
  <si>
    <t>A112986</t>
  </si>
  <si>
    <t>USW811946</t>
  </si>
  <si>
    <t>USW811559</t>
  </si>
  <si>
    <t>67792HOU</t>
  </si>
  <si>
    <t>68658HOU</t>
  </si>
  <si>
    <t>NMC103696690x</t>
  </si>
  <si>
    <t>NMC103695844x</t>
  </si>
  <si>
    <t>1335824/N</t>
  </si>
  <si>
    <t>OLYM112281</t>
  </si>
  <si>
    <t>PANA112528</t>
  </si>
  <si>
    <t>N1352474</t>
  </si>
  <si>
    <t>PANA112529</t>
  </si>
  <si>
    <t>PANA112530</t>
  </si>
  <si>
    <t>PANA112531</t>
  </si>
  <si>
    <t>PANA112532</t>
  </si>
  <si>
    <t>N1352476</t>
  </si>
  <si>
    <t>OLYM112533</t>
  </si>
  <si>
    <t>OLYM112534</t>
  </si>
  <si>
    <t>OLYM112535</t>
  </si>
  <si>
    <t>OLYM112536</t>
  </si>
  <si>
    <t>OLYM112537</t>
  </si>
  <si>
    <t>8230-1</t>
  </si>
  <si>
    <t>NMC103702027x</t>
  </si>
  <si>
    <t>FPP-PRO-102825</t>
  </si>
  <si>
    <t>FPP-PRO-101425</t>
  </si>
  <si>
    <t>USW811921</t>
  </si>
  <si>
    <t>Auto459888589866485</t>
  </si>
  <si>
    <t>USW811963</t>
  </si>
  <si>
    <t>PL301</t>
  </si>
  <si>
    <t>OLYM112538</t>
  </si>
  <si>
    <t>PL308</t>
  </si>
  <si>
    <t>PANA112542</t>
  </si>
  <si>
    <t>PL309</t>
  </si>
  <si>
    <t>PANA112543</t>
  </si>
  <si>
    <t>USW811382</t>
  </si>
  <si>
    <t>A113000</t>
  </si>
  <si>
    <t>11000\</t>
  </si>
  <si>
    <t>Auto1658516788516</t>
  </si>
  <si>
    <t>PG110825</t>
  </si>
  <si>
    <t>Auto482560455893109</t>
  </si>
  <si>
    <t>251128PROLW</t>
  </si>
  <si>
    <t>251128PROJP</t>
  </si>
  <si>
    <t>251128NISILW</t>
  </si>
  <si>
    <t>251128FUJILW</t>
  </si>
  <si>
    <t>251204PROLW</t>
  </si>
  <si>
    <t>113025BD</t>
  </si>
  <si>
    <t>9232025BD</t>
  </si>
  <si>
    <t>120225BD</t>
  </si>
  <si>
    <t>INV404143</t>
  </si>
  <si>
    <t>Auto279849405111777</t>
  </si>
  <si>
    <t>20251031om</t>
  </si>
  <si>
    <t>OLYM112426</t>
  </si>
  <si>
    <t>OLYM112427</t>
  </si>
  <si>
    <t>OLYM112428</t>
  </si>
  <si>
    <t>Auto804910058740547</t>
  </si>
  <si>
    <t>Auto552195948234428</t>
  </si>
  <si>
    <t>Auto66824443913980</t>
  </si>
  <si>
    <t>MH33244-A</t>
  </si>
  <si>
    <t>Auto522210984181641</t>
  </si>
  <si>
    <t>OLYM112515</t>
  </si>
  <si>
    <t>VMSI-PO-01025</t>
  </si>
  <si>
    <t>VMSI-PO-01030</t>
  </si>
  <si>
    <t>OB100825</t>
  </si>
  <si>
    <t>OB041225</t>
  </si>
  <si>
    <t>PO-8112523</t>
  </si>
  <si>
    <t>PO-8111483</t>
  </si>
  <si>
    <t>PO-8110805</t>
  </si>
  <si>
    <t>PO-8112675</t>
  </si>
  <si>
    <t>110725SS</t>
  </si>
  <si>
    <t>CREDIT DUE</t>
  </si>
  <si>
    <t>x</t>
  </si>
  <si>
    <t>Row Labels</t>
  </si>
  <si>
    <t>Grand Total</t>
  </si>
  <si>
    <t>Sum of Discount3</t>
  </si>
  <si>
    <t>True Amount</t>
  </si>
  <si>
    <t>Correct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</si>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</sst>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4" fontId="0" fillId="35" borderId="0" xfId="0" applyNumberFormat="1" applyFill="1"/>
    <xf numFmtId="22" fontId="0" fillId="35" borderId="0" xfId="0" applyNumberFormat="1" applyFill="1"/>
    <xf numFmtId="47" fontId="0" fillId="35" borderId="0" xfId="0" applyNumberFormat="1" applyFill="1"/>
    <xf numFmtId="15" fontId="0" fillId="35" borderId="0" xfId="0" applyNumberFormat="1" applyFill="1"/>
    <xf numFmtId="4" fontId="0" fillId="35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14" fillId="33" borderId="0" xfId="0" applyFont="1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Klass" refreshedDate="46010.416893518515" createdVersion="8" refreshedVersion="8" minRefreshableVersion="3" recordCount="1300" xr:uid="{A3FD7801-8973-464F-A371-B2DAD3608357}">
  <cacheSource type="worksheet">
    <worksheetSource ref="A1:AL1301" sheet="ezpay_1219_15"/>
  </cacheSource>
  <cacheFields count="36">
    <cacheField name="Member" numFmtId="0">
      <sharedItems containsSemiMixedTypes="0" containsString="0" containsNumber="1" containsInteger="1" minValue="1675" maxValue="5219" count="104">
        <n v="1675"/>
        <n v="1720"/>
        <n v="1810"/>
        <n v="2035"/>
        <n v="2451"/>
        <n v="2542"/>
        <n v="2591"/>
        <n v="2626"/>
        <n v="2633"/>
        <n v="2661"/>
        <n v="2668"/>
        <n v="2675"/>
        <n v="2682"/>
        <n v="2696"/>
        <n v="2766"/>
        <n v="2780"/>
        <n v="2843"/>
        <n v="2871"/>
        <n v="2878"/>
        <n v="2885"/>
        <n v="2913"/>
        <n v="2941"/>
        <n v="2948"/>
        <n v="3004"/>
        <n v="3039"/>
        <n v="3046"/>
        <n v="3074"/>
        <n v="3081"/>
        <n v="3109"/>
        <n v="3123"/>
        <n v="3130"/>
        <n v="3151"/>
        <n v="3172"/>
        <n v="3214"/>
        <n v="3221"/>
        <n v="3228"/>
        <n v="3249"/>
        <n v="3305"/>
        <n v="3312"/>
        <n v="3333"/>
        <n v="3347"/>
        <n v="3361"/>
        <n v="3368"/>
        <n v="3389"/>
        <n v="3403"/>
        <n v="3410"/>
        <n v="3424"/>
        <n v="3431"/>
        <n v="3438"/>
        <n v="3445"/>
        <n v="3452"/>
        <n v="3459"/>
        <n v="3508"/>
        <n v="3529"/>
        <n v="3543"/>
        <n v="3550"/>
        <n v="3564"/>
        <n v="3571"/>
        <n v="3578"/>
        <n v="3585"/>
        <n v="3592"/>
        <n v="3599"/>
        <n v="3606"/>
        <n v="3613"/>
        <n v="3627"/>
        <n v="3655"/>
        <n v="3662"/>
        <n v="3669"/>
        <n v="3676"/>
        <n v="3683"/>
        <n v="3697"/>
        <n v="3711"/>
        <n v="3718"/>
        <n v="3732"/>
        <n v="3739"/>
        <n v="3746"/>
        <n v="3753"/>
        <n v="3760"/>
        <n v="3767"/>
        <n v="3774"/>
        <n v="3781"/>
        <n v="3788"/>
        <n v="3795"/>
        <n v="3816"/>
        <n v="3823"/>
        <n v="3830"/>
        <n v="3837"/>
        <n v="3844"/>
        <n v="3851"/>
        <n v="3858"/>
        <n v="3865"/>
        <n v="3886"/>
        <n v="3893"/>
        <n v="3900"/>
        <n v="3907"/>
        <n v="3921"/>
        <n v="3928"/>
        <n v="5024"/>
        <n v="5036"/>
        <n v="5057"/>
        <n v="5105"/>
        <n v="5108"/>
        <n v="5132"/>
        <n v="5219"/>
      </sharedItems>
    </cacheField>
    <cacheField name="Inv" numFmtId="0">
      <sharedItems containsMixedTypes="1" containsNumber="1" containsInteger="1" minValue="992203" maxValue="1009777"/>
    </cacheField>
    <cacheField name="Gross" numFmtId="0">
      <sharedItems containsSemiMixedTypes="0" containsString="0" containsNumber="1" minValue="-18095.52" maxValue="76525.759999999995"/>
    </cacheField>
    <cacheField name="Discount" numFmtId="0">
      <sharedItems containsString="0" containsBlank="1" containsNumber="1" minValue="0.15" maxValue="98.85"/>
    </cacheField>
    <cacheField name="extended" numFmtId="0">
      <sharedItems containsSemiMixedTypes="0" containsString="0" containsNumber="1" minValue="-18095.52" maxValue="76525.759999999995"/>
    </cacheField>
    <cacheField name="EZPAY" numFmtId="0">
      <sharedItems containsString="0" containsBlank="1" containsNumber="1" minValue="7.0000000000000007E-2" maxValue="765.26"/>
    </cacheField>
    <cacheField name="NET" numFmtId="0">
      <sharedItems containsSemiMixedTypes="0" containsString="0" containsNumber="1" minValue="-18095.52" maxValue="75760.5"/>
    </cacheField>
    <cacheField name="date" numFmtId="14">
      <sharedItems containsSemiMixedTypes="0" containsNonDate="0" containsDate="1" containsString="0" minDate="2025-12-10T00:00:00" maxDate="2025-12-13T00:00:00"/>
    </cacheField>
    <cacheField name="Invoice" numFmtId="0">
      <sharedItems containsMixedTypes="1" containsNumber="1" containsInteger="1" minValue="992203" maxValue="1009777"/>
    </cacheField>
    <cacheField name="Account" numFmtId="0">
      <sharedItems containsSemiMixedTypes="0" containsString="0" containsNumber="1" containsInteger="1" minValue="1675" maxValue="5219"/>
    </cacheField>
    <cacheField name="Discount2" numFmtId="0">
      <sharedItems containsSemiMixedTypes="0" containsString="0" containsNumber="1" minValue="0" maxValue="318.52999999999997"/>
    </cacheField>
    <cacheField name="Gross2" numFmtId="0">
      <sharedItems containsSemiMixedTypes="0" containsString="0" containsNumber="1" minValue="-18095.52" maxValue="76525.759999999995"/>
    </cacheField>
    <cacheField name="Date2" numFmtId="22">
      <sharedItems containsSemiMixedTypes="0" containsNonDate="0" containsDate="1" containsString="0" minDate="2025-09-24T00:00:00" maxDate="2025-12-12T00:00:00"/>
    </cacheField>
    <cacheField name="NET2" numFmtId="0">
      <sharedItems containsSemiMixedTypes="0" containsString="0" containsNumber="1" minValue="-18095.52" maxValue="76525.759999999995"/>
    </cacheField>
    <cacheField name="DISC" numFmtId="0">
      <sharedItems containsSemiMixedTypes="0" containsString="0" containsNumber="1" minValue="0" maxValue="318.52999999999997"/>
    </cacheField>
    <cacheField name="VENDORINV" numFmtId="0">
      <sharedItems containsMixedTypes="1" containsNumber="1" containsInteger="1" minValue="210" maxValue="54118889"/>
    </cacheField>
    <cacheField name="VENDOR_NAME" numFmtId="0">
      <sharedItems/>
    </cacheField>
    <cacheField name="EZPAY2" numFmtId="0">
      <sharedItems containsSemiMixedTypes="0" containsString="0" containsNumber="1" minValue="0" maxValue="765.26"/>
    </cacheField>
    <cacheField name="EZPAYNET" numFmtId="0">
      <sharedItems containsSemiMixedTypes="0" containsString="0" containsNumber="1" minValue="-18095.52" maxValue="75760.5"/>
    </cacheField>
    <cacheField name="BTSA" numFmtId="0">
      <sharedItems/>
    </cacheField>
    <cacheField name="AT1" numFmtId="0">
      <sharedItems containsSemiMixedTypes="0" containsString="0" containsNumber="1" containsInteger="1" minValue="2" maxValue="10"/>
    </cacheField>
    <cacheField name="RECIEPT" numFmtId="0">
      <sharedItems containsMixedTypes="1" containsNumber="1" containsInteger="1" minValue="330056339526" maxValue="9560245446554"/>
    </cacheField>
    <cacheField name="BDATE" numFmtId="22">
      <sharedItems containsSemiMixedTypes="0" containsNonDate="0" containsDate="1" containsString="0" minDate="2025-12-12T00:00:00" maxDate="2025-12-13T00:00:00"/>
    </cacheField>
    <cacheField name="DT_Posted" numFmtId="22">
      <sharedItems containsSemiMixedTypes="0" containsNonDate="0" containsDate="1" containsString="0" minDate="2025-09-24T00:00:00" maxDate="2025-12-12T00:00:00"/>
    </cacheField>
    <cacheField name="AT2" numFmtId="0">
      <sharedItems containsBlank="1"/>
    </cacheField>
    <cacheField name="DA" numFmtId="14">
      <sharedItems containsSemiMixedTypes="0" containsNonDate="0" containsDate="1" containsString="0" minDate="2025-12-12T00:00:00" maxDate="2025-12-13T00:00:00"/>
    </cacheField>
    <cacheField name="DATE_SUBMITTED" numFmtId="22">
      <sharedItems containsSemiMixedTypes="0" containsNonDate="0" containsDate="1" containsString="0" minDate="2025-12-08T10:04:00" maxDate="2025-12-12T13:45:00"/>
    </cacheField>
    <cacheField name="ID" numFmtId="0">
      <sharedItems containsMixedTypes="1" containsNumber="1" containsInteger="1" minValue="2675999643" maxValue="52191005328"/>
    </cacheField>
    <cacheField name="DATE_C" numFmtId="47">
      <sharedItems containsSemiMixedTypes="0" containsNonDate="0" containsDate="1" containsString="0" minDate="2025-09-24T00:00:00" maxDate="2025-12-12T00:00:00"/>
    </cacheField>
    <cacheField name="P_O_" numFmtId="0">
      <sharedItems containsDate="1" containsMixedTypes="1" minDate="1899-12-31T01:10:04" maxDate="1900-01-10T01:54:05"/>
    </cacheField>
    <cacheField name="TERMS" numFmtId="0">
      <sharedItems/>
    </cacheField>
    <cacheField name="VINVNO" numFmtId="0">
      <sharedItems containsMixedTypes="1" containsNumber="1" containsInteger="1" minValue="210" maxValue="54118889"/>
    </cacheField>
    <cacheField name="DT_POSTED2" numFmtId="14">
      <sharedItems containsSemiMixedTypes="0" containsNonDate="0" containsDate="1" containsString="0" minDate="2025-09-24T00:00:00" maxDate="2025-12-12T00:00:00"/>
    </cacheField>
    <cacheField name="DT_PAID" numFmtId="14">
      <sharedItems containsSemiMixedTypes="0" containsNonDate="0" containsDate="1" containsString="0" minDate="2025-12-10T00:00:00" maxDate="2025-12-13T00:00:00"/>
    </cacheField>
    <cacheField name="Discount3" numFmtId="4">
      <sharedItems containsString="0" containsBlank="1" containsNumber="1" minValue="0.14800000000000002" maxValue="318.52800000000002"/>
    </cacheField>
    <cacheField name="CREDIT DUE" numFmtId="0">
      <sharedItems containsBlank="1" count="2">
        <m/>
        <s v="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x v="0"/>
    <n v="1007597"/>
    <n v="3990"/>
    <m/>
    <n v="3990"/>
    <n v="39.9"/>
    <n v="3950.1"/>
    <d v="2025-12-12T00:00:00"/>
    <n v="1007597"/>
    <n v="1675"/>
    <n v="0"/>
    <n v="3990"/>
    <d v="2025-12-02T00:00:00"/>
    <n v="3990"/>
    <n v="0"/>
    <s v="NULL"/>
    <s v="PRO"/>
    <n v="39.9"/>
    <n v="3950.1"/>
    <s v="PAID"/>
    <n v="2"/>
    <n v="8945150433196"/>
    <d v="2025-12-12T00:00:00"/>
    <d v="2025-12-02T00:00:00"/>
    <m/>
    <d v="2025-12-12T00:00:00"/>
    <d v="2025-12-11T12:19:00"/>
    <n v="16751007597"/>
    <d v="2025-12-02T00:00:00"/>
    <s v="NULL"/>
    <s v="NET 02/10/26"/>
    <s v="NULL"/>
    <d v="2025-12-02T00:00:00"/>
    <d v="2025-12-12T00:00:00"/>
    <m/>
    <x v="0"/>
  </r>
  <r>
    <x v="0"/>
    <n v="1007952"/>
    <n v="144.83000000000001"/>
    <n v="2.9"/>
    <n v="141.93"/>
    <n v="1.45"/>
    <n v="140.47999999999999"/>
    <d v="2025-12-12T00:00:00"/>
    <n v="1007952"/>
    <n v="1675"/>
    <n v="2.9"/>
    <n v="144.83000000000001"/>
    <d v="2025-12-03T00:00:00"/>
    <n v="141.93"/>
    <n v="2.9"/>
    <s v="NULL"/>
    <s v="PRO"/>
    <n v="1.45"/>
    <n v="140.47999999999999"/>
    <s v="PAID"/>
    <n v="2"/>
    <n v="8945150433196"/>
    <d v="2025-12-12T00:00:00"/>
    <d v="2025-12-03T00:00:00"/>
    <m/>
    <d v="2025-12-12T00:00:00"/>
    <d v="2025-12-11T12:19:00"/>
    <n v="16751007952"/>
    <d v="2025-12-03T00:00:00"/>
    <s v="DM120225"/>
    <s v="2% 01/10/26"/>
    <n v="206360"/>
    <d v="2025-12-03T00:00:00"/>
    <d v="2025-12-12T00:00:00"/>
    <n v="2.8966000000000003"/>
    <x v="0"/>
  </r>
  <r>
    <x v="0"/>
    <n v="1008099"/>
    <n v="295.64"/>
    <n v="5.91"/>
    <n v="289.73"/>
    <n v="2.96"/>
    <n v="286.77"/>
    <d v="2025-12-12T00:00:00"/>
    <n v="1008099"/>
    <n v="1675"/>
    <n v="5.91"/>
    <n v="295.64"/>
    <d v="2025-12-04T00:00:00"/>
    <n v="289.73"/>
    <n v="5.91"/>
    <s v="NULL"/>
    <s v="PRO"/>
    <n v="2.96"/>
    <n v="286.77"/>
    <s v="PAID"/>
    <n v="2"/>
    <n v="8945150433196"/>
    <d v="2025-12-12T00:00:00"/>
    <d v="2025-12-04T00:00:00"/>
    <m/>
    <d v="2025-12-12T00:00:00"/>
    <d v="2025-12-11T12:19:00"/>
    <n v="16751008099"/>
    <d v="2025-12-04T00:00:00"/>
    <s v="DM120225"/>
    <s v="2% 01/10/26"/>
    <n v="206367"/>
    <d v="2025-12-04T00:00:00"/>
    <d v="2025-12-12T00:00:00"/>
    <n v="5.9127999999999998"/>
    <x v="0"/>
  </r>
  <r>
    <x v="0"/>
    <n v="1008532"/>
    <n v="208.2"/>
    <m/>
    <n v="208.2"/>
    <n v="2.08"/>
    <n v="206.12"/>
    <d v="2025-12-12T00:00:00"/>
    <n v="1008532"/>
    <n v="1675"/>
    <n v="0"/>
    <n v="208.2"/>
    <d v="2025-12-05T00:00:00"/>
    <n v="208.2"/>
    <n v="0"/>
    <s v="NULL"/>
    <s v="PRO"/>
    <n v="2.08"/>
    <n v="206.12"/>
    <s v="PAID"/>
    <n v="2"/>
    <n v="8945150433196"/>
    <d v="2025-12-12T00:00:00"/>
    <d v="2025-12-05T00:00:00"/>
    <m/>
    <d v="2025-12-12T00:00:00"/>
    <d v="2025-12-11T12:19:00"/>
    <n v="16751008532"/>
    <d v="2025-12-05T00:00:00"/>
    <s v="DM120225"/>
    <s v="NET 01/10/26"/>
    <n v="206808"/>
    <d v="2025-12-05T00:00:00"/>
    <d v="2025-12-12T00:00:00"/>
    <m/>
    <x v="0"/>
  </r>
  <r>
    <x v="1"/>
    <n v="1007215"/>
    <n v="143.99"/>
    <m/>
    <n v="143.99"/>
    <n v="1.44"/>
    <n v="143.99"/>
    <d v="2025-12-12T00:00:00"/>
    <n v="1007215"/>
    <n v="1720"/>
    <n v="0"/>
    <n v="143.99"/>
    <d v="2025-12-01T00:00:00"/>
    <n v="143.99"/>
    <n v="0"/>
    <s v="NULL"/>
    <s v="PRO"/>
    <n v="1.44"/>
    <n v="143.99"/>
    <s v="PAID"/>
    <n v="10"/>
    <s v="Auto263888407650787"/>
    <d v="2025-12-12T00:00:00"/>
    <d v="2025-12-01T00:00:00"/>
    <s v="NULL"/>
    <d v="2025-12-12T00:00:00"/>
    <d v="2025-12-12T13:45:00"/>
    <n v="17201007215"/>
    <d v="2025-12-01T00:00:00"/>
    <n v="1570"/>
    <s v="2% 01/10/26"/>
    <n v="205797"/>
    <d v="2025-12-01T00:00:00"/>
    <d v="2025-12-12T00:00:00"/>
    <n v="2.8798000000000004"/>
    <x v="1"/>
  </r>
  <r>
    <x v="1"/>
    <n v="1007638"/>
    <n v="3990"/>
    <m/>
    <n v="3990"/>
    <n v="39.9"/>
    <n v="3950.1"/>
    <d v="2025-12-12T00:00:00"/>
    <n v="1007638"/>
    <n v="1720"/>
    <n v="0"/>
    <n v="3990"/>
    <d v="2025-12-02T00:00:00"/>
    <n v="3990"/>
    <n v="0"/>
    <s v="NULL"/>
    <s v="PRO"/>
    <n v="39.9"/>
    <n v="3950.1"/>
    <s v="PAID"/>
    <n v="10"/>
    <s v="Auto263888407650787"/>
    <d v="2025-12-12T00:00:00"/>
    <d v="2025-12-02T00:00:00"/>
    <s v="NULL"/>
    <d v="2025-12-12T00:00:00"/>
    <d v="2025-12-12T13:45:00"/>
    <n v="17201007638"/>
    <d v="2025-12-02T00:00:00"/>
    <s v="NULL"/>
    <s v="NET 02/10/26"/>
    <s v="NULL"/>
    <d v="2025-12-02T00:00:00"/>
    <d v="2025-12-12T00:00:00"/>
    <m/>
    <x v="0"/>
  </r>
  <r>
    <x v="1"/>
    <n v="1007906"/>
    <n v="364.46"/>
    <m/>
    <n v="364.46"/>
    <n v="3.64"/>
    <n v="360.82"/>
    <d v="2025-12-12T00:00:00"/>
    <n v="1007906"/>
    <n v="1720"/>
    <n v="0"/>
    <n v="364.46"/>
    <d v="2025-12-03T00:00:00"/>
    <n v="364.46"/>
    <n v="0"/>
    <s v="NULL"/>
    <s v="PRO"/>
    <n v="3.64"/>
    <n v="360.82"/>
    <s v="PAID"/>
    <n v="10"/>
    <s v="Auto263888407650787"/>
    <d v="2025-12-12T00:00:00"/>
    <d v="2025-12-03T00:00:00"/>
    <s v="NULL"/>
    <d v="2025-12-12T00:00:00"/>
    <d v="2025-12-12T13:45:00"/>
    <n v="17201007906"/>
    <d v="2025-12-03T00:00:00"/>
    <n v="1638"/>
    <s v="NET 01/10/26"/>
    <n v="206447"/>
    <d v="2025-12-03T00:00:00"/>
    <d v="2025-12-12T00:00:00"/>
    <m/>
    <x v="0"/>
  </r>
  <r>
    <x v="1"/>
    <n v="1007914"/>
    <n v="162.4"/>
    <m/>
    <n v="162.4"/>
    <n v="1.62"/>
    <n v="160.78"/>
    <d v="2025-12-12T00:00:00"/>
    <n v="1007914"/>
    <n v="1720"/>
    <n v="0"/>
    <n v="162.4"/>
    <d v="2025-12-03T00:00:00"/>
    <n v="162.4"/>
    <n v="0"/>
    <s v="NULL"/>
    <s v="PRO"/>
    <n v="1.62"/>
    <n v="160.78"/>
    <s v="PAID"/>
    <n v="10"/>
    <s v="Auto263888407650787"/>
    <d v="2025-12-12T00:00:00"/>
    <d v="2025-12-03T00:00:00"/>
    <s v="NULL"/>
    <d v="2025-12-12T00:00:00"/>
    <d v="2025-12-12T13:45:00"/>
    <n v="17201007914"/>
    <d v="2025-12-03T00:00:00"/>
    <n v="1633"/>
    <s v="NET 01/10/26"/>
    <n v="206446"/>
    <d v="2025-12-03T00:00:00"/>
    <d v="2025-12-12T00:00:00"/>
    <m/>
    <x v="0"/>
  </r>
  <r>
    <x v="1"/>
    <n v="1008144"/>
    <n v="1149.42"/>
    <m/>
    <n v="1149.42"/>
    <n v="11.49"/>
    <n v="1149.42"/>
    <d v="2025-12-12T00:00:00"/>
    <n v="1008144"/>
    <n v="1720"/>
    <n v="0"/>
    <n v="1149.42"/>
    <d v="2025-12-04T00:00:00"/>
    <n v="1149.42"/>
    <n v="0"/>
    <s v="NULL"/>
    <s v="PRO"/>
    <n v="11.49"/>
    <n v="1149.42"/>
    <s v="PAID"/>
    <n v="10"/>
    <s v="Auto263888407650787"/>
    <d v="2025-12-12T00:00:00"/>
    <d v="2025-12-04T00:00:00"/>
    <s v="NULL"/>
    <d v="2025-12-12T00:00:00"/>
    <d v="2025-12-12T13:45:00"/>
    <n v="17201008144"/>
    <d v="2025-12-04T00:00:00"/>
    <n v="1640"/>
    <s v="2% 01/10/26"/>
    <n v="206759"/>
    <d v="2025-12-04T00:00:00"/>
    <d v="2025-12-12T00:00:00"/>
    <n v="22.988400000000002"/>
    <x v="1"/>
  </r>
  <r>
    <x v="1"/>
    <n v="1008277"/>
    <n v="-50"/>
    <m/>
    <n v="-50"/>
    <m/>
    <n v="-50"/>
    <d v="2025-12-12T00:00:00"/>
    <n v="1008277"/>
    <n v="1720"/>
    <n v="0"/>
    <n v="-50"/>
    <d v="2025-12-04T00:00:00"/>
    <n v="-50"/>
    <n v="0"/>
    <s v="NMCNoINV"/>
    <s v="PRO"/>
    <n v="0"/>
    <n v="-50"/>
    <s v="PAID"/>
    <n v="10"/>
    <s v="Auto263888407650787"/>
    <d v="2025-12-12T00:00:00"/>
    <d v="2025-12-04T00:00:00"/>
    <s v="NULL"/>
    <d v="2025-12-12T00:00:00"/>
    <d v="2025-12-12T13:45:00"/>
    <n v="17201008277"/>
    <d v="2025-12-04T00:00:00"/>
    <s v="N/A"/>
    <s v="NET 01/10/26"/>
    <s v="NMCNoINV"/>
    <d v="2025-12-04T00:00:00"/>
    <d v="2025-12-12T00:00:00"/>
    <m/>
    <x v="0"/>
  </r>
  <r>
    <x v="1"/>
    <n v="1008353"/>
    <n v="1384.98"/>
    <m/>
    <n v="1384.98"/>
    <n v="13.85"/>
    <n v="1371.13"/>
    <d v="2025-12-12T00:00:00"/>
    <n v="1008353"/>
    <n v="1720"/>
    <n v="0"/>
    <n v="1384.98"/>
    <d v="2025-12-05T00:00:00"/>
    <n v="1384.98"/>
    <n v="0"/>
    <s v="A113001"/>
    <s v="HAHNEMUHLE"/>
    <n v="13.85"/>
    <n v="1371.13"/>
    <s v="PAID"/>
    <n v="10"/>
    <s v="Auto263888407650787"/>
    <d v="2025-12-12T00:00:00"/>
    <d v="2025-12-05T00:00:00"/>
    <s v="NULL"/>
    <d v="2025-12-12T00:00:00"/>
    <d v="2025-12-12T13:45:00"/>
    <n v="17201008353"/>
    <d v="2025-12-05T00:00:00"/>
    <n v="12042025"/>
    <s v="NET 01/10/26"/>
    <s v="A113001"/>
    <d v="2025-12-05T00:00:00"/>
    <d v="2025-12-12T00:00:00"/>
    <m/>
    <x v="0"/>
  </r>
  <r>
    <x v="1"/>
    <n v="1008427"/>
    <n v="1777.1"/>
    <m/>
    <n v="1777.1"/>
    <n v="17.77"/>
    <n v="1759.33"/>
    <d v="2025-12-12T00:00:00"/>
    <n v="1008427"/>
    <n v="1720"/>
    <n v="0"/>
    <n v="1777.1"/>
    <d v="2025-12-05T00:00:00"/>
    <n v="1777.1"/>
    <n v="0"/>
    <s v="NULL"/>
    <s v="PRO"/>
    <n v="17.77"/>
    <n v="1759.33"/>
    <s v="PAID"/>
    <n v="10"/>
    <s v="Auto263888407650787"/>
    <d v="2025-12-12T00:00:00"/>
    <d v="2025-12-05T00:00:00"/>
    <s v="NULL"/>
    <d v="2025-12-12T00:00:00"/>
    <d v="2025-12-12T13:45:00"/>
    <n v="17201008427"/>
    <d v="2025-12-05T00:00:00"/>
    <n v="1640"/>
    <s v="NET 01/10/26"/>
    <n v="206771"/>
    <d v="2025-12-05T00:00:00"/>
    <d v="2025-12-12T00:00:00"/>
    <m/>
    <x v="0"/>
  </r>
  <r>
    <x v="1"/>
    <n v="1008433"/>
    <n v="2395.5"/>
    <m/>
    <n v="2395.5"/>
    <n v="23.96"/>
    <n v="2395.5"/>
    <d v="2025-12-12T00:00:00"/>
    <n v="1008433"/>
    <n v="1720"/>
    <n v="0"/>
    <n v="2395.5"/>
    <d v="2025-12-05T00:00:00"/>
    <n v="2395.5"/>
    <n v="0"/>
    <s v="NULL"/>
    <s v="PRO"/>
    <n v="23.96"/>
    <n v="2395.5"/>
    <s v="PAID"/>
    <n v="10"/>
    <s v="Auto263888407650787"/>
    <d v="2025-12-12T00:00:00"/>
    <d v="2025-12-05T00:00:00"/>
    <s v="NULL"/>
    <d v="2025-12-12T00:00:00"/>
    <d v="2025-12-12T13:45:00"/>
    <n v="17201008433"/>
    <d v="2025-12-05T00:00:00"/>
    <n v="1640"/>
    <s v="2% 01/10/26"/>
    <n v="206770"/>
    <d v="2025-12-05T00:00:00"/>
    <d v="2025-12-12T00:00:00"/>
    <n v="47.910000000000004"/>
    <x v="1"/>
  </r>
  <r>
    <x v="2"/>
    <n v="1007364"/>
    <n v="165.9"/>
    <n v="3.32"/>
    <n v="162.58000000000001"/>
    <n v="1.66"/>
    <n v="160.91999999999999"/>
    <d v="2025-12-12T00:00:00"/>
    <n v="1007364"/>
    <n v="1810"/>
    <n v="3.32"/>
    <n v="165.9"/>
    <d v="2025-12-01T00:00:00"/>
    <n v="162.58000000000001"/>
    <n v="3.32"/>
    <s v="NULL"/>
    <s v="PRO"/>
    <n v="1.66"/>
    <n v="160.91999999999999"/>
    <s v="PAID"/>
    <n v="2"/>
    <n v="6915605625952"/>
    <d v="2025-12-12T00:00:00"/>
    <d v="2025-12-01T00:00:00"/>
    <m/>
    <d v="2025-12-12T00:00:00"/>
    <d v="2025-12-09T12:41:00"/>
    <n v="18101007364"/>
    <d v="2025-12-01T00:00:00"/>
    <s v="CLT112525C"/>
    <s v="2% 01/10/26"/>
    <n v="205845"/>
    <d v="2025-12-01T00:00:00"/>
    <d v="2025-12-12T00:00:00"/>
    <n v="3.3180000000000001"/>
    <x v="0"/>
  </r>
  <r>
    <x v="2"/>
    <n v="1007366"/>
    <n v="331.8"/>
    <n v="6.64"/>
    <n v="325.16000000000003"/>
    <n v="3.32"/>
    <n v="321.83999999999997"/>
    <d v="2025-12-12T00:00:00"/>
    <n v="1007366"/>
    <n v="1810"/>
    <n v="6.64"/>
    <n v="331.8"/>
    <d v="2025-12-01T00:00:00"/>
    <n v="325.16000000000003"/>
    <n v="6.64"/>
    <s v="NULL"/>
    <s v="PRO"/>
    <n v="3.32"/>
    <n v="321.83999999999997"/>
    <s v="PAID"/>
    <n v="2"/>
    <n v="6915605625952"/>
    <d v="2025-12-12T00:00:00"/>
    <d v="2025-12-01T00:00:00"/>
    <m/>
    <d v="2025-12-12T00:00:00"/>
    <d v="2025-12-09T12:41:00"/>
    <n v="18101007366"/>
    <d v="2025-12-01T00:00:00"/>
    <s v="CJD014FFF"/>
    <s v="2% 01/10/26"/>
    <n v="205843"/>
    <d v="2025-12-01T00:00:00"/>
    <d v="2025-12-12T00:00:00"/>
    <n v="6.6360000000000001"/>
    <x v="0"/>
  </r>
  <r>
    <x v="2"/>
    <n v="1007371"/>
    <n v="398.16"/>
    <n v="7.96"/>
    <n v="390.2"/>
    <n v="3.98"/>
    <n v="386.22"/>
    <d v="2025-12-12T00:00:00"/>
    <n v="1007371"/>
    <n v="1810"/>
    <n v="7.96"/>
    <n v="398.16"/>
    <d v="2025-12-01T00:00:00"/>
    <n v="390.2"/>
    <n v="7.96"/>
    <s v="NULL"/>
    <s v="PRO"/>
    <n v="3.98"/>
    <n v="386.22"/>
    <s v="PAID"/>
    <n v="2"/>
    <n v="6915605625952"/>
    <d v="2025-12-12T00:00:00"/>
    <d v="2025-12-01T00:00:00"/>
    <m/>
    <d v="2025-12-12T00:00:00"/>
    <d v="2025-12-09T12:41:00"/>
    <n v="18101007371"/>
    <d v="2025-12-01T00:00:00"/>
    <s v="LA0974S"/>
    <s v="2% 01/10/26"/>
    <n v="205844"/>
    <d v="2025-12-01T00:00:00"/>
    <d v="2025-12-12T00:00:00"/>
    <n v="7.9632000000000005"/>
    <x v="0"/>
  </r>
  <r>
    <x v="2"/>
    <n v="1007450"/>
    <n v="140"/>
    <n v="2.8"/>
    <n v="137.19999999999999"/>
    <n v="1.4"/>
    <n v="135.80000000000001"/>
    <d v="2025-12-12T00:00:00"/>
    <n v="1007450"/>
    <n v="1810"/>
    <n v="2.8"/>
    <n v="140"/>
    <d v="2025-12-01T00:00:00"/>
    <n v="137.19999999999999"/>
    <n v="2.8"/>
    <s v="NULL"/>
    <s v="PRO"/>
    <n v="1.4"/>
    <n v="135.80000000000001"/>
    <s v="PAID"/>
    <n v="2"/>
    <n v="6915605625952"/>
    <d v="2025-12-12T00:00:00"/>
    <d v="2025-12-01T00:00:00"/>
    <m/>
    <d v="2025-12-12T00:00:00"/>
    <d v="2025-12-09T12:41:00"/>
    <n v="18101007450"/>
    <d v="2025-12-01T00:00:00"/>
    <s v="LKSA11414"/>
    <s v="2% 01/10/26"/>
    <n v="205922"/>
    <d v="2025-12-01T00:00:00"/>
    <d v="2025-12-12T00:00:00"/>
    <n v="2.8000000000000003"/>
    <x v="0"/>
  </r>
  <r>
    <x v="2"/>
    <n v="1007454"/>
    <n v="1656.39"/>
    <m/>
    <n v="1656.39"/>
    <n v="16.559999999999999"/>
    <n v="1639.83"/>
    <d v="2025-12-12T00:00:00"/>
    <n v="1007454"/>
    <n v="1810"/>
    <n v="0"/>
    <n v="1656.39"/>
    <d v="2025-12-01T00:00:00"/>
    <n v="1656.39"/>
    <n v="0"/>
    <s v="NULL"/>
    <s v="PRO"/>
    <n v="16.559999999999999"/>
    <n v="1639.83"/>
    <s v="PAID"/>
    <n v="2"/>
    <n v="6915605625952"/>
    <d v="2025-12-12T00:00:00"/>
    <d v="2025-12-01T00:00:00"/>
    <m/>
    <d v="2025-12-12T00:00:00"/>
    <d v="2025-12-09T12:41:00"/>
    <n v="18101007454"/>
    <d v="2025-12-01T00:00:00"/>
    <s v="LAKS010SS"/>
    <s v="NET 01/10/26"/>
    <n v="205642"/>
    <d v="2025-12-01T00:00:00"/>
    <d v="2025-12-12T00:00:00"/>
    <m/>
    <x v="0"/>
  </r>
  <r>
    <x v="2"/>
    <n v="1007455"/>
    <n v="95.05"/>
    <m/>
    <n v="95.05"/>
    <n v="0.95"/>
    <n v="94.1"/>
    <d v="2025-12-12T00:00:00"/>
    <n v="1007455"/>
    <n v="1810"/>
    <n v="0"/>
    <n v="95.05"/>
    <d v="2025-12-01T00:00:00"/>
    <n v="95.05"/>
    <n v="0"/>
    <s v="NULL"/>
    <s v="PRO"/>
    <n v="0.95"/>
    <n v="94.1"/>
    <s v="PAID"/>
    <n v="2"/>
    <n v="6915605625952"/>
    <d v="2025-12-12T00:00:00"/>
    <d v="2025-12-01T00:00:00"/>
    <m/>
    <d v="2025-12-12T00:00:00"/>
    <d v="2025-12-09T12:41:00"/>
    <n v="18101007455"/>
    <d v="2025-12-01T00:00:00"/>
    <s v="JHSD01000"/>
    <s v="NET 01/10/26"/>
    <n v="205643"/>
    <d v="2025-12-01T00:00:00"/>
    <d v="2025-12-12T00:00:00"/>
    <m/>
    <x v="0"/>
  </r>
  <r>
    <x v="2"/>
    <n v="1007456"/>
    <n v="674.4"/>
    <n v="13.49"/>
    <n v="660.91"/>
    <n v="6.74"/>
    <n v="654.16999999999996"/>
    <d v="2025-12-12T00:00:00"/>
    <n v="1007456"/>
    <n v="1810"/>
    <n v="13.49"/>
    <n v="674.4"/>
    <d v="2025-12-01T00:00:00"/>
    <n v="660.91"/>
    <n v="13.49"/>
    <s v="NULL"/>
    <s v="PRO"/>
    <n v="6.74"/>
    <n v="654.16999999999996"/>
    <s v="PAID"/>
    <n v="2"/>
    <n v="6915605625952"/>
    <d v="2025-12-12T00:00:00"/>
    <d v="2025-12-01T00:00:00"/>
    <m/>
    <d v="2025-12-12T00:00:00"/>
    <d v="2025-12-09T12:41:00"/>
    <n v="18101007456"/>
    <d v="2025-12-01T00:00:00"/>
    <s v="LAKS010SS"/>
    <s v="2% 01/10/26"/>
    <n v="205641"/>
    <d v="2025-12-01T00:00:00"/>
    <d v="2025-12-12T00:00:00"/>
    <n v="13.488"/>
    <x v="0"/>
  </r>
  <r>
    <x v="2"/>
    <n v="1007537"/>
    <n v="3990"/>
    <m/>
    <n v="3990"/>
    <n v="39.9"/>
    <n v="3950.1"/>
    <d v="2025-12-12T00:00:00"/>
    <n v="1007537"/>
    <n v="1810"/>
    <n v="0"/>
    <n v="3990"/>
    <d v="2025-12-02T00:00:00"/>
    <n v="3990"/>
    <n v="0"/>
    <s v="NULL"/>
    <s v="PRO"/>
    <n v="39.9"/>
    <n v="3950.1"/>
    <s v="PAID"/>
    <n v="2"/>
    <n v="6915605625952"/>
    <d v="2025-12-12T00:00:00"/>
    <d v="2025-12-02T00:00:00"/>
    <m/>
    <d v="2025-12-12T00:00:00"/>
    <d v="2025-12-09T12:41:00"/>
    <n v="18101007537"/>
    <d v="2025-12-02T00:00:00"/>
    <s v="NULL"/>
    <s v="NET 02/10/26"/>
    <s v="NULL"/>
    <d v="2025-12-02T00:00:00"/>
    <d v="2025-12-12T00:00:00"/>
    <m/>
    <x v="0"/>
  </r>
  <r>
    <x v="2"/>
    <n v="1007837"/>
    <n v="511.37"/>
    <n v="10.23"/>
    <n v="501.14"/>
    <n v="5.1100000000000003"/>
    <n v="496.03"/>
    <d v="2025-12-12T00:00:00"/>
    <n v="1007837"/>
    <n v="1810"/>
    <n v="10.23"/>
    <n v="511.37"/>
    <d v="2025-12-02T00:00:00"/>
    <n v="501.14"/>
    <n v="10.23"/>
    <s v="NULL"/>
    <s v="PRO"/>
    <n v="5.1100000000000003"/>
    <n v="496.03"/>
    <s v="PAID"/>
    <n v="2"/>
    <n v="6915605625952"/>
    <d v="2025-12-12T00:00:00"/>
    <d v="2025-12-02T00:00:00"/>
    <m/>
    <d v="2025-12-12T00:00:00"/>
    <d v="2025-12-09T12:41:00"/>
    <n v="18101007837"/>
    <d v="2025-12-02T00:00:00"/>
    <s v="KOP12012025"/>
    <s v="2% 01/10/26"/>
    <n v="206160"/>
    <d v="2025-12-02T00:00:00"/>
    <d v="2025-12-12T00:00:00"/>
    <n v="10.227400000000001"/>
    <x v="0"/>
  </r>
  <r>
    <x v="2"/>
    <n v="1007843"/>
    <n v="2733.03"/>
    <m/>
    <n v="2733.03"/>
    <n v="27.33"/>
    <n v="2705.7"/>
    <d v="2025-12-12T00:00:00"/>
    <n v="1007843"/>
    <n v="1810"/>
    <n v="0"/>
    <n v="2733.03"/>
    <d v="2025-12-02T00:00:00"/>
    <n v="2733.03"/>
    <n v="0"/>
    <s v="NULL"/>
    <s v="PRO"/>
    <n v="27.33"/>
    <n v="2705.7"/>
    <s v="PAID"/>
    <n v="2"/>
    <n v="6915605625952"/>
    <d v="2025-12-12T00:00:00"/>
    <d v="2025-12-02T00:00:00"/>
    <m/>
    <d v="2025-12-12T00:00:00"/>
    <d v="2025-12-09T12:41:00"/>
    <n v="18101007843"/>
    <d v="2025-12-02T00:00:00"/>
    <s v="LA0432"/>
    <s v="NET 01/10/26"/>
    <n v="206125"/>
    <d v="2025-12-02T00:00:00"/>
    <d v="2025-12-12T00:00:00"/>
    <m/>
    <x v="0"/>
  </r>
  <r>
    <x v="2"/>
    <n v="1007849"/>
    <n v="3478.42"/>
    <m/>
    <n v="3478.42"/>
    <n v="34.78"/>
    <n v="3443.64"/>
    <d v="2025-12-12T00:00:00"/>
    <n v="1007849"/>
    <n v="1810"/>
    <n v="0"/>
    <n v="3478.42"/>
    <d v="2025-12-02T00:00:00"/>
    <n v="3478.42"/>
    <n v="0"/>
    <s v="NULL"/>
    <s v="PRO"/>
    <n v="34.78"/>
    <n v="3443.64"/>
    <s v="PAID"/>
    <n v="2"/>
    <n v="6915605625952"/>
    <d v="2025-12-12T00:00:00"/>
    <d v="2025-12-02T00:00:00"/>
    <m/>
    <d v="2025-12-12T00:00:00"/>
    <d v="2025-12-09T12:41:00"/>
    <n v="18101007849"/>
    <d v="2025-12-02T00:00:00"/>
    <s v="LAS0747SSS"/>
    <s v="NET 01/10/26"/>
    <n v="206126"/>
    <d v="2025-12-02T00:00:00"/>
    <d v="2025-12-12T00:00:00"/>
    <m/>
    <x v="0"/>
  </r>
  <r>
    <x v="2"/>
    <n v="1007931"/>
    <n v="1343.96"/>
    <m/>
    <n v="1343.96"/>
    <n v="13.44"/>
    <n v="1330.52"/>
    <d v="2025-12-12T00:00:00"/>
    <n v="1007931"/>
    <n v="1810"/>
    <n v="0"/>
    <n v="1343.96"/>
    <d v="2025-12-03T00:00:00"/>
    <n v="1343.96"/>
    <n v="0"/>
    <s v="NULL"/>
    <s v="PRO"/>
    <n v="13.44"/>
    <n v="1330.52"/>
    <s v="PAID"/>
    <n v="2"/>
    <n v="6915605625952"/>
    <d v="2025-12-12T00:00:00"/>
    <d v="2025-12-03T00:00:00"/>
    <m/>
    <d v="2025-12-12T00:00:00"/>
    <d v="2025-12-09T12:41:00"/>
    <n v="18101007931"/>
    <d v="2025-12-03T00:00:00"/>
    <s v="54SSSSS"/>
    <s v="NET 01/10/26"/>
    <n v="206463"/>
    <d v="2025-12-03T00:00:00"/>
    <d v="2025-12-12T00:00:00"/>
    <m/>
    <x v="0"/>
  </r>
  <r>
    <x v="2"/>
    <n v="1007935"/>
    <n v="2923.84"/>
    <m/>
    <n v="2923.84"/>
    <n v="29.24"/>
    <n v="2894.6"/>
    <d v="2025-12-12T00:00:00"/>
    <n v="1007935"/>
    <n v="1810"/>
    <n v="0"/>
    <n v="2923.84"/>
    <d v="2025-12-03T00:00:00"/>
    <n v="2923.84"/>
    <n v="0"/>
    <s v="NULL"/>
    <s v="PRO"/>
    <n v="29.24"/>
    <n v="2894.6"/>
    <s v="PAID"/>
    <n v="2"/>
    <n v="6915605625952"/>
    <d v="2025-12-12T00:00:00"/>
    <d v="2025-12-03T00:00:00"/>
    <m/>
    <d v="2025-12-12T00:00:00"/>
    <d v="2025-12-09T12:41:00"/>
    <n v="18101007935"/>
    <d v="2025-12-03T00:00:00"/>
    <s v="LKSA11414"/>
    <s v="NET 01/10/26"/>
    <n v="206464"/>
    <d v="2025-12-03T00:00:00"/>
    <d v="2025-12-12T00:00:00"/>
    <m/>
    <x v="0"/>
  </r>
  <r>
    <x v="2"/>
    <n v="1007938"/>
    <n v="1656.38"/>
    <m/>
    <n v="1656.38"/>
    <n v="16.559999999999999"/>
    <n v="1639.82"/>
    <d v="2025-12-12T00:00:00"/>
    <n v="1007938"/>
    <n v="1810"/>
    <n v="0"/>
    <n v="1656.38"/>
    <d v="2025-12-03T00:00:00"/>
    <n v="1656.38"/>
    <n v="0"/>
    <s v="NULL"/>
    <s v="PRO"/>
    <n v="16.559999999999999"/>
    <n v="1639.82"/>
    <s v="PAID"/>
    <n v="2"/>
    <n v="6915605625952"/>
    <d v="2025-12-12T00:00:00"/>
    <d v="2025-12-03T00:00:00"/>
    <m/>
    <d v="2025-12-12T00:00:00"/>
    <d v="2025-12-09T12:41:00"/>
    <n v="18101007938"/>
    <d v="2025-12-03T00:00:00"/>
    <s v="LA0432"/>
    <s v="NET 01/10/26"/>
    <n v="206462"/>
    <d v="2025-12-03T00:00:00"/>
    <d v="2025-12-12T00:00:00"/>
    <m/>
    <x v="0"/>
  </r>
  <r>
    <x v="2"/>
    <n v="1007955"/>
    <n v="2733.05"/>
    <m/>
    <n v="2733.05"/>
    <n v="27.33"/>
    <n v="2705.72"/>
    <d v="2025-12-12T00:00:00"/>
    <n v="1007955"/>
    <n v="1810"/>
    <n v="0"/>
    <n v="2733.05"/>
    <d v="2025-12-03T00:00:00"/>
    <n v="2733.05"/>
    <n v="0"/>
    <s v="NULL"/>
    <s v="PRO"/>
    <n v="27.33"/>
    <n v="2705.72"/>
    <s v="PAID"/>
    <n v="2"/>
    <n v="6915605625952"/>
    <d v="2025-12-12T00:00:00"/>
    <d v="2025-12-03T00:00:00"/>
    <m/>
    <d v="2025-12-12T00:00:00"/>
    <d v="2025-12-09T12:41:00"/>
    <n v="18101007955"/>
    <d v="2025-12-03T00:00:00"/>
    <s v="LANSDALE12012025"/>
    <s v="NET 01/10/26"/>
    <n v="206241"/>
    <d v="2025-12-03T00:00:00"/>
    <d v="2025-12-12T00:00:00"/>
    <m/>
    <x v="0"/>
  </r>
  <r>
    <x v="2"/>
    <n v="1007962"/>
    <n v="1810.47"/>
    <n v="36.21"/>
    <n v="1774.26"/>
    <n v="18.100000000000001"/>
    <n v="1756.16"/>
    <d v="2025-12-12T00:00:00"/>
    <n v="1007962"/>
    <n v="1810"/>
    <n v="36.21"/>
    <n v="1810.47"/>
    <d v="2025-12-03T00:00:00"/>
    <n v="1774.26"/>
    <n v="36.21"/>
    <s v="NULL"/>
    <s v="PRO"/>
    <n v="18.100000000000001"/>
    <n v="1756.16"/>
    <s v="PAID"/>
    <n v="2"/>
    <n v="6915605625952"/>
    <d v="2025-12-12T00:00:00"/>
    <d v="2025-12-03T00:00:00"/>
    <m/>
    <d v="2025-12-12T00:00:00"/>
    <d v="2025-12-09T12:41:00"/>
    <n v="18101007962"/>
    <d v="2025-12-03T00:00:00"/>
    <s v="KOP12012025"/>
    <s v="2% 01/10/26"/>
    <n v="206240"/>
    <d v="2025-12-03T00:00:00"/>
    <d v="2025-12-12T00:00:00"/>
    <n v="36.209400000000002"/>
    <x v="0"/>
  </r>
  <r>
    <x v="2"/>
    <n v="1008058"/>
    <n v="142.65"/>
    <n v="2.85"/>
    <n v="139.80000000000001"/>
    <n v="1.43"/>
    <n v="138.37"/>
    <d v="2025-12-12T00:00:00"/>
    <n v="1008058"/>
    <n v="1810"/>
    <n v="2.85"/>
    <n v="142.65"/>
    <d v="2025-12-03T00:00:00"/>
    <n v="139.80000000000001"/>
    <n v="2.85"/>
    <s v="NULL"/>
    <s v="PRO"/>
    <n v="1.43"/>
    <n v="138.37"/>
    <s v="PAID"/>
    <n v="2"/>
    <n v="6915605625952"/>
    <d v="2025-12-12T00:00:00"/>
    <d v="2025-12-03T00:00:00"/>
    <m/>
    <d v="2025-12-12T00:00:00"/>
    <d v="2025-12-09T12:41:00"/>
    <n v="18101008058"/>
    <d v="2025-12-03T00:00:00"/>
    <s v="LAKSS01DD"/>
    <s v="2% 01/10/26"/>
    <n v="206504"/>
    <d v="2025-12-03T00:00:00"/>
    <d v="2025-12-12T00:00:00"/>
    <n v="2.8530000000000002"/>
    <x v="0"/>
  </r>
  <r>
    <x v="2"/>
    <n v="1008213"/>
    <n v="767.88"/>
    <m/>
    <n v="767.88"/>
    <n v="7.68"/>
    <n v="760.2"/>
    <d v="2025-12-12T00:00:00"/>
    <n v="1008213"/>
    <n v="1810"/>
    <n v="0"/>
    <n v="767.88"/>
    <d v="2025-12-04T00:00:00"/>
    <n v="767.88"/>
    <n v="0"/>
    <s v="NULL"/>
    <s v="PRO"/>
    <n v="7.68"/>
    <n v="760.2"/>
    <s v="PAID"/>
    <n v="2"/>
    <n v="6915605625952"/>
    <d v="2025-12-12T00:00:00"/>
    <d v="2025-12-04T00:00:00"/>
    <m/>
    <d v="2025-12-12T00:00:00"/>
    <d v="2025-12-09T12:41:00"/>
    <n v="18101008213"/>
    <d v="2025-12-04T00:00:00"/>
    <s v="LKF010D"/>
    <s v="NET 01/10/26"/>
    <n v="206708"/>
    <d v="2025-12-04T00:00:00"/>
    <d v="2025-12-12T00:00:00"/>
    <m/>
    <x v="0"/>
  </r>
  <r>
    <x v="2"/>
    <n v="1008256"/>
    <n v="432.9"/>
    <m/>
    <n v="432.9"/>
    <n v="4.33"/>
    <n v="428.57"/>
    <d v="2025-12-12T00:00:00"/>
    <n v="1008256"/>
    <n v="1810"/>
    <n v="0"/>
    <n v="432.9"/>
    <d v="2025-12-04T00:00:00"/>
    <n v="432.9"/>
    <n v="0"/>
    <s v="NULL"/>
    <s v="PRO"/>
    <n v="4.33"/>
    <n v="428.57"/>
    <s v="PAID"/>
    <n v="2"/>
    <n v="6915605625952"/>
    <d v="2025-12-12T00:00:00"/>
    <d v="2025-12-04T00:00:00"/>
    <m/>
    <d v="2025-12-12T00:00:00"/>
    <d v="2025-12-09T12:41:00"/>
    <n v="18101008256"/>
    <d v="2025-12-04T00:00:00"/>
    <s v="LAKSS01DD"/>
    <s v="NET 01/10/26"/>
    <n v="206515"/>
    <d v="2025-12-04T00:00:00"/>
    <d v="2025-12-12T00:00:00"/>
    <m/>
    <x v="0"/>
  </r>
  <r>
    <x v="2"/>
    <n v="1008260"/>
    <n v="64.5"/>
    <n v="1.29"/>
    <n v="63.21"/>
    <n v="0.65"/>
    <n v="62.56"/>
    <d v="2025-12-12T00:00:00"/>
    <n v="1008260"/>
    <n v="1810"/>
    <n v="1.29"/>
    <n v="64.5"/>
    <d v="2025-12-04T00:00:00"/>
    <n v="63.21"/>
    <n v="1.29"/>
    <s v="NULL"/>
    <s v="PRO"/>
    <n v="0.65"/>
    <n v="62.56"/>
    <s v="PAID"/>
    <n v="2"/>
    <n v="6915605625952"/>
    <d v="2025-12-12T00:00:00"/>
    <d v="2025-12-04T00:00:00"/>
    <m/>
    <d v="2025-12-12T00:00:00"/>
    <d v="2025-12-09T12:41:00"/>
    <n v="18101008260"/>
    <d v="2025-12-04T00:00:00"/>
    <s v="LAKSS01DD"/>
    <s v="2% 01/10/26"/>
    <n v="206514"/>
    <d v="2025-12-04T00:00:00"/>
    <d v="2025-12-12T00:00:00"/>
    <n v="1.29"/>
    <x v="0"/>
  </r>
  <r>
    <x v="2"/>
    <n v="1008261"/>
    <n v="1547.07"/>
    <m/>
    <n v="1547.07"/>
    <n v="15.47"/>
    <n v="1531.6"/>
    <d v="2025-12-12T00:00:00"/>
    <n v="1008261"/>
    <n v="1810"/>
    <n v="0"/>
    <n v="1547.07"/>
    <d v="2025-12-04T00:00:00"/>
    <n v="1547.07"/>
    <n v="0"/>
    <s v="NULL"/>
    <s v="PRO"/>
    <n v="15.47"/>
    <n v="1531.6"/>
    <s v="PAID"/>
    <n v="2"/>
    <n v="6915605625952"/>
    <d v="2025-12-12T00:00:00"/>
    <d v="2025-12-04T00:00:00"/>
    <m/>
    <d v="2025-12-12T00:00:00"/>
    <d v="2025-12-09T12:41:00"/>
    <n v="18101008261"/>
    <d v="2025-12-04T00:00:00"/>
    <s v="HGEF010R"/>
    <s v="NET 01/10/26"/>
    <n v="206516"/>
    <d v="2025-12-04T00:00:00"/>
    <d v="2025-12-12T00:00:00"/>
    <m/>
    <x v="0"/>
  </r>
  <r>
    <x v="2"/>
    <n v="1008271"/>
    <n v="11.58"/>
    <m/>
    <n v="11.58"/>
    <n v="0.12"/>
    <n v="11.46"/>
    <d v="2025-12-12T00:00:00"/>
    <n v="1008271"/>
    <n v="1810"/>
    <n v="0"/>
    <n v="11.58"/>
    <d v="2025-12-04T00:00:00"/>
    <n v="11.58"/>
    <n v="0"/>
    <s v="NULL"/>
    <s v="PRO"/>
    <n v="0.12"/>
    <n v="11.46"/>
    <s v="PAID"/>
    <n v="2"/>
    <n v="6915605625952"/>
    <d v="2025-12-12T00:00:00"/>
    <d v="2025-12-04T00:00:00"/>
    <m/>
    <d v="2025-12-12T00:00:00"/>
    <d v="2025-12-09T12:41:00"/>
    <n v="18101008271"/>
    <d v="2025-12-04T00:00:00"/>
    <s v="LAX14014"/>
    <s v="NET 01/10/26"/>
    <n v="206559"/>
    <d v="2025-12-04T00:00:00"/>
    <d v="2025-12-12T00:00:00"/>
    <m/>
    <x v="0"/>
  </r>
  <r>
    <x v="2"/>
    <n v="1008335"/>
    <n v="665"/>
    <m/>
    <n v="665"/>
    <n v="6.65"/>
    <n v="658.35"/>
    <d v="2025-12-12T00:00:00"/>
    <n v="1008335"/>
    <n v="1810"/>
    <n v="0"/>
    <n v="665"/>
    <d v="2025-12-05T00:00:00"/>
    <n v="665"/>
    <n v="0"/>
    <n v="1042443"/>
    <s v="ELITE"/>
    <n v="6.65"/>
    <n v="658.35"/>
    <s v="PAID"/>
    <n v="2"/>
    <n v="6915605625952"/>
    <d v="2025-12-12T00:00:00"/>
    <d v="2025-12-05T00:00:00"/>
    <m/>
    <d v="2025-12-12T00:00:00"/>
    <d v="2025-12-09T12:41:00"/>
    <n v="18101008335"/>
    <d v="2025-12-05T00:00:00"/>
    <n v="215311"/>
    <s v="NET 01/10/26"/>
    <n v="1042443"/>
    <d v="2025-12-05T00:00:00"/>
    <d v="2025-12-12T00:00:00"/>
    <m/>
    <x v="0"/>
  </r>
  <r>
    <x v="2"/>
    <n v="1008336"/>
    <n v="622.25"/>
    <m/>
    <n v="622.25"/>
    <n v="6.22"/>
    <n v="616.03"/>
    <d v="2025-12-12T00:00:00"/>
    <n v="1008336"/>
    <n v="1810"/>
    <n v="0"/>
    <n v="622.25"/>
    <d v="2025-12-05T00:00:00"/>
    <n v="622.25"/>
    <n v="0"/>
    <n v="1042442"/>
    <s v="ELITE"/>
    <n v="6.22"/>
    <n v="616.03"/>
    <s v="PAID"/>
    <n v="2"/>
    <n v="6915605625952"/>
    <d v="2025-12-12T00:00:00"/>
    <d v="2025-12-05T00:00:00"/>
    <m/>
    <d v="2025-12-12T00:00:00"/>
    <d v="2025-12-09T12:41:00"/>
    <n v="18101008336"/>
    <d v="2025-12-05T00:00:00"/>
    <n v="215309"/>
    <s v="NET 01/10/26"/>
    <n v="1042442"/>
    <d v="2025-12-05T00:00:00"/>
    <d v="2025-12-12T00:00:00"/>
    <m/>
    <x v="0"/>
  </r>
  <r>
    <x v="2"/>
    <n v="1008341"/>
    <n v="625"/>
    <m/>
    <n v="625"/>
    <n v="6.25"/>
    <n v="618.75"/>
    <d v="2025-12-12T00:00:00"/>
    <n v="1008341"/>
    <n v="1810"/>
    <n v="0"/>
    <n v="625"/>
    <d v="2025-12-05T00:00:00"/>
    <n v="625"/>
    <n v="0"/>
    <n v="210"/>
    <s v="PRO"/>
    <n v="6.25"/>
    <n v="618.75"/>
    <s v="PAID"/>
    <n v="2"/>
    <n v="6915605625952"/>
    <d v="2025-12-12T00:00:00"/>
    <d v="2025-12-05T00:00:00"/>
    <m/>
    <d v="2025-12-12T00:00:00"/>
    <d v="2025-12-09T12:41:00"/>
    <n v="18101008341"/>
    <d v="2025-12-05T00:00:00"/>
    <s v="NULL"/>
    <s v="NET 01/10/26"/>
    <n v="210"/>
    <d v="2025-12-05T00:00:00"/>
    <d v="2025-12-12T00:00:00"/>
    <m/>
    <x v="0"/>
  </r>
  <r>
    <x v="2"/>
    <n v="1008406"/>
    <n v="1896.28"/>
    <m/>
    <n v="1896.28"/>
    <n v="18.96"/>
    <n v="1877.32"/>
    <d v="2025-12-12T00:00:00"/>
    <n v="1008406"/>
    <n v="1810"/>
    <n v="0"/>
    <n v="1896.28"/>
    <d v="2025-12-05T00:00:00"/>
    <n v="1896.28"/>
    <n v="0"/>
    <s v="NULL"/>
    <s v="PRO"/>
    <n v="18.96"/>
    <n v="1877.32"/>
    <s v="PAID"/>
    <n v="2"/>
    <n v="6915605625952"/>
    <d v="2025-12-12T00:00:00"/>
    <d v="2025-12-05T00:00:00"/>
    <m/>
    <d v="2025-12-12T00:00:00"/>
    <d v="2025-12-09T12:41:00"/>
    <n v="18101008406"/>
    <d v="2025-12-05T00:00:00"/>
    <s v="KJDD5FF"/>
    <s v="NET 01/10/26"/>
    <n v="206790"/>
    <d v="2025-12-05T00:00:00"/>
    <d v="2025-12-12T00:00:00"/>
    <m/>
    <x v="0"/>
  </r>
  <r>
    <x v="2"/>
    <n v="1008473"/>
    <n v="398"/>
    <n v="7.96"/>
    <n v="390.04"/>
    <n v="3.98"/>
    <n v="386.06"/>
    <d v="2025-12-12T00:00:00"/>
    <n v="1008473"/>
    <n v="1810"/>
    <n v="7.96"/>
    <n v="398"/>
    <d v="2025-12-05T00:00:00"/>
    <n v="390.04"/>
    <n v="7.96"/>
    <s v="NULL"/>
    <s v="PRO"/>
    <n v="3.98"/>
    <n v="386.06"/>
    <s v="PAID"/>
    <n v="2"/>
    <n v="6915605625952"/>
    <d v="2025-12-12T00:00:00"/>
    <d v="2025-12-05T00:00:00"/>
    <m/>
    <d v="2025-12-12T00:00:00"/>
    <d v="2025-12-09T12:41:00"/>
    <n v="18101008473"/>
    <d v="2025-12-05T00:00:00"/>
    <s v="KOP12012025"/>
    <s v="2% 01/10/26"/>
    <n v="206622"/>
    <d v="2025-12-05T00:00:00"/>
    <d v="2025-12-12T00:00:00"/>
    <n v="7.96"/>
    <x v="0"/>
  </r>
  <r>
    <x v="2"/>
    <n v="1008478"/>
    <n v="550.58000000000004"/>
    <n v="11.01"/>
    <n v="539.57000000000005"/>
    <n v="5.51"/>
    <n v="534.05999999999995"/>
    <d v="2025-12-12T00:00:00"/>
    <n v="1008478"/>
    <n v="1810"/>
    <n v="11.01"/>
    <n v="550.58000000000004"/>
    <d v="2025-12-05T00:00:00"/>
    <n v="539.57000000000005"/>
    <n v="11.01"/>
    <s v="NULL"/>
    <s v="PRO"/>
    <n v="5.51"/>
    <n v="534.05999999999995"/>
    <s v="PAID"/>
    <n v="2"/>
    <n v="6915605625952"/>
    <d v="2025-12-12T00:00:00"/>
    <d v="2025-12-05T00:00:00"/>
    <m/>
    <d v="2025-12-12T00:00:00"/>
    <d v="2025-12-09T12:41:00"/>
    <n v="18101008478"/>
    <d v="2025-12-05T00:00:00"/>
    <s v="LKJDF047F"/>
    <s v="2% 01/10/26"/>
    <n v="206621"/>
    <d v="2025-12-05T00:00:00"/>
    <d v="2025-12-12T00:00:00"/>
    <n v="11.011600000000001"/>
    <x v="0"/>
  </r>
  <r>
    <x v="2"/>
    <n v="1008490"/>
    <n v="948.14"/>
    <m/>
    <n v="948.14"/>
    <n v="9.48"/>
    <n v="938.66"/>
    <d v="2025-12-12T00:00:00"/>
    <n v="1008490"/>
    <n v="1810"/>
    <n v="0"/>
    <n v="948.14"/>
    <d v="2025-12-05T00:00:00"/>
    <n v="948.14"/>
    <n v="0"/>
    <s v="NULL"/>
    <s v="PRO"/>
    <n v="9.48"/>
    <n v="938.66"/>
    <s v="PAID"/>
    <n v="2"/>
    <n v="6915605625952"/>
    <d v="2025-12-12T00:00:00"/>
    <d v="2025-12-05T00:00:00"/>
    <m/>
    <d v="2025-12-12T00:00:00"/>
    <d v="2025-12-09T12:41:00"/>
    <n v="18101008490"/>
    <d v="2025-12-05T00:00:00"/>
    <s v="45656D"/>
    <s v="NET 01/10/26"/>
    <n v="206833"/>
    <d v="2025-12-05T00:00:00"/>
    <d v="2025-12-12T00:00:00"/>
    <m/>
    <x v="0"/>
  </r>
  <r>
    <x v="2"/>
    <n v="1008573"/>
    <n v="-750"/>
    <m/>
    <n v="-750"/>
    <m/>
    <n v="-750"/>
    <d v="2025-12-12T00:00:00"/>
    <n v="1008573"/>
    <n v="1810"/>
    <n v="0"/>
    <n v="-750"/>
    <d v="2025-12-08T00:00:00"/>
    <n v="-750"/>
    <n v="0"/>
    <n v="1008573"/>
    <s v="PRO"/>
    <n v="0"/>
    <n v="-750"/>
    <s v="PAID"/>
    <n v="2"/>
    <n v="6915605625952"/>
    <d v="2025-12-12T00:00:00"/>
    <d v="2025-12-08T00:00:00"/>
    <m/>
    <d v="2025-12-12T00:00:00"/>
    <d v="2025-12-09T12:41:00"/>
    <n v="18101008573"/>
    <d v="2025-12-08T00:00:00"/>
    <s v="N/A"/>
    <s v="NET 01/10/26"/>
    <s v="NMCNoINV"/>
    <d v="2025-12-08T00:00:00"/>
    <d v="2025-12-12T00:00:00"/>
    <m/>
    <x v="0"/>
  </r>
  <r>
    <x v="3"/>
    <n v="1007764"/>
    <n v="127.63"/>
    <m/>
    <n v="127.63"/>
    <n v="1.28"/>
    <n v="127.63"/>
    <d v="2025-12-12T00:00:00"/>
    <n v="1007764"/>
    <n v="2035"/>
    <n v="0"/>
    <n v="127.63"/>
    <d v="2025-12-02T00:00:00"/>
    <n v="127.63"/>
    <n v="0"/>
    <s v="NULL"/>
    <s v="PRO"/>
    <n v="1.28"/>
    <n v="127.63"/>
    <s v="PAID"/>
    <n v="10"/>
    <s v="Auto1020863313600249"/>
    <d v="2025-12-12T00:00:00"/>
    <d v="2025-12-02T00:00:00"/>
    <s v="NULL"/>
    <d v="2025-12-12T00:00:00"/>
    <d v="2025-12-12T13:45:00"/>
    <n v="20351007764"/>
    <d v="2025-12-02T00:00:00"/>
    <n v="415497"/>
    <s v="2% 01/10/26"/>
    <n v="206210"/>
    <d v="2025-12-02T00:00:00"/>
    <d v="2025-12-12T00:00:00"/>
    <n v="2.5526"/>
    <x v="1"/>
  </r>
  <r>
    <x v="3"/>
    <n v="1007853"/>
    <n v="774"/>
    <m/>
    <n v="774"/>
    <n v="7.74"/>
    <n v="774"/>
    <d v="2025-12-12T00:00:00"/>
    <n v="1007853"/>
    <n v="2035"/>
    <n v="0"/>
    <n v="774"/>
    <d v="2025-12-02T00:00:00"/>
    <n v="774"/>
    <n v="0"/>
    <s v="NULL"/>
    <s v="PRO"/>
    <n v="7.74"/>
    <n v="774"/>
    <s v="PAID"/>
    <n v="10"/>
    <s v="Auto1020863313600249"/>
    <d v="2025-12-12T00:00:00"/>
    <d v="2025-12-02T00:00:00"/>
    <s v="NULL"/>
    <d v="2025-12-12T00:00:00"/>
    <d v="2025-12-12T13:45:00"/>
    <n v="20351007853"/>
    <d v="2025-12-02T00:00:00"/>
    <n v="415497"/>
    <s v="2% 01/10/26"/>
    <n v="206149"/>
    <d v="2025-12-02T00:00:00"/>
    <d v="2025-12-12T00:00:00"/>
    <n v="15.48"/>
    <x v="1"/>
  </r>
  <r>
    <x v="3"/>
    <n v="1008027"/>
    <n v="219"/>
    <m/>
    <n v="219"/>
    <n v="2.19"/>
    <n v="219"/>
    <d v="2025-12-12T00:00:00"/>
    <n v="1008027"/>
    <n v="2035"/>
    <n v="0"/>
    <n v="219"/>
    <d v="2025-12-03T00:00:00"/>
    <n v="219"/>
    <n v="0"/>
    <s v="NULL"/>
    <s v="PRO"/>
    <n v="2.19"/>
    <n v="219"/>
    <s v="PAID"/>
    <n v="10"/>
    <s v="Auto1020863313600249"/>
    <d v="2025-12-12T00:00:00"/>
    <d v="2025-12-03T00:00:00"/>
    <s v="NULL"/>
    <d v="2025-12-12T00:00:00"/>
    <d v="2025-12-12T13:45:00"/>
    <n v="20351008027"/>
    <d v="2025-12-03T00:00:00"/>
    <n v="415245"/>
    <s v="2% 01/10/26"/>
    <n v="206064"/>
    <d v="2025-12-03T00:00:00"/>
    <d v="2025-12-12T00:00:00"/>
    <n v="4.38"/>
    <x v="1"/>
  </r>
  <r>
    <x v="3"/>
    <n v="1008029"/>
    <n v="170"/>
    <m/>
    <n v="170"/>
    <n v="1.7"/>
    <n v="170"/>
    <d v="2025-12-12T00:00:00"/>
    <n v="1008029"/>
    <n v="2035"/>
    <n v="0"/>
    <n v="170"/>
    <d v="2025-12-03T00:00:00"/>
    <n v="170"/>
    <n v="0"/>
    <s v="NULL"/>
    <s v="PRO"/>
    <n v="1.7"/>
    <n v="170"/>
    <s v="PAID"/>
    <n v="10"/>
    <s v="Auto1020863313600249"/>
    <d v="2025-12-12T00:00:00"/>
    <d v="2025-12-03T00:00:00"/>
    <s v="NULL"/>
    <d v="2025-12-12T00:00:00"/>
    <d v="2025-12-12T13:45:00"/>
    <n v="20351008029"/>
    <d v="2025-12-03T00:00:00"/>
    <n v="413860"/>
    <s v="2% 01/10/26"/>
    <n v="206063"/>
    <d v="2025-12-03T00:00:00"/>
    <d v="2025-12-12T00:00:00"/>
    <n v="3.4"/>
    <x v="1"/>
  </r>
  <r>
    <x v="4"/>
    <n v="1000120"/>
    <n v="561.20000000000005"/>
    <m/>
    <n v="561.20000000000005"/>
    <m/>
    <n v="561.20000000000005"/>
    <d v="2025-12-12T00:00:00"/>
    <n v="1000120"/>
    <n v="2451"/>
    <n v="0"/>
    <n v="561.20000000000005"/>
    <d v="2025-10-24T00:00:00"/>
    <n v="561.20000000000005"/>
    <n v="0"/>
    <s v="NULL"/>
    <s v="PRO"/>
    <n v="0"/>
    <n v="561.20000000000005"/>
    <s v="PAID"/>
    <n v="2"/>
    <n v="1019752048416"/>
    <d v="2025-12-12T00:00:00"/>
    <d v="2025-10-24T00:00:00"/>
    <m/>
    <d v="2025-12-12T00:00:00"/>
    <d v="2025-12-12T11:20:00"/>
    <n v="24511000120"/>
    <d v="2025-10-24T00:00:00"/>
    <s v="A12102225"/>
    <s v="NET 12/10/25"/>
    <n v="199950"/>
    <d v="2025-10-24T00:00:00"/>
    <d v="2025-12-12T00:00:00"/>
    <m/>
    <x v="0"/>
  </r>
  <r>
    <x v="4"/>
    <n v="1001434"/>
    <n v="796.32"/>
    <m/>
    <n v="796.32"/>
    <m/>
    <n v="796.32"/>
    <d v="2025-12-12T00:00:00"/>
    <n v="1001434"/>
    <n v="2451"/>
    <n v="0"/>
    <n v="796.32"/>
    <d v="2025-10-29T00:00:00"/>
    <n v="796.32"/>
    <n v="0"/>
    <s v="01-00891300"/>
    <s v="TAMRON"/>
    <n v="0"/>
    <n v="796.32"/>
    <s v="PAID"/>
    <n v="2"/>
    <n v="1019752048416"/>
    <d v="2025-12-12T00:00:00"/>
    <d v="2025-10-30T00:00:00"/>
    <m/>
    <d v="2025-12-12T00:00:00"/>
    <d v="2025-12-12T11:20:00"/>
    <n v="24511001434"/>
    <d v="2025-10-29T00:00:00"/>
    <s v="TAM82925"/>
    <s v="1% 12/10/25"/>
    <s v="01-00891300"/>
    <d v="2025-10-30T00:00:00"/>
    <d v="2025-12-12T00:00:00"/>
    <n v="7.9632000000000005"/>
    <x v="1"/>
  </r>
  <r>
    <x v="4"/>
    <n v="1002114"/>
    <n v="232.01"/>
    <m/>
    <n v="232.01"/>
    <m/>
    <n v="232.01"/>
    <d v="2025-12-12T00:00:00"/>
    <n v="1002114"/>
    <n v="2451"/>
    <n v="0"/>
    <n v="232.01"/>
    <d v="2025-11-03T00:00:00"/>
    <n v="232.01"/>
    <n v="0"/>
    <s v="NULL"/>
    <s v="PRO"/>
    <n v="0"/>
    <n v="232.01"/>
    <s v="PAID"/>
    <n v="2"/>
    <n v="1019752048416"/>
    <d v="2025-12-12T00:00:00"/>
    <d v="2025-11-03T00:00:00"/>
    <m/>
    <d v="2025-12-12T00:00:00"/>
    <d v="2025-12-12T11:20:00"/>
    <n v="24511002114"/>
    <d v="2025-11-03T00:00:00"/>
    <s v="PRO11325"/>
    <s v="2% 12/10/25"/>
    <n v="201363"/>
    <d v="2025-11-03T00:00:00"/>
    <d v="2025-12-12T00:00:00"/>
    <n v="4.6402000000000001"/>
    <x v="1"/>
  </r>
  <r>
    <x v="4"/>
    <n v="1002194"/>
    <n v="56.92"/>
    <m/>
    <n v="56.92"/>
    <m/>
    <n v="56.92"/>
    <d v="2025-12-12T00:00:00"/>
    <n v="1002194"/>
    <n v="2451"/>
    <n v="0"/>
    <n v="56.92"/>
    <d v="2025-11-04T00:00:00"/>
    <n v="56.92"/>
    <n v="0"/>
    <s v="NULL"/>
    <s v="PRO"/>
    <n v="0"/>
    <n v="56.92"/>
    <s v="PAID"/>
    <n v="2"/>
    <n v="1019752048416"/>
    <d v="2025-12-12T00:00:00"/>
    <d v="2025-11-04T00:00:00"/>
    <m/>
    <d v="2025-12-12T00:00:00"/>
    <d v="2025-12-12T11:20:00"/>
    <n v="24511002194"/>
    <d v="2025-11-04T00:00:00"/>
    <s v="PRO11325"/>
    <s v="2% 12/10/25"/>
    <n v="201413"/>
    <d v="2025-11-04T00:00:00"/>
    <d v="2025-12-12T00:00:00"/>
    <n v="1.1384000000000001"/>
    <x v="1"/>
  </r>
  <r>
    <x v="4"/>
    <n v="1002198"/>
    <n v="151.91999999999999"/>
    <m/>
    <n v="151.91999999999999"/>
    <m/>
    <n v="151.91999999999999"/>
    <d v="2025-12-12T00:00:00"/>
    <n v="1002198"/>
    <n v="2451"/>
    <n v="0"/>
    <n v="151.91999999999999"/>
    <d v="2025-11-04T00:00:00"/>
    <n v="151.91999999999999"/>
    <n v="0"/>
    <s v="NULL"/>
    <s v="PRO"/>
    <n v="0"/>
    <n v="151.91999999999999"/>
    <s v="PAID"/>
    <n v="2"/>
    <n v="1019752048416"/>
    <d v="2025-12-12T00:00:00"/>
    <d v="2025-11-04T00:00:00"/>
    <m/>
    <d v="2025-12-12T00:00:00"/>
    <d v="2025-12-12T11:20:00"/>
    <n v="24511002198"/>
    <d v="2025-11-04T00:00:00"/>
    <s v="PRO11325"/>
    <s v="NET 12/10/25"/>
    <n v="201414"/>
    <d v="2025-11-04T00:00:00"/>
    <d v="2025-12-12T00:00:00"/>
    <m/>
    <x v="0"/>
  </r>
  <r>
    <x v="4"/>
    <n v="1002588"/>
    <n v="73.48"/>
    <m/>
    <n v="73.48"/>
    <m/>
    <n v="73.48"/>
    <d v="2025-12-12T00:00:00"/>
    <n v="1002588"/>
    <n v="2451"/>
    <n v="0"/>
    <n v="73.48"/>
    <d v="2025-11-06T00:00:00"/>
    <n v="73.48"/>
    <n v="0"/>
    <s v="NULL"/>
    <s v="PRO"/>
    <n v="0"/>
    <n v="73.48"/>
    <s v="PAID"/>
    <n v="2"/>
    <n v="1019752048416"/>
    <d v="2025-12-12T00:00:00"/>
    <d v="2025-11-06T00:00:00"/>
    <m/>
    <d v="2025-12-12T00:00:00"/>
    <d v="2025-12-12T11:20:00"/>
    <n v="24511002588"/>
    <d v="2025-11-06T00:00:00"/>
    <s v="A12102225"/>
    <s v="NET 12/10/25"/>
    <n v="201891"/>
    <d v="2025-11-06T00:00:00"/>
    <d v="2025-12-12T00:00:00"/>
    <m/>
    <x v="0"/>
  </r>
  <r>
    <x v="4"/>
    <n v="1003793"/>
    <n v="96.36"/>
    <m/>
    <n v="96.36"/>
    <m/>
    <n v="96.36"/>
    <d v="2025-12-12T00:00:00"/>
    <n v="1003793"/>
    <n v="2451"/>
    <n v="0"/>
    <n v="96.36"/>
    <d v="2025-11-13T00:00:00"/>
    <n v="96.36"/>
    <n v="0"/>
    <s v="NULL"/>
    <s v="PRO"/>
    <n v="0"/>
    <n v="96.36"/>
    <s v="PAID"/>
    <n v="2"/>
    <n v="1019752048416"/>
    <d v="2025-12-12T00:00:00"/>
    <d v="2025-11-13T00:00:00"/>
    <m/>
    <d v="2025-12-12T00:00:00"/>
    <d v="2025-12-12T11:20:00"/>
    <n v="24511003793"/>
    <d v="2025-11-13T00:00:00"/>
    <s v="TCC731FR"/>
    <s v="2% 12/10/25"/>
    <n v="202831"/>
    <d v="2025-11-13T00:00:00"/>
    <d v="2025-12-12T00:00:00"/>
    <n v="1.9272"/>
    <x v="1"/>
  </r>
  <r>
    <x v="4"/>
    <n v="1004021"/>
    <n v="441.2"/>
    <m/>
    <n v="441.2"/>
    <m/>
    <n v="441.2"/>
    <d v="2025-12-12T00:00:00"/>
    <n v="1004021"/>
    <n v="2451"/>
    <n v="0"/>
    <n v="441.2"/>
    <d v="2025-11-14T00:00:00"/>
    <n v="441.2"/>
    <n v="0"/>
    <s v="NULL"/>
    <s v="PRO"/>
    <n v="0"/>
    <n v="441.2"/>
    <s v="PAID"/>
    <n v="2"/>
    <n v="1019752048416"/>
    <d v="2025-12-12T00:00:00"/>
    <d v="2025-11-14T00:00:00"/>
    <m/>
    <d v="2025-12-12T00:00:00"/>
    <d v="2025-12-12T11:20:00"/>
    <n v="24511004021"/>
    <d v="2025-11-14T00:00:00"/>
    <s v="A12102225"/>
    <s v="NET 12/10/25"/>
    <n v="203099"/>
    <d v="2025-11-14T00:00:00"/>
    <d v="2025-12-12T00:00:00"/>
    <m/>
    <x v="0"/>
  </r>
  <r>
    <x v="4"/>
    <n v="1004349"/>
    <n v="227.9"/>
    <m/>
    <n v="227.9"/>
    <m/>
    <n v="227.9"/>
    <d v="2025-12-12T00:00:00"/>
    <n v="1004349"/>
    <n v="2451"/>
    <n v="0"/>
    <n v="227.9"/>
    <d v="2025-11-17T00:00:00"/>
    <n v="227.9"/>
    <n v="0"/>
    <s v="NULL"/>
    <s v="PRO"/>
    <n v="0"/>
    <n v="227.9"/>
    <s v="PAID"/>
    <n v="2"/>
    <n v="1019752048416"/>
    <d v="2025-12-12T00:00:00"/>
    <d v="2025-11-17T00:00:00"/>
    <m/>
    <d v="2025-12-12T00:00:00"/>
    <d v="2025-12-12T11:20:00"/>
    <n v="24511004349"/>
    <d v="2025-11-17T00:00:00"/>
    <s v="A12102225"/>
    <s v="NET 12/10/25"/>
    <n v="203448"/>
    <d v="2025-11-17T00:00:00"/>
    <d v="2025-12-12T00:00:00"/>
    <m/>
    <x v="0"/>
  </r>
  <r>
    <x v="4"/>
    <n v="1004478"/>
    <n v="553.54"/>
    <m/>
    <n v="553.54"/>
    <m/>
    <n v="553.54"/>
    <d v="2025-12-12T00:00:00"/>
    <n v="1004478"/>
    <n v="2451"/>
    <n v="0"/>
    <n v="553.54"/>
    <d v="2025-11-18T00:00:00"/>
    <n v="553.54"/>
    <n v="0"/>
    <n v="832691"/>
    <s v="LAWRENCE"/>
    <n v="0"/>
    <n v="553.54"/>
    <s v="PAID"/>
    <n v="2"/>
    <n v="1019752048416"/>
    <d v="2025-12-12T00:00:00"/>
    <d v="2025-11-18T00:00:00"/>
    <m/>
    <d v="2025-12-12T00:00:00"/>
    <d v="2025-12-12T11:20:00"/>
    <n v="24511004478"/>
    <d v="2025-11-18T00:00:00"/>
    <s v="NULL"/>
    <s v="NET 12/10/25"/>
    <n v="832691"/>
    <d v="2025-11-18T00:00:00"/>
    <d v="2025-12-12T00:00:00"/>
    <m/>
    <x v="0"/>
  </r>
  <r>
    <x v="4"/>
    <n v="1004555"/>
    <n v="362.4"/>
    <m/>
    <n v="362.4"/>
    <m/>
    <n v="362.4"/>
    <d v="2025-12-12T00:00:00"/>
    <n v="1004555"/>
    <n v="2451"/>
    <n v="0"/>
    <n v="362.4"/>
    <d v="2025-11-18T00:00:00"/>
    <n v="362.4"/>
    <n v="0"/>
    <s v="NULL"/>
    <s v="PRO"/>
    <n v="0"/>
    <n v="362.4"/>
    <s v="PAID"/>
    <n v="2"/>
    <n v="1019752048416"/>
    <d v="2025-12-12T00:00:00"/>
    <d v="2025-11-18T00:00:00"/>
    <m/>
    <d v="2025-12-12T00:00:00"/>
    <d v="2025-12-12T11:20:00"/>
    <n v="24511004555"/>
    <d v="2025-11-18T00:00:00"/>
    <s v="PRO111725"/>
    <s v="2% 12/10/25"/>
    <n v="203678"/>
    <d v="2025-11-18T00:00:00"/>
    <d v="2025-12-12T00:00:00"/>
    <n v="7.2479999999999993"/>
    <x v="1"/>
  </r>
  <r>
    <x v="4"/>
    <n v="1004717"/>
    <n v="199.87"/>
    <m/>
    <n v="199.87"/>
    <m/>
    <n v="199.87"/>
    <d v="2025-12-12T00:00:00"/>
    <n v="1004717"/>
    <n v="2451"/>
    <n v="0"/>
    <n v="199.87"/>
    <d v="2025-11-18T00:00:00"/>
    <n v="199.87"/>
    <n v="0"/>
    <s v="NULL"/>
    <s v="PRO"/>
    <n v="0"/>
    <n v="199.87"/>
    <s v="PAID"/>
    <n v="2"/>
    <n v="1019752048416"/>
    <d v="2025-12-12T00:00:00"/>
    <d v="2025-11-18T00:00:00"/>
    <m/>
    <d v="2025-12-12T00:00:00"/>
    <d v="2025-12-12T11:20:00"/>
    <n v="24511004717"/>
    <d v="2025-11-18T00:00:00"/>
    <s v="PRO111725"/>
    <s v="NET 12/10/25"/>
    <n v="203705"/>
    <d v="2025-11-18T00:00:00"/>
    <d v="2025-12-12T00:00:00"/>
    <m/>
    <x v="0"/>
  </r>
  <r>
    <x v="5"/>
    <n v="1007498"/>
    <n v="3990"/>
    <m/>
    <n v="3990"/>
    <n v="39.9"/>
    <n v="3950.1"/>
    <d v="2025-12-12T00:00:00"/>
    <n v="1007498"/>
    <n v="2542"/>
    <n v="0"/>
    <n v="3990"/>
    <d v="2025-12-02T00:00:00"/>
    <n v="3990"/>
    <n v="0"/>
    <s v="NULL"/>
    <s v="PRO"/>
    <n v="39.9"/>
    <n v="3950.1"/>
    <s v="PAID"/>
    <n v="2"/>
    <n v="1106967724540"/>
    <d v="2025-12-12T00:00:00"/>
    <d v="2025-12-02T00:00:00"/>
    <m/>
    <d v="2025-12-12T00:00:00"/>
    <d v="2025-12-10T10:55:00"/>
    <n v="25421007498"/>
    <d v="2025-12-02T00:00:00"/>
    <s v="NULL"/>
    <s v="NET 02/10/26"/>
    <s v="NULL"/>
    <d v="2025-12-02T00:00:00"/>
    <d v="2025-12-12T00:00:00"/>
    <m/>
    <x v="0"/>
  </r>
  <r>
    <x v="5"/>
    <n v="1007748"/>
    <n v="290.06"/>
    <n v="5.8"/>
    <n v="284.26"/>
    <n v="2.9"/>
    <n v="281.36"/>
    <d v="2025-12-12T00:00:00"/>
    <n v="1007748"/>
    <n v="2542"/>
    <n v="5.8"/>
    <n v="290.06"/>
    <d v="2025-12-02T00:00:00"/>
    <n v="284.26"/>
    <n v="5.8"/>
    <s v="NULL"/>
    <s v="PRO"/>
    <n v="2.9"/>
    <n v="281.36"/>
    <s v="PAID"/>
    <n v="2"/>
    <n v="1106967724540"/>
    <d v="2025-12-12T00:00:00"/>
    <d v="2025-12-02T00:00:00"/>
    <m/>
    <d v="2025-12-12T00:00:00"/>
    <d v="2025-12-10T10:55:00"/>
    <n v="25421007748"/>
    <d v="2025-12-02T00:00:00"/>
    <n v="25538"/>
    <s v="2% 01/10/26"/>
    <n v="206203"/>
    <d v="2025-12-02T00:00:00"/>
    <d v="2025-12-12T00:00:00"/>
    <n v="5.8012000000000006"/>
    <x v="0"/>
  </r>
  <r>
    <x v="5"/>
    <n v="1007752"/>
    <n v="331.91"/>
    <m/>
    <n v="331.91"/>
    <n v="3.32"/>
    <n v="328.59"/>
    <d v="2025-12-12T00:00:00"/>
    <n v="1007752"/>
    <n v="2542"/>
    <n v="0"/>
    <n v="331.91"/>
    <d v="2025-12-02T00:00:00"/>
    <n v="331.91"/>
    <n v="0"/>
    <s v="NULL"/>
    <s v="PRO"/>
    <n v="3.32"/>
    <n v="328.59"/>
    <s v="PAID"/>
    <n v="2"/>
    <n v="1106967724540"/>
    <d v="2025-12-12T00:00:00"/>
    <d v="2025-12-02T00:00:00"/>
    <m/>
    <d v="2025-12-12T00:00:00"/>
    <d v="2025-12-10T10:55:00"/>
    <n v="25421007752"/>
    <d v="2025-12-02T00:00:00"/>
    <n v="25538"/>
    <s v="NET 01/10/26"/>
    <n v="206204"/>
    <d v="2025-12-02T00:00:00"/>
    <d v="2025-12-12T00:00:00"/>
    <m/>
    <x v="0"/>
  </r>
  <r>
    <x v="5"/>
    <n v="1007860"/>
    <n v="51.05"/>
    <n v="1.02"/>
    <n v="50.03"/>
    <n v="0.51"/>
    <n v="49.52"/>
    <d v="2025-12-12T00:00:00"/>
    <n v="1007860"/>
    <n v="2542"/>
    <n v="1.02"/>
    <n v="51.05"/>
    <d v="2025-12-02T00:00:00"/>
    <n v="50.03"/>
    <n v="1.02"/>
    <s v="NULL"/>
    <s v="PRO"/>
    <n v="0.51"/>
    <n v="49.52"/>
    <s v="PAID"/>
    <n v="2"/>
    <n v="1106967724540"/>
    <d v="2025-12-12T00:00:00"/>
    <d v="2025-12-02T00:00:00"/>
    <m/>
    <d v="2025-12-12T00:00:00"/>
    <d v="2025-12-10T10:55:00"/>
    <n v="25421007860"/>
    <d v="2025-12-02T00:00:00"/>
    <n v="25538"/>
    <s v="2% 01/10/26"/>
    <n v="206146"/>
    <d v="2025-12-02T00:00:00"/>
    <d v="2025-12-12T00:00:00"/>
    <n v="1.0209999999999999"/>
    <x v="0"/>
  </r>
  <r>
    <x v="5"/>
    <n v="1008342"/>
    <n v="1104.55"/>
    <m/>
    <n v="1104.55"/>
    <n v="11.05"/>
    <n v="1093.5"/>
    <d v="2025-12-12T00:00:00"/>
    <n v="1008342"/>
    <n v="2542"/>
    <n v="0"/>
    <n v="1104.55"/>
    <d v="2025-12-05T00:00:00"/>
    <n v="1104.55"/>
    <n v="0"/>
    <s v="A112933"/>
    <s v="HAHNEMUHLE"/>
    <n v="11.05"/>
    <n v="1093.5"/>
    <s v="PAID"/>
    <n v="2"/>
    <n v="1106967724540"/>
    <d v="2025-12-12T00:00:00"/>
    <d v="2025-12-05T00:00:00"/>
    <m/>
    <d v="2025-12-12T00:00:00"/>
    <d v="2025-12-10T10:55:00"/>
    <n v="25421008342"/>
    <d v="2025-12-05T00:00:00"/>
    <n v="1584342"/>
    <s v="NET 01/10/26"/>
    <s v="A112933"/>
    <d v="2025-12-05T00:00:00"/>
    <d v="2025-12-12T00:00:00"/>
    <m/>
    <x v="0"/>
  </r>
  <r>
    <x v="6"/>
    <n v="1007347"/>
    <n v="132.72"/>
    <n v="2.65"/>
    <n v="130.07"/>
    <n v="1.33"/>
    <n v="128.74"/>
    <d v="2025-12-12T00:00:00"/>
    <n v="1007347"/>
    <n v="2591"/>
    <n v="2.65"/>
    <n v="132.72"/>
    <d v="2025-12-01T00:00:00"/>
    <n v="130.07"/>
    <n v="2.65"/>
    <s v="NULL"/>
    <s v="PRO"/>
    <n v="1.33"/>
    <n v="128.74"/>
    <s v="PAID"/>
    <n v="2"/>
    <n v="3900356853246"/>
    <d v="2025-12-12T00:00:00"/>
    <d v="2025-12-01T00:00:00"/>
    <m/>
    <d v="2025-12-12T00:00:00"/>
    <d v="2025-12-09T14:27:00"/>
    <n v="25911007347"/>
    <d v="2025-12-01T00:00:00"/>
    <s v="CC-349127"/>
    <s v="2% 01/10/26"/>
    <n v="205802"/>
    <d v="2025-12-01T00:00:00"/>
    <d v="2025-12-12T00:00:00"/>
    <n v="2.6543999999999999"/>
    <x v="0"/>
  </r>
  <r>
    <x v="6"/>
    <n v="1007554"/>
    <n v="3990"/>
    <m/>
    <n v="3990"/>
    <n v="39.9"/>
    <n v="3950.1"/>
    <d v="2025-12-12T00:00:00"/>
    <n v="1007554"/>
    <n v="2591"/>
    <n v="0"/>
    <n v="3990"/>
    <d v="2025-12-02T00:00:00"/>
    <n v="3990"/>
    <n v="0"/>
    <s v="NULL"/>
    <s v="PRO"/>
    <n v="39.9"/>
    <n v="3950.1"/>
    <s v="PAID"/>
    <n v="2"/>
    <n v="3900356853246"/>
    <d v="2025-12-12T00:00:00"/>
    <d v="2025-12-02T00:00:00"/>
    <m/>
    <d v="2025-12-12T00:00:00"/>
    <d v="2025-12-09T14:27:00"/>
    <n v="25911007554"/>
    <d v="2025-12-02T00:00:00"/>
    <s v="NULL"/>
    <s v="NET 02/10/26"/>
    <s v="NULL"/>
    <d v="2025-12-02T00:00:00"/>
    <d v="2025-12-12T00:00:00"/>
    <m/>
    <x v="0"/>
  </r>
  <r>
    <x v="6"/>
    <n v="1007911"/>
    <n v="81.2"/>
    <m/>
    <n v="81.2"/>
    <n v="0.81"/>
    <n v="80.39"/>
    <d v="2025-12-12T00:00:00"/>
    <n v="1007911"/>
    <n v="2591"/>
    <n v="0"/>
    <n v="81.2"/>
    <d v="2025-12-03T00:00:00"/>
    <n v="81.2"/>
    <n v="0"/>
    <s v="NULL"/>
    <s v="PRO"/>
    <n v="0.81"/>
    <n v="80.39"/>
    <s v="PAID"/>
    <n v="2"/>
    <n v="3900356853246"/>
    <d v="2025-12-12T00:00:00"/>
    <d v="2025-12-03T00:00:00"/>
    <m/>
    <d v="2025-12-12T00:00:00"/>
    <d v="2025-12-09T14:27:00"/>
    <n v="25911007911"/>
    <d v="2025-12-03T00:00:00"/>
    <s v="CC-351157"/>
    <s v="NET 01/10/26"/>
    <n v="206448"/>
    <d v="2025-12-03T00:00:00"/>
    <d v="2025-12-12T00:00:00"/>
    <m/>
    <x v="0"/>
  </r>
  <r>
    <x v="6"/>
    <n v="1007972"/>
    <n v="541.95000000000005"/>
    <n v="10.84"/>
    <n v="531.11"/>
    <n v="5.42"/>
    <n v="525.69000000000005"/>
    <d v="2025-12-12T00:00:00"/>
    <n v="1007972"/>
    <n v="2591"/>
    <n v="10.84"/>
    <n v="541.95000000000005"/>
    <d v="2025-12-03T00:00:00"/>
    <n v="531.11"/>
    <n v="10.84"/>
    <s v="NULL"/>
    <s v="PRO"/>
    <n v="5.42"/>
    <n v="525.69000000000005"/>
    <s v="PAID"/>
    <n v="2"/>
    <n v="3900356853246"/>
    <d v="2025-12-12T00:00:00"/>
    <d v="2025-12-03T00:00:00"/>
    <m/>
    <d v="2025-12-12T00:00:00"/>
    <d v="2025-12-09T14:27:00"/>
    <n v="25911007972"/>
    <d v="2025-12-03T00:00:00"/>
    <s v="CC-351267"/>
    <s v="2% 01/10/26"/>
    <n v="206227"/>
    <d v="2025-12-03T00:00:00"/>
    <d v="2025-12-12T00:00:00"/>
    <n v="10.839"/>
    <x v="0"/>
  </r>
  <r>
    <x v="6"/>
    <n v="1007976"/>
    <n v="123.6"/>
    <m/>
    <n v="123.6"/>
    <n v="1.24"/>
    <n v="122.36"/>
    <d v="2025-12-12T00:00:00"/>
    <n v="1007976"/>
    <n v="2591"/>
    <n v="0"/>
    <n v="123.6"/>
    <d v="2025-12-03T00:00:00"/>
    <n v="123.6"/>
    <n v="0"/>
    <s v="NULL"/>
    <s v="PRO"/>
    <n v="1.24"/>
    <n v="122.36"/>
    <s v="PAID"/>
    <n v="2"/>
    <n v="3900356853246"/>
    <d v="2025-12-12T00:00:00"/>
    <d v="2025-12-03T00:00:00"/>
    <m/>
    <d v="2025-12-12T00:00:00"/>
    <d v="2025-12-09T14:27:00"/>
    <n v="25911007976"/>
    <d v="2025-12-03T00:00:00"/>
    <s v="CC-351267"/>
    <s v="NET 01/10/26"/>
    <n v="206228"/>
    <d v="2025-12-03T00:00:00"/>
    <d v="2025-12-12T00:00:00"/>
    <m/>
    <x v="0"/>
  </r>
  <r>
    <x v="6"/>
    <n v="1008090"/>
    <n v="140.4"/>
    <n v="2.81"/>
    <n v="137.59"/>
    <n v="1.4"/>
    <n v="136.19"/>
    <d v="2025-12-12T00:00:00"/>
    <n v="1008090"/>
    <n v="2591"/>
    <n v="2.81"/>
    <n v="140.4"/>
    <d v="2025-12-04T00:00:00"/>
    <n v="137.59"/>
    <n v="2.81"/>
    <s v="NULL"/>
    <s v="PRO"/>
    <n v="1.4"/>
    <n v="136.19"/>
    <s v="PAID"/>
    <n v="2"/>
    <n v="3900356853246"/>
    <d v="2025-12-12T00:00:00"/>
    <d v="2025-12-04T00:00:00"/>
    <m/>
    <d v="2025-12-12T00:00:00"/>
    <d v="2025-12-09T14:27:00"/>
    <n v="25911008090"/>
    <d v="2025-12-04T00:00:00"/>
    <s v="CC-350574"/>
    <s v="2% 01/10/26"/>
    <n v="206401"/>
    <d v="2025-12-04T00:00:00"/>
    <d v="2025-12-12T00:00:00"/>
    <n v="2.8080000000000003"/>
    <x v="0"/>
  </r>
  <r>
    <x v="7"/>
    <n v="1007368"/>
    <n v="66.36"/>
    <n v="1.33"/>
    <n v="65.03"/>
    <n v="0.66"/>
    <n v="64.37"/>
    <d v="2025-12-12T00:00:00"/>
    <n v="1007368"/>
    <n v="2626"/>
    <n v="1.33"/>
    <n v="66.36"/>
    <d v="2025-12-01T00:00:00"/>
    <n v="65.03"/>
    <n v="1.33"/>
    <s v="NULL"/>
    <s v="PRO"/>
    <n v="0.66"/>
    <n v="64.37"/>
    <s v="PAID"/>
    <n v="2"/>
    <n v="2912900577082"/>
    <d v="2025-12-12T00:00:00"/>
    <d v="2025-12-01T00:00:00"/>
    <m/>
    <d v="2025-12-12T00:00:00"/>
    <d v="2025-12-10T11:57:00"/>
    <n v="26261007368"/>
    <d v="2025-12-01T00:00:00"/>
    <n v="144454"/>
    <s v="2% 01/10/26"/>
    <n v="205846"/>
    <d v="2025-12-01T00:00:00"/>
    <d v="2025-12-12T00:00:00"/>
    <n v="1.3271999999999999"/>
    <x v="0"/>
  </r>
  <r>
    <x v="7"/>
    <n v="1007543"/>
    <n v="3990"/>
    <m/>
    <n v="3990"/>
    <n v="39.9"/>
    <n v="3950.1"/>
    <d v="2025-12-12T00:00:00"/>
    <n v="1007543"/>
    <n v="2626"/>
    <n v="0"/>
    <n v="3990"/>
    <d v="2025-12-02T00:00:00"/>
    <n v="3990"/>
    <n v="0"/>
    <s v="NULL"/>
    <s v="PRO"/>
    <n v="39.9"/>
    <n v="3950.1"/>
    <s v="PAID"/>
    <n v="2"/>
    <n v="2912900577082"/>
    <d v="2025-12-12T00:00:00"/>
    <d v="2025-12-02T00:00:00"/>
    <m/>
    <d v="2025-12-12T00:00:00"/>
    <d v="2025-12-10T11:57:00"/>
    <n v="26261007543"/>
    <d v="2025-12-02T00:00:00"/>
    <s v="NULL"/>
    <s v="NET 02/10/26"/>
    <s v="NULL"/>
    <d v="2025-12-02T00:00:00"/>
    <d v="2025-12-12T00:00:00"/>
    <m/>
    <x v="0"/>
  </r>
  <r>
    <x v="7"/>
    <n v="1008132"/>
    <n v="343.88"/>
    <n v="6.88"/>
    <n v="337"/>
    <n v="3.44"/>
    <n v="333.56"/>
    <d v="2025-12-12T00:00:00"/>
    <n v="1008132"/>
    <n v="2626"/>
    <n v="6.88"/>
    <n v="343.88"/>
    <d v="2025-12-04T00:00:00"/>
    <n v="337"/>
    <n v="6.88"/>
    <s v="NULL"/>
    <s v="PRO"/>
    <n v="3.44"/>
    <n v="333.56"/>
    <s v="PAID"/>
    <n v="2"/>
    <n v="2912900577082"/>
    <d v="2025-12-12T00:00:00"/>
    <d v="2025-12-04T00:00:00"/>
    <m/>
    <d v="2025-12-12T00:00:00"/>
    <d v="2025-12-10T11:57:00"/>
    <n v="26261008132"/>
    <d v="2025-12-04T00:00:00"/>
    <n v="144523"/>
    <s v="2% 01/10/26"/>
    <n v="206676"/>
    <d v="2025-12-04T00:00:00"/>
    <d v="2025-12-12T00:00:00"/>
    <n v="6.8776000000000002"/>
    <x v="0"/>
  </r>
  <r>
    <x v="7"/>
    <n v="1008162"/>
    <n v="2372.16"/>
    <m/>
    <n v="2372.16"/>
    <n v="23.72"/>
    <n v="2348.44"/>
    <d v="2025-12-12T00:00:00"/>
    <n v="1008162"/>
    <n v="2626"/>
    <n v="0"/>
    <n v="2372.16"/>
    <d v="2025-12-04T00:00:00"/>
    <n v="2372.16"/>
    <n v="0"/>
    <s v="NULL"/>
    <s v="PRO"/>
    <n v="23.72"/>
    <n v="2348.44"/>
    <s v="PAID"/>
    <n v="2"/>
    <n v="2912900577082"/>
    <d v="2025-12-12T00:00:00"/>
    <d v="2025-12-04T00:00:00"/>
    <m/>
    <d v="2025-12-12T00:00:00"/>
    <d v="2025-12-10T11:57:00"/>
    <n v="26261008162"/>
    <d v="2025-12-04T00:00:00"/>
    <n v="144523"/>
    <s v="NET 01/10/26"/>
    <n v="206692"/>
    <d v="2025-12-04T00:00:00"/>
    <d v="2025-12-12T00:00:00"/>
    <m/>
    <x v="0"/>
  </r>
  <r>
    <x v="7"/>
    <n v="1008164"/>
    <n v="116.31"/>
    <n v="2.33"/>
    <n v="113.98"/>
    <n v="1.1599999999999999"/>
    <n v="112.82"/>
    <d v="2025-12-12T00:00:00"/>
    <n v="1008164"/>
    <n v="2626"/>
    <n v="2.33"/>
    <n v="116.31"/>
    <d v="2025-12-04T00:00:00"/>
    <n v="113.98"/>
    <n v="2.33"/>
    <s v="NULL"/>
    <s v="PRO"/>
    <n v="1.1599999999999999"/>
    <n v="112.82"/>
    <s v="PAID"/>
    <n v="2"/>
    <n v="2912900577082"/>
    <d v="2025-12-12T00:00:00"/>
    <d v="2025-12-04T00:00:00"/>
    <m/>
    <d v="2025-12-12T00:00:00"/>
    <d v="2025-12-10T11:57:00"/>
    <n v="26261008164"/>
    <d v="2025-12-04T00:00:00"/>
    <n v="144523"/>
    <s v="2% 01/10/26"/>
    <n v="206691"/>
    <d v="2025-12-04T00:00:00"/>
    <d v="2025-12-12T00:00:00"/>
    <n v="2.3262"/>
    <x v="0"/>
  </r>
  <r>
    <x v="7"/>
    <n v="1008999"/>
    <n v="-405"/>
    <m/>
    <n v="-405"/>
    <m/>
    <n v="-405"/>
    <d v="2025-12-12T00:00:00"/>
    <n v="1008999"/>
    <n v="2626"/>
    <n v="0"/>
    <n v="-405"/>
    <d v="2025-12-09T00:00:00"/>
    <n v="-405"/>
    <n v="0"/>
    <n v="1008999"/>
    <s v="PRO"/>
    <n v="0"/>
    <n v="-405"/>
    <s v="PAID"/>
    <n v="2"/>
    <n v="2912900577082"/>
    <d v="2025-12-12T00:00:00"/>
    <d v="2025-12-09T00:00:00"/>
    <m/>
    <d v="2025-12-12T00:00:00"/>
    <d v="2025-12-10T11:57:00"/>
    <n v="26261008999"/>
    <d v="2025-12-09T00:00:00"/>
    <n v="42"/>
    <s v="NET 01/10/26"/>
    <s v="OLYM112467"/>
    <d v="2025-12-09T00:00:00"/>
    <d v="2025-12-12T00:00:00"/>
    <m/>
    <x v="0"/>
  </r>
  <r>
    <x v="7"/>
    <n v="1009049"/>
    <n v="-283.5"/>
    <m/>
    <n v="-283.5"/>
    <m/>
    <n v="-283.5"/>
    <d v="2025-12-12T00:00:00"/>
    <n v="1009049"/>
    <n v="2626"/>
    <n v="0"/>
    <n v="-283.5"/>
    <d v="2025-12-09T00:00:00"/>
    <n v="-283.5"/>
    <n v="0"/>
    <n v="1009049"/>
    <s v="PRO"/>
    <n v="0"/>
    <n v="-283.5"/>
    <s v="PAID"/>
    <n v="2"/>
    <n v="2912900577082"/>
    <d v="2025-12-12T00:00:00"/>
    <d v="2025-12-09T00:00:00"/>
    <m/>
    <d v="2025-12-12T00:00:00"/>
    <d v="2025-12-10T11:57:00"/>
    <n v="26261009049"/>
    <d v="2025-12-09T00:00:00"/>
    <n v="43"/>
    <s v="NET 01/10/26"/>
    <s v="OLYM112526"/>
    <d v="2025-12-09T00:00:00"/>
    <d v="2025-12-12T00:00:00"/>
    <m/>
    <x v="0"/>
  </r>
  <r>
    <x v="8"/>
    <n v="1007579"/>
    <n v="350"/>
    <m/>
    <n v="350"/>
    <n v="3.5"/>
    <n v="346.5"/>
    <d v="2025-12-12T00:00:00"/>
    <n v="1007579"/>
    <n v="2633"/>
    <n v="0"/>
    <n v="350"/>
    <d v="2025-12-02T00:00:00"/>
    <n v="350"/>
    <n v="0"/>
    <s v="NULL"/>
    <s v="PRO"/>
    <n v="3.5"/>
    <n v="346.5"/>
    <s v="PAID"/>
    <n v="2"/>
    <n v="7670023639481"/>
    <d v="2025-12-12T00:00:00"/>
    <d v="2025-12-02T00:00:00"/>
    <m/>
    <d v="2025-12-12T00:00:00"/>
    <d v="2025-12-12T09:45:00"/>
    <n v="26331007579"/>
    <d v="2025-12-02T00:00:00"/>
    <s v="NULL"/>
    <s v="NET DUE 10TH"/>
    <s v="NULL"/>
    <d v="2025-12-02T00:00:00"/>
    <d v="2025-12-12T00:00:00"/>
    <m/>
    <x v="0"/>
  </r>
  <r>
    <x v="9"/>
    <n v="1007177"/>
    <n v="33.18"/>
    <m/>
    <n v="33.18"/>
    <n v="0.33"/>
    <n v="33.18"/>
    <d v="2025-12-12T00:00:00"/>
    <n v="1007177"/>
    <n v="2661"/>
    <n v="0"/>
    <n v="33.18"/>
    <d v="2025-12-01T00:00:00"/>
    <n v="33.18"/>
    <n v="0"/>
    <s v="NULL"/>
    <s v="PRO"/>
    <n v="0.33"/>
    <n v="33.18"/>
    <s v="PAID"/>
    <n v="10"/>
    <s v="Auto673927628037829"/>
    <d v="2025-12-12T00:00:00"/>
    <d v="2025-12-01T00:00:00"/>
    <s v="NULL"/>
    <d v="2025-12-12T00:00:00"/>
    <d v="2025-12-12T13:45:00"/>
    <n v="26611007177"/>
    <d v="2025-12-01T00:00:00"/>
    <n v="2894"/>
    <s v="2% 01/10/26"/>
    <n v="205770"/>
    <d v="2025-12-01T00:00:00"/>
    <d v="2025-12-12T00:00:00"/>
    <n v="0.66359999999999997"/>
    <x v="1"/>
  </r>
  <r>
    <x v="9"/>
    <n v="1007179"/>
    <n v="33.18"/>
    <m/>
    <n v="33.18"/>
    <n v="0.33"/>
    <n v="33.18"/>
    <d v="2025-12-12T00:00:00"/>
    <n v="1007179"/>
    <n v="2661"/>
    <n v="0"/>
    <n v="33.18"/>
    <d v="2025-12-01T00:00:00"/>
    <n v="33.18"/>
    <n v="0"/>
    <s v="NULL"/>
    <s v="PRO"/>
    <n v="0.33"/>
    <n v="33.18"/>
    <s v="PAID"/>
    <n v="10"/>
    <s v="Auto673927628037829"/>
    <d v="2025-12-12T00:00:00"/>
    <d v="2025-12-01T00:00:00"/>
    <s v="NULL"/>
    <d v="2025-12-12T00:00:00"/>
    <d v="2025-12-12T13:45:00"/>
    <n v="26611007179"/>
    <d v="2025-12-01T00:00:00"/>
    <n v="2960"/>
    <s v="2% 01/10/26"/>
    <n v="205774"/>
    <d v="2025-12-01T00:00:00"/>
    <d v="2025-12-12T00:00:00"/>
    <n v="0.66359999999999997"/>
    <x v="1"/>
  </r>
  <r>
    <x v="9"/>
    <n v="1007181"/>
    <n v="20.57"/>
    <m/>
    <n v="20.57"/>
    <n v="0.21"/>
    <n v="20.57"/>
    <d v="2025-12-12T00:00:00"/>
    <n v="1007181"/>
    <n v="2661"/>
    <n v="0"/>
    <n v="20.57"/>
    <d v="2025-12-01T00:00:00"/>
    <n v="20.57"/>
    <n v="0"/>
    <s v="NULL"/>
    <s v="PRO"/>
    <n v="0.21"/>
    <n v="20.57"/>
    <s v="PAID"/>
    <n v="10"/>
    <s v="Auto673927628037829"/>
    <d v="2025-12-12T00:00:00"/>
    <d v="2025-12-01T00:00:00"/>
    <s v="NULL"/>
    <d v="2025-12-12T00:00:00"/>
    <d v="2025-12-12T13:45:00"/>
    <n v="26611007181"/>
    <d v="2025-12-01T00:00:00"/>
    <s v="PROSHOW2025"/>
    <s v="2% 01/10/26"/>
    <n v="205772"/>
    <d v="2025-12-01T00:00:00"/>
    <d v="2025-12-12T00:00:00"/>
    <n v="0.41139999999999999"/>
    <x v="1"/>
  </r>
  <r>
    <x v="9"/>
    <n v="1007182"/>
    <n v="33.18"/>
    <m/>
    <n v="33.18"/>
    <n v="0.33"/>
    <n v="33.18"/>
    <d v="2025-12-12T00:00:00"/>
    <n v="1007182"/>
    <n v="2661"/>
    <n v="0"/>
    <n v="33.18"/>
    <d v="2025-12-01T00:00:00"/>
    <n v="33.18"/>
    <n v="0"/>
    <s v="NULL"/>
    <s v="PRO"/>
    <n v="0.33"/>
    <n v="33.18"/>
    <s v="PAID"/>
    <n v="10"/>
    <s v="Auto673927628037829"/>
    <d v="2025-12-12T00:00:00"/>
    <d v="2025-12-01T00:00:00"/>
    <s v="NULL"/>
    <d v="2025-12-12T00:00:00"/>
    <d v="2025-12-12T13:45:00"/>
    <n v="26611007182"/>
    <d v="2025-12-01T00:00:00"/>
    <n v="3004"/>
    <s v="2% 01/10/26"/>
    <n v="205775"/>
    <d v="2025-12-01T00:00:00"/>
    <d v="2025-12-12T00:00:00"/>
    <n v="0.66359999999999997"/>
    <x v="1"/>
  </r>
  <r>
    <x v="9"/>
    <n v="1007184"/>
    <n v="33.18"/>
    <m/>
    <n v="33.18"/>
    <n v="0.33"/>
    <n v="33.18"/>
    <d v="2025-12-12T00:00:00"/>
    <n v="1007184"/>
    <n v="2661"/>
    <n v="0"/>
    <n v="33.18"/>
    <d v="2025-12-01T00:00:00"/>
    <n v="33.18"/>
    <n v="0"/>
    <s v="NULL"/>
    <s v="PRO"/>
    <n v="0.33"/>
    <n v="33.18"/>
    <s v="PAID"/>
    <n v="10"/>
    <s v="Auto673927628037829"/>
    <d v="2025-12-12T00:00:00"/>
    <d v="2025-12-01T00:00:00"/>
    <s v="NULL"/>
    <d v="2025-12-12T00:00:00"/>
    <d v="2025-12-12T13:45:00"/>
    <n v="26611007184"/>
    <d v="2025-12-01T00:00:00"/>
    <n v="2943"/>
    <s v="2% 01/10/26"/>
    <n v="205771"/>
    <d v="2025-12-01T00:00:00"/>
    <d v="2025-12-12T00:00:00"/>
    <n v="0.66359999999999997"/>
    <x v="1"/>
  </r>
  <r>
    <x v="9"/>
    <n v="1007185"/>
    <n v="33.18"/>
    <m/>
    <n v="33.18"/>
    <n v="0.33"/>
    <n v="33.18"/>
    <d v="2025-12-12T00:00:00"/>
    <n v="1007185"/>
    <n v="2661"/>
    <n v="0"/>
    <n v="33.18"/>
    <d v="2025-12-01T00:00:00"/>
    <n v="33.18"/>
    <n v="0"/>
    <s v="NULL"/>
    <s v="PRO"/>
    <n v="0.33"/>
    <n v="33.18"/>
    <s v="PAID"/>
    <n v="10"/>
    <s v="Auto673927628037829"/>
    <d v="2025-12-12T00:00:00"/>
    <d v="2025-12-01T00:00:00"/>
    <s v="NULL"/>
    <d v="2025-12-12T00:00:00"/>
    <d v="2025-12-12T13:45:00"/>
    <n v="26611007185"/>
    <d v="2025-12-01T00:00:00"/>
    <n v="2945"/>
    <s v="2% 01/10/26"/>
    <n v="205773"/>
    <d v="2025-12-01T00:00:00"/>
    <d v="2025-12-12T00:00:00"/>
    <n v="0.66359999999999997"/>
    <x v="1"/>
  </r>
  <r>
    <x v="9"/>
    <n v="1007290"/>
    <n v="328.75"/>
    <m/>
    <n v="328.75"/>
    <n v="3.29"/>
    <n v="328.75"/>
    <d v="2025-12-12T00:00:00"/>
    <n v="1007290"/>
    <n v="2661"/>
    <n v="0"/>
    <n v="328.75"/>
    <d v="2025-12-01T00:00:00"/>
    <n v="328.75"/>
    <n v="0"/>
    <s v="NULL"/>
    <s v="PRO"/>
    <n v="3.29"/>
    <n v="328.75"/>
    <s v="PAID"/>
    <n v="10"/>
    <s v="Auto673927628037829"/>
    <d v="2025-12-12T00:00:00"/>
    <d v="2025-12-01T00:00:00"/>
    <s v="NULL"/>
    <d v="2025-12-12T00:00:00"/>
    <d v="2025-12-12T13:45:00"/>
    <n v="26611007290"/>
    <d v="2025-12-01T00:00:00"/>
    <n v="3018"/>
    <s v="2% 01/10/26"/>
    <n v="205890"/>
    <d v="2025-12-01T00:00:00"/>
    <d v="2025-12-12T00:00:00"/>
    <n v="6.5750000000000002"/>
    <x v="1"/>
  </r>
  <r>
    <x v="9"/>
    <n v="1007405"/>
    <n v="128.79"/>
    <m/>
    <n v="128.79"/>
    <n v="1.29"/>
    <n v="128.79"/>
    <d v="2025-12-12T00:00:00"/>
    <n v="1007405"/>
    <n v="2661"/>
    <n v="0"/>
    <n v="128.79"/>
    <d v="2025-12-01T00:00:00"/>
    <n v="128.79"/>
    <n v="0"/>
    <s v="NULL"/>
    <s v="PRO"/>
    <n v="1.29"/>
    <n v="128.79"/>
    <s v="PAID"/>
    <n v="10"/>
    <s v="Auto673927628037829"/>
    <d v="2025-12-12T00:00:00"/>
    <d v="2025-12-01T00:00:00"/>
    <s v="NULL"/>
    <d v="2025-12-12T00:00:00"/>
    <d v="2025-12-12T13:45:00"/>
    <n v="26611007405"/>
    <d v="2025-12-01T00:00:00"/>
    <n v="3018"/>
    <s v="2% 01/10/26"/>
    <n v="205910"/>
    <d v="2025-12-01T00:00:00"/>
    <d v="2025-12-12T00:00:00"/>
    <n v="2.5758000000000001"/>
    <x v="1"/>
  </r>
  <r>
    <x v="9"/>
    <n v="1007409"/>
    <n v="349.44"/>
    <m/>
    <n v="349.44"/>
    <n v="3.49"/>
    <n v="345.95"/>
    <d v="2025-12-12T00:00:00"/>
    <n v="1007409"/>
    <n v="2661"/>
    <n v="0"/>
    <n v="349.44"/>
    <d v="2025-12-01T00:00:00"/>
    <n v="349.44"/>
    <n v="0"/>
    <s v="NULL"/>
    <s v="PRO"/>
    <n v="3.49"/>
    <n v="345.95"/>
    <s v="PAID"/>
    <n v="10"/>
    <s v="Auto673927628037829"/>
    <d v="2025-12-12T00:00:00"/>
    <d v="2025-12-01T00:00:00"/>
    <s v="NULL"/>
    <d v="2025-12-12T00:00:00"/>
    <d v="2025-12-12T13:45:00"/>
    <n v="26611007409"/>
    <d v="2025-12-01T00:00:00"/>
    <n v="3018"/>
    <s v="NET 01/10/26"/>
    <n v="205911"/>
    <d v="2025-12-01T00:00:00"/>
    <d v="2025-12-12T00:00:00"/>
    <m/>
    <x v="0"/>
  </r>
  <r>
    <x v="9"/>
    <n v="1007536"/>
    <n v="350"/>
    <m/>
    <n v="350"/>
    <n v="3.5"/>
    <n v="346.5"/>
    <d v="2025-12-12T00:00:00"/>
    <n v="1007536"/>
    <n v="2661"/>
    <n v="0"/>
    <n v="350"/>
    <d v="2025-12-02T00:00:00"/>
    <n v="350"/>
    <n v="0"/>
    <s v="NULL"/>
    <s v="PRO"/>
    <n v="3.5"/>
    <n v="346.5"/>
    <s v="PAID"/>
    <n v="10"/>
    <s v="Auto673927628037829"/>
    <d v="2025-12-12T00:00:00"/>
    <d v="2025-12-02T00:00:00"/>
    <s v="NULL"/>
    <d v="2025-12-12T00:00:00"/>
    <d v="2025-12-12T13:45:00"/>
    <n v="26611007536"/>
    <d v="2025-12-02T00:00:00"/>
    <s v="NULL"/>
    <s v="NET DUE 10TH"/>
    <s v="NULL"/>
    <d v="2025-12-02T00:00:00"/>
    <d v="2025-12-12T00:00:00"/>
    <m/>
    <x v="0"/>
  </r>
  <r>
    <x v="9"/>
    <n v="1008109"/>
    <n v="17.55"/>
    <m/>
    <n v="17.55"/>
    <n v="0.18"/>
    <n v="17.55"/>
    <d v="2025-12-12T00:00:00"/>
    <n v="1008109"/>
    <n v="2661"/>
    <n v="0"/>
    <n v="17.55"/>
    <d v="2025-12-04T00:00:00"/>
    <n v="17.55"/>
    <n v="0"/>
    <s v="NULL"/>
    <s v="PRO"/>
    <n v="0.18"/>
    <n v="17.55"/>
    <s v="PAID"/>
    <n v="10"/>
    <s v="Auto673927628037829"/>
    <d v="2025-12-12T00:00:00"/>
    <d v="2025-12-04T00:00:00"/>
    <s v="NULL"/>
    <d v="2025-12-12T00:00:00"/>
    <d v="2025-12-12T13:45:00"/>
    <n v="26611008109"/>
    <d v="2025-12-04T00:00:00"/>
    <n v="2998"/>
    <s v="2% 01/10/26"/>
    <n v="206388"/>
    <d v="2025-12-04T00:00:00"/>
    <d v="2025-12-12T00:00:00"/>
    <n v="0.35100000000000003"/>
    <x v="1"/>
  </r>
  <r>
    <x v="10"/>
    <n v="1007178"/>
    <n v="66.36"/>
    <n v="1.33"/>
    <n v="65.03"/>
    <n v="0.66"/>
    <n v="64.37"/>
    <d v="2025-12-12T00:00:00"/>
    <n v="1007178"/>
    <n v="2668"/>
    <n v="1.33"/>
    <n v="66.36"/>
    <d v="2025-12-01T00:00:00"/>
    <n v="65.03"/>
    <n v="1.33"/>
    <s v="NULL"/>
    <s v="PRO"/>
    <n v="0.66"/>
    <n v="64.37"/>
    <s v="PAID"/>
    <n v="2"/>
    <n v="3294433910953"/>
    <d v="2025-12-12T00:00:00"/>
    <d v="2025-12-01T00:00:00"/>
    <m/>
    <d v="2025-12-12T00:00:00"/>
    <d v="2025-12-10T08:53:00"/>
    <n v="26681007178"/>
    <d v="2025-12-01T00:00:00"/>
    <n v="52268"/>
    <s v="2% 01/10/26"/>
    <n v="205778"/>
    <d v="2025-12-01T00:00:00"/>
    <d v="2025-12-12T00:00:00"/>
    <n v="1.3271999999999999"/>
    <x v="0"/>
  </r>
  <r>
    <x v="10"/>
    <n v="1007180"/>
    <n v="66.36"/>
    <n v="1.33"/>
    <n v="65.03"/>
    <n v="0.66"/>
    <n v="64.37"/>
    <d v="2025-12-12T00:00:00"/>
    <n v="1007180"/>
    <n v="2668"/>
    <n v="1.33"/>
    <n v="66.36"/>
    <d v="2025-12-01T00:00:00"/>
    <n v="65.03"/>
    <n v="1.33"/>
    <s v="NULL"/>
    <s v="PRO"/>
    <n v="0.66"/>
    <n v="64.37"/>
    <s v="PAID"/>
    <n v="2"/>
    <n v="3294433910953"/>
    <d v="2025-12-12T00:00:00"/>
    <d v="2025-12-01T00:00:00"/>
    <m/>
    <d v="2025-12-12T00:00:00"/>
    <d v="2025-12-10T08:53:00"/>
    <n v="26681007180"/>
    <d v="2025-12-01T00:00:00"/>
    <n v="52041"/>
    <s v="2% 01/10/26"/>
    <n v="205776"/>
    <d v="2025-12-01T00:00:00"/>
    <d v="2025-12-12T00:00:00"/>
    <n v="1.3271999999999999"/>
    <x v="0"/>
  </r>
  <r>
    <x v="10"/>
    <n v="1007183"/>
    <n v="66.36"/>
    <n v="1.33"/>
    <n v="65.03"/>
    <n v="0.66"/>
    <n v="64.37"/>
    <d v="2025-12-12T00:00:00"/>
    <n v="1007183"/>
    <n v="2668"/>
    <n v="1.33"/>
    <n v="66.36"/>
    <d v="2025-12-01T00:00:00"/>
    <n v="65.03"/>
    <n v="1.33"/>
    <s v="NULL"/>
    <s v="PRO"/>
    <n v="0.66"/>
    <n v="64.37"/>
    <s v="PAID"/>
    <n v="2"/>
    <n v="3294433910953"/>
    <d v="2025-12-12T00:00:00"/>
    <d v="2025-12-01T00:00:00"/>
    <m/>
    <d v="2025-12-12T00:00:00"/>
    <d v="2025-12-10T08:53:00"/>
    <n v="26681007183"/>
    <d v="2025-12-01T00:00:00"/>
    <n v="52295"/>
    <s v="2% 01/10/26"/>
    <n v="205779"/>
    <d v="2025-12-01T00:00:00"/>
    <d v="2025-12-12T00:00:00"/>
    <n v="1.3271999999999999"/>
    <x v="0"/>
  </r>
  <r>
    <x v="10"/>
    <n v="1007186"/>
    <n v="66.36"/>
    <n v="1.33"/>
    <n v="65.03"/>
    <n v="0.66"/>
    <n v="64.37"/>
    <d v="2025-12-12T00:00:00"/>
    <n v="1007186"/>
    <n v="2668"/>
    <n v="1.33"/>
    <n v="66.36"/>
    <d v="2025-12-01T00:00:00"/>
    <n v="65.03"/>
    <n v="1.33"/>
    <s v="NULL"/>
    <s v="PRO"/>
    <n v="0.66"/>
    <n v="64.37"/>
    <s v="PAID"/>
    <n v="2"/>
    <n v="3294433910953"/>
    <d v="2025-12-12T00:00:00"/>
    <d v="2025-12-01T00:00:00"/>
    <m/>
    <d v="2025-12-12T00:00:00"/>
    <d v="2025-12-10T08:53:00"/>
    <n v="26681007186"/>
    <d v="2025-12-01T00:00:00"/>
    <n v="52114"/>
    <s v="2% 01/10/26"/>
    <n v="205777"/>
    <d v="2025-12-01T00:00:00"/>
    <d v="2025-12-12T00:00:00"/>
    <n v="1.3271999999999999"/>
    <x v="0"/>
  </r>
  <r>
    <x v="10"/>
    <n v="1007237"/>
    <n v="24.12"/>
    <n v="0.48"/>
    <n v="23.64"/>
    <n v="0.24"/>
    <n v="23.4"/>
    <d v="2025-12-12T00:00:00"/>
    <n v="1007237"/>
    <n v="2668"/>
    <n v="0.48"/>
    <n v="24.12"/>
    <d v="2025-12-01T00:00:00"/>
    <n v="23.64"/>
    <n v="0.48"/>
    <s v="NULL"/>
    <s v="PRO"/>
    <n v="0.24"/>
    <n v="23.4"/>
    <s v="PAID"/>
    <n v="2"/>
    <n v="3294433910953"/>
    <d v="2025-12-12T00:00:00"/>
    <d v="2025-12-01T00:00:00"/>
    <m/>
    <d v="2025-12-12T00:00:00"/>
    <d v="2025-12-10T08:53:00"/>
    <n v="26681007237"/>
    <d v="2025-12-01T00:00:00"/>
    <n v="52623"/>
    <s v="2% 01/10/26"/>
    <n v="205782"/>
    <d v="2025-12-01T00:00:00"/>
    <d v="2025-12-12T00:00:00"/>
    <n v="0.48240000000000005"/>
    <x v="0"/>
  </r>
  <r>
    <x v="10"/>
    <n v="1007239"/>
    <n v="37.409999999999997"/>
    <n v="0.75"/>
    <n v="36.659999999999997"/>
    <n v="0.37"/>
    <n v="36.29"/>
    <d v="2025-12-12T00:00:00"/>
    <n v="1007239"/>
    <n v="2668"/>
    <n v="0.75"/>
    <n v="37.409999999999997"/>
    <d v="2025-12-01T00:00:00"/>
    <n v="36.659999999999997"/>
    <n v="0.75"/>
    <s v="NULL"/>
    <s v="PRO"/>
    <n v="0.37"/>
    <n v="36.29"/>
    <s v="PAID"/>
    <n v="2"/>
    <n v="3294433910953"/>
    <d v="2025-12-12T00:00:00"/>
    <d v="2025-12-01T00:00:00"/>
    <m/>
    <d v="2025-12-12T00:00:00"/>
    <d v="2025-12-10T08:53:00"/>
    <n v="26681007239"/>
    <d v="2025-12-01T00:00:00"/>
    <n v="52519"/>
    <s v="2% 01/10/26"/>
    <n v="205780"/>
    <d v="2025-12-01T00:00:00"/>
    <d v="2025-12-12T00:00:00"/>
    <n v="0.74819999999999998"/>
    <x v="0"/>
  </r>
  <r>
    <x v="10"/>
    <n v="1007246"/>
    <n v="37.409999999999997"/>
    <n v="0.75"/>
    <n v="36.659999999999997"/>
    <n v="0.37"/>
    <n v="36.29"/>
    <d v="2025-12-12T00:00:00"/>
    <n v="1007246"/>
    <n v="2668"/>
    <n v="0.75"/>
    <n v="37.409999999999997"/>
    <d v="2025-12-01T00:00:00"/>
    <n v="36.659999999999997"/>
    <n v="0.75"/>
    <s v="NULL"/>
    <s v="PRO"/>
    <n v="0.37"/>
    <n v="36.29"/>
    <s v="PAID"/>
    <n v="2"/>
    <n v="3294433910953"/>
    <d v="2025-12-12T00:00:00"/>
    <d v="2025-12-01T00:00:00"/>
    <m/>
    <d v="2025-12-12T00:00:00"/>
    <d v="2025-12-10T08:53:00"/>
    <n v="26681007246"/>
    <d v="2025-12-01T00:00:00"/>
    <n v="52584"/>
    <s v="2% 01/10/26"/>
    <n v="205781"/>
    <d v="2025-12-01T00:00:00"/>
    <d v="2025-12-12T00:00:00"/>
    <n v="0.74819999999999998"/>
    <x v="0"/>
  </r>
  <r>
    <x v="10"/>
    <n v="1007457"/>
    <n v="127.73"/>
    <n v="2.5499999999999998"/>
    <n v="125.18"/>
    <n v="1.28"/>
    <n v="123.9"/>
    <d v="2025-12-12T00:00:00"/>
    <n v="1007457"/>
    <n v="2668"/>
    <n v="2.5499999999999998"/>
    <n v="127.73"/>
    <d v="2025-12-01T00:00:00"/>
    <n v="125.18"/>
    <n v="2.5499999999999998"/>
    <s v="NULL"/>
    <s v="PRO"/>
    <n v="1.28"/>
    <n v="123.9"/>
    <s v="PAID"/>
    <n v="2"/>
    <n v="3294433910953"/>
    <d v="2025-12-12T00:00:00"/>
    <d v="2025-12-01T00:00:00"/>
    <m/>
    <d v="2025-12-12T00:00:00"/>
    <d v="2025-12-10T08:53:00"/>
    <n v="26681007457"/>
    <d v="2025-12-01T00:00:00"/>
    <n v="52538"/>
    <s v="2% 01/10/26"/>
    <n v="205961"/>
    <d v="2025-12-01T00:00:00"/>
    <d v="2025-12-12T00:00:00"/>
    <n v="2.5546000000000002"/>
    <x v="0"/>
  </r>
  <r>
    <x v="10"/>
    <n v="1007466"/>
    <n v="118.89"/>
    <n v="2.38"/>
    <n v="116.51"/>
    <n v="1.19"/>
    <n v="115.32"/>
    <d v="2025-12-12T00:00:00"/>
    <n v="1007466"/>
    <n v="2668"/>
    <n v="2.38"/>
    <n v="118.89"/>
    <d v="2025-12-01T00:00:00"/>
    <n v="116.51"/>
    <n v="2.38"/>
    <s v="NULL"/>
    <s v="PRO"/>
    <n v="1.19"/>
    <n v="115.32"/>
    <s v="PAID"/>
    <n v="2"/>
    <n v="3294433910953"/>
    <d v="2025-12-12T00:00:00"/>
    <d v="2025-12-01T00:00:00"/>
    <m/>
    <d v="2025-12-12T00:00:00"/>
    <d v="2025-12-10T08:53:00"/>
    <n v="26681007466"/>
    <d v="2025-12-01T00:00:00"/>
    <n v="52600"/>
    <s v="2% 01/10/26"/>
    <n v="206003"/>
    <d v="2025-12-01T00:00:00"/>
    <d v="2025-12-12T00:00:00"/>
    <n v="2.3778000000000001"/>
    <x v="0"/>
  </r>
  <r>
    <x v="10"/>
    <n v="1007571"/>
    <n v="3990"/>
    <m/>
    <n v="3990"/>
    <n v="39.9"/>
    <n v="3950.1"/>
    <d v="2025-12-12T00:00:00"/>
    <n v="1007571"/>
    <n v="2668"/>
    <n v="0"/>
    <n v="3990"/>
    <d v="2025-12-02T00:00:00"/>
    <n v="3990"/>
    <n v="0"/>
    <s v="NULL"/>
    <s v="PRO"/>
    <n v="39.9"/>
    <n v="3950.1"/>
    <s v="PAID"/>
    <n v="2"/>
    <n v="3294433910953"/>
    <d v="2025-12-12T00:00:00"/>
    <d v="2025-12-02T00:00:00"/>
    <m/>
    <d v="2025-12-12T00:00:00"/>
    <d v="2025-12-10T08:53:00"/>
    <n v="26681007571"/>
    <d v="2025-12-02T00:00:00"/>
    <s v="NULL"/>
    <s v="NET 02/10/26"/>
    <s v="NULL"/>
    <d v="2025-12-02T00:00:00"/>
    <d v="2025-12-12T00:00:00"/>
    <m/>
    <x v="0"/>
  </r>
  <r>
    <x v="10"/>
    <n v="1007676"/>
    <n v="1679.96"/>
    <m/>
    <n v="1679.96"/>
    <n v="16.8"/>
    <n v="1663.16"/>
    <d v="2025-12-12T00:00:00"/>
    <n v="1007676"/>
    <n v="2668"/>
    <n v="0"/>
    <n v="1679.96"/>
    <d v="2025-12-02T00:00:00"/>
    <n v="1679.96"/>
    <n v="0"/>
    <s v="NULL"/>
    <s v="PRO"/>
    <n v="16.8"/>
    <n v="1663.16"/>
    <s v="PAID"/>
    <n v="2"/>
    <n v="3294433910953"/>
    <d v="2025-12-12T00:00:00"/>
    <d v="2025-12-02T00:00:00"/>
    <m/>
    <d v="2025-12-12T00:00:00"/>
    <d v="2025-12-10T08:53:00"/>
    <n v="26681007676"/>
    <d v="2025-12-02T00:00:00"/>
    <n v="52678"/>
    <s v="NET 01/10/26"/>
    <n v="206107"/>
    <d v="2025-12-02T00:00:00"/>
    <d v="2025-12-12T00:00:00"/>
    <m/>
    <x v="0"/>
  </r>
  <r>
    <x v="10"/>
    <n v="1007743"/>
    <n v="955.11"/>
    <n v="19.100000000000001"/>
    <n v="936.01"/>
    <n v="9.5500000000000007"/>
    <n v="926.46"/>
    <d v="2025-12-12T00:00:00"/>
    <n v="1007743"/>
    <n v="2668"/>
    <n v="19.100000000000001"/>
    <n v="955.11"/>
    <d v="2025-12-02T00:00:00"/>
    <n v="936.01"/>
    <n v="19.100000000000001"/>
    <s v="NULL"/>
    <s v="PRO"/>
    <n v="9.5500000000000007"/>
    <n v="926.46"/>
    <s v="PAID"/>
    <n v="2"/>
    <n v="3294433910953"/>
    <d v="2025-12-12T00:00:00"/>
    <d v="2025-12-02T00:00:00"/>
    <m/>
    <d v="2025-12-12T00:00:00"/>
    <d v="2025-12-10T08:53:00"/>
    <n v="26681007743"/>
    <d v="2025-12-02T00:00:00"/>
    <n v="52709"/>
    <s v="2% 01/10/26"/>
    <n v="206150"/>
    <d v="2025-12-02T00:00:00"/>
    <d v="2025-12-12T00:00:00"/>
    <n v="19.1022"/>
    <x v="0"/>
  </r>
  <r>
    <x v="10"/>
    <n v="1007762"/>
    <n v="1239.78"/>
    <n v="24.8"/>
    <n v="1214.98"/>
    <n v="12.4"/>
    <n v="1202.58"/>
    <d v="2025-12-12T00:00:00"/>
    <n v="1007762"/>
    <n v="2668"/>
    <n v="24.8"/>
    <n v="1239.78"/>
    <d v="2025-12-02T00:00:00"/>
    <n v="1214.98"/>
    <n v="24.8"/>
    <s v="NULL"/>
    <s v="PRO"/>
    <n v="12.4"/>
    <n v="1202.58"/>
    <s v="PAID"/>
    <n v="2"/>
    <n v="3294433910953"/>
    <d v="2025-12-12T00:00:00"/>
    <d v="2025-12-02T00:00:00"/>
    <m/>
    <d v="2025-12-12T00:00:00"/>
    <d v="2025-12-10T08:53:00"/>
    <n v="26681007762"/>
    <d v="2025-12-02T00:00:00"/>
    <n v="52709"/>
    <s v="2% 01/10/26"/>
    <n v="206211"/>
    <d v="2025-12-02T00:00:00"/>
    <d v="2025-12-12T00:00:00"/>
    <n v="24.7956"/>
    <x v="0"/>
  </r>
  <r>
    <x v="10"/>
    <n v="1007766"/>
    <n v="397.67"/>
    <m/>
    <n v="397.67"/>
    <n v="3.98"/>
    <n v="393.69"/>
    <d v="2025-12-12T00:00:00"/>
    <n v="1007766"/>
    <n v="2668"/>
    <n v="0"/>
    <n v="397.67"/>
    <d v="2025-12-02T00:00:00"/>
    <n v="397.67"/>
    <n v="0"/>
    <s v="NULL"/>
    <s v="PRO"/>
    <n v="3.98"/>
    <n v="393.69"/>
    <s v="PAID"/>
    <n v="2"/>
    <n v="3294433910953"/>
    <d v="2025-12-12T00:00:00"/>
    <d v="2025-12-02T00:00:00"/>
    <m/>
    <d v="2025-12-12T00:00:00"/>
    <d v="2025-12-10T08:53:00"/>
    <n v="26681007766"/>
    <d v="2025-12-02T00:00:00"/>
    <n v="52709"/>
    <s v="NET 01/10/26"/>
    <n v="206212"/>
    <d v="2025-12-02T00:00:00"/>
    <d v="2025-12-12T00:00:00"/>
    <m/>
    <x v="0"/>
  </r>
  <r>
    <x v="10"/>
    <n v="1007940"/>
    <n v="428.78"/>
    <m/>
    <n v="428.78"/>
    <n v="4.29"/>
    <n v="424.49"/>
    <d v="2025-12-12T00:00:00"/>
    <n v="1007940"/>
    <n v="2668"/>
    <n v="0"/>
    <n v="428.78"/>
    <d v="2025-12-03T00:00:00"/>
    <n v="428.78"/>
    <n v="0"/>
    <s v="NULL"/>
    <s v="PRO"/>
    <n v="4.29"/>
    <n v="424.49"/>
    <s v="PAID"/>
    <n v="2"/>
    <n v="3294433910953"/>
    <d v="2025-12-12T00:00:00"/>
    <d v="2025-12-03T00:00:00"/>
    <m/>
    <d v="2025-12-12T00:00:00"/>
    <d v="2025-12-10T08:53:00"/>
    <n v="26681007940"/>
    <d v="2025-12-03T00:00:00"/>
    <n v="52717"/>
    <s v="NET 01/10/26"/>
    <n v="206280"/>
    <d v="2025-12-03T00:00:00"/>
    <d v="2025-12-12T00:00:00"/>
    <m/>
    <x v="0"/>
  </r>
  <r>
    <x v="10"/>
    <n v="1007964"/>
    <n v="61.17"/>
    <n v="1.22"/>
    <n v="59.95"/>
    <n v="0.61"/>
    <n v="59.34"/>
    <d v="2025-12-12T00:00:00"/>
    <n v="1007964"/>
    <n v="2668"/>
    <n v="1.22"/>
    <n v="61.17"/>
    <d v="2025-12-03T00:00:00"/>
    <n v="59.95"/>
    <n v="1.22"/>
    <s v="NULL"/>
    <s v="PRO"/>
    <n v="0.61"/>
    <n v="59.34"/>
    <s v="PAID"/>
    <n v="2"/>
    <n v="3294433910953"/>
    <d v="2025-12-12T00:00:00"/>
    <d v="2025-12-03T00:00:00"/>
    <m/>
    <d v="2025-12-12T00:00:00"/>
    <d v="2025-12-10T08:53:00"/>
    <n v="26681007964"/>
    <d v="2025-12-03T00:00:00"/>
    <n v="52717"/>
    <s v="2% 01/10/26"/>
    <n v="206265"/>
    <d v="2025-12-03T00:00:00"/>
    <d v="2025-12-12T00:00:00"/>
    <n v="1.2234"/>
    <x v="0"/>
  </r>
  <r>
    <x v="10"/>
    <n v="1008017"/>
    <n v="870.95"/>
    <n v="17.420000000000002"/>
    <n v="853.53"/>
    <n v="8.7100000000000009"/>
    <n v="844.82"/>
    <d v="2025-12-12T00:00:00"/>
    <n v="1008017"/>
    <n v="2668"/>
    <n v="17.420000000000002"/>
    <n v="870.95"/>
    <d v="2025-12-03T00:00:00"/>
    <n v="853.53"/>
    <n v="17.420000000000002"/>
    <s v="NULL"/>
    <s v="PRO"/>
    <n v="8.7100000000000009"/>
    <n v="844.82"/>
    <s v="PAID"/>
    <n v="2"/>
    <n v="3294433910953"/>
    <d v="2025-12-12T00:00:00"/>
    <d v="2025-12-03T00:00:00"/>
    <m/>
    <d v="2025-12-12T00:00:00"/>
    <d v="2025-12-10T08:53:00"/>
    <n v="26681008017"/>
    <d v="2025-12-03T00:00:00"/>
    <n v="52717"/>
    <s v="2% 01/10/26"/>
    <n v="206279"/>
    <d v="2025-12-03T00:00:00"/>
    <d v="2025-12-12T00:00:00"/>
    <n v="17.419"/>
    <x v="0"/>
  </r>
  <r>
    <x v="10"/>
    <n v="1008030"/>
    <n v="41.5"/>
    <n v="0.83"/>
    <n v="40.67"/>
    <n v="0.42"/>
    <n v="40.25"/>
    <d v="2025-12-12T00:00:00"/>
    <n v="1008030"/>
    <n v="2668"/>
    <n v="0.83"/>
    <n v="41.5"/>
    <d v="2025-12-03T00:00:00"/>
    <n v="40.67"/>
    <n v="0.83"/>
    <s v="NULL"/>
    <s v="PRO"/>
    <n v="0.42"/>
    <n v="40.25"/>
    <s v="PAID"/>
    <n v="2"/>
    <n v="3294433910953"/>
    <d v="2025-12-12T00:00:00"/>
    <d v="2025-12-03T00:00:00"/>
    <m/>
    <d v="2025-12-12T00:00:00"/>
    <d v="2025-12-10T08:53:00"/>
    <n v="26681008030"/>
    <d v="2025-12-03T00:00:00"/>
    <n v="52644"/>
    <s v="2% 01/10/26"/>
    <n v="206065"/>
    <d v="2025-12-03T00:00:00"/>
    <d v="2025-12-12T00:00:00"/>
    <n v="0.83000000000000007"/>
    <x v="0"/>
  </r>
  <r>
    <x v="10"/>
    <n v="1008102"/>
    <n v="35.1"/>
    <n v="0.7"/>
    <n v="34.4"/>
    <n v="0.35"/>
    <n v="34.049999999999997"/>
    <d v="2025-12-12T00:00:00"/>
    <n v="1008102"/>
    <n v="2668"/>
    <n v="0.7"/>
    <n v="35.1"/>
    <d v="2025-12-04T00:00:00"/>
    <n v="34.4"/>
    <n v="0.7"/>
    <s v="NULL"/>
    <s v="PRO"/>
    <n v="0.35"/>
    <n v="34.049999999999997"/>
    <s v="PAID"/>
    <n v="2"/>
    <n v="3294433910953"/>
    <d v="2025-12-12T00:00:00"/>
    <d v="2025-12-04T00:00:00"/>
    <m/>
    <d v="2025-12-12T00:00:00"/>
    <d v="2025-12-10T08:53:00"/>
    <n v="26681008102"/>
    <d v="2025-12-04T00:00:00"/>
    <n v="52623"/>
    <s v="2% 01/10/26"/>
    <n v="206389"/>
    <d v="2025-12-04T00:00:00"/>
    <d v="2025-12-12T00:00:00"/>
    <n v="0.70200000000000007"/>
    <x v="0"/>
  </r>
  <r>
    <x v="10"/>
    <n v="1008150"/>
    <n v="166.76"/>
    <m/>
    <n v="166.76"/>
    <n v="1.67"/>
    <n v="165.09"/>
    <d v="2025-12-12T00:00:00"/>
    <n v="1008150"/>
    <n v="2668"/>
    <n v="0"/>
    <n v="166.76"/>
    <d v="2025-12-04T00:00:00"/>
    <n v="166.76"/>
    <n v="0"/>
    <s v="NULL"/>
    <s v="PRO"/>
    <n v="1.67"/>
    <n v="165.09"/>
    <s v="PAID"/>
    <n v="2"/>
    <n v="3294433910953"/>
    <d v="2025-12-12T00:00:00"/>
    <d v="2025-12-04T00:00:00"/>
    <m/>
    <d v="2025-12-12T00:00:00"/>
    <d v="2025-12-10T08:53:00"/>
    <n v="26681008150"/>
    <d v="2025-12-04T00:00:00"/>
    <n v="52709"/>
    <s v="NET 01/10/26"/>
    <n v="206650"/>
    <d v="2025-12-04T00:00:00"/>
    <d v="2025-12-12T00:00:00"/>
    <m/>
    <x v="0"/>
  </r>
  <r>
    <x v="10"/>
    <n v="1008154"/>
    <n v="1679.96"/>
    <m/>
    <n v="1679.96"/>
    <n v="16.8"/>
    <n v="1663.16"/>
    <d v="2025-12-12T00:00:00"/>
    <n v="1008154"/>
    <n v="2668"/>
    <n v="0"/>
    <n v="1679.96"/>
    <d v="2025-12-04T00:00:00"/>
    <n v="1679.96"/>
    <n v="0"/>
    <s v="NULL"/>
    <s v="PRO"/>
    <n v="16.8"/>
    <n v="1663.16"/>
    <s v="PAID"/>
    <n v="2"/>
    <n v="3294433910953"/>
    <d v="2025-12-12T00:00:00"/>
    <d v="2025-12-04T00:00:00"/>
    <m/>
    <d v="2025-12-12T00:00:00"/>
    <d v="2025-12-10T08:53:00"/>
    <n v="26681008154"/>
    <d v="2025-12-04T00:00:00"/>
    <n v="52717"/>
    <s v="NET 01/10/26"/>
    <n v="206651"/>
    <d v="2025-12-04T00:00:00"/>
    <d v="2025-12-12T00:00:00"/>
    <m/>
    <x v="0"/>
  </r>
  <r>
    <x v="10"/>
    <n v="1008171"/>
    <n v="389.67"/>
    <n v="7.79"/>
    <n v="381.88"/>
    <n v="3.9"/>
    <n v="377.98"/>
    <d v="2025-12-12T00:00:00"/>
    <n v="1008171"/>
    <n v="2668"/>
    <n v="7.79"/>
    <n v="389.67"/>
    <d v="2025-12-04T00:00:00"/>
    <n v="381.88"/>
    <n v="7.79"/>
    <s v="NULL"/>
    <s v="PRO"/>
    <n v="3.9"/>
    <n v="377.98"/>
    <s v="PAID"/>
    <n v="2"/>
    <n v="3294433910953"/>
    <d v="2025-12-12T00:00:00"/>
    <d v="2025-12-04T00:00:00"/>
    <m/>
    <d v="2025-12-12T00:00:00"/>
    <d v="2025-12-10T08:53:00"/>
    <n v="26681008171"/>
    <d v="2025-12-04T00:00:00"/>
    <n v="52741"/>
    <s v="2% 01/10/26"/>
    <n v="206729"/>
    <d v="2025-12-04T00:00:00"/>
    <d v="2025-12-12T00:00:00"/>
    <n v="7.7934000000000001"/>
    <x v="0"/>
  </r>
  <r>
    <x v="10"/>
    <n v="1008279"/>
    <n v="-150"/>
    <m/>
    <n v="-150"/>
    <m/>
    <n v="-150"/>
    <d v="2025-12-12T00:00:00"/>
    <n v="1008279"/>
    <n v="2668"/>
    <n v="0"/>
    <n v="-150"/>
    <d v="2025-12-04T00:00:00"/>
    <n v="-150"/>
    <n v="0"/>
    <s v="NMCNoINV"/>
    <s v="PRO"/>
    <n v="0"/>
    <n v="-150"/>
    <s v="PAID"/>
    <n v="2"/>
    <n v="3294433910953"/>
    <d v="2025-12-12T00:00:00"/>
    <d v="2025-12-04T00:00:00"/>
    <m/>
    <d v="2025-12-12T00:00:00"/>
    <d v="2025-12-10T08:53:00"/>
    <n v="26681008279"/>
    <d v="2025-12-04T00:00:00"/>
    <s v="N/A"/>
    <s v="NET 01/10/26"/>
    <s v="NMCNoINV"/>
    <d v="2025-12-04T00:00:00"/>
    <d v="2025-12-12T00:00:00"/>
    <m/>
    <x v="0"/>
  </r>
  <r>
    <x v="10"/>
    <n v="1008436"/>
    <n v="452.84"/>
    <n v="9.06"/>
    <n v="443.78"/>
    <n v="4.53"/>
    <n v="439.25"/>
    <d v="2025-12-12T00:00:00"/>
    <n v="1008436"/>
    <n v="2668"/>
    <n v="9.06"/>
    <n v="452.84"/>
    <d v="2025-12-05T00:00:00"/>
    <n v="443.78"/>
    <n v="9.06"/>
    <s v="NULL"/>
    <s v="PRO"/>
    <n v="4.53"/>
    <n v="439.25"/>
    <s v="PAID"/>
    <n v="2"/>
    <n v="3294433910953"/>
    <d v="2025-12-12T00:00:00"/>
    <d v="2025-12-05T00:00:00"/>
    <m/>
    <d v="2025-12-12T00:00:00"/>
    <d v="2025-12-10T08:53:00"/>
    <n v="26681008436"/>
    <d v="2025-12-05T00:00:00"/>
    <n v="52741"/>
    <s v="2% 01/10/26"/>
    <n v="206739"/>
    <d v="2025-12-05T00:00:00"/>
    <d v="2025-12-12T00:00:00"/>
    <n v="9.0567999999999991"/>
    <x v="0"/>
  </r>
  <r>
    <x v="10"/>
    <n v="1008485"/>
    <n v="1582.03"/>
    <m/>
    <n v="1582.03"/>
    <n v="15.82"/>
    <n v="1566.21"/>
    <d v="2025-12-12T00:00:00"/>
    <n v="1008485"/>
    <n v="2668"/>
    <n v="0"/>
    <n v="1582.03"/>
    <d v="2025-12-05T00:00:00"/>
    <n v="1582.03"/>
    <n v="0"/>
    <s v="NULL"/>
    <s v="PRO"/>
    <n v="15.82"/>
    <n v="1566.21"/>
    <s v="PAID"/>
    <n v="2"/>
    <n v="3294433910953"/>
    <d v="2025-12-12T00:00:00"/>
    <d v="2025-12-05T00:00:00"/>
    <m/>
    <d v="2025-12-12T00:00:00"/>
    <d v="2025-12-10T08:53:00"/>
    <n v="26681008485"/>
    <d v="2025-12-05T00:00:00"/>
    <n v="52741"/>
    <s v="NET 01/10/26"/>
    <n v="206740"/>
    <d v="2025-12-05T00:00:00"/>
    <d v="2025-12-12T00:00:00"/>
    <m/>
    <x v="0"/>
  </r>
  <r>
    <x v="10"/>
    <n v="1008993"/>
    <n v="-243"/>
    <m/>
    <n v="-243"/>
    <m/>
    <n v="-243"/>
    <d v="2025-12-12T00:00:00"/>
    <n v="1008993"/>
    <n v="2668"/>
    <n v="0"/>
    <n v="-243"/>
    <d v="2025-12-09T00:00:00"/>
    <n v="-243"/>
    <n v="0"/>
    <n v="1008993"/>
    <s v="PRO"/>
    <n v="0"/>
    <n v="-243"/>
    <s v="PAID"/>
    <n v="2"/>
    <n v="3294433910953"/>
    <d v="2025-12-12T00:00:00"/>
    <d v="2025-12-09T00:00:00"/>
    <m/>
    <d v="2025-12-12T00:00:00"/>
    <d v="2025-12-10T08:53:00"/>
    <n v="26681008993"/>
    <d v="2025-12-09T00:00:00"/>
    <s v="OM102025"/>
    <s v="NET 01/10/26"/>
    <s v="OLYM112461"/>
    <d v="2025-12-09T00:00:00"/>
    <d v="2025-12-12T00:00:00"/>
    <m/>
    <x v="0"/>
  </r>
  <r>
    <x v="10"/>
    <n v="1008994"/>
    <n v="-8"/>
    <m/>
    <n v="-8"/>
    <m/>
    <n v="-8"/>
    <d v="2025-12-12T00:00:00"/>
    <n v="1008994"/>
    <n v="2668"/>
    <n v="0"/>
    <n v="-8"/>
    <d v="2025-12-09T00:00:00"/>
    <n v="-8"/>
    <n v="0"/>
    <n v="1008994"/>
    <s v="PRO"/>
    <n v="0"/>
    <n v="-8"/>
    <s v="PAID"/>
    <n v="2"/>
    <n v="3294433910953"/>
    <d v="2025-12-12T00:00:00"/>
    <d v="2025-12-09T00:00:00"/>
    <m/>
    <d v="2025-12-12T00:00:00"/>
    <d v="2025-12-10T08:53:00"/>
    <n v="26681008994"/>
    <d v="2025-12-09T00:00:00"/>
    <s v="INSTAX1020"/>
    <s v="NET 01/10/26"/>
    <s v="FUJI112462"/>
    <d v="2025-12-09T00:00:00"/>
    <d v="2025-12-12T00:00:00"/>
    <m/>
    <x v="0"/>
  </r>
  <r>
    <x v="10"/>
    <n v="1008995"/>
    <n v="-8"/>
    <m/>
    <n v="-8"/>
    <m/>
    <n v="-8"/>
    <d v="2025-12-12T00:00:00"/>
    <n v="1008995"/>
    <n v="2668"/>
    <n v="0"/>
    <n v="-8"/>
    <d v="2025-12-09T00:00:00"/>
    <n v="-8"/>
    <n v="0"/>
    <n v="1008995"/>
    <s v="PRO"/>
    <n v="0"/>
    <n v="-8"/>
    <s v="PAID"/>
    <n v="2"/>
    <n v="3294433910953"/>
    <d v="2025-12-12T00:00:00"/>
    <d v="2025-12-09T00:00:00"/>
    <m/>
    <d v="2025-12-12T00:00:00"/>
    <d v="2025-12-10T08:53:00"/>
    <n v="26681008995"/>
    <d v="2025-12-09T00:00:00"/>
    <s v="FUJI102025"/>
    <s v="NET 01/10/26"/>
    <s v="FUJI112463"/>
    <d v="2025-12-09T00:00:00"/>
    <d v="2025-12-12T00:00:00"/>
    <m/>
    <x v="0"/>
  </r>
  <r>
    <x v="10"/>
    <n v="1008996"/>
    <n v="-28.5"/>
    <m/>
    <n v="-28.5"/>
    <m/>
    <n v="-28.5"/>
    <d v="2025-12-12T00:00:00"/>
    <n v="1008996"/>
    <n v="2668"/>
    <n v="0"/>
    <n v="-28.5"/>
    <d v="2025-12-09T00:00:00"/>
    <n v="-28.5"/>
    <n v="0"/>
    <n v="1008996"/>
    <s v="PRO"/>
    <n v="0"/>
    <n v="-28.5"/>
    <s v="PAID"/>
    <n v="2"/>
    <n v="3294433910953"/>
    <d v="2025-12-12T00:00:00"/>
    <d v="2025-12-09T00:00:00"/>
    <m/>
    <d v="2025-12-12T00:00:00"/>
    <d v="2025-12-10T08:53:00"/>
    <n v="26681008996"/>
    <d v="2025-12-09T00:00:00"/>
    <s v="SMALLRIG10"/>
    <s v="NET 01/10/26"/>
    <s v="Sma112464"/>
    <d v="2025-12-09T00:00:00"/>
    <d v="2025-12-12T00:00:00"/>
    <m/>
    <x v="0"/>
  </r>
  <r>
    <x v="10"/>
    <n v="1008997"/>
    <n v="-36"/>
    <m/>
    <n v="-36"/>
    <m/>
    <n v="-36"/>
    <d v="2025-12-12T00:00:00"/>
    <n v="1008997"/>
    <n v="2668"/>
    <n v="0"/>
    <n v="-36"/>
    <d v="2025-12-09T00:00:00"/>
    <n v="-36"/>
    <n v="0"/>
    <n v="1008997"/>
    <s v="PRO"/>
    <n v="0"/>
    <n v="-36"/>
    <s v="PAID"/>
    <n v="2"/>
    <n v="3294433910953"/>
    <d v="2025-12-12T00:00:00"/>
    <d v="2025-12-09T00:00:00"/>
    <m/>
    <d v="2025-12-12T00:00:00"/>
    <d v="2025-12-10T08:53:00"/>
    <n v="26681008997"/>
    <d v="2025-12-09T00:00:00"/>
    <s v="SMALLRIG10"/>
    <s v="NET 01/10/26"/>
    <s v="Sma112465"/>
    <d v="2025-12-09T00:00:00"/>
    <d v="2025-12-12T00:00:00"/>
    <m/>
    <x v="0"/>
  </r>
  <r>
    <x v="10"/>
    <n v="1008998"/>
    <n v="-3.6"/>
    <m/>
    <n v="-3.6"/>
    <m/>
    <n v="-3.6"/>
    <d v="2025-12-12T00:00:00"/>
    <n v="1008998"/>
    <n v="2668"/>
    <n v="0"/>
    <n v="-3.6"/>
    <d v="2025-12-09T00:00:00"/>
    <n v="-3.6"/>
    <n v="0"/>
    <n v="1008998"/>
    <s v="PRO"/>
    <n v="0"/>
    <n v="-3.6"/>
    <s v="PAID"/>
    <n v="2"/>
    <n v="3294433910953"/>
    <d v="2025-12-12T00:00:00"/>
    <d v="2025-12-09T00:00:00"/>
    <m/>
    <d v="2025-12-12T00:00:00"/>
    <d v="2025-12-10T08:53:00"/>
    <n v="26681008998"/>
    <d v="2025-12-09T00:00:00"/>
    <s v="SMALLRIG10"/>
    <s v="NET 01/10/26"/>
    <s v="Sma112466"/>
    <d v="2025-12-09T00:00:00"/>
    <d v="2025-12-12T00:00:00"/>
    <m/>
    <x v="0"/>
  </r>
  <r>
    <x v="11"/>
    <n v="999643"/>
    <n v="83.78"/>
    <n v="1.68"/>
    <n v="82.1"/>
    <m/>
    <n v="82.1"/>
    <d v="2025-12-12T00:00:00"/>
    <n v="999643"/>
    <n v="2675"/>
    <n v="1.68"/>
    <n v="83.78"/>
    <d v="2025-10-23T00:00:00"/>
    <n v="82.1"/>
    <n v="1.68"/>
    <s v="NULL"/>
    <s v="PRO"/>
    <n v="0"/>
    <n v="82.1"/>
    <s v="PAID"/>
    <n v="2"/>
    <n v="4412473755161"/>
    <d v="2025-12-12T00:00:00"/>
    <d v="2025-10-23T00:00:00"/>
    <m/>
    <d v="2025-12-12T00:00:00"/>
    <d v="2025-12-10T10:26:00"/>
    <n v="2675999643"/>
    <d v="2025-10-23T00:00:00"/>
    <n v="1338"/>
    <s v="2% 12/10/25"/>
    <n v="199292"/>
    <d v="2025-10-23T00:00:00"/>
    <d v="2025-12-12T00:00:00"/>
    <n v="1.6756"/>
    <x v="0"/>
  </r>
  <r>
    <x v="11"/>
    <n v="1000715"/>
    <n v="1110"/>
    <n v="22.2"/>
    <n v="1087.8"/>
    <m/>
    <n v="1087.8"/>
    <d v="2025-12-12T00:00:00"/>
    <n v="1000715"/>
    <n v="2675"/>
    <n v="22.2"/>
    <n v="1110"/>
    <d v="2025-10-28T00:00:00"/>
    <n v="1087.8"/>
    <n v="22.2"/>
    <s v="NULL"/>
    <s v="PRO"/>
    <n v="0"/>
    <n v="1087.8"/>
    <s v="PAID"/>
    <n v="2"/>
    <n v="4412473755161"/>
    <d v="2025-12-12T00:00:00"/>
    <d v="2025-10-28T00:00:00"/>
    <m/>
    <d v="2025-12-12T00:00:00"/>
    <d v="2025-12-10T10:26:00"/>
    <n v="26751000715"/>
    <d v="2025-10-28T00:00:00"/>
    <n v="1351"/>
    <s v="2% 12/10/25"/>
    <n v="200160"/>
    <d v="2025-10-28T00:00:00"/>
    <d v="2025-12-12T00:00:00"/>
    <n v="22.2"/>
    <x v="0"/>
  </r>
  <r>
    <x v="11"/>
    <n v="1000719"/>
    <n v="642.53"/>
    <m/>
    <n v="642.53"/>
    <m/>
    <n v="642.53"/>
    <d v="2025-12-12T00:00:00"/>
    <n v="1000719"/>
    <n v="2675"/>
    <n v="0"/>
    <n v="642.53"/>
    <d v="2025-10-28T00:00:00"/>
    <n v="642.53"/>
    <n v="0"/>
    <s v="NULL"/>
    <s v="PRO"/>
    <n v="0"/>
    <n v="642.53"/>
    <s v="PAID"/>
    <n v="2"/>
    <n v="4412473755161"/>
    <d v="2025-12-12T00:00:00"/>
    <d v="2025-10-28T00:00:00"/>
    <m/>
    <d v="2025-12-12T00:00:00"/>
    <d v="2025-12-10T10:26:00"/>
    <n v="26751000719"/>
    <d v="2025-10-28T00:00:00"/>
    <n v="1351"/>
    <s v="NET 12/10/25"/>
    <n v="200161"/>
    <d v="2025-10-28T00:00:00"/>
    <d v="2025-12-12T00:00:00"/>
    <m/>
    <x v="0"/>
  </r>
  <r>
    <x v="11"/>
    <n v="1000734"/>
    <n v="731.77"/>
    <n v="14.64"/>
    <n v="717.13"/>
    <m/>
    <n v="717.13"/>
    <d v="2025-12-12T00:00:00"/>
    <n v="1000734"/>
    <n v="2675"/>
    <n v="14.64"/>
    <n v="731.77"/>
    <d v="2025-10-28T00:00:00"/>
    <n v="717.13"/>
    <n v="14.64"/>
    <s v="NULL"/>
    <s v="PRO"/>
    <n v="0"/>
    <n v="717.13"/>
    <s v="PAID"/>
    <n v="2"/>
    <n v="4412473755161"/>
    <d v="2025-12-12T00:00:00"/>
    <d v="2025-10-28T00:00:00"/>
    <m/>
    <d v="2025-12-12T00:00:00"/>
    <d v="2025-12-10T10:26:00"/>
    <n v="26751000734"/>
    <d v="2025-10-28T00:00:00"/>
    <n v="1351"/>
    <s v="2% 12/10/25"/>
    <n v="200151"/>
    <d v="2025-10-28T00:00:00"/>
    <d v="2025-12-12T00:00:00"/>
    <n v="14.635400000000001"/>
    <x v="0"/>
  </r>
  <r>
    <x v="11"/>
    <n v="1000814"/>
    <n v="1838.28"/>
    <n v="18.38"/>
    <n v="1819.9"/>
    <m/>
    <n v="1819.9"/>
    <d v="2025-12-12T00:00:00"/>
    <n v="1000814"/>
    <n v="2675"/>
    <n v="18.38"/>
    <n v="1838.28"/>
    <d v="2025-10-27T00:00:00"/>
    <n v="1819.9"/>
    <n v="18.38"/>
    <s v="01-00891152"/>
    <s v="TAMRON"/>
    <n v="0"/>
    <n v="1819.9"/>
    <s v="PAID"/>
    <n v="2"/>
    <n v="4412473755161"/>
    <d v="2025-12-12T00:00:00"/>
    <d v="2025-10-28T00:00:00"/>
    <m/>
    <d v="2025-12-12T00:00:00"/>
    <d v="2025-12-10T10:26:00"/>
    <n v="26751000814"/>
    <d v="2025-10-27T00:00:00"/>
    <n v="1356"/>
    <s v="1% 12/10/25"/>
    <s v="01-00891152"/>
    <d v="2025-10-28T00:00:00"/>
    <d v="2025-12-12T00:00:00"/>
    <m/>
    <x v="0"/>
  </r>
  <r>
    <x v="11"/>
    <n v="1000932"/>
    <n v="56.96"/>
    <m/>
    <n v="56.96"/>
    <m/>
    <n v="56.96"/>
    <d v="2025-12-12T00:00:00"/>
    <n v="1000932"/>
    <n v="2675"/>
    <n v="0"/>
    <n v="56.96"/>
    <d v="2025-10-29T00:00:00"/>
    <n v="56.96"/>
    <n v="0"/>
    <s v="NULL"/>
    <s v="PRO"/>
    <n v="0"/>
    <n v="56.96"/>
    <s v="PAID"/>
    <n v="2"/>
    <n v="4412473755161"/>
    <d v="2025-12-12T00:00:00"/>
    <d v="2025-10-29T00:00:00"/>
    <m/>
    <d v="2025-12-12T00:00:00"/>
    <d v="2025-12-10T10:26:00"/>
    <n v="26751000932"/>
    <d v="2025-10-29T00:00:00"/>
    <n v="1351"/>
    <s v="NET 12/10/25"/>
    <n v="200469"/>
    <d v="2025-10-29T00:00:00"/>
    <d v="2025-12-12T00:00:00"/>
    <m/>
    <x v="0"/>
  </r>
  <r>
    <x v="11"/>
    <n v="1001046"/>
    <n v="1511.96"/>
    <m/>
    <n v="1511.96"/>
    <m/>
    <n v="1511.96"/>
    <d v="2025-12-12T00:00:00"/>
    <n v="1001046"/>
    <n v="2675"/>
    <n v="0"/>
    <n v="1511.96"/>
    <d v="2025-10-30T00:00:00"/>
    <n v="1511.96"/>
    <n v="0"/>
    <s v="NULL"/>
    <s v="PRO"/>
    <n v="0"/>
    <n v="1511.96"/>
    <s v="PAID"/>
    <n v="2"/>
    <n v="4412473755161"/>
    <d v="2025-12-12T00:00:00"/>
    <d v="2025-10-30T00:00:00"/>
    <m/>
    <d v="2025-12-12T00:00:00"/>
    <d v="2025-12-10T10:26:00"/>
    <n v="26751001046"/>
    <d v="2025-10-30T00:00:00"/>
    <n v="1299"/>
    <s v="NET 12/10/25"/>
    <n v="200665"/>
    <d v="2025-10-30T00:00:00"/>
    <d v="2025-12-12T00:00:00"/>
    <m/>
    <x v="0"/>
  </r>
  <r>
    <x v="11"/>
    <n v="1002118"/>
    <n v="179.16"/>
    <n v="3.58"/>
    <n v="175.58"/>
    <m/>
    <n v="175.58"/>
    <d v="2025-12-12T00:00:00"/>
    <n v="1002118"/>
    <n v="2675"/>
    <n v="3.58"/>
    <n v="179.16"/>
    <d v="2025-11-03T00:00:00"/>
    <n v="175.58"/>
    <n v="3.58"/>
    <s v="NULL"/>
    <s v="PRO"/>
    <n v="0"/>
    <n v="175.58"/>
    <s v="PAID"/>
    <n v="2"/>
    <n v="4412473755161"/>
    <d v="2025-12-12T00:00:00"/>
    <d v="2025-11-03T00:00:00"/>
    <m/>
    <d v="2025-12-12T00:00:00"/>
    <d v="2025-12-10T10:26:00"/>
    <n v="26751002118"/>
    <d v="2025-11-03T00:00:00"/>
    <n v="1360"/>
    <s v="2% 12/10/25"/>
    <n v="201365"/>
    <d v="2025-11-03T00:00:00"/>
    <d v="2025-12-12T00:00:00"/>
    <n v="3.5832000000000002"/>
    <x v="0"/>
  </r>
  <r>
    <x v="11"/>
    <n v="1002196"/>
    <n v="389.58"/>
    <m/>
    <n v="389.58"/>
    <m/>
    <n v="389.58"/>
    <d v="2025-12-12T00:00:00"/>
    <n v="1002196"/>
    <n v="2675"/>
    <n v="0"/>
    <n v="389.58"/>
    <d v="2025-11-04T00:00:00"/>
    <n v="389.58"/>
    <n v="0"/>
    <s v="NULL"/>
    <s v="PRO"/>
    <n v="0"/>
    <n v="389.58"/>
    <s v="PAID"/>
    <n v="2"/>
    <n v="4412473755161"/>
    <d v="2025-12-12T00:00:00"/>
    <d v="2025-11-04T00:00:00"/>
    <m/>
    <d v="2025-12-12T00:00:00"/>
    <d v="2025-12-10T10:26:00"/>
    <n v="26751002196"/>
    <d v="2025-11-04T00:00:00"/>
    <n v="1360"/>
    <s v="NET 12/10/25"/>
    <n v="201419"/>
    <d v="2025-11-04T00:00:00"/>
    <d v="2025-12-12T00:00:00"/>
    <m/>
    <x v="0"/>
  </r>
  <r>
    <x v="11"/>
    <n v="1002199"/>
    <n v="378.89"/>
    <n v="7.58"/>
    <n v="371.31"/>
    <m/>
    <n v="371.31"/>
    <d v="2025-12-12T00:00:00"/>
    <n v="1002199"/>
    <n v="2675"/>
    <n v="7.58"/>
    <n v="378.89"/>
    <d v="2025-11-04T00:00:00"/>
    <n v="371.31"/>
    <n v="7.58"/>
    <s v="NULL"/>
    <s v="PRO"/>
    <n v="0"/>
    <n v="371.31"/>
    <s v="PAID"/>
    <n v="2"/>
    <n v="4412473755161"/>
    <d v="2025-12-12T00:00:00"/>
    <d v="2025-11-04T00:00:00"/>
    <m/>
    <d v="2025-12-12T00:00:00"/>
    <d v="2025-12-10T10:26:00"/>
    <n v="26751002199"/>
    <d v="2025-11-04T00:00:00"/>
    <n v="1360"/>
    <s v="2% 12/10/25"/>
    <n v="201418"/>
    <d v="2025-11-04T00:00:00"/>
    <d v="2025-12-12T00:00:00"/>
    <n v="7.5777999999999999"/>
    <x v="0"/>
  </r>
  <r>
    <x v="11"/>
    <n v="1003061"/>
    <n v="68.319999999999993"/>
    <m/>
    <n v="68.319999999999993"/>
    <m/>
    <n v="68.319999999999993"/>
    <d v="2025-12-12T00:00:00"/>
    <n v="1003061"/>
    <n v="2675"/>
    <n v="0"/>
    <n v="68.319999999999993"/>
    <d v="2025-11-10T00:00:00"/>
    <n v="68.319999999999993"/>
    <n v="0"/>
    <s v="NULL"/>
    <s v="PRO"/>
    <n v="0"/>
    <n v="68.319999999999993"/>
    <s v="PAID"/>
    <n v="2"/>
    <n v="4412473755161"/>
    <d v="2025-12-12T00:00:00"/>
    <d v="2025-11-10T00:00:00"/>
    <m/>
    <d v="2025-12-12T00:00:00"/>
    <d v="2025-12-10T10:26:00"/>
    <n v="26751003061"/>
    <d v="2025-11-10T00:00:00"/>
    <n v="1367"/>
    <s v="NET 12/10/25"/>
    <n v="202288"/>
    <d v="2025-11-10T00:00:00"/>
    <d v="2025-12-12T00:00:00"/>
    <m/>
    <x v="0"/>
  </r>
  <r>
    <x v="11"/>
    <n v="1003064"/>
    <n v="516.15"/>
    <n v="10.32"/>
    <n v="505.83"/>
    <m/>
    <n v="505.83"/>
    <d v="2025-12-12T00:00:00"/>
    <n v="1003064"/>
    <n v="2675"/>
    <n v="10.32"/>
    <n v="516.15"/>
    <d v="2025-11-10T00:00:00"/>
    <n v="505.83"/>
    <n v="10.32"/>
    <s v="NULL"/>
    <s v="PRO"/>
    <n v="0"/>
    <n v="505.83"/>
    <s v="PAID"/>
    <n v="2"/>
    <n v="4412473755161"/>
    <d v="2025-12-12T00:00:00"/>
    <d v="2025-11-10T00:00:00"/>
    <m/>
    <d v="2025-12-12T00:00:00"/>
    <d v="2025-12-10T10:26:00"/>
    <n v="26751003064"/>
    <d v="2025-11-10T00:00:00"/>
    <n v="1367"/>
    <s v="2% 12/10/25"/>
    <n v="202287"/>
    <d v="2025-11-10T00:00:00"/>
    <d v="2025-12-12T00:00:00"/>
    <n v="10.323"/>
    <x v="0"/>
  </r>
  <r>
    <x v="11"/>
    <n v="1003085"/>
    <n v="18.27"/>
    <n v="0.37"/>
    <n v="17.899999999999999"/>
    <m/>
    <n v="17.899999999999999"/>
    <d v="2025-12-12T00:00:00"/>
    <n v="1003085"/>
    <n v="2675"/>
    <n v="0.37"/>
    <n v="18.27"/>
    <d v="2025-11-10T00:00:00"/>
    <n v="17.899999999999999"/>
    <n v="0.37"/>
    <s v="NULL"/>
    <s v="PRO"/>
    <n v="0"/>
    <n v="17.899999999999999"/>
    <s v="PAID"/>
    <n v="2"/>
    <n v="4412473755161"/>
    <d v="2025-12-12T00:00:00"/>
    <d v="2025-11-10T00:00:00"/>
    <m/>
    <d v="2025-12-12T00:00:00"/>
    <d v="2025-12-10T10:26:00"/>
    <n v="26751003085"/>
    <d v="2025-11-10T00:00:00"/>
    <n v="1367"/>
    <s v="2% 12/10/25"/>
    <n v="202271"/>
    <d v="2025-11-10T00:00:00"/>
    <d v="2025-12-12T00:00:00"/>
    <n v="0.3654"/>
    <x v="0"/>
  </r>
  <r>
    <x v="11"/>
    <n v="1003597"/>
    <n v="133.6"/>
    <m/>
    <n v="133.6"/>
    <m/>
    <n v="133.6"/>
    <d v="2025-12-12T00:00:00"/>
    <n v="1003597"/>
    <n v="2675"/>
    <n v="0"/>
    <n v="133.6"/>
    <d v="2025-11-12T00:00:00"/>
    <n v="133.6"/>
    <n v="0"/>
    <s v="NULL"/>
    <s v="PRO"/>
    <n v="0"/>
    <n v="133.6"/>
    <s v="PAID"/>
    <n v="2"/>
    <n v="4412473755161"/>
    <d v="2025-12-12T00:00:00"/>
    <d v="2025-11-12T00:00:00"/>
    <m/>
    <d v="2025-12-12T00:00:00"/>
    <d v="2025-12-10T10:26:00"/>
    <n v="26751003597"/>
    <d v="2025-11-12T00:00:00"/>
    <n v="1338"/>
    <s v="NET 12/10/25"/>
    <n v="202732"/>
    <d v="2025-11-12T00:00:00"/>
    <d v="2025-12-12T00:00:00"/>
    <m/>
    <x v="0"/>
  </r>
  <r>
    <x v="11"/>
    <n v="1003607"/>
    <n v="1056.82"/>
    <m/>
    <n v="1056.82"/>
    <m/>
    <n v="1056.82"/>
    <d v="2025-12-12T00:00:00"/>
    <n v="1003607"/>
    <n v="2675"/>
    <n v="0"/>
    <n v="1056.82"/>
    <d v="2025-11-12T00:00:00"/>
    <n v="1056.82"/>
    <n v="0"/>
    <s v="NULL"/>
    <s v="PRO"/>
    <n v="0"/>
    <n v="1056.82"/>
    <s v="PAID"/>
    <n v="2"/>
    <n v="4412473755161"/>
    <d v="2025-12-12T00:00:00"/>
    <d v="2025-11-12T00:00:00"/>
    <m/>
    <d v="2025-12-12T00:00:00"/>
    <d v="2025-12-10T10:26:00"/>
    <n v="26751003607"/>
    <d v="2025-11-12T00:00:00"/>
    <n v="1371"/>
    <s v="NET 12/10/25"/>
    <n v="202667"/>
    <d v="2025-11-12T00:00:00"/>
    <d v="2025-12-12T00:00:00"/>
    <m/>
    <x v="0"/>
  </r>
  <r>
    <x v="11"/>
    <n v="1003614"/>
    <n v="164.69"/>
    <n v="3.29"/>
    <n v="161.4"/>
    <m/>
    <n v="161.4"/>
    <d v="2025-12-12T00:00:00"/>
    <n v="1003614"/>
    <n v="2675"/>
    <n v="3.29"/>
    <n v="164.69"/>
    <d v="2025-11-12T00:00:00"/>
    <n v="161.4"/>
    <n v="3.29"/>
    <s v="NULL"/>
    <s v="PRO"/>
    <n v="0"/>
    <n v="161.4"/>
    <s v="PAID"/>
    <n v="2"/>
    <n v="4412473755161"/>
    <d v="2025-12-12T00:00:00"/>
    <d v="2025-11-12T00:00:00"/>
    <m/>
    <d v="2025-12-12T00:00:00"/>
    <d v="2025-12-10T10:26:00"/>
    <n v="26751003614"/>
    <d v="2025-11-12T00:00:00"/>
    <n v="1371"/>
    <s v="2% 12/10/25"/>
    <n v="202666"/>
    <d v="2025-11-12T00:00:00"/>
    <d v="2025-12-12T00:00:00"/>
    <n v="3.2938000000000001"/>
    <x v="0"/>
  </r>
  <r>
    <x v="11"/>
    <n v="1003674"/>
    <n v="112.22"/>
    <n v="2.2400000000000002"/>
    <n v="109.98"/>
    <m/>
    <n v="109.98"/>
    <d v="2025-12-12T00:00:00"/>
    <n v="1003674"/>
    <n v="2675"/>
    <n v="2.2400000000000002"/>
    <n v="112.22"/>
    <d v="2025-11-12T00:00:00"/>
    <n v="109.98"/>
    <n v="2.2400000000000002"/>
    <s v="NULL"/>
    <s v="PRO"/>
    <n v="0"/>
    <n v="109.98"/>
    <s v="PAID"/>
    <n v="2"/>
    <n v="4412473755161"/>
    <d v="2025-12-12T00:00:00"/>
    <d v="2025-11-12T00:00:00"/>
    <m/>
    <d v="2025-12-12T00:00:00"/>
    <d v="2025-12-10T10:26:00"/>
    <n v="26751003674"/>
    <d v="2025-11-12T00:00:00"/>
    <n v="1371"/>
    <s v="2% 12/10/25"/>
    <n v="202651"/>
    <d v="2025-11-12T00:00:00"/>
    <d v="2025-12-12T00:00:00"/>
    <n v="2.2444000000000002"/>
    <x v="0"/>
  </r>
  <r>
    <x v="11"/>
    <n v="1003737"/>
    <n v="53.62"/>
    <m/>
    <n v="53.62"/>
    <m/>
    <n v="53.62"/>
    <d v="2025-12-12T00:00:00"/>
    <n v="1003737"/>
    <n v="2675"/>
    <n v="0"/>
    <n v="53.62"/>
    <d v="2025-11-13T00:00:00"/>
    <n v="53.62"/>
    <n v="0"/>
    <s v="NULL"/>
    <s v="PRO"/>
    <n v="0"/>
    <n v="53.62"/>
    <s v="PAID"/>
    <n v="2"/>
    <n v="4412473755161"/>
    <d v="2025-12-12T00:00:00"/>
    <d v="2025-11-13T00:00:00"/>
    <m/>
    <d v="2025-12-12T00:00:00"/>
    <d v="2025-12-10T10:26:00"/>
    <n v="26751003737"/>
    <d v="2025-11-13T00:00:00"/>
    <n v="1360"/>
    <s v="NET 12/10/25"/>
    <n v="202821"/>
    <d v="2025-11-13T00:00:00"/>
    <d v="2025-12-12T00:00:00"/>
    <m/>
    <x v="0"/>
  </r>
  <r>
    <x v="11"/>
    <n v="1003782"/>
    <n v="104.64"/>
    <n v="2.09"/>
    <n v="102.55"/>
    <m/>
    <n v="102.55"/>
    <d v="2025-12-12T00:00:00"/>
    <n v="1003782"/>
    <n v="2675"/>
    <n v="2.09"/>
    <n v="104.64"/>
    <d v="2025-11-13T00:00:00"/>
    <n v="102.55"/>
    <n v="2.09"/>
    <s v="NULL"/>
    <s v="PRO"/>
    <n v="0"/>
    <n v="102.55"/>
    <s v="PAID"/>
    <n v="2"/>
    <n v="4412473755161"/>
    <d v="2025-12-12T00:00:00"/>
    <d v="2025-11-13T00:00:00"/>
    <m/>
    <d v="2025-12-12T00:00:00"/>
    <d v="2025-12-10T10:26:00"/>
    <n v="26751003782"/>
    <d v="2025-11-13T00:00:00"/>
    <n v="1313"/>
    <s v="2% 12/10/25"/>
    <n v="202876"/>
    <d v="2025-11-13T00:00:00"/>
    <d v="2025-12-12T00:00:00"/>
    <n v="2.0928"/>
    <x v="0"/>
  </r>
  <r>
    <x v="11"/>
    <n v="1003786"/>
    <n v="104.64"/>
    <n v="2.09"/>
    <n v="102.55"/>
    <m/>
    <n v="102.55"/>
    <d v="2025-12-12T00:00:00"/>
    <n v="1003786"/>
    <n v="2675"/>
    <n v="2.09"/>
    <n v="104.64"/>
    <d v="2025-11-13T00:00:00"/>
    <n v="102.55"/>
    <n v="2.09"/>
    <s v="NULL"/>
    <s v="PRO"/>
    <n v="0"/>
    <n v="102.55"/>
    <s v="PAID"/>
    <n v="2"/>
    <n v="4412473755161"/>
    <d v="2025-12-12T00:00:00"/>
    <d v="2025-11-13T00:00:00"/>
    <m/>
    <d v="2025-12-12T00:00:00"/>
    <d v="2025-12-10T10:26:00"/>
    <n v="26751003786"/>
    <d v="2025-11-13T00:00:00"/>
    <n v="1327"/>
    <s v="2% 12/10/25"/>
    <n v="202877"/>
    <d v="2025-11-13T00:00:00"/>
    <d v="2025-12-12T00:00:00"/>
    <n v="2.0928"/>
    <x v="0"/>
  </r>
  <r>
    <x v="11"/>
    <n v="1004400"/>
    <n v="216.7"/>
    <m/>
    <n v="216.7"/>
    <m/>
    <n v="216.7"/>
    <d v="2025-12-12T00:00:00"/>
    <n v="1004400"/>
    <n v="2675"/>
    <n v="0"/>
    <n v="216.7"/>
    <d v="2025-11-17T00:00:00"/>
    <n v="216.7"/>
    <n v="0"/>
    <s v="NULL"/>
    <s v="PRO"/>
    <n v="0"/>
    <n v="216.7"/>
    <s v="PAID"/>
    <n v="2"/>
    <n v="4412473755161"/>
    <d v="2025-12-12T00:00:00"/>
    <d v="2025-11-17T00:00:00"/>
    <m/>
    <d v="2025-12-12T00:00:00"/>
    <d v="2025-12-10T10:26:00"/>
    <n v="26751004400"/>
    <d v="2025-11-17T00:00:00"/>
    <n v="1375"/>
    <s v="NET 12/10/25"/>
    <n v="203555"/>
    <d v="2025-11-17T00:00:00"/>
    <d v="2025-12-12T00:00:00"/>
    <m/>
    <x v="0"/>
  </r>
  <r>
    <x v="11"/>
    <n v="1004407"/>
    <n v="473.78"/>
    <n v="9.48"/>
    <n v="464.3"/>
    <m/>
    <n v="464.3"/>
    <d v="2025-12-12T00:00:00"/>
    <n v="1004407"/>
    <n v="2675"/>
    <n v="9.48"/>
    <n v="473.78"/>
    <d v="2025-11-17T00:00:00"/>
    <n v="464.3"/>
    <n v="9.48"/>
    <s v="NULL"/>
    <s v="PRO"/>
    <n v="0"/>
    <n v="464.3"/>
    <s v="PAID"/>
    <n v="2"/>
    <n v="4412473755161"/>
    <d v="2025-12-12T00:00:00"/>
    <d v="2025-11-17T00:00:00"/>
    <m/>
    <d v="2025-12-12T00:00:00"/>
    <d v="2025-12-10T10:26:00"/>
    <n v="26751004407"/>
    <d v="2025-11-17T00:00:00"/>
    <n v="1375"/>
    <s v="2% 12/10/25"/>
    <n v="203554"/>
    <d v="2025-11-17T00:00:00"/>
    <d v="2025-12-12T00:00:00"/>
    <n v="9.4756"/>
    <x v="0"/>
  </r>
  <r>
    <x v="11"/>
    <n v="1004419"/>
    <n v="224.12"/>
    <n v="4.4800000000000004"/>
    <n v="219.64"/>
    <m/>
    <n v="219.64"/>
    <d v="2025-12-12T00:00:00"/>
    <n v="1004419"/>
    <n v="2675"/>
    <n v="4.4800000000000004"/>
    <n v="224.12"/>
    <d v="2025-11-17T00:00:00"/>
    <n v="219.64"/>
    <n v="4.4800000000000004"/>
    <s v="NULL"/>
    <s v="PRO"/>
    <n v="0"/>
    <n v="219.64"/>
    <s v="PAID"/>
    <n v="2"/>
    <n v="4412473755161"/>
    <d v="2025-12-12T00:00:00"/>
    <d v="2025-11-17T00:00:00"/>
    <m/>
    <d v="2025-12-12T00:00:00"/>
    <d v="2025-12-10T10:26:00"/>
    <n v="26751004419"/>
    <d v="2025-11-17T00:00:00"/>
    <n v="1375"/>
    <s v="2% 12/10/25"/>
    <n v="203534"/>
    <d v="2025-11-17T00:00:00"/>
    <d v="2025-12-12T00:00:00"/>
    <n v="4.4824000000000002"/>
    <x v="0"/>
  </r>
  <r>
    <x v="11"/>
    <n v="1004475"/>
    <n v="1505.55"/>
    <m/>
    <n v="1505.55"/>
    <m/>
    <n v="1505.55"/>
    <d v="2025-12-12T00:00:00"/>
    <n v="1004475"/>
    <n v="2675"/>
    <n v="0"/>
    <n v="1505.55"/>
    <d v="2025-11-18T00:00:00"/>
    <n v="1505.55"/>
    <n v="0"/>
    <n v="832609"/>
    <s v="LAWRENCE"/>
    <n v="0"/>
    <n v="1505.55"/>
    <s v="PAID"/>
    <n v="2"/>
    <n v="4412473755161"/>
    <d v="2025-12-12T00:00:00"/>
    <d v="2025-11-18T00:00:00"/>
    <m/>
    <d v="2025-12-12T00:00:00"/>
    <d v="2025-12-10T10:26:00"/>
    <n v="26751004475"/>
    <d v="2025-11-18T00:00:00"/>
    <n v="1364"/>
    <s v="NET 12/10/25"/>
    <n v="832609"/>
    <d v="2025-11-18T00:00:00"/>
    <d v="2025-12-12T00:00:00"/>
    <m/>
    <x v="0"/>
  </r>
  <r>
    <x v="11"/>
    <n v="1005106"/>
    <n v="74.599999999999994"/>
    <m/>
    <n v="74.599999999999994"/>
    <m/>
    <n v="74.599999999999994"/>
    <d v="2025-12-12T00:00:00"/>
    <n v="1005106"/>
    <n v="2675"/>
    <n v="0"/>
    <n v="74.599999999999994"/>
    <d v="2025-11-19T00:00:00"/>
    <n v="74.599999999999994"/>
    <n v="0"/>
    <s v="NULL"/>
    <s v="PRO"/>
    <n v="0"/>
    <n v="74.599999999999994"/>
    <s v="PAID"/>
    <n v="2"/>
    <n v="4412473755161"/>
    <d v="2025-12-12T00:00:00"/>
    <d v="2025-11-19T00:00:00"/>
    <m/>
    <d v="2025-12-12T00:00:00"/>
    <d v="2025-12-10T10:26:00"/>
    <n v="26751005106"/>
    <d v="2025-11-19T00:00:00"/>
    <n v="1292"/>
    <s v="NET 12/10/25"/>
    <n v="203978"/>
    <d v="2025-11-19T00:00:00"/>
    <d v="2025-12-12T00:00:00"/>
    <m/>
    <x v="0"/>
  </r>
  <r>
    <x v="11"/>
    <n v="1005409"/>
    <n v="27.72"/>
    <n v="0.55000000000000004"/>
    <n v="27.17"/>
    <m/>
    <n v="27.17"/>
    <d v="2025-12-12T00:00:00"/>
    <n v="1005409"/>
    <n v="2675"/>
    <n v="0.55000000000000004"/>
    <n v="27.72"/>
    <d v="2025-11-20T00:00:00"/>
    <n v="27.17"/>
    <n v="0.55000000000000004"/>
    <s v="NULL"/>
    <s v="PRO"/>
    <n v="0"/>
    <n v="27.17"/>
    <s v="PAID"/>
    <n v="2"/>
    <n v="4412473755161"/>
    <d v="2025-12-12T00:00:00"/>
    <d v="2025-11-20T00:00:00"/>
    <m/>
    <d v="2025-12-12T00:00:00"/>
    <d v="2025-12-10T10:26:00"/>
    <n v="26751005409"/>
    <d v="2025-11-20T00:00:00"/>
    <n v="1379"/>
    <s v="2% 12/10/25"/>
    <n v="204271"/>
    <d v="2025-11-20T00:00:00"/>
    <d v="2025-12-12T00:00:00"/>
    <n v="0.5544"/>
    <x v="0"/>
  </r>
  <r>
    <x v="11"/>
    <n v="1005459"/>
    <n v="515.69000000000005"/>
    <m/>
    <n v="515.69000000000005"/>
    <m/>
    <n v="515.69000000000005"/>
    <d v="2025-12-12T00:00:00"/>
    <n v="1005459"/>
    <n v="2675"/>
    <n v="0"/>
    <n v="515.69000000000005"/>
    <d v="2025-11-20T00:00:00"/>
    <n v="515.69000000000005"/>
    <n v="0"/>
    <s v="NULL"/>
    <s v="PRO"/>
    <n v="0"/>
    <n v="515.69000000000005"/>
    <s v="PAID"/>
    <n v="2"/>
    <n v="4412473755161"/>
    <d v="2025-12-12T00:00:00"/>
    <d v="2025-11-20T00:00:00"/>
    <m/>
    <d v="2025-12-12T00:00:00"/>
    <d v="2025-12-10T10:26:00"/>
    <n v="26751005459"/>
    <d v="2025-11-20T00:00:00"/>
    <n v="1379"/>
    <s v="NET 12/10/25"/>
    <n v="204287"/>
    <d v="2025-11-20T00:00:00"/>
    <d v="2025-12-12T00:00:00"/>
    <m/>
    <x v="0"/>
  </r>
  <r>
    <x v="11"/>
    <n v="1005466"/>
    <n v="247.57"/>
    <n v="4.95"/>
    <n v="242.62"/>
    <m/>
    <n v="242.62"/>
    <d v="2025-12-12T00:00:00"/>
    <n v="1005466"/>
    <n v="2675"/>
    <n v="4.95"/>
    <n v="247.57"/>
    <d v="2025-11-20T00:00:00"/>
    <n v="242.62"/>
    <n v="4.95"/>
    <s v="NULL"/>
    <s v="PRO"/>
    <n v="0"/>
    <n v="242.62"/>
    <s v="PAID"/>
    <n v="2"/>
    <n v="4412473755161"/>
    <d v="2025-12-12T00:00:00"/>
    <d v="2025-11-20T00:00:00"/>
    <m/>
    <d v="2025-12-12T00:00:00"/>
    <d v="2025-12-10T10:26:00"/>
    <n v="26751005466"/>
    <d v="2025-11-20T00:00:00"/>
    <n v="1379"/>
    <s v="2% 12/10/25"/>
    <n v="204286"/>
    <d v="2025-11-20T00:00:00"/>
    <d v="2025-12-12T00:00:00"/>
    <n v="4.9513999999999996"/>
    <x v="0"/>
  </r>
  <r>
    <x v="12"/>
    <n v="993045"/>
    <n v="11026.31"/>
    <m/>
    <n v="11026.31"/>
    <m/>
    <n v="11026.31"/>
    <d v="2025-12-12T00:00:00"/>
    <n v="993045"/>
    <n v="2682"/>
    <n v="0"/>
    <n v="11026.31"/>
    <d v="2025-09-25T00:00:00"/>
    <n v="11026.31"/>
    <n v="0"/>
    <s v="01-00889902"/>
    <s v="TAMRON"/>
    <n v="0"/>
    <n v="11026.31"/>
    <s v="PAID"/>
    <n v="2"/>
    <n v="3756203039209"/>
    <d v="2025-12-12T00:00:00"/>
    <d v="2025-09-26T00:00:00"/>
    <m/>
    <d v="2025-12-12T00:00:00"/>
    <d v="2025-12-09T08:20:00"/>
    <n v="2682993045"/>
    <d v="2025-09-25T00:00:00"/>
    <s v="FAL25 T"/>
    <s v="2% 11/10/25"/>
    <s v="01-00889902"/>
    <d v="2025-09-26T00:00:00"/>
    <d v="2025-12-12T00:00:00"/>
    <n v="220.52619999999999"/>
    <x v="1"/>
  </r>
  <r>
    <x v="13"/>
    <n v="1007526"/>
    <n v="3990"/>
    <m/>
    <n v="3990"/>
    <n v="39.9"/>
    <n v="3950.1"/>
    <d v="2025-12-12T00:00:00"/>
    <n v="1007526"/>
    <n v="2696"/>
    <n v="0"/>
    <n v="3990"/>
    <d v="2025-12-02T00:00:00"/>
    <n v="3990"/>
    <n v="0"/>
    <s v="NULL"/>
    <s v="PRO"/>
    <n v="39.9"/>
    <n v="3950.1"/>
    <s v="PAID"/>
    <n v="2"/>
    <n v="5081964830298"/>
    <d v="2025-12-12T00:00:00"/>
    <d v="2025-12-02T00:00:00"/>
    <m/>
    <d v="2025-12-12T00:00:00"/>
    <d v="2025-12-08T12:53:00"/>
    <n v="26961007526"/>
    <d v="2025-12-02T00:00:00"/>
    <s v="NULL"/>
    <s v="NET 02/10/26"/>
    <s v="NULL"/>
    <d v="2025-12-02T00:00:00"/>
    <d v="2025-12-12T00:00:00"/>
    <m/>
    <x v="0"/>
  </r>
  <r>
    <x v="14"/>
    <n v="1007191"/>
    <n v="765.12"/>
    <m/>
    <n v="765.12"/>
    <n v="7.65"/>
    <n v="765.12"/>
    <d v="2025-12-12T00:00:00"/>
    <n v="1007191"/>
    <n v="2766"/>
    <n v="0"/>
    <n v="765.12"/>
    <d v="2025-12-01T00:00:00"/>
    <n v="765.12"/>
    <n v="0"/>
    <s v="NULL"/>
    <s v="PRO"/>
    <n v="7.65"/>
    <n v="765.12"/>
    <s v="PAID"/>
    <n v="10"/>
    <s v="Auto739457004939976"/>
    <d v="2025-12-12T00:00:00"/>
    <d v="2025-12-01T00:00:00"/>
    <s v="NULL"/>
    <d v="2025-12-12T00:00:00"/>
    <d v="2025-12-12T13:45:00"/>
    <n v="27661007191"/>
    <d v="2025-12-01T00:00:00"/>
    <n v="102711"/>
    <s v="2% 01/10/26"/>
    <n v="205737"/>
    <d v="2025-12-01T00:00:00"/>
    <d v="2025-12-12T00:00:00"/>
    <n v="15.3024"/>
    <x v="1"/>
  </r>
  <r>
    <x v="14"/>
    <n v="1007196"/>
    <n v="402.6"/>
    <m/>
    <n v="402.6"/>
    <n v="4.03"/>
    <n v="402.6"/>
    <d v="2025-12-12T00:00:00"/>
    <n v="1007196"/>
    <n v="2766"/>
    <n v="0"/>
    <n v="402.6"/>
    <d v="2025-12-01T00:00:00"/>
    <n v="402.6"/>
    <n v="0"/>
    <s v="NULL"/>
    <s v="PRO"/>
    <n v="4.03"/>
    <n v="402.6"/>
    <s v="PAID"/>
    <n v="10"/>
    <s v="Auto739457004939976"/>
    <d v="2025-12-12T00:00:00"/>
    <d v="2025-12-01T00:00:00"/>
    <s v="NULL"/>
    <d v="2025-12-12T00:00:00"/>
    <d v="2025-12-12T13:45:00"/>
    <n v="27661007196"/>
    <d v="2025-12-01T00:00:00"/>
    <n v="102888"/>
    <s v="2% 01/10/26"/>
    <n v="205738"/>
    <d v="2025-12-01T00:00:00"/>
    <d v="2025-12-12T00:00:00"/>
    <n v="8.0520000000000014"/>
    <x v="1"/>
  </r>
  <r>
    <x v="14"/>
    <n v="1007512"/>
    <n v="3990"/>
    <m/>
    <n v="3990"/>
    <n v="39.9"/>
    <n v="3950.1"/>
    <d v="2025-12-12T00:00:00"/>
    <n v="1007512"/>
    <n v="2766"/>
    <n v="0"/>
    <n v="3990"/>
    <d v="2025-12-02T00:00:00"/>
    <n v="3990"/>
    <n v="0"/>
    <s v="NULL"/>
    <s v="PRO"/>
    <n v="39.9"/>
    <n v="3950.1"/>
    <s v="PAID"/>
    <n v="10"/>
    <s v="Auto739457004939976"/>
    <d v="2025-12-12T00:00:00"/>
    <d v="2025-12-02T00:00:00"/>
    <s v="NULL"/>
    <d v="2025-12-12T00:00:00"/>
    <d v="2025-12-12T13:45:00"/>
    <n v="27661007512"/>
    <d v="2025-12-02T00:00:00"/>
    <s v="NULL"/>
    <s v="NET 02/10/26"/>
    <s v="NULL"/>
    <d v="2025-12-02T00:00:00"/>
    <d v="2025-12-12T00:00:00"/>
    <m/>
    <x v="0"/>
  </r>
  <r>
    <x v="14"/>
    <n v="1007730"/>
    <n v="6106.93"/>
    <m/>
    <n v="6106.93"/>
    <n v="61.07"/>
    <n v="6106.93"/>
    <d v="2025-12-12T00:00:00"/>
    <n v="1007730"/>
    <n v="2766"/>
    <n v="0"/>
    <n v="6106.93"/>
    <d v="2025-12-02T00:00:00"/>
    <n v="6106.93"/>
    <n v="0"/>
    <s v="NULL"/>
    <s v="PRO"/>
    <n v="61.07"/>
    <n v="6106.93"/>
    <s v="PAID"/>
    <n v="10"/>
    <s v="Auto739457004939976"/>
    <d v="2025-12-12T00:00:00"/>
    <d v="2025-12-02T00:00:00"/>
    <s v="NULL"/>
    <d v="2025-12-12T00:00:00"/>
    <d v="2025-12-12T13:45:00"/>
    <n v="27661007730"/>
    <d v="2025-12-02T00:00:00"/>
    <n v="102924"/>
    <s v="2% 01/10/26"/>
    <n v="206196"/>
    <d v="2025-12-02T00:00:00"/>
    <d v="2025-12-12T00:00:00"/>
    <n v="122.13860000000001"/>
    <x v="1"/>
  </r>
  <r>
    <x v="14"/>
    <n v="1007814"/>
    <n v="2308.38"/>
    <m/>
    <n v="2308.38"/>
    <n v="23.08"/>
    <n v="2285.3000000000002"/>
    <d v="2025-12-12T00:00:00"/>
    <n v="1007814"/>
    <n v="2766"/>
    <n v="0"/>
    <n v="2308.38"/>
    <d v="2025-12-02T00:00:00"/>
    <n v="2308.38"/>
    <n v="0"/>
    <s v="NULL"/>
    <s v="PRO"/>
    <n v="23.08"/>
    <n v="2285.3000000000002"/>
    <s v="PAID"/>
    <n v="10"/>
    <s v="Auto739457004939976"/>
    <d v="2025-12-12T00:00:00"/>
    <d v="2025-12-02T00:00:00"/>
    <s v="NULL"/>
    <d v="2025-12-12T00:00:00"/>
    <d v="2025-12-12T13:45:00"/>
    <n v="27661007814"/>
    <d v="2025-12-02T00:00:00"/>
    <s v="102886 F"/>
    <s v="NET 01/10/26"/>
    <n v="206096"/>
    <d v="2025-12-02T00:00:00"/>
    <d v="2025-12-12T00:00:00"/>
    <m/>
    <x v="0"/>
  </r>
  <r>
    <x v="14"/>
    <n v="1007816"/>
    <n v="3478.42"/>
    <m/>
    <n v="3478.42"/>
    <n v="34.78"/>
    <n v="3443.64"/>
    <d v="2025-12-12T00:00:00"/>
    <n v="1007816"/>
    <n v="2766"/>
    <n v="0"/>
    <n v="3478.42"/>
    <d v="2025-12-02T00:00:00"/>
    <n v="3478.42"/>
    <n v="0"/>
    <s v="NULL"/>
    <s v="PRO"/>
    <n v="34.78"/>
    <n v="3443.64"/>
    <s v="PAID"/>
    <n v="10"/>
    <s v="Auto739457004939976"/>
    <d v="2025-12-12T00:00:00"/>
    <d v="2025-12-02T00:00:00"/>
    <s v="NULL"/>
    <d v="2025-12-12T00:00:00"/>
    <d v="2025-12-12T13:45:00"/>
    <n v="27661007816"/>
    <d v="2025-12-02T00:00:00"/>
    <s v="102820 P"/>
    <s v="NET 01/10/26"/>
    <n v="206095"/>
    <d v="2025-12-02T00:00:00"/>
    <d v="2025-12-12T00:00:00"/>
    <m/>
    <x v="0"/>
  </r>
  <r>
    <x v="14"/>
    <n v="1007926"/>
    <n v="323.95999999999998"/>
    <m/>
    <n v="323.95999999999998"/>
    <n v="3.24"/>
    <n v="320.72000000000003"/>
    <d v="2025-12-12T00:00:00"/>
    <n v="1007926"/>
    <n v="2766"/>
    <n v="0"/>
    <n v="323.95999999999998"/>
    <d v="2025-12-03T00:00:00"/>
    <n v="323.95999999999998"/>
    <n v="0"/>
    <s v="NULL"/>
    <s v="PRO"/>
    <n v="3.24"/>
    <n v="320.72000000000003"/>
    <s v="PAID"/>
    <n v="10"/>
    <s v="Auto739457004939976"/>
    <d v="2025-12-12T00:00:00"/>
    <d v="2025-12-03T00:00:00"/>
    <s v="NULL"/>
    <d v="2025-12-12T00:00:00"/>
    <d v="2025-12-12T13:45:00"/>
    <n v="27661007926"/>
    <d v="2025-12-03T00:00:00"/>
    <s v="102886 F"/>
    <s v="NET 01/10/26"/>
    <n v="206429"/>
    <d v="2025-12-03T00:00:00"/>
    <d v="2025-12-12T00:00:00"/>
    <m/>
    <x v="0"/>
  </r>
  <r>
    <x v="14"/>
    <n v="1008025"/>
    <n v="1345.86"/>
    <m/>
    <n v="1345.86"/>
    <n v="13.46"/>
    <n v="1345.86"/>
    <d v="2025-12-12T00:00:00"/>
    <n v="1008025"/>
    <n v="2766"/>
    <n v="0"/>
    <n v="1345.86"/>
    <d v="2025-12-03T00:00:00"/>
    <n v="1345.86"/>
    <n v="0"/>
    <s v="NULL"/>
    <s v="PRO"/>
    <n v="13.46"/>
    <n v="1345.86"/>
    <s v="PAID"/>
    <n v="10"/>
    <s v="Auto739457004939976"/>
    <d v="2025-12-12T00:00:00"/>
    <d v="2025-12-03T00:00:00"/>
    <s v="NULL"/>
    <d v="2025-12-12T00:00:00"/>
    <d v="2025-12-12T13:45:00"/>
    <n v="27661008025"/>
    <d v="2025-12-03T00:00:00"/>
    <s v="102701 MF"/>
    <s v="2% 01/10/26"/>
    <n v="206060"/>
    <d v="2025-12-03T00:00:00"/>
    <d v="2025-12-12T00:00:00"/>
    <n v="26.917199999999998"/>
    <x v="1"/>
  </r>
  <r>
    <x v="14"/>
    <n v="1008059"/>
    <n v="14584.46"/>
    <m/>
    <n v="14584.46"/>
    <n v="145.84"/>
    <n v="14584.46"/>
    <d v="2025-12-12T00:00:00"/>
    <n v="1008059"/>
    <n v="2766"/>
    <n v="0"/>
    <n v="14584.46"/>
    <d v="2025-12-03T00:00:00"/>
    <n v="14584.46"/>
    <n v="0"/>
    <s v="NULL"/>
    <s v="PRO"/>
    <n v="145.84"/>
    <n v="14584.46"/>
    <s v="PAID"/>
    <n v="10"/>
    <s v="Auto739457004939976"/>
    <d v="2025-12-12T00:00:00"/>
    <d v="2025-12-03T00:00:00"/>
    <s v="NULL"/>
    <d v="2025-12-12T00:00:00"/>
    <d v="2025-12-12T13:45:00"/>
    <n v="27661008059"/>
    <d v="2025-12-03T00:00:00"/>
    <n v="102930"/>
    <s v="2% 01/10/26"/>
    <n v="206500"/>
    <d v="2025-12-03T00:00:00"/>
    <d v="2025-12-12T00:00:00"/>
    <n v="291.68919999999997"/>
    <x v="1"/>
  </r>
  <r>
    <x v="14"/>
    <n v="1008238"/>
    <n v="6781.08"/>
    <m/>
    <n v="6781.08"/>
    <n v="67.81"/>
    <n v="6781.08"/>
    <d v="2025-12-12T00:00:00"/>
    <n v="1008238"/>
    <n v="2766"/>
    <n v="0"/>
    <n v="6781.08"/>
    <d v="2025-12-04T00:00:00"/>
    <n v="6781.08"/>
    <n v="0"/>
    <s v="NULL"/>
    <s v="PRO"/>
    <n v="67.81"/>
    <n v="6781.08"/>
    <s v="PAID"/>
    <n v="10"/>
    <s v="Auto739457004939976"/>
    <d v="2025-12-12T00:00:00"/>
    <d v="2025-12-04T00:00:00"/>
    <s v="NULL"/>
    <d v="2025-12-12T00:00:00"/>
    <d v="2025-12-12T13:45:00"/>
    <n v="27661008238"/>
    <d v="2025-12-04T00:00:00"/>
    <n v="102930"/>
    <s v="2% 01/10/26"/>
    <n v="206507"/>
    <d v="2025-12-04T00:00:00"/>
    <d v="2025-12-12T00:00:00"/>
    <n v="135.6216"/>
    <x v="1"/>
  </r>
  <r>
    <x v="14"/>
    <n v="1008411"/>
    <n v="143"/>
    <m/>
    <n v="143"/>
    <n v="1.43"/>
    <n v="143"/>
    <d v="2025-12-12T00:00:00"/>
    <n v="1008411"/>
    <n v="2766"/>
    <n v="0"/>
    <n v="143"/>
    <d v="2025-12-05T00:00:00"/>
    <n v="143"/>
    <n v="0"/>
    <s v="NULL"/>
    <s v="PRO"/>
    <n v="1.43"/>
    <n v="143"/>
    <s v="PAID"/>
    <n v="10"/>
    <s v="Auto739457004939976"/>
    <d v="2025-12-12T00:00:00"/>
    <d v="2025-12-05T00:00:00"/>
    <s v="NULL"/>
    <d v="2025-12-12T00:00:00"/>
    <d v="2025-12-12T13:45:00"/>
    <n v="27661008411"/>
    <d v="2025-12-05T00:00:00"/>
    <n v="102930"/>
    <s v="2% 01/10/26"/>
    <n v="206795"/>
    <d v="2025-12-05T00:00:00"/>
    <d v="2025-12-12T00:00:00"/>
    <n v="2.86"/>
    <x v="1"/>
  </r>
  <r>
    <x v="14"/>
    <n v="1008520"/>
    <n v="9560.2199999999993"/>
    <m/>
    <n v="9560.2199999999993"/>
    <n v="95.6"/>
    <n v="9560.2199999999993"/>
    <d v="2025-12-12T00:00:00"/>
    <n v="1008520"/>
    <n v="2766"/>
    <n v="0"/>
    <n v="9560.2199999999993"/>
    <d v="2025-12-05T00:00:00"/>
    <n v="9560.2199999999993"/>
    <n v="0"/>
    <s v="NULL"/>
    <s v="PRO"/>
    <n v="95.6"/>
    <n v="9560.2199999999993"/>
    <s v="PAID"/>
    <n v="10"/>
    <s v="Auto739457004939976"/>
    <d v="2025-12-12T00:00:00"/>
    <d v="2025-12-05T00:00:00"/>
    <s v="NULL"/>
    <d v="2025-12-12T00:00:00"/>
    <d v="2025-12-12T13:45:00"/>
    <n v="27661008520"/>
    <d v="2025-12-05T00:00:00"/>
    <n v="102933"/>
    <s v="2% 01/10/26"/>
    <n v="206847"/>
    <d v="2025-12-05T00:00:00"/>
    <d v="2025-12-12T00:00:00"/>
    <n v="191.20439999999999"/>
    <x v="1"/>
  </r>
  <r>
    <x v="14"/>
    <n v="1008539"/>
    <n v="891.84"/>
    <m/>
    <n v="891.84"/>
    <n v="8.92"/>
    <n v="891.84"/>
    <d v="2025-12-12T00:00:00"/>
    <n v="1008539"/>
    <n v="2766"/>
    <n v="0"/>
    <n v="891.84"/>
    <d v="2025-12-05T00:00:00"/>
    <n v="891.84"/>
    <n v="0"/>
    <s v="NULL"/>
    <s v="PRO"/>
    <n v="8.92"/>
    <n v="891.84"/>
    <s v="PAID"/>
    <n v="10"/>
    <s v="Auto739457004939976"/>
    <d v="2025-12-12T00:00:00"/>
    <d v="2025-12-05T00:00:00"/>
    <s v="NULL"/>
    <d v="2025-12-12T00:00:00"/>
    <d v="2025-12-12T13:45:00"/>
    <n v="27661008539"/>
    <d v="2025-12-05T00:00:00"/>
    <s v="REGIS"/>
    <s v="2% 01/10/26"/>
    <n v="206824"/>
    <d v="2025-12-05T00:00:00"/>
    <d v="2025-12-12T00:00:00"/>
    <n v="17.8368"/>
    <x v="1"/>
  </r>
  <r>
    <x v="14"/>
    <n v="1008563"/>
    <n v="1101.1600000000001"/>
    <m/>
    <n v="1101.1600000000001"/>
    <n v="11.01"/>
    <n v="1101.1600000000001"/>
    <d v="2025-12-12T00:00:00"/>
    <n v="1008563"/>
    <n v="2766"/>
    <n v="0"/>
    <n v="1101.1600000000001"/>
    <d v="2025-12-05T00:00:00"/>
    <n v="1101.1600000000001"/>
    <n v="0"/>
    <s v="NULL"/>
    <s v="PRO"/>
    <n v="11.01"/>
    <n v="1101.1600000000001"/>
    <s v="PAID"/>
    <n v="10"/>
    <s v="Auto739457004939976"/>
    <d v="2025-12-12T00:00:00"/>
    <d v="2025-12-05T00:00:00"/>
    <s v="NULL"/>
    <d v="2025-12-12T00:00:00"/>
    <d v="2025-12-12T13:45:00"/>
    <n v="27661008563"/>
    <d v="2025-12-05T00:00:00"/>
    <s v="102701 MF"/>
    <s v="2% 01/10/26"/>
    <n v="206599"/>
    <d v="2025-12-05T00:00:00"/>
    <d v="2025-12-12T00:00:00"/>
    <n v="22.023200000000003"/>
    <x v="1"/>
  </r>
  <r>
    <x v="14"/>
    <n v="1008582"/>
    <n v="-949.46"/>
    <m/>
    <n v="-949.46"/>
    <m/>
    <n v="-949.46"/>
    <d v="2025-12-12T00:00:00"/>
    <n v="1008582"/>
    <n v="2766"/>
    <n v="0"/>
    <n v="-949.46"/>
    <d v="2025-12-08T00:00:00"/>
    <n v="-949.46"/>
    <n v="0"/>
    <n v="1008582"/>
    <s v="PRO"/>
    <n v="0"/>
    <n v="-949.46"/>
    <s v="PAID"/>
    <n v="10"/>
    <s v="Auto739457004939976"/>
    <d v="2025-12-12T00:00:00"/>
    <d v="2025-12-08T00:00:00"/>
    <s v="NULL"/>
    <d v="2025-12-12T00:00:00"/>
    <d v="2025-12-12T13:45:00"/>
    <n v="27661008582"/>
    <d v="2025-12-08T00:00:00"/>
    <s v="N/A"/>
    <s v="NET 01/10/26"/>
    <s v="NMC103691491x"/>
    <d v="2025-12-08T00:00:00"/>
    <d v="2025-12-12T00:00:00"/>
    <m/>
    <x v="0"/>
  </r>
  <r>
    <x v="14"/>
    <n v="1009026"/>
    <n v="-1296"/>
    <m/>
    <n v="-1296"/>
    <m/>
    <n v="-1296"/>
    <d v="2025-12-12T00:00:00"/>
    <n v="1009026"/>
    <n v="2766"/>
    <n v="0"/>
    <n v="-1296"/>
    <d v="2025-12-09T00:00:00"/>
    <n v="-1296"/>
    <n v="0"/>
    <n v="1009026"/>
    <s v="PRO"/>
    <n v="0"/>
    <n v="-1296"/>
    <s v="PAID"/>
    <n v="10"/>
    <s v="Auto739457004939976"/>
    <d v="2025-12-12T00:00:00"/>
    <d v="2025-12-09T00:00:00"/>
    <s v="NULL"/>
    <d v="2025-12-12T00:00:00"/>
    <d v="2025-12-12T13:45:00"/>
    <n v="27661009026"/>
    <d v="2025-12-09T00:00:00"/>
    <s v="251043-A"/>
    <s v="NET 01/10/26"/>
    <s v="OLYM112501"/>
    <d v="2025-12-09T00:00:00"/>
    <d v="2025-12-12T00:00:00"/>
    <m/>
    <x v="0"/>
  </r>
  <r>
    <x v="14"/>
    <n v="1009028"/>
    <n v="-1701"/>
    <m/>
    <n v="-1701"/>
    <m/>
    <n v="-1701"/>
    <d v="2025-12-12T00:00:00"/>
    <n v="1009028"/>
    <n v="2766"/>
    <n v="0"/>
    <n v="-1701"/>
    <d v="2025-12-09T00:00:00"/>
    <n v="-1701"/>
    <n v="0"/>
    <n v="1009028"/>
    <s v="PRO"/>
    <n v="0"/>
    <n v="-1701"/>
    <s v="PAID"/>
    <n v="10"/>
    <s v="Auto739457004939976"/>
    <d v="2025-12-12T00:00:00"/>
    <d v="2025-12-09T00:00:00"/>
    <s v="NULL"/>
    <d v="2025-12-12T00:00:00"/>
    <d v="2025-12-12T13:45:00"/>
    <n v="27661009028"/>
    <d v="2025-12-09T00:00:00"/>
    <s v="251043-A"/>
    <s v="NET 01/10/26"/>
    <s v="OLYM112503"/>
    <d v="2025-12-09T00:00:00"/>
    <d v="2025-12-12T00:00:00"/>
    <m/>
    <x v="0"/>
  </r>
  <r>
    <x v="14"/>
    <n v="1009033"/>
    <n v="-80"/>
    <m/>
    <n v="-80"/>
    <m/>
    <n v="-80"/>
    <d v="2025-12-12T00:00:00"/>
    <n v="1009033"/>
    <n v="2766"/>
    <n v="0"/>
    <n v="-80"/>
    <d v="2025-12-09T00:00:00"/>
    <n v="-80"/>
    <n v="0"/>
    <n v="1009033"/>
    <s v="PRO"/>
    <n v="0"/>
    <n v="-80"/>
    <s v="PAID"/>
    <n v="10"/>
    <s v="Auto739457004939976"/>
    <d v="2025-12-12T00:00:00"/>
    <d v="2025-12-09T00:00:00"/>
    <s v="NULL"/>
    <d v="2025-12-12T00:00:00"/>
    <d v="2025-12-12T13:45:00"/>
    <n v="27661009033"/>
    <d v="2025-12-09T00:00:00"/>
    <s v="251051-A"/>
    <s v="NET 01/10/26"/>
    <s v="PRO112508"/>
    <d v="2025-12-09T00:00:00"/>
    <d v="2025-12-12T00:00:00"/>
    <m/>
    <x v="0"/>
  </r>
  <r>
    <x v="14"/>
    <n v="1009034"/>
    <n v="-279"/>
    <m/>
    <n v="-279"/>
    <m/>
    <n v="-279"/>
    <d v="2025-12-12T00:00:00"/>
    <n v="1009034"/>
    <n v="2766"/>
    <n v="0"/>
    <n v="-279"/>
    <d v="2025-12-09T00:00:00"/>
    <n v="-279"/>
    <n v="0"/>
    <n v="1009034"/>
    <s v="PRO"/>
    <n v="0"/>
    <n v="-279"/>
    <s v="PAID"/>
    <n v="10"/>
    <s v="Auto739457004939976"/>
    <d v="2025-12-12T00:00:00"/>
    <d v="2025-12-09T00:00:00"/>
    <s v="NULL"/>
    <d v="2025-12-12T00:00:00"/>
    <d v="2025-12-12T13:45:00"/>
    <n v="27661009034"/>
    <d v="2025-12-09T00:00:00"/>
    <s v="251051-A"/>
    <s v="NET 01/10/26"/>
    <s v="Nom112509"/>
    <d v="2025-12-09T00:00:00"/>
    <d v="2025-12-12T00:00:00"/>
    <m/>
    <x v="0"/>
  </r>
  <r>
    <x v="14"/>
    <n v="1009044"/>
    <n v="-450"/>
    <m/>
    <n v="-450"/>
    <m/>
    <n v="-450"/>
    <d v="2025-12-12T00:00:00"/>
    <n v="1009044"/>
    <n v="2766"/>
    <n v="0"/>
    <n v="-450"/>
    <d v="2025-12-09T00:00:00"/>
    <n v="-450"/>
    <n v="0"/>
    <n v="1009044"/>
    <s v="PRO"/>
    <n v="0"/>
    <n v="-450"/>
    <s v="PAID"/>
    <n v="10"/>
    <s v="Auto739457004939976"/>
    <d v="2025-12-12T00:00:00"/>
    <d v="2025-12-09T00:00:00"/>
    <s v="NULL"/>
    <d v="2025-12-12T00:00:00"/>
    <d v="2025-12-12T13:45:00"/>
    <n v="27661009044"/>
    <d v="2025-12-09T00:00:00"/>
    <s v="251055-A"/>
    <s v="NET 01/10/26"/>
    <s v="PANA112521"/>
    <d v="2025-12-09T00:00:00"/>
    <d v="2025-12-12T00:00:00"/>
    <m/>
    <x v="0"/>
  </r>
  <r>
    <x v="14"/>
    <n v="1009775"/>
    <n v="-1343.89"/>
    <m/>
    <n v="-1343.89"/>
    <m/>
    <n v="-1343.89"/>
    <d v="2025-12-12T00:00:00"/>
    <n v="1009775"/>
    <n v="2766"/>
    <n v="0"/>
    <n v="-1343.89"/>
    <d v="2025-12-11T00:00:00"/>
    <n v="-1343.89"/>
    <n v="0"/>
    <n v="1009775"/>
    <s v="PRO"/>
    <n v="0"/>
    <n v="-1343.89"/>
    <s v="PAID"/>
    <n v="10"/>
    <s v="Auto739457004939976"/>
    <d v="2025-12-12T00:00:00"/>
    <d v="2025-12-11T00:00:00"/>
    <s v="NULL"/>
    <d v="2025-12-12T00:00:00"/>
    <d v="2025-12-12T13:45:00"/>
    <n v="27661009775"/>
    <d v="2025-12-11T00:00:00"/>
    <n v="142106"/>
    <s v="NET 01/10/26"/>
    <n v="53540"/>
    <d v="2025-12-11T00:00:00"/>
    <d v="2025-12-12T00:00:00"/>
    <m/>
    <x v="0"/>
  </r>
  <r>
    <x v="14"/>
    <n v="1009777"/>
    <n v="-485.09"/>
    <m/>
    <n v="-485.09"/>
    <m/>
    <n v="-485.09"/>
    <d v="2025-12-12T00:00:00"/>
    <n v="1009777"/>
    <n v="2766"/>
    <n v="0"/>
    <n v="-485.09"/>
    <d v="2025-12-11T00:00:00"/>
    <n v="-485.09"/>
    <n v="0"/>
    <n v="1009777"/>
    <s v="PRO"/>
    <n v="0"/>
    <n v="-485.09"/>
    <s v="PAID"/>
    <n v="10"/>
    <s v="Auto739457004939976"/>
    <d v="2025-12-12T00:00:00"/>
    <d v="2025-12-11T00:00:00"/>
    <s v="NULL"/>
    <d v="2025-12-12T00:00:00"/>
    <d v="2025-12-12T13:45:00"/>
    <n v="27661009777"/>
    <d v="2025-12-11T00:00:00"/>
    <n v="142106"/>
    <s v="NET 01/10/26"/>
    <n v="53543"/>
    <d v="2025-12-11T00:00:00"/>
    <d v="2025-12-12T00:00:00"/>
    <m/>
    <x v="0"/>
  </r>
  <r>
    <x v="15"/>
    <n v="1007363"/>
    <n v="155.47999999999999"/>
    <n v="3.11"/>
    <n v="152.37"/>
    <n v="1.55"/>
    <n v="150.82"/>
    <d v="2025-12-12T00:00:00"/>
    <n v="1007363"/>
    <n v="2780"/>
    <n v="3.11"/>
    <n v="155.47999999999999"/>
    <d v="2025-12-01T00:00:00"/>
    <n v="152.37"/>
    <n v="3.11"/>
    <s v="NULL"/>
    <s v="PRO"/>
    <n v="1.55"/>
    <n v="150.82"/>
    <s v="PAID"/>
    <n v="2"/>
    <n v="2685029542992"/>
    <d v="2025-12-12T00:00:00"/>
    <d v="2025-12-01T00:00:00"/>
    <m/>
    <d v="2025-12-12T00:00:00"/>
    <d v="2025-12-11T10:35:00"/>
    <n v="27801007363"/>
    <d v="2025-12-01T00:00:00"/>
    <n v="51339"/>
    <s v="2% 01/10/26"/>
    <n v="205849"/>
    <d v="2025-12-01T00:00:00"/>
    <d v="2025-12-12T00:00:00"/>
    <n v="3.1095999999999999"/>
    <x v="0"/>
  </r>
  <r>
    <x v="15"/>
    <n v="1007365"/>
    <n v="66.36"/>
    <n v="1.33"/>
    <n v="65.03"/>
    <n v="0.66"/>
    <n v="64.37"/>
    <d v="2025-12-12T00:00:00"/>
    <n v="1007365"/>
    <n v="2780"/>
    <n v="1.33"/>
    <n v="66.36"/>
    <d v="2025-12-01T00:00:00"/>
    <n v="65.03"/>
    <n v="1.33"/>
    <s v="NULL"/>
    <s v="PRO"/>
    <n v="0.66"/>
    <n v="64.37"/>
    <s v="PAID"/>
    <n v="2"/>
    <n v="2685029542992"/>
    <d v="2025-12-12T00:00:00"/>
    <d v="2025-12-01T00:00:00"/>
    <m/>
    <d v="2025-12-12T00:00:00"/>
    <d v="2025-12-11T10:35:00"/>
    <n v="27801007365"/>
    <d v="2025-12-01T00:00:00"/>
    <n v="51217"/>
    <s v="2% 01/10/26"/>
    <n v="205847"/>
    <d v="2025-12-01T00:00:00"/>
    <d v="2025-12-12T00:00:00"/>
    <n v="1.3271999999999999"/>
    <x v="0"/>
  </r>
  <r>
    <x v="15"/>
    <n v="1007370"/>
    <n v="66.36"/>
    <n v="1.33"/>
    <n v="65.03"/>
    <n v="0.66"/>
    <n v="64.37"/>
    <d v="2025-12-12T00:00:00"/>
    <n v="1007370"/>
    <n v="2780"/>
    <n v="1.33"/>
    <n v="66.36"/>
    <d v="2025-12-01T00:00:00"/>
    <n v="65.03"/>
    <n v="1.33"/>
    <s v="NULL"/>
    <s v="PRO"/>
    <n v="0.66"/>
    <n v="64.37"/>
    <s v="PAID"/>
    <n v="2"/>
    <n v="2685029542992"/>
    <d v="2025-12-12T00:00:00"/>
    <d v="2025-12-01T00:00:00"/>
    <m/>
    <d v="2025-12-12T00:00:00"/>
    <d v="2025-12-11T10:35:00"/>
    <n v="27801007370"/>
    <d v="2025-12-01T00:00:00"/>
    <n v="51320"/>
    <s v="2% 01/10/26"/>
    <n v="205848"/>
    <d v="2025-12-01T00:00:00"/>
    <d v="2025-12-12T00:00:00"/>
    <n v="1.3271999999999999"/>
    <x v="0"/>
  </r>
  <r>
    <x v="15"/>
    <n v="1007388"/>
    <n v="95.1"/>
    <n v="1.9"/>
    <n v="93.2"/>
    <n v="0.95"/>
    <n v="92.25"/>
    <d v="2025-12-12T00:00:00"/>
    <n v="1007388"/>
    <n v="2780"/>
    <n v="1.9"/>
    <n v="95.1"/>
    <d v="2025-12-01T00:00:00"/>
    <n v="93.2"/>
    <n v="1.9"/>
    <s v="NULL"/>
    <s v="PRO"/>
    <n v="0.95"/>
    <n v="92.25"/>
    <s v="PAID"/>
    <n v="2"/>
    <n v="2685029542992"/>
    <d v="2025-12-12T00:00:00"/>
    <d v="2025-12-01T00:00:00"/>
    <m/>
    <d v="2025-12-12T00:00:00"/>
    <d v="2025-12-11T10:35:00"/>
    <n v="27801007388"/>
    <d v="2025-12-01T00:00:00"/>
    <n v="51316"/>
    <s v="2% 01/10/26"/>
    <n v="205976"/>
    <d v="2025-12-01T00:00:00"/>
    <d v="2025-12-12T00:00:00"/>
    <n v="1.9019999999999999"/>
    <x v="0"/>
  </r>
  <r>
    <x v="15"/>
    <n v="1007574"/>
    <n v="3990"/>
    <m/>
    <n v="3990"/>
    <n v="39.9"/>
    <n v="3950.1"/>
    <d v="2025-12-12T00:00:00"/>
    <n v="1007574"/>
    <n v="2780"/>
    <n v="0"/>
    <n v="3990"/>
    <d v="2025-12-02T00:00:00"/>
    <n v="3990"/>
    <n v="0"/>
    <s v="NULL"/>
    <s v="PRO"/>
    <n v="39.9"/>
    <n v="3950.1"/>
    <s v="PAID"/>
    <n v="2"/>
    <n v="2685029542992"/>
    <d v="2025-12-12T00:00:00"/>
    <d v="2025-12-02T00:00:00"/>
    <m/>
    <d v="2025-12-12T00:00:00"/>
    <d v="2025-12-11T10:35:00"/>
    <n v="27801007574"/>
    <d v="2025-12-02T00:00:00"/>
    <s v="NULL"/>
    <s v="NET 02/10/26"/>
    <s v="NULL"/>
    <d v="2025-12-02T00:00:00"/>
    <d v="2025-12-12T00:00:00"/>
    <m/>
    <x v="0"/>
  </r>
  <r>
    <x v="15"/>
    <n v="1007949"/>
    <n v="937.68"/>
    <n v="18.75"/>
    <n v="918.93"/>
    <n v="9.3800000000000008"/>
    <n v="909.55"/>
    <d v="2025-12-12T00:00:00"/>
    <n v="1007949"/>
    <n v="2780"/>
    <n v="18.75"/>
    <n v="937.68"/>
    <d v="2025-12-03T00:00:00"/>
    <n v="918.93"/>
    <n v="18.75"/>
    <s v="NULL"/>
    <s v="PRO"/>
    <n v="9.3800000000000008"/>
    <n v="909.55"/>
    <s v="PAID"/>
    <n v="2"/>
    <n v="2685029542992"/>
    <d v="2025-12-12T00:00:00"/>
    <d v="2025-12-03T00:00:00"/>
    <m/>
    <d v="2025-12-12T00:00:00"/>
    <d v="2025-12-11T10:35:00"/>
    <n v="27801007949"/>
    <d v="2025-12-03T00:00:00"/>
    <n v="51353"/>
    <s v="2% 01/10/26"/>
    <n v="206361"/>
    <d v="2025-12-03T00:00:00"/>
    <d v="2025-12-12T00:00:00"/>
    <n v="18.753599999999999"/>
    <x v="0"/>
  </r>
  <r>
    <x v="15"/>
    <n v="1008050"/>
    <n v="237.5"/>
    <n v="4.75"/>
    <n v="232.75"/>
    <n v="2.38"/>
    <n v="230.37"/>
    <d v="2025-12-12T00:00:00"/>
    <n v="1008050"/>
    <n v="2780"/>
    <n v="4.75"/>
    <n v="237.5"/>
    <d v="2025-12-03T00:00:00"/>
    <n v="232.75"/>
    <n v="4.75"/>
    <s v="NULL"/>
    <s v="PRO"/>
    <n v="2.38"/>
    <n v="230.37"/>
    <s v="PAID"/>
    <n v="2"/>
    <n v="2685029542992"/>
    <d v="2025-12-12T00:00:00"/>
    <d v="2025-12-03T00:00:00"/>
    <m/>
    <d v="2025-12-12T00:00:00"/>
    <d v="2025-12-11T10:35:00"/>
    <n v="27801008050"/>
    <d v="2025-12-03T00:00:00"/>
    <n v="51355"/>
    <s v="2% 01/10/26"/>
    <n v="206548"/>
    <d v="2025-12-03T00:00:00"/>
    <d v="2025-12-12T00:00:00"/>
    <n v="4.75"/>
    <x v="0"/>
  </r>
  <r>
    <x v="15"/>
    <n v="1008073"/>
    <n v="935"/>
    <n v="18.7"/>
    <n v="916.3"/>
    <n v="9.35"/>
    <n v="906.95"/>
    <d v="2025-12-12T00:00:00"/>
    <n v="1008073"/>
    <n v="2780"/>
    <n v="18.7"/>
    <n v="935"/>
    <d v="2025-12-04T00:00:00"/>
    <n v="916.3"/>
    <n v="18.7"/>
    <s v="NULL"/>
    <s v="PRO"/>
    <n v="9.35"/>
    <n v="906.95"/>
    <s v="PAID"/>
    <n v="2"/>
    <n v="2685029542992"/>
    <d v="2025-12-12T00:00:00"/>
    <d v="2025-12-04T00:00:00"/>
    <m/>
    <d v="2025-12-12T00:00:00"/>
    <d v="2025-12-11T10:35:00"/>
    <n v="27801008073"/>
    <d v="2025-12-04T00:00:00"/>
    <n v="51329"/>
    <s v="2% 01/10/26"/>
    <n v="206415"/>
    <d v="2025-12-04T00:00:00"/>
    <d v="2025-12-12T00:00:00"/>
    <n v="18.7"/>
    <x v="0"/>
  </r>
  <r>
    <x v="15"/>
    <n v="1008097"/>
    <n v="1372.52"/>
    <n v="27.45"/>
    <n v="1345.07"/>
    <n v="13.73"/>
    <n v="1331.34"/>
    <d v="2025-12-12T00:00:00"/>
    <n v="1008097"/>
    <n v="2780"/>
    <n v="27.45"/>
    <n v="1372.52"/>
    <d v="2025-12-04T00:00:00"/>
    <n v="1345.07"/>
    <n v="27.45"/>
    <s v="NULL"/>
    <s v="PRO"/>
    <n v="13.73"/>
    <n v="1331.34"/>
    <s v="PAID"/>
    <n v="2"/>
    <n v="2685029542992"/>
    <d v="2025-12-12T00:00:00"/>
    <d v="2025-12-04T00:00:00"/>
    <m/>
    <d v="2025-12-12T00:00:00"/>
    <d v="2025-12-11T10:35:00"/>
    <n v="27801008097"/>
    <d v="2025-12-04T00:00:00"/>
    <n v="51353"/>
    <s v="2% 01/10/26"/>
    <n v="206369"/>
    <d v="2025-12-04T00:00:00"/>
    <d v="2025-12-12T00:00:00"/>
    <n v="27.450400000000002"/>
    <x v="0"/>
  </r>
  <r>
    <x v="15"/>
    <n v="1008116"/>
    <n v="1037.46"/>
    <m/>
    <n v="1037.46"/>
    <n v="10.37"/>
    <n v="1027.0899999999999"/>
    <d v="2025-12-12T00:00:00"/>
    <n v="1008116"/>
    <n v="2780"/>
    <n v="0"/>
    <n v="1037.46"/>
    <d v="2025-12-04T00:00:00"/>
    <n v="1037.46"/>
    <n v="0"/>
    <s v="NULL"/>
    <s v="PRO"/>
    <n v="10.37"/>
    <n v="1027.0899999999999"/>
    <s v="PAID"/>
    <n v="2"/>
    <n v="2685029542992"/>
    <d v="2025-12-12T00:00:00"/>
    <d v="2025-12-04T00:00:00"/>
    <m/>
    <d v="2025-12-12T00:00:00"/>
    <d v="2025-12-11T10:35:00"/>
    <n v="27801008116"/>
    <d v="2025-12-04T00:00:00"/>
    <n v="51353"/>
    <s v="NET 01/10/26"/>
    <n v="206370"/>
    <d v="2025-12-04T00:00:00"/>
    <d v="2025-12-12T00:00:00"/>
    <m/>
    <x v="0"/>
  </r>
  <r>
    <x v="15"/>
    <n v="1008217"/>
    <n v="418.09"/>
    <n v="8.36"/>
    <n v="409.73"/>
    <n v="4.18"/>
    <n v="405.55"/>
    <d v="2025-12-12T00:00:00"/>
    <n v="1008217"/>
    <n v="2780"/>
    <n v="8.36"/>
    <n v="418.09"/>
    <d v="2025-12-04T00:00:00"/>
    <n v="409.73"/>
    <n v="8.36"/>
    <s v="NULL"/>
    <s v="PRO"/>
    <n v="4.18"/>
    <n v="405.55"/>
    <s v="PAID"/>
    <n v="2"/>
    <n v="2685029542992"/>
    <d v="2025-12-12T00:00:00"/>
    <d v="2025-12-04T00:00:00"/>
    <m/>
    <d v="2025-12-12T00:00:00"/>
    <d v="2025-12-11T10:35:00"/>
    <n v="27801008217"/>
    <d v="2025-12-04T00:00:00"/>
    <n v="51355"/>
    <s v="2% 01/10/26"/>
    <n v="206560"/>
    <d v="2025-12-04T00:00:00"/>
    <d v="2025-12-12T00:00:00"/>
    <n v="8.3617999999999988"/>
    <x v="0"/>
  </r>
  <r>
    <x v="15"/>
    <n v="1008355"/>
    <n v="2565.09"/>
    <m/>
    <n v="2565.09"/>
    <n v="25.65"/>
    <n v="2539.44"/>
    <d v="2025-12-12T00:00:00"/>
    <n v="1008355"/>
    <n v="2780"/>
    <n v="0"/>
    <n v="2565.09"/>
    <d v="2025-12-05T00:00:00"/>
    <n v="2565.09"/>
    <n v="0"/>
    <n v="834257"/>
    <s v="LAWRENCE"/>
    <n v="25.65"/>
    <n v="2539.44"/>
    <s v="PAID"/>
    <n v="2"/>
    <n v="2685029542992"/>
    <d v="2025-12-12T00:00:00"/>
    <d v="2025-12-05T00:00:00"/>
    <m/>
    <d v="2025-12-12T00:00:00"/>
    <d v="2025-12-11T10:35:00"/>
    <n v="27801008355"/>
    <d v="2025-12-05T00:00:00"/>
    <n v="51345"/>
    <s v="NET 01/10/26"/>
    <n v="834257"/>
    <d v="2025-12-05T00:00:00"/>
    <d v="2025-12-12T00:00:00"/>
    <m/>
    <x v="0"/>
  </r>
  <r>
    <x v="15"/>
    <n v="1008502"/>
    <n v="1679.96"/>
    <m/>
    <n v="1679.96"/>
    <n v="16.8"/>
    <n v="1663.16"/>
    <d v="2025-12-12T00:00:00"/>
    <n v="1008502"/>
    <n v="2780"/>
    <n v="0"/>
    <n v="1679.96"/>
    <d v="2025-12-05T00:00:00"/>
    <n v="1679.96"/>
    <n v="0"/>
    <s v="NULL"/>
    <s v="PRO"/>
    <n v="16.8"/>
    <n v="1663.16"/>
    <s v="PAID"/>
    <n v="2"/>
    <n v="2685029542992"/>
    <d v="2025-12-12T00:00:00"/>
    <d v="2025-12-05T00:00:00"/>
    <m/>
    <d v="2025-12-12T00:00:00"/>
    <d v="2025-12-11T10:35:00"/>
    <n v="27801008502"/>
    <d v="2025-12-05T00:00:00"/>
    <n v="51355"/>
    <s v="NET 01/10/26"/>
    <n v="206811"/>
    <d v="2025-12-05T00:00:00"/>
    <d v="2025-12-12T00:00:00"/>
    <m/>
    <x v="0"/>
  </r>
  <r>
    <x v="15"/>
    <n v="1008505"/>
    <n v="74.22"/>
    <m/>
    <n v="74.22"/>
    <n v="0.74"/>
    <n v="73.48"/>
    <d v="2025-12-12T00:00:00"/>
    <n v="1008505"/>
    <n v="2780"/>
    <n v="0"/>
    <n v="74.22"/>
    <d v="2025-12-05T00:00:00"/>
    <n v="74.22"/>
    <n v="0"/>
    <s v="NULL"/>
    <s v="PRO"/>
    <n v="0.74"/>
    <n v="73.48"/>
    <s v="PAID"/>
    <n v="2"/>
    <n v="2685029542992"/>
    <d v="2025-12-12T00:00:00"/>
    <d v="2025-12-05T00:00:00"/>
    <m/>
    <d v="2025-12-12T00:00:00"/>
    <d v="2025-12-11T10:35:00"/>
    <n v="27801008505"/>
    <d v="2025-12-05T00:00:00"/>
    <n v="51353"/>
    <s v="NET 01/10/26"/>
    <n v="206810"/>
    <d v="2025-12-05T00:00:00"/>
    <d v="2025-12-12T00:00:00"/>
    <m/>
    <x v="0"/>
  </r>
  <r>
    <x v="15"/>
    <n v="1009001"/>
    <n v="-81"/>
    <m/>
    <n v="-81"/>
    <m/>
    <n v="-81"/>
    <d v="2025-12-12T00:00:00"/>
    <n v="1009001"/>
    <n v="2780"/>
    <n v="0"/>
    <n v="-81"/>
    <d v="2025-12-09T00:00:00"/>
    <n v="-81"/>
    <n v="0"/>
    <n v="1009001"/>
    <s v="PRO"/>
    <n v="0"/>
    <n v="-81"/>
    <s v="PAID"/>
    <n v="2"/>
    <n v="2685029542992"/>
    <d v="2025-12-12T00:00:00"/>
    <d v="2025-12-09T00:00:00"/>
    <m/>
    <d v="2025-12-12T00:00:00"/>
    <d v="2025-12-11T10:35:00"/>
    <n v="27801009001"/>
    <d v="2025-12-09T00:00:00"/>
    <s v="oly101224"/>
    <s v="NET 01/10/26"/>
    <s v="OLYM112469"/>
    <d v="2025-12-09T00:00:00"/>
    <d v="2025-12-12T00:00:00"/>
    <m/>
    <x v="0"/>
  </r>
  <r>
    <x v="16"/>
    <n v="999676"/>
    <n v="533.97"/>
    <n v="10.68"/>
    <n v="523.29"/>
    <m/>
    <n v="523.29"/>
    <d v="2025-12-12T00:00:00"/>
    <n v="999676"/>
    <n v="2843"/>
    <n v="10.68"/>
    <n v="533.97"/>
    <d v="2025-10-23T00:00:00"/>
    <n v="523.29"/>
    <n v="10.68"/>
    <s v="NULL"/>
    <s v="PRO"/>
    <n v="0"/>
    <n v="523.29"/>
    <s v="PAID"/>
    <n v="2"/>
    <n v="7944931815323"/>
    <d v="2025-12-12T00:00:00"/>
    <d v="2025-10-23T00:00:00"/>
    <m/>
    <d v="2025-12-12T00:00:00"/>
    <d v="2025-12-09T14:33:00"/>
    <n v="2843999676"/>
    <d v="2025-10-23T00:00:00"/>
    <s v="MS102325"/>
    <s v="2% 12/10/25"/>
    <n v="199882"/>
    <d v="2025-10-23T00:00:00"/>
    <d v="2025-12-12T00:00:00"/>
    <n v="10.679400000000001"/>
    <x v="0"/>
  </r>
  <r>
    <x v="16"/>
    <n v="1000271"/>
    <n v="2792.72"/>
    <n v="55.85"/>
    <n v="2736.87"/>
    <m/>
    <n v="2736.87"/>
    <d v="2025-12-12T00:00:00"/>
    <n v="1000271"/>
    <n v="2843"/>
    <n v="55.85"/>
    <n v="2792.72"/>
    <d v="2025-10-24T00:00:00"/>
    <n v="2736.87"/>
    <n v="55.85"/>
    <s v="NULL"/>
    <s v="PRO"/>
    <n v="0"/>
    <n v="2736.87"/>
    <s v="PAID"/>
    <n v="2"/>
    <n v="7944931815323"/>
    <d v="2025-12-12T00:00:00"/>
    <d v="2025-10-24T00:00:00"/>
    <m/>
    <d v="2025-12-12T00:00:00"/>
    <d v="2025-12-09T14:33:00"/>
    <n v="28431000271"/>
    <d v="2025-10-24T00:00:00"/>
    <s v="MS102325"/>
    <s v="2% 12/10/25"/>
    <n v="199896"/>
    <d v="2025-10-24T00:00:00"/>
    <d v="2025-12-12T00:00:00"/>
    <n v="55.854399999999998"/>
    <x v="0"/>
  </r>
  <r>
    <x v="16"/>
    <n v="1000386"/>
    <n v="436.4"/>
    <n v="8.73"/>
    <n v="427.67"/>
    <m/>
    <n v="427.67"/>
    <d v="2025-12-12T00:00:00"/>
    <n v="1000386"/>
    <n v="2843"/>
    <n v="8.73"/>
    <n v="436.4"/>
    <d v="2025-10-27T00:00:00"/>
    <n v="427.67"/>
    <n v="8.73"/>
    <s v="NULL"/>
    <s v="PRO"/>
    <n v="0"/>
    <n v="427.67"/>
    <s v="PAID"/>
    <n v="2"/>
    <n v="7944931815323"/>
    <d v="2025-12-12T00:00:00"/>
    <d v="2025-10-27T00:00:00"/>
    <m/>
    <d v="2025-12-12T00:00:00"/>
    <d v="2025-12-09T14:33:00"/>
    <n v="28431000386"/>
    <d v="2025-10-27T00:00:00"/>
    <s v="MS102425"/>
    <s v="2% 12/10/25"/>
    <n v="200010"/>
    <d v="2025-10-27T00:00:00"/>
    <d v="2025-12-12T00:00:00"/>
    <n v="8.7279999999999998"/>
    <x v="0"/>
  </r>
  <r>
    <x v="16"/>
    <n v="1000960"/>
    <n v="36.840000000000003"/>
    <n v="0.74"/>
    <n v="36.1"/>
    <m/>
    <n v="36.1"/>
    <d v="2025-12-12T00:00:00"/>
    <n v="1000960"/>
    <n v="2843"/>
    <n v="0.74"/>
    <n v="36.840000000000003"/>
    <d v="2025-10-29T00:00:00"/>
    <n v="36.1"/>
    <n v="0.74"/>
    <s v="NULL"/>
    <s v="PRO"/>
    <n v="0"/>
    <n v="36.1"/>
    <s v="PAID"/>
    <n v="2"/>
    <n v="7944931815323"/>
    <d v="2025-12-12T00:00:00"/>
    <d v="2025-10-29T00:00:00"/>
    <m/>
    <d v="2025-12-12T00:00:00"/>
    <d v="2025-12-09T14:33:00"/>
    <n v="28431000960"/>
    <d v="2025-10-29T00:00:00"/>
    <s v="MS102325"/>
    <s v="2% 12/10/25"/>
    <n v="200435"/>
    <d v="2025-10-29T00:00:00"/>
    <d v="2025-12-12T00:00:00"/>
    <n v="0.73680000000000012"/>
    <x v="0"/>
  </r>
  <r>
    <x v="16"/>
    <n v="1001783"/>
    <n v="284.32"/>
    <n v="5.69"/>
    <n v="278.63"/>
    <m/>
    <n v="278.63"/>
    <d v="2025-12-12T00:00:00"/>
    <n v="1001783"/>
    <n v="2843"/>
    <n v="5.69"/>
    <n v="284.32"/>
    <d v="2025-10-31T00:00:00"/>
    <n v="278.63"/>
    <n v="5.69"/>
    <s v="NULL"/>
    <s v="PRO"/>
    <n v="0"/>
    <n v="278.63"/>
    <s v="PAID"/>
    <n v="2"/>
    <n v="7944931815323"/>
    <d v="2025-12-12T00:00:00"/>
    <d v="2025-10-31T00:00:00"/>
    <m/>
    <d v="2025-12-12T00:00:00"/>
    <d v="2025-12-09T14:33:00"/>
    <n v="28431001783"/>
    <d v="2025-10-31T00:00:00"/>
    <s v="AUG202025"/>
    <s v="2% 12/10/25"/>
    <n v="201148"/>
    <d v="2025-10-31T00:00:00"/>
    <d v="2025-12-12T00:00:00"/>
    <n v="5.6863999999999999"/>
    <x v="0"/>
  </r>
  <r>
    <x v="16"/>
    <n v="1009061"/>
    <n v="-1440"/>
    <m/>
    <n v="-1440"/>
    <m/>
    <n v="-1440"/>
    <d v="2025-12-12T00:00:00"/>
    <n v="1009061"/>
    <n v="2843"/>
    <n v="0"/>
    <n v="-1440"/>
    <d v="2025-12-09T00:00:00"/>
    <n v="-1440"/>
    <n v="0"/>
    <n v="1009061"/>
    <s v="PRO"/>
    <n v="0"/>
    <n v="-1440"/>
    <s v="PAID"/>
    <n v="2"/>
    <n v="7944931815323"/>
    <d v="2025-12-12T00:00:00"/>
    <d v="2025-12-09T00:00:00"/>
    <m/>
    <d v="2025-12-12T00:00:00"/>
    <d v="2025-12-09T14:33:00"/>
    <n v="28431009061"/>
    <d v="2025-12-09T00:00:00"/>
    <s v="FuH112925 "/>
    <s v="NET 01/10/26"/>
    <s v="FUJI112541"/>
    <d v="2025-12-09T00:00:00"/>
    <d v="2025-12-12T00:00:00"/>
    <m/>
    <x v="0"/>
  </r>
  <r>
    <x v="17"/>
    <n v="1007197"/>
    <n v="301.93"/>
    <n v="6.04"/>
    <n v="295.89"/>
    <n v="3.02"/>
    <n v="292.87"/>
    <d v="2025-12-12T00:00:00"/>
    <n v="1007197"/>
    <n v="2871"/>
    <n v="6.04"/>
    <n v="301.93"/>
    <d v="2025-12-01T00:00:00"/>
    <n v="295.89"/>
    <n v="6.04"/>
    <s v="NULL"/>
    <s v="PRO"/>
    <n v="3.02"/>
    <n v="292.87"/>
    <s v="PAID"/>
    <n v="2"/>
    <n v="9463825559637"/>
    <d v="2025-12-12T00:00:00"/>
    <d v="2025-12-01T00:00:00"/>
    <m/>
    <d v="2025-12-12T00:00:00"/>
    <d v="2025-12-08T10:15:00"/>
    <n v="28711007197"/>
    <d v="2025-12-01T00:00:00"/>
    <n v="10476"/>
    <s v="2% 01/10/26"/>
    <n v="205751"/>
    <d v="2025-12-01T00:00:00"/>
    <d v="2025-12-12T00:00:00"/>
    <n v="6.0386000000000006"/>
    <x v="0"/>
  </r>
  <r>
    <x v="17"/>
    <n v="1007652"/>
    <n v="3990"/>
    <m/>
    <n v="3990"/>
    <n v="39.9"/>
    <n v="3950.1"/>
    <d v="2025-12-12T00:00:00"/>
    <n v="1007652"/>
    <n v="2871"/>
    <n v="0"/>
    <n v="3990"/>
    <d v="2025-12-02T00:00:00"/>
    <n v="3990"/>
    <n v="0"/>
    <s v="NULL"/>
    <s v="PRO"/>
    <n v="39.9"/>
    <n v="3950.1"/>
    <s v="PAID"/>
    <n v="2"/>
    <n v="9463825559637"/>
    <d v="2025-12-12T00:00:00"/>
    <d v="2025-12-02T00:00:00"/>
    <m/>
    <d v="2025-12-12T00:00:00"/>
    <d v="2025-12-08T10:15:00"/>
    <n v="28711007652"/>
    <d v="2025-12-02T00:00:00"/>
    <s v="NULL"/>
    <s v="NET 02/10/26"/>
    <s v="NULL"/>
    <d v="2025-12-02T00:00:00"/>
    <d v="2025-12-12T00:00:00"/>
    <m/>
    <x v="0"/>
  </r>
  <r>
    <x v="17"/>
    <n v="1007863"/>
    <n v="-208.12"/>
    <m/>
    <n v="-208.12"/>
    <m/>
    <n v="-208.12"/>
    <d v="2025-12-12T00:00:00"/>
    <n v="1007863"/>
    <n v="2871"/>
    <n v="0"/>
    <n v="-208.12"/>
    <d v="2025-12-03T00:00:00"/>
    <n v="-208.12"/>
    <n v="0"/>
    <n v="1007863"/>
    <s v="PRO"/>
    <n v="0"/>
    <n v="-208.12"/>
    <s v="PAID"/>
    <n v="2"/>
    <n v="9463825559637"/>
    <d v="2025-12-12T00:00:00"/>
    <d v="2025-12-03T00:00:00"/>
    <m/>
    <d v="2025-12-12T00:00:00"/>
    <d v="2025-12-08T10:15:00"/>
    <n v="28711007863"/>
    <d v="2025-12-03T00:00:00"/>
    <n v="142058"/>
    <s v="NET 01/10/26"/>
    <n v="53501"/>
    <d v="2025-12-03T00:00:00"/>
    <d v="2025-12-12T00:00:00"/>
    <m/>
    <x v="0"/>
  </r>
  <r>
    <x v="17"/>
    <n v="1008210"/>
    <n v="2895.64"/>
    <n v="57.91"/>
    <n v="2837.73"/>
    <n v="28.96"/>
    <n v="2808.77"/>
    <d v="2025-12-12T00:00:00"/>
    <n v="1008210"/>
    <n v="2871"/>
    <n v="57.91"/>
    <n v="2895.64"/>
    <d v="2025-12-04T00:00:00"/>
    <n v="2837.73"/>
    <n v="57.91"/>
    <s v="NULL"/>
    <s v="PRO"/>
    <n v="28.96"/>
    <n v="2808.77"/>
    <s v="PAID"/>
    <n v="2"/>
    <n v="9463825559637"/>
    <d v="2025-12-12T00:00:00"/>
    <d v="2025-12-04T00:00:00"/>
    <m/>
    <d v="2025-12-12T00:00:00"/>
    <d v="2025-12-08T10:15:00"/>
    <n v="28711008210"/>
    <d v="2025-12-04T00:00:00"/>
    <n v="10515"/>
    <s v="2% 01/10/26"/>
    <n v="206703"/>
    <d v="2025-12-04T00:00:00"/>
    <d v="2025-12-12T00:00:00"/>
    <n v="57.912799999999997"/>
    <x v="0"/>
  </r>
  <r>
    <x v="17"/>
    <n v="1008211"/>
    <n v="701.72"/>
    <n v="14.03"/>
    <n v="687.69"/>
    <n v="7.02"/>
    <n v="680.67"/>
    <d v="2025-12-12T00:00:00"/>
    <n v="1008211"/>
    <n v="2871"/>
    <n v="14.03"/>
    <n v="701.72"/>
    <d v="2025-12-04T00:00:00"/>
    <n v="687.69"/>
    <n v="14.03"/>
    <s v="NULL"/>
    <s v="PRO"/>
    <n v="7.02"/>
    <n v="680.67"/>
    <s v="PAID"/>
    <n v="2"/>
    <n v="9463825559637"/>
    <d v="2025-12-12T00:00:00"/>
    <d v="2025-12-04T00:00:00"/>
    <m/>
    <d v="2025-12-12T00:00:00"/>
    <d v="2025-12-08T10:15:00"/>
    <n v="28711008211"/>
    <d v="2025-12-04T00:00:00"/>
    <n v="10515"/>
    <s v="2% 01/10/26"/>
    <n v="206701"/>
    <d v="2025-12-04T00:00:00"/>
    <d v="2025-12-12T00:00:00"/>
    <n v="14.034400000000002"/>
    <x v="0"/>
  </r>
  <r>
    <x v="17"/>
    <n v="1008222"/>
    <n v="152.46"/>
    <n v="3.05"/>
    <n v="149.41"/>
    <n v="1.52"/>
    <n v="147.88999999999999"/>
    <d v="2025-12-12T00:00:00"/>
    <n v="1008222"/>
    <n v="2871"/>
    <n v="3.05"/>
    <n v="152.46"/>
    <d v="2025-12-04T00:00:00"/>
    <n v="149.41"/>
    <n v="3.05"/>
    <s v="NULL"/>
    <s v="PRO"/>
    <n v="1.52"/>
    <n v="147.88999999999999"/>
    <s v="PAID"/>
    <n v="2"/>
    <n v="9463825559637"/>
    <d v="2025-12-12T00:00:00"/>
    <d v="2025-12-04T00:00:00"/>
    <m/>
    <d v="2025-12-12T00:00:00"/>
    <d v="2025-12-08T10:15:00"/>
    <n v="28711008222"/>
    <d v="2025-12-04T00:00:00"/>
    <s v="PS92425AGF"/>
    <s v="2% 01/10/26"/>
    <n v="206567"/>
    <d v="2025-12-04T00:00:00"/>
    <d v="2025-12-12T00:00:00"/>
    <n v="3.0492000000000004"/>
    <x v="0"/>
  </r>
  <r>
    <x v="17"/>
    <n v="1008299"/>
    <n v="1386.94"/>
    <m/>
    <n v="1386.94"/>
    <n v="13.87"/>
    <n v="1373.07"/>
    <d v="2025-12-12T00:00:00"/>
    <n v="1008299"/>
    <n v="2871"/>
    <n v="0"/>
    <n v="1386.94"/>
    <d v="2025-12-05T00:00:00"/>
    <n v="1386.94"/>
    <n v="0"/>
    <s v="RN91125"/>
    <s v="ROCKY NOOK"/>
    <n v="13.87"/>
    <n v="1373.07"/>
    <s v="PAID"/>
    <n v="2"/>
    <n v="9463825559637"/>
    <d v="2025-12-12T00:00:00"/>
    <d v="2025-12-05T00:00:00"/>
    <m/>
    <d v="2025-12-12T00:00:00"/>
    <d v="2025-12-08T10:15:00"/>
    <n v="28711008299"/>
    <d v="2025-12-05T00:00:00"/>
    <s v="RN91125"/>
    <s v="NET 02/10/26"/>
    <s v="RN91125"/>
    <d v="2025-12-05T00:00:00"/>
    <d v="2025-12-12T00:00:00"/>
    <m/>
    <x v="0"/>
  </r>
  <r>
    <x v="17"/>
    <n v="1008346"/>
    <n v="2582.17"/>
    <m/>
    <n v="2582.17"/>
    <n v="25.82"/>
    <n v="2556.35"/>
    <d v="2025-12-12T00:00:00"/>
    <n v="1008346"/>
    <n v="2871"/>
    <n v="0"/>
    <n v="2582.17"/>
    <d v="2025-12-05T00:00:00"/>
    <n v="2582.17"/>
    <n v="0"/>
    <s v="A112987"/>
    <s v="HAHNEMUHLE"/>
    <n v="25.82"/>
    <n v="2556.35"/>
    <s v="PAID"/>
    <n v="2"/>
    <n v="9463825559637"/>
    <d v="2025-12-12T00:00:00"/>
    <d v="2025-12-05T00:00:00"/>
    <m/>
    <d v="2025-12-12T00:00:00"/>
    <d v="2025-12-08T10:15:00"/>
    <n v="28711008346"/>
    <d v="2025-12-05T00:00:00"/>
    <n v="10510"/>
    <s v="NET 01/10/26"/>
    <s v="A112987"/>
    <d v="2025-12-05T00:00:00"/>
    <d v="2025-12-12T00:00:00"/>
    <m/>
    <x v="0"/>
  </r>
  <r>
    <x v="18"/>
    <n v="1007233"/>
    <n v="199.08"/>
    <n v="3.98"/>
    <n v="195.1"/>
    <n v="1.99"/>
    <n v="193.11"/>
    <d v="2025-12-12T00:00:00"/>
    <n v="1007233"/>
    <n v="2878"/>
    <n v="3.98"/>
    <n v="199.08"/>
    <d v="2025-12-01T00:00:00"/>
    <n v="195.1"/>
    <n v="3.98"/>
    <s v="NULL"/>
    <s v="PRO"/>
    <n v="1.99"/>
    <n v="193.11"/>
    <s v="PAID"/>
    <n v="2"/>
    <n v="2870492461845"/>
    <d v="2025-12-12T00:00:00"/>
    <d v="2025-12-01T00:00:00"/>
    <m/>
    <d v="2025-12-12T00:00:00"/>
    <d v="2025-12-08T13:23:00"/>
    <n v="28781007233"/>
    <d v="2025-12-01T00:00:00"/>
    <s v="091625P"/>
    <s v="2% 01/10/26"/>
    <n v="205708"/>
    <d v="2025-12-01T00:00:00"/>
    <d v="2025-12-12T00:00:00"/>
    <n v="3.9816000000000003"/>
    <x v="0"/>
  </r>
  <r>
    <x v="18"/>
    <n v="1007515"/>
    <n v="350"/>
    <m/>
    <n v="350"/>
    <n v="3.5"/>
    <n v="346.5"/>
    <d v="2025-12-12T00:00:00"/>
    <n v="1007515"/>
    <n v="2878"/>
    <n v="0"/>
    <n v="350"/>
    <d v="2025-12-02T00:00:00"/>
    <n v="350"/>
    <n v="0"/>
    <s v="NULL"/>
    <s v="PRO"/>
    <n v="3.5"/>
    <n v="346.5"/>
    <s v="PAID"/>
    <n v="2"/>
    <n v="2870492461845"/>
    <d v="2025-12-12T00:00:00"/>
    <d v="2025-12-02T00:00:00"/>
    <m/>
    <d v="2025-12-12T00:00:00"/>
    <d v="2025-12-08T13:23:00"/>
    <n v="28781007515"/>
    <d v="2025-12-02T00:00:00"/>
    <s v="NULL"/>
    <s v="NET DUE 10TH"/>
    <s v="NULL"/>
    <d v="2025-12-02T00:00:00"/>
    <d v="2025-12-12T00:00:00"/>
    <m/>
    <x v="0"/>
  </r>
  <r>
    <x v="18"/>
    <n v="1008129"/>
    <n v="1564.22"/>
    <n v="31.28"/>
    <n v="1532.94"/>
    <n v="15.64"/>
    <n v="1517.3"/>
    <d v="2025-12-12T00:00:00"/>
    <n v="1008129"/>
    <n v="2878"/>
    <n v="31.28"/>
    <n v="1564.22"/>
    <d v="2025-12-04T00:00:00"/>
    <n v="1532.94"/>
    <n v="31.28"/>
    <s v="NULL"/>
    <s v="PRO"/>
    <n v="15.64"/>
    <n v="1517.3"/>
    <s v="PAID"/>
    <n v="2"/>
    <n v="2870492461845"/>
    <d v="2025-12-12T00:00:00"/>
    <d v="2025-12-04T00:00:00"/>
    <m/>
    <d v="2025-12-12T00:00:00"/>
    <d v="2025-12-08T13:23:00"/>
    <n v="28781008129"/>
    <d v="2025-12-04T00:00:00"/>
    <s v="120325P"/>
    <s v="2% 01/10/26"/>
    <n v="206670"/>
    <d v="2025-12-04T00:00:00"/>
    <d v="2025-12-12T00:00:00"/>
    <n v="31.284400000000002"/>
    <x v="0"/>
  </r>
  <r>
    <x v="18"/>
    <n v="1008173"/>
    <n v="3816.63"/>
    <n v="76.33"/>
    <n v="3740.3"/>
    <n v="38.17"/>
    <n v="3702.13"/>
    <d v="2025-12-12T00:00:00"/>
    <n v="1008173"/>
    <n v="2878"/>
    <n v="76.33"/>
    <n v="3816.63"/>
    <d v="2025-12-04T00:00:00"/>
    <n v="3740.3"/>
    <n v="76.33"/>
    <s v="NULL"/>
    <s v="PRO"/>
    <n v="38.17"/>
    <n v="3702.13"/>
    <s v="PAID"/>
    <n v="2"/>
    <n v="2870492461845"/>
    <d v="2025-12-12T00:00:00"/>
    <d v="2025-12-04T00:00:00"/>
    <m/>
    <d v="2025-12-12T00:00:00"/>
    <d v="2025-12-08T13:23:00"/>
    <n v="28781008173"/>
    <d v="2025-12-04T00:00:00"/>
    <s v="120325P"/>
    <s v="2% 01/10/26"/>
    <n v="206682"/>
    <d v="2025-12-04T00:00:00"/>
    <d v="2025-12-12T00:00:00"/>
    <n v="76.332599999999999"/>
    <x v="0"/>
  </r>
  <r>
    <x v="18"/>
    <n v="1008179"/>
    <n v="2054.5100000000002"/>
    <m/>
    <n v="2054.5100000000002"/>
    <n v="20.55"/>
    <n v="2033.96"/>
    <d v="2025-12-12T00:00:00"/>
    <n v="1008179"/>
    <n v="2878"/>
    <n v="0"/>
    <n v="2054.5100000000002"/>
    <d v="2025-12-04T00:00:00"/>
    <n v="2054.5100000000002"/>
    <n v="0"/>
    <s v="NULL"/>
    <s v="PRO"/>
    <n v="20.55"/>
    <n v="2033.96"/>
    <s v="PAID"/>
    <n v="2"/>
    <n v="2870492461845"/>
    <d v="2025-12-12T00:00:00"/>
    <d v="2025-12-04T00:00:00"/>
    <m/>
    <d v="2025-12-12T00:00:00"/>
    <d v="2025-12-08T13:23:00"/>
    <n v="28781008179"/>
    <d v="2025-12-04T00:00:00"/>
    <s v="120325P"/>
    <s v="NET 01/10/26"/>
    <n v="206683"/>
    <d v="2025-12-04T00:00:00"/>
    <d v="2025-12-12T00:00:00"/>
    <m/>
    <x v="0"/>
  </r>
  <r>
    <x v="18"/>
    <n v="1008540"/>
    <n v="639.70000000000005"/>
    <m/>
    <n v="639.70000000000005"/>
    <n v="6.4"/>
    <n v="633.29999999999995"/>
    <d v="2025-12-12T00:00:00"/>
    <n v="1008540"/>
    <n v="2878"/>
    <n v="0"/>
    <n v="639.70000000000005"/>
    <d v="2025-12-05T00:00:00"/>
    <n v="639.70000000000005"/>
    <n v="0"/>
    <s v="NULL"/>
    <s v="PRO"/>
    <n v="6.4"/>
    <n v="633.29999999999995"/>
    <s v="PAID"/>
    <n v="2"/>
    <n v="2870492461845"/>
    <d v="2025-12-12T00:00:00"/>
    <d v="2025-12-05T00:00:00"/>
    <m/>
    <d v="2025-12-12T00:00:00"/>
    <d v="2025-12-08T13:23:00"/>
    <n v="28781008540"/>
    <d v="2025-12-05T00:00:00"/>
    <s v="120425P"/>
    <s v="NET 01/10/26"/>
    <n v="206828"/>
    <d v="2025-12-05T00:00:00"/>
    <d v="2025-12-12T00:00:00"/>
    <m/>
    <x v="0"/>
  </r>
  <r>
    <x v="19"/>
    <n v="1007346"/>
    <n v="199.08"/>
    <n v="3.98"/>
    <n v="195.1"/>
    <n v="1.99"/>
    <n v="193.11"/>
    <d v="2025-12-12T00:00:00"/>
    <n v="1007346"/>
    <n v="2885"/>
    <n v="3.98"/>
    <n v="199.08"/>
    <d v="2025-12-01T00:00:00"/>
    <n v="195.1"/>
    <n v="3.98"/>
    <s v="NULL"/>
    <s v="PRO"/>
    <n v="1.99"/>
    <n v="193.11"/>
    <s v="PAID"/>
    <n v="2"/>
    <n v="5593128284187"/>
    <d v="2025-12-12T00:00:00"/>
    <d v="2025-12-01T00:00:00"/>
    <m/>
    <d v="2025-12-12T00:00:00"/>
    <d v="2025-12-09T15:53:00"/>
    <n v="28851007346"/>
    <d v="2025-12-01T00:00:00"/>
    <n v="100404"/>
    <s v="2% 01/10/26"/>
    <n v="205803"/>
    <d v="2025-12-01T00:00:00"/>
    <d v="2025-12-12T00:00:00"/>
    <n v="3.9816000000000003"/>
    <x v="0"/>
  </r>
  <r>
    <x v="19"/>
    <n v="1007541"/>
    <n v="3990"/>
    <m/>
    <n v="3990"/>
    <n v="39.9"/>
    <n v="3950.1"/>
    <d v="2025-12-12T00:00:00"/>
    <n v="1007541"/>
    <n v="2885"/>
    <n v="0"/>
    <n v="3990"/>
    <d v="2025-12-02T00:00:00"/>
    <n v="3990"/>
    <n v="0"/>
    <s v="NULL"/>
    <s v="PRO"/>
    <n v="39.9"/>
    <n v="3950.1"/>
    <s v="PAID"/>
    <n v="2"/>
    <n v="5593128284187"/>
    <d v="2025-12-12T00:00:00"/>
    <d v="2025-12-02T00:00:00"/>
    <m/>
    <d v="2025-12-12T00:00:00"/>
    <d v="2025-12-09T15:53:00"/>
    <n v="28851007541"/>
    <d v="2025-12-02T00:00:00"/>
    <s v="NULL"/>
    <s v="NET 02/10/26"/>
    <s v="NULL"/>
    <d v="2025-12-02T00:00:00"/>
    <d v="2025-12-12T00:00:00"/>
    <m/>
    <x v="0"/>
  </r>
  <r>
    <x v="19"/>
    <n v="1008087"/>
    <n v="35.1"/>
    <n v="0.7"/>
    <n v="34.4"/>
    <n v="0.35"/>
    <n v="34.049999999999997"/>
    <d v="2025-12-12T00:00:00"/>
    <n v="1008087"/>
    <n v="2885"/>
    <n v="0.7"/>
    <n v="35.1"/>
    <d v="2025-12-04T00:00:00"/>
    <n v="34.4"/>
    <n v="0.7"/>
    <s v="NULL"/>
    <s v="PRO"/>
    <n v="0.35"/>
    <n v="34.049999999999997"/>
    <s v="PAID"/>
    <n v="2"/>
    <n v="5593128284187"/>
    <d v="2025-12-12T00:00:00"/>
    <d v="2025-12-04T00:00:00"/>
    <m/>
    <d v="2025-12-12T00:00:00"/>
    <d v="2025-12-09T15:53:00"/>
    <n v="28851008087"/>
    <d v="2025-12-04T00:00:00"/>
    <n v="110615"/>
    <s v="2% 01/10/26"/>
    <n v="206402"/>
    <d v="2025-12-04T00:00:00"/>
    <d v="2025-12-12T00:00:00"/>
    <n v="0.70200000000000007"/>
    <x v="0"/>
  </r>
  <r>
    <x v="19"/>
    <n v="1008410"/>
    <n v="398"/>
    <n v="7.96"/>
    <n v="390.04"/>
    <n v="3.98"/>
    <n v="386.06"/>
    <d v="2025-12-12T00:00:00"/>
    <n v="1008410"/>
    <n v="2885"/>
    <n v="7.96"/>
    <n v="398"/>
    <d v="2025-12-05T00:00:00"/>
    <n v="390.04"/>
    <n v="7.96"/>
    <s v="NULL"/>
    <s v="PRO"/>
    <n v="3.98"/>
    <n v="386.06"/>
    <s v="PAID"/>
    <n v="2"/>
    <n v="5593128284187"/>
    <d v="2025-12-12T00:00:00"/>
    <d v="2025-12-05T00:00:00"/>
    <m/>
    <d v="2025-12-12T00:00:00"/>
    <d v="2025-12-09T15:53:00"/>
    <n v="28851008410"/>
    <d v="2025-12-05T00:00:00"/>
    <n v="110615"/>
    <s v="2% 01/10/26"/>
    <n v="206799"/>
    <d v="2025-12-05T00:00:00"/>
    <d v="2025-12-12T00:00:00"/>
    <n v="7.96"/>
    <x v="0"/>
  </r>
  <r>
    <x v="20"/>
    <n v="1007471"/>
    <n v="54.56"/>
    <m/>
    <n v="54.56"/>
    <n v="0.55000000000000004"/>
    <n v="54.01"/>
    <d v="2025-12-12T00:00:00"/>
    <n v="1007471"/>
    <n v="2913"/>
    <n v="0"/>
    <n v="54.56"/>
    <d v="2025-12-01T00:00:00"/>
    <n v="54.56"/>
    <n v="0"/>
    <s v="NULL"/>
    <s v="PRO"/>
    <n v="0.55000000000000004"/>
    <n v="54.01"/>
    <s v="PAID"/>
    <n v="2"/>
    <n v="1187444357250"/>
    <d v="2025-12-12T00:00:00"/>
    <d v="2025-12-01T00:00:00"/>
    <m/>
    <d v="2025-12-12T00:00:00"/>
    <d v="2025-12-12T12:01:00"/>
    <n v="29131007471"/>
    <d v="2025-12-01T00:00:00"/>
    <s v="1006500LCWH"/>
    <s v="2% 01/10/26"/>
    <n v="206004"/>
    <d v="2025-12-01T00:00:00"/>
    <d v="2025-12-12T00:00:00"/>
    <n v="1.0912000000000002"/>
    <x v="1"/>
  </r>
  <r>
    <x v="20"/>
    <n v="1007503"/>
    <n v="3990"/>
    <m/>
    <n v="3990"/>
    <n v="39.9"/>
    <n v="3950.1"/>
    <d v="2025-12-12T00:00:00"/>
    <n v="1007503"/>
    <n v="2913"/>
    <n v="0"/>
    <n v="3990"/>
    <d v="2025-12-02T00:00:00"/>
    <n v="3990"/>
    <n v="0"/>
    <s v="NULL"/>
    <s v="PRO"/>
    <n v="39.9"/>
    <n v="3950.1"/>
    <s v="PAID"/>
    <n v="2"/>
    <n v="1187444357250"/>
    <d v="2025-12-12T00:00:00"/>
    <d v="2025-12-02T00:00:00"/>
    <m/>
    <d v="2025-12-12T00:00:00"/>
    <d v="2025-12-12T12:01:00"/>
    <n v="29131007503"/>
    <d v="2025-12-02T00:00:00"/>
    <s v="NULL"/>
    <s v="NET 02/10/26"/>
    <s v="NULL"/>
    <d v="2025-12-02T00:00:00"/>
    <d v="2025-12-12T00:00:00"/>
    <m/>
    <x v="0"/>
  </r>
  <r>
    <x v="20"/>
    <n v="1007741"/>
    <n v="311.75"/>
    <m/>
    <n v="311.75"/>
    <n v="3.12"/>
    <n v="308.63"/>
    <d v="2025-12-12T00:00:00"/>
    <n v="1007741"/>
    <n v="2913"/>
    <n v="0"/>
    <n v="311.75"/>
    <d v="2025-12-02T00:00:00"/>
    <n v="311.75"/>
    <n v="0"/>
    <s v="NULL"/>
    <s v="PRO"/>
    <n v="3.12"/>
    <n v="308.63"/>
    <s v="PAID"/>
    <n v="2"/>
    <n v="1187444357250"/>
    <d v="2025-12-12T00:00:00"/>
    <d v="2025-12-02T00:00:00"/>
    <m/>
    <d v="2025-12-12T00:00:00"/>
    <d v="2025-12-12T12:01:00"/>
    <n v="29131007741"/>
    <d v="2025-12-02T00:00:00"/>
    <s v="1201500QIKZ"/>
    <s v="2% 01/10/26"/>
    <n v="206152"/>
    <d v="2025-12-02T00:00:00"/>
    <d v="2025-12-12T00:00:00"/>
    <n v="6.2350000000000003"/>
    <x v="1"/>
  </r>
  <r>
    <x v="20"/>
    <n v="1007867"/>
    <n v="-515.69000000000005"/>
    <m/>
    <n v="-515.69000000000005"/>
    <m/>
    <n v="-515.69000000000005"/>
    <d v="2025-12-12T00:00:00"/>
    <n v="1007867"/>
    <n v="2913"/>
    <n v="0"/>
    <n v="-515.69000000000005"/>
    <d v="2025-12-03T00:00:00"/>
    <n v="-515.69000000000005"/>
    <n v="0"/>
    <n v="1007867"/>
    <s v="PRO"/>
    <n v="0"/>
    <n v="-515.69000000000005"/>
    <s v="PAID"/>
    <n v="2"/>
    <n v="1187444357250"/>
    <d v="2025-12-12T00:00:00"/>
    <d v="2025-12-03T00:00:00"/>
    <m/>
    <d v="2025-12-12T00:00:00"/>
    <d v="2025-12-12T12:01:00"/>
    <n v="29131007867"/>
    <d v="2025-12-03T00:00:00"/>
    <n v="142062"/>
    <s v="NET 01/10/26"/>
    <n v="53500"/>
    <d v="2025-12-03T00:00:00"/>
    <d v="2025-12-12T00:00:00"/>
    <m/>
    <x v="0"/>
  </r>
  <r>
    <x v="20"/>
    <n v="1007869"/>
    <n v="-115.62"/>
    <m/>
    <n v="-115.62"/>
    <m/>
    <n v="-115.62"/>
    <d v="2025-12-12T00:00:00"/>
    <n v="1007869"/>
    <n v="2913"/>
    <n v="0"/>
    <n v="-115.62"/>
    <d v="2025-12-03T00:00:00"/>
    <n v="-115.62"/>
    <n v="0"/>
    <n v="1007869"/>
    <s v="PRO"/>
    <n v="0"/>
    <n v="-115.62"/>
    <s v="PAID"/>
    <n v="2"/>
    <n v="1187444357250"/>
    <d v="2025-12-12T00:00:00"/>
    <d v="2025-12-03T00:00:00"/>
    <m/>
    <d v="2025-12-12T00:00:00"/>
    <d v="2025-12-12T12:01:00"/>
    <n v="29131007869"/>
    <d v="2025-12-03T00:00:00"/>
    <n v="142064"/>
    <s v="NET 01/10/26"/>
    <n v="53506"/>
    <d v="2025-12-03T00:00:00"/>
    <d v="2025-12-12T00:00:00"/>
    <m/>
    <x v="0"/>
  </r>
  <r>
    <x v="20"/>
    <n v="1007909"/>
    <n v="971.96"/>
    <m/>
    <n v="971.96"/>
    <n v="9.7200000000000006"/>
    <n v="962.24"/>
    <d v="2025-12-12T00:00:00"/>
    <n v="1007909"/>
    <n v="2913"/>
    <n v="0"/>
    <n v="971.96"/>
    <d v="2025-12-03T00:00:00"/>
    <n v="971.96"/>
    <n v="0"/>
    <s v="NULL"/>
    <s v="PRO"/>
    <n v="9.7200000000000006"/>
    <n v="962.24"/>
    <s v="PAID"/>
    <n v="2"/>
    <n v="1187444357250"/>
    <d v="2025-12-12T00:00:00"/>
    <d v="2025-12-03T00:00:00"/>
    <m/>
    <d v="2025-12-12T00:00:00"/>
    <d v="2025-12-12T12:01:00"/>
    <n v="29131007909"/>
    <d v="2025-12-03T00:00:00"/>
    <s v="1110500OSZD"/>
    <s v="NET 01/10/26"/>
    <n v="206441"/>
    <d v="2025-12-03T00:00:00"/>
    <d v="2025-12-12T00:00:00"/>
    <m/>
    <x v="0"/>
  </r>
  <r>
    <x v="20"/>
    <n v="1007988"/>
    <n v="3272.9"/>
    <m/>
    <n v="3272.9"/>
    <n v="32.729999999999997"/>
    <n v="3240.17"/>
    <d v="2025-12-12T00:00:00"/>
    <n v="1007988"/>
    <n v="2913"/>
    <n v="0"/>
    <n v="3272.9"/>
    <d v="2025-12-03T00:00:00"/>
    <n v="3272.9"/>
    <n v="0"/>
    <s v="NULL"/>
    <s v="PRO"/>
    <n v="32.729999999999997"/>
    <n v="3240.17"/>
    <s v="PAID"/>
    <n v="2"/>
    <n v="1187444357250"/>
    <d v="2025-12-12T00:00:00"/>
    <d v="2025-12-03T00:00:00"/>
    <m/>
    <d v="2025-12-12T00:00:00"/>
    <d v="2025-12-12T12:01:00"/>
    <n v="29131007988"/>
    <d v="2025-12-03T00:00:00"/>
    <s v="1128500QFNE"/>
    <s v="NET 01/10/26"/>
    <n v="206217"/>
    <d v="2025-12-03T00:00:00"/>
    <d v="2025-12-12T00:00:00"/>
    <m/>
    <x v="0"/>
  </r>
  <r>
    <x v="20"/>
    <n v="1007989"/>
    <n v="378.55"/>
    <m/>
    <n v="378.55"/>
    <n v="3.79"/>
    <n v="374.76"/>
    <d v="2025-12-12T00:00:00"/>
    <n v="1007989"/>
    <n v="2913"/>
    <n v="0"/>
    <n v="378.55"/>
    <d v="2025-12-03T00:00:00"/>
    <n v="378.55"/>
    <n v="0"/>
    <s v="NULL"/>
    <s v="PRO"/>
    <n v="3.79"/>
    <n v="374.76"/>
    <s v="PAID"/>
    <n v="2"/>
    <n v="1187444357250"/>
    <d v="2025-12-12T00:00:00"/>
    <d v="2025-12-03T00:00:00"/>
    <m/>
    <d v="2025-12-12T00:00:00"/>
    <d v="2025-12-12T12:01:00"/>
    <n v="29131007989"/>
    <d v="2025-12-03T00:00:00"/>
    <s v="1128500QFNE"/>
    <s v="2% 01/10/26"/>
    <n v="206215"/>
    <d v="2025-12-03T00:00:00"/>
    <d v="2025-12-12T00:00:00"/>
    <n v="7.5710000000000006"/>
    <x v="1"/>
  </r>
  <r>
    <x v="20"/>
    <n v="1007990"/>
    <n v="5474.3"/>
    <m/>
    <n v="5474.3"/>
    <n v="54.74"/>
    <n v="5419.56"/>
    <d v="2025-12-12T00:00:00"/>
    <n v="1007990"/>
    <n v="2913"/>
    <n v="0"/>
    <n v="5474.3"/>
    <d v="2025-12-03T00:00:00"/>
    <n v="5474.3"/>
    <n v="0"/>
    <s v="NULL"/>
    <s v="PRO"/>
    <n v="54.74"/>
    <n v="5419.56"/>
    <s v="PAID"/>
    <n v="2"/>
    <n v="1187444357250"/>
    <d v="2025-12-12T00:00:00"/>
    <d v="2025-12-03T00:00:00"/>
    <m/>
    <d v="2025-12-12T00:00:00"/>
    <d v="2025-12-12T12:01:00"/>
    <n v="29131007990"/>
    <d v="2025-12-03T00:00:00"/>
    <s v="1201500QIKZ"/>
    <s v="NET 01/10/26"/>
    <n v="206218"/>
    <d v="2025-12-03T00:00:00"/>
    <d v="2025-12-12T00:00:00"/>
    <m/>
    <x v="0"/>
  </r>
  <r>
    <x v="20"/>
    <n v="1007991"/>
    <n v="983.46"/>
    <m/>
    <n v="983.46"/>
    <n v="9.83"/>
    <n v="973.63"/>
    <d v="2025-12-12T00:00:00"/>
    <n v="1007991"/>
    <n v="2913"/>
    <n v="0"/>
    <n v="983.46"/>
    <d v="2025-12-03T00:00:00"/>
    <n v="983.46"/>
    <n v="0"/>
    <s v="NULL"/>
    <s v="PRO"/>
    <n v="9.83"/>
    <n v="973.63"/>
    <s v="PAID"/>
    <n v="2"/>
    <n v="1187444357250"/>
    <d v="2025-12-12T00:00:00"/>
    <d v="2025-12-03T00:00:00"/>
    <m/>
    <d v="2025-12-12T00:00:00"/>
    <d v="2025-12-12T12:01:00"/>
    <n v="29131007991"/>
    <d v="2025-12-03T00:00:00"/>
    <s v="1201500QIKZ"/>
    <s v="2% 01/10/26"/>
    <n v="206216"/>
    <d v="2025-12-03T00:00:00"/>
    <d v="2025-12-12T00:00:00"/>
    <n v="19.6692"/>
    <x v="1"/>
  </r>
  <r>
    <x v="20"/>
    <n v="1008047"/>
    <n v="107.08"/>
    <m/>
    <n v="107.08"/>
    <n v="1.07"/>
    <n v="106.01"/>
    <d v="2025-12-12T00:00:00"/>
    <n v="1008047"/>
    <n v="2913"/>
    <n v="0"/>
    <n v="107.08"/>
    <d v="2025-12-03T00:00:00"/>
    <n v="107.08"/>
    <n v="0"/>
    <s v="NULL"/>
    <s v="PRO"/>
    <n v="1.07"/>
    <n v="106.01"/>
    <s v="PAID"/>
    <n v="2"/>
    <n v="1187444357250"/>
    <d v="2025-12-12T00:00:00"/>
    <d v="2025-12-03T00:00:00"/>
    <m/>
    <d v="2025-12-12T00:00:00"/>
    <d v="2025-12-12T12:01:00"/>
    <n v="29131008047"/>
    <d v="2025-12-03T00:00:00"/>
    <s v="1202500QJQT"/>
    <s v="2% 01/10/26"/>
    <n v="206520"/>
    <d v="2025-12-03T00:00:00"/>
    <d v="2025-12-12T00:00:00"/>
    <n v="2.1415999999999999"/>
    <x v="1"/>
  </r>
  <r>
    <x v="20"/>
    <n v="1008124"/>
    <n v="447.44"/>
    <m/>
    <n v="447.44"/>
    <n v="4.47"/>
    <n v="442.97"/>
    <d v="2025-12-12T00:00:00"/>
    <n v="1008124"/>
    <n v="2913"/>
    <n v="0"/>
    <n v="447.44"/>
    <d v="2025-12-04T00:00:00"/>
    <n v="447.44"/>
    <n v="0"/>
    <s v="NULL"/>
    <s v="PRO"/>
    <n v="4.47"/>
    <n v="442.97"/>
    <s v="PAID"/>
    <n v="2"/>
    <n v="1187444357250"/>
    <d v="2025-12-12T00:00:00"/>
    <d v="2025-12-04T00:00:00"/>
    <m/>
    <d v="2025-12-12T00:00:00"/>
    <d v="2025-12-12T12:01:00"/>
    <n v="29131008124"/>
    <d v="2025-12-04T00:00:00"/>
    <s v="1118500PSMC"/>
    <s v="2% 01/10/26"/>
    <n v="206391"/>
    <d v="2025-12-04T00:00:00"/>
    <d v="2025-12-12T00:00:00"/>
    <n v="8.9488000000000003"/>
    <x v="1"/>
  </r>
  <r>
    <x v="20"/>
    <n v="1008128"/>
    <n v="2299.38"/>
    <m/>
    <n v="2299.38"/>
    <n v="22.99"/>
    <n v="2276.39"/>
    <d v="2025-12-12T00:00:00"/>
    <n v="1008128"/>
    <n v="2913"/>
    <n v="0"/>
    <n v="2299.38"/>
    <d v="2025-12-04T00:00:00"/>
    <n v="2299.38"/>
    <n v="0"/>
    <s v="NULL"/>
    <s v="PRO"/>
    <n v="22.99"/>
    <n v="2276.39"/>
    <s v="PAID"/>
    <n v="2"/>
    <n v="1187444357250"/>
    <d v="2025-12-12T00:00:00"/>
    <d v="2025-12-04T00:00:00"/>
    <m/>
    <d v="2025-12-12T00:00:00"/>
    <d v="2025-12-12T12:01:00"/>
    <n v="29131008128"/>
    <d v="2025-12-04T00:00:00"/>
    <s v="1126500QDTO"/>
    <s v="2% 01/10/26"/>
    <n v="206392"/>
    <d v="2025-12-04T00:00:00"/>
    <d v="2025-12-12T00:00:00"/>
    <n v="45.9876"/>
    <x v="1"/>
  </r>
  <r>
    <x v="20"/>
    <n v="1008137"/>
    <n v="870.81"/>
    <m/>
    <n v="870.81"/>
    <n v="8.7100000000000009"/>
    <n v="862.1"/>
    <d v="2025-12-12T00:00:00"/>
    <n v="1008137"/>
    <n v="2913"/>
    <n v="0"/>
    <n v="870.81"/>
    <d v="2025-12-04T00:00:00"/>
    <n v="870.81"/>
    <n v="0"/>
    <s v="NULL"/>
    <s v="PRO"/>
    <n v="8.7100000000000009"/>
    <n v="862.1"/>
    <s v="PAID"/>
    <n v="2"/>
    <n v="1187444357250"/>
    <d v="2025-12-12T00:00:00"/>
    <d v="2025-12-04T00:00:00"/>
    <m/>
    <d v="2025-12-12T00:00:00"/>
    <d v="2025-12-12T12:01:00"/>
    <n v="29131008137"/>
    <d v="2025-12-04T00:00:00"/>
    <s v="1203500QKQP"/>
    <s v="2% 01/10/26"/>
    <n v="206673"/>
    <d v="2025-12-04T00:00:00"/>
    <d v="2025-12-12T00:00:00"/>
    <n v="17.4162"/>
    <x v="1"/>
  </r>
  <r>
    <x v="20"/>
    <n v="1008158"/>
    <n v="1259.96"/>
    <m/>
    <n v="1259.96"/>
    <n v="12.6"/>
    <n v="1247.3599999999999"/>
    <d v="2025-12-12T00:00:00"/>
    <n v="1008158"/>
    <n v="2913"/>
    <n v="0"/>
    <n v="1259.96"/>
    <d v="2025-12-04T00:00:00"/>
    <n v="1259.96"/>
    <n v="0"/>
    <s v="NULL"/>
    <s v="PRO"/>
    <n v="12.6"/>
    <n v="1247.3599999999999"/>
    <s v="PAID"/>
    <n v="2"/>
    <n v="1187444357250"/>
    <d v="2025-12-12T00:00:00"/>
    <d v="2025-12-04T00:00:00"/>
    <m/>
    <d v="2025-12-12T00:00:00"/>
    <d v="2025-12-12T12:01:00"/>
    <n v="29131008158"/>
    <d v="2025-12-04T00:00:00"/>
    <s v="1110500OSZD"/>
    <s v="NET 01/10/26"/>
    <n v="206653"/>
    <d v="2025-12-04T00:00:00"/>
    <d v="2025-12-12T00:00:00"/>
    <m/>
    <x v="0"/>
  </r>
  <r>
    <x v="20"/>
    <n v="1008176"/>
    <n v="1367.29"/>
    <m/>
    <n v="1367.29"/>
    <n v="13.67"/>
    <n v="1353.62"/>
    <d v="2025-12-12T00:00:00"/>
    <n v="1008176"/>
    <n v="2913"/>
    <n v="0"/>
    <n v="1367.29"/>
    <d v="2025-12-04T00:00:00"/>
    <n v="1367.29"/>
    <n v="0"/>
    <s v="NULL"/>
    <s v="PRO"/>
    <n v="13.67"/>
    <n v="1353.62"/>
    <s v="PAID"/>
    <n v="2"/>
    <n v="1187444357250"/>
    <d v="2025-12-12T00:00:00"/>
    <d v="2025-12-04T00:00:00"/>
    <m/>
    <d v="2025-12-12T00:00:00"/>
    <d v="2025-12-12T12:01:00"/>
    <n v="29131008176"/>
    <d v="2025-12-04T00:00:00"/>
    <s v="1203500QKQP"/>
    <s v="2% 01/10/26"/>
    <n v="206688"/>
    <d v="2025-12-04T00:00:00"/>
    <d v="2025-12-12T00:00:00"/>
    <n v="27.345800000000001"/>
    <x v="1"/>
  </r>
  <r>
    <x v="20"/>
    <n v="1008226"/>
    <n v="2495.1799999999998"/>
    <m/>
    <n v="2495.1799999999998"/>
    <n v="24.95"/>
    <n v="2470.23"/>
    <d v="2025-12-12T00:00:00"/>
    <n v="1008226"/>
    <n v="2913"/>
    <n v="0"/>
    <n v="2495.1799999999998"/>
    <d v="2025-12-04T00:00:00"/>
    <n v="2495.1799999999998"/>
    <n v="0"/>
    <s v="NULL"/>
    <s v="PRO"/>
    <n v="24.95"/>
    <n v="2470.23"/>
    <s v="PAID"/>
    <n v="2"/>
    <n v="1187444357250"/>
    <d v="2025-12-12T00:00:00"/>
    <d v="2025-12-04T00:00:00"/>
    <m/>
    <d v="2025-12-12T00:00:00"/>
    <d v="2025-12-12T12:01:00"/>
    <n v="29131008226"/>
    <d v="2025-12-04T00:00:00"/>
    <s v="1202500QJQT"/>
    <s v="2% 01/10/26"/>
    <n v="206526"/>
    <d v="2025-12-04T00:00:00"/>
    <d v="2025-12-12T00:00:00"/>
    <n v="49.903599999999997"/>
    <x v="1"/>
  </r>
  <r>
    <x v="20"/>
    <n v="1008301"/>
    <n v="141"/>
    <m/>
    <n v="141"/>
    <n v="1.41"/>
    <n v="139.59"/>
    <d v="2025-12-12T00:00:00"/>
    <n v="1008301"/>
    <n v="2913"/>
    <n v="0"/>
    <n v="141"/>
    <d v="2025-12-05T00:00:00"/>
    <n v="141"/>
    <n v="0"/>
    <n v="100650"/>
    <s v="OPTECH"/>
    <n v="1.41"/>
    <n v="139.59"/>
    <s v="PAID"/>
    <n v="2"/>
    <n v="1187444357250"/>
    <d v="2025-12-12T00:00:00"/>
    <d v="2025-12-05T00:00:00"/>
    <m/>
    <d v="2025-12-12T00:00:00"/>
    <d v="2025-12-12T12:01:00"/>
    <n v="29131008301"/>
    <d v="2025-12-05T00:00:00"/>
    <s v="1203500Q"/>
    <s v="2% 01/10/26"/>
    <n v="100650"/>
    <d v="2025-12-05T00:00:00"/>
    <d v="2025-12-12T00:00:00"/>
    <n v="2.82"/>
    <x v="1"/>
  </r>
  <r>
    <x v="20"/>
    <n v="1008369"/>
    <n v="1011.65"/>
    <m/>
    <n v="1011.65"/>
    <n v="10.119999999999999"/>
    <n v="1001.53"/>
    <d v="2025-12-12T00:00:00"/>
    <n v="1008369"/>
    <n v="2913"/>
    <n v="0"/>
    <n v="1011.65"/>
    <d v="2025-12-05T00:00:00"/>
    <n v="1011.65"/>
    <n v="0"/>
    <s v="USW811960"/>
    <s v="NISI"/>
    <n v="10.119999999999999"/>
    <n v="1001.53"/>
    <s v="PAID"/>
    <n v="2"/>
    <n v="1187444357250"/>
    <d v="2025-12-12T00:00:00"/>
    <d v="2025-12-05T00:00:00"/>
    <m/>
    <d v="2025-12-12T00:00:00"/>
    <d v="2025-12-12T12:01:00"/>
    <n v="29131008369"/>
    <d v="2025-12-05T00:00:00"/>
    <n v="215230"/>
    <s v="NET 01/10/26"/>
    <s v="USW811960"/>
    <d v="2025-12-05T00:00:00"/>
    <d v="2025-12-12T00:00:00"/>
    <m/>
    <x v="0"/>
  </r>
  <r>
    <x v="20"/>
    <n v="1008370"/>
    <n v="48.51"/>
    <m/>
    <n v="48.51"/>
    <n v="0.49"/>
    <n v="48.02"/>
    <d v="2025-12-12T00:00:00"/>
    <n v="1008370"/>
    <n v="2913"/>
    <n v="0"/>
    <n v="48.51"/>
    <d v="2025-12-05T00:00:00"/>
    <n v="48.51"/>
    <n v="0"/>
    <s v="USW811997"/>
    <s v="NISI"/>
    <n v="0.49"/>
    <n v="48.02"/>
    <s v="PAID"/>
    <n v="2"/>
    <n v="1187444357250"/>
    <d v="2025-12-12T00:00:00"/>
    <d v="2025-12-05T00:00:00"/>
    <m/>
    <d v="2025-12-12T00:00:00"/>
    <d v="2025-12-12T12:01:00"/>
    <n v="29131008370"/>
    <d v="2025-12-05T00:00:00"/>
    <n v="215429"/>
    <s v="NET 01/10/26"/>
    <s v="USW811997"/>
    <d v="2025-12-05T00:00:00"/>
    <d v="2025-12-12T00:00:00"/>
    <m/>
    <x v="0"/>
  </r>
  <r>
    <x v="20"/>
    <n v="1008421"/>
    <n v="388.23"/>
    <m/>
    <n v="388.23"/>
    <n v="3.88"/>
    <n v="384.35"/>
    <d v="2025-12-12T00:00:00"/>
    <n v="1008421"/>
    <n v="2913"/>
    <n v="0"/>
    <n v="388.23"/>
    <d v="2025-12-05T00:00:00"/>
    <n v="388.23"/>
    <n v="0"/>
    <s v="NULL"/>
    <s v="PRO"/>
    <n v="3.88"/>
    <n v="384.35"/>
    <s v="PAID"/>
    <n v="2"/>
    <n v="1187444357250"/>
    <d v="2025-12-12T00:00:00"/>
    <d v="2025-12-05T00:00:00"/>
    <m/>
    <d v="2025-12-12T00:00:00"/>
    <d v="2025-12-12T12:01:00"/>
    <n v="29131008421"/>
    <d v="2025-12-05T00:00:00"/>
    <s v="1204500QLPS"/>
    <s v="2% 01/10/26"/>
    <n v="206751"/>
    <d v="2025-12-05T00:00:00"/>
    <d v="2025-12-12T00:00:00"/>
    <n v="7.7646000000000006"/>
    <x v="1"/>
  </r>
  <r>
    <x v="20"/>
    <n v="1008423"/>
    <n v="117.5"/>
    <m/>
    <n v="117.5"/>
    <n v="1.18"/>
    <n v="116.32"/>
    <d v="2025-12-12T00:00:00"/>
    <n v="1008423"/>
    <n v="2913"/>
    <n v="0"/>
    <n v="117.5"/>
    <d v="2025-12-05T00:00:00"/>
    <n v="117.5"/>
    <n v="0"/>
    <s v="NULL"/>
    <s v="PRO"/>
    <n v="1.18"/>
    <n v="116.32"/>
    <s v="PAID"/>
    <n v="2"/>
    <n v="1187444357250"/>
    <d v="2025-12-12T00:00:00"/>
    <d v="2025-12-05T00:00:00"/>
    <m/>
    <d v="2025-12-12T00:00:00"/>
    <d v="2025-12-12T12:01:00"/>
    <n v="29131008423"/>
    <d v="2025-12-05T00:00:00"/>
    <s v="1204500QLPS"/>
    <s v="NET 01/10/26"/>
    <n v="206752"/>
    <d v="2025-12-05T00:00:00"/>
    <d v="2025-12-12T00:00:00"/>
    <m/>
    <x v="0"/>
  </r>
  <r>
    <x v="20"/>
    <n v="1008454"/>
    <n v="147.5"/>
    <m/>
    <n v="147.5"/>
    <n v="1.48"/>
    <n v="146.02000000000001"/>
    <d v="2025-12-12T00:00:00"/>
    <n v="1008454"/>
    <n v="2913"/>
    <n v="0"/>
    <n v="147.5"/>
    <d v="2025-12-05T00:00:00"/>
    <n v="147.5"/>
    <n v="0"/>
    <s v="NULL"/>
    <s v="PRO"/>
    <n v="1.48"/>
    <n v="146.02000000000001"/>
    <s v="PAID"/>
    <n v="2"/>
    <n v="1187444357250"/>
    <d v="2025-12-12T00:00:00"/>
    <d v="2025-12-05T00:00:00"/>
    <m/>
    <d v="2025-12-12T00:00:00"/>
    <d v="2025-12-12T12:01:00"/>
    <n v="29131008454"/>
    <d v="2025-12-05T00:00:00"/>
    <s v="1022500MOZW"/>
    <s v="2% 01/10/26"/>
    <n v="206607"/>
    <d v="2025-12-05T00:00:00"/>
    <d v="2025-12-12T00:00:00"/>
    <n v="2.95"/>
    <x v="1"/>
  </r>
  <r>
    <x v="20"/>
    <n v="1008480"/>
    <n v="544.04"/>
    <m/>
    <n v="544.04"/>
    <n v="5.44"/>
    <n v="538.6"/>
    <d v="2025-12-12T00:00:00"/>
    <n v="1008480"/>
    <n v="2913"/>
    <n v="0"/>
    <n v="544.04"/>
    <d v="2025-12-05T00:00:00"/>
    <n v="544.04"/>
    <n v="0"/>
    <s v="NULL"/>
    <s v="PRO"/>
    <n v="5.44"/>
    <n v="538.6"/>
    <s v="PAID"/>
    <n v="2"/>
    <n v="1187444357250"/>
    <d v="2025-12-12T00:00:00"/>
    <d v="2025-12-05T00:00:00"/>
    <m/>
    <d v="2025-12-12T00:00:00"/>
    <d v="2025-12-12T12:01:00"/>
    <n v="29131008480"/>
    <d v="2025-12-05T00:00:00"/>
    <s v="1204500QLPS"/>
    <s v="2% 01/10/26"/>
    <n v="206747"/>
    <d v="2025-12-05T00:00:00"/>
    <d v="2025-12-12T00:00:00"/>
    <n v="10.880799999999999"/>
    <x v="1"/>
  </r>
  <r>
    <x v="20"/>
    <n v="1008580"/>
    <n v="-2000"/>
    <m/>
    <n v="-2000"/>
    <m/>
    <n v="-2000"/>
    <d v="2025-12-12T00:00:00"/>
    <n v="1008580"/>
    <n v="2913"/>
    <n v="0"/>
    <n v="-2000"/>
    <d v="2025-12-08T00:00:00"/>
    <n v="-2000"/>
    <n v="0"/>
    <n v="1008580"/>
    <s v="PRO"/>
    <n v="0"/>
    <n v="-2000"/>
    <s v="PAID"/>
    <n v="2"/>
    <n v="1187444357250"/>
    <d v="2025-12-12T00:00:00"/>
    <d v="2025-12-08T00:00:00"/>
    <m/>
    <d v="2025-12-12T00:00:00"/>
    <d v="2025-12-12T12:01:00"/>
    <n v="29131008580"/>
    <d v="2025-12-08T00:00:00"/>
    <s v="N/A"/>
    <s v="NET 01/10/26"/>
    <s v="NMC103691493x"/>
    <d v="2025-12-08T00:00:00"/>
    <d v="2025-12-12T00:00:00"/>
    <m/>
    <x v="0"/>
  </r>
  <r>
    <x v="20"/>
    <n v="1008960"/>
    <n v="-10.35"/>
    <m/>
    <n v="-10.35"/>
    <m/>
    <n v="-10.35"/>
    <d v="2025-12-12T00:00:00"/>
    <n v="1008960"/>
    <n v="2913"/>
    <n v="0"/>
    <n v="-10.35"/>
    <d v="2025-12-09T00:00:00"/>
    <n v="-10.35"/>
    <n v="0"/>
    <n v="1008960"/>
    <s v="PRO"/>
    <n v="0"/>
    <n v="-10.35"/>
    <s v="PAID"/>
    <n v="2"/>
    <n v="1187444357250"/>
    <d v="2025-12-12T00:00:00"/>
    <d v="2025-12-09T00:00:00"/>
    <m/>
    <d v="2025-12-12T00:00:00"/>
    <d v="2025-12-12T12:01:00"/>
    <n v="29131008960"/>
    <d v="2025-12-09T00:00:00"/>
    <s v="IR102925SM"/>
    <s v="NET 01/10/26"/>
    <s v="Sma112425"/>
    <d v="2025-12-09T00:00:00"/>
    <d v="2025-12-12T00:00:00"/>
    <m/>
    <x v="0"/>
  </r>
  <r>
    <x v="20"/>
    <n v="1009046"/>
    <n v="-2308.5"/>
    <m/>
    <n v="-2308.5"/>
    <m/>
    <n v="-2308.5"/>
    <d v="2025-12-12T00:00:00"/>
    <n v="1009046"/>
    <n v="2913"/>
    <n v="0"/>
    <n v="-2308.5"/>
    <d v="2025-12-09T00:00:00"/>
    <n v="-2308.5"/>
    <n v="0"/>
    <n v="1009046"/>
    <s v="PRO"/>
    <n v="0"/>
    <n v="-2308.5"/>
    <s v="PAID"/>
    <n v="2"/>
    <n v="1187444357250"/>
    <d v="2025-12-12T00:00:00"/>
    <d v="2025-12-09T00:00:00"/>
    <m/>
    <d v="2025-12-12T00:00:00"/>
    <d v="2025-12-12T12:01:00"/>
    <n v="29131009046"/>
    <d v="2025-12-09T00:00:00"/>
    <s v="IR112525OM"/>
    <s v="NET 01/10/26"/>
    <s v="OLYM112523"/>
    <d v="2025-12-09T00:00:00"/>
    <d v="2025-12-12T00:00:00"/>
    <m/>
    <x v="0"/>
  </r>
  <r>
    <x v="20"/>
    <n v="1009047"/>
    <n v="-5"/>
    <m/>
    <n v="-5"/>
    <m/>
    <n v="-5"/>
    <d v="2025-12-12T00:00:00"/>
    <n v="1009047"/>
    <n v="2913"/>
    <n v="0"/>
    <n v="-5"/>
    <d v="2025-12-09T00:00:00"/>
    <n v="-5"/>
    <n v="0"/>
    <n v="1009047"/>
    <s v="PRO"/>
    <n v="0"/>
    <n v="-5"/>
    <s v="PAID"/>
    <n v="2"/>
    <n v="1187444357250"/>
    <d v="2025-12-12T00:00:00"/>
    <d v="2025-12-09T00:00:00"/>
    <m/>
    <d v="2025-12-12T00:00:00"/>
    <d v="2025-12-12T12:01:00"/>
    <n v="29131009047"/>
    <d v="2025-12-09T00:00:00"/>
    <s v="IR112525PR"/>
    <s v="NET 01/10/26"/>
    <s v="PRO112524"/>
    <d v="2025-12-09T00:00:00"/>
    <d v="2025-12-12T00:00:00"/>
    <m/>
    <x v="0"/>
  </r>
  <r>
    <x v="21"/>
    <n v="1007230"/>
    <n v="374.1"/>
    <n v="7.48"/>
    <n v="366.62"/>
    <n v="3.74"/>
    <n v="362.88"/>
    <d v="2025-12-12T00:00:00"/>
    <n v="1007230"/>
    <n v="2941"/>
    <n v="7.48"/>
    <n v="374.1"/>
    <d v="2025-12-01T00:00:00"/>
    <n v="366.62"/>
    <n v="7.48"/>
    <s v="NULL"/>
    <s v="PRO"/>
    <n v="3.74"/>
    <n v="362.88"/>
    <s v="PAID"/>
    <n v="2"/>
    <n v="8867255699335"/>
    <d v="2025-12-12T00:00:00"/>
    <d v="2025-12-01T00:00:00"/>
    <m/>
    <d v="2025-12-12T00:00:00"/>
    <d v="2025-12-11T13:22:00"/>
    <n v="29411007230"/>
    <d v="2025-12-01T00:00:00"/>
    <s v="P103125KM"/>
    <s v="2% 01/10/26"/>
    <n v="205709"/>
    <d v="2025-12-01T00:00:00"/>
    <d v="2025-12-12T00:00:00"/>
    <n v="7.4820000000000002"/>
    <x v="0"/>
  </r>
  <r>
    <x v="21"/>
    <n v="1007428"/>
    <n v="38.04"/>
    <n v="0.76"/>
    <n v="37.28"/>
    <n v="0.38"/>
    <n v="36.9"/>
    <d v="2025-12-12T00:00:00"/>
    <n v="1007428"/>
    <n v="2941"/>
    <n v="0.76"/>
    <n v="38.04"/>
    <d v="2025-12-01T00:00:00"/>
    <n v="37.28"/>
    <n v="0.76"/>
    <s v="NULL"/>
    <s v="PRO"/>
    <n v="0.38"/>
    <n v="36.9"/>
    <s v="PAID"/>
    <n v="2"/>
    <n v="8867255699335"/>
    <d v="2025-12-12T00:00:00"/>
    <d v="2025-12-01T00:00:00"/>
    <m/>
    <d v="2025-12-12T00:00:00"/>
    <d v="2025-12-11T13:22:00"/>
    <n v="29411007428"/>
    <d v="2025-12-01T00:00:00"/>
    <s v="P111225KM"/>
    <s v="2% 01/10/26"/>
    <n v="205947"/>
    <d v="2025-12-01T00:00:00"/>
    <d v="2025-12-12T00:00:00"/>
    <n v="0.76080000000000003"/>
    <x v="0"/>
  </r>
  <r>
    <x v="21"/>
    <n v="1007637"/>
    <n v="3990"/>
    <m/>
    <n v="3990"/>
    <n v="39.9"/>
    <n v="3950.1"/>
    <d v="2025-12-12T00:00:00"/>
    <n v="1007637"/>
    <n v="2941"/>
    <n v="0"/>
    <n v="3990"/>
    <d v="2025-12-02T00:00:00"/>
    <n v="3990"/>
    <n v="0"/>
    <s v="NULL"/>
    <s v="PRO"/>
    <n v="39.9"/>
    <n v="3950.1"/>
    <s v="PAID"/>
    <n v="2"/>
    <n v="8867255699335"/>
    <d v="2025-12-12T00:00:00"/>
    <d v="2025-12-02T00:00:00"/>
    <m/>
    <d v="2025-12-12T00:00:00"/>
    <d v="2025-12-11T13:22:00"/>
    <n v="29411007637"/>
    <d v="2025-12-02T00:00:00"/>
    <s v="NULL"/>
    <s v="NET 02/10/26"/>
    <s v="NULL"/>
    <d v="2025-12-02T00:00:00"/>
    <d v="2025-12-12T00:00:00"/>
    <m/>
    <x v="0"/>
  </r>
  <r>
    <x v="21"/>
    <n v="1008110"/>
    <n v="138.1"/>
    <n v="2.76"/>
    <n v="135.34"/>
    <n v="1.38"/>
    <n v="133.96"/>
    <d v="2025-12-12T00:00:00"/>
    <n v="1008110"/>
    <n v="2941"/>
    <n v="2.76"/>
    <n v="138.1"/>
    <d v="2025-12-04T00:00:00"/>
    <n v="135.34"/>
    <n v="2.76"/>
    <s v="NULL"/>
    <s v="PRO"/>
    <n v="1.38"/>
    <n v="133.96"/>
    <s v="PAID"/>
    <n v="2"/>
    <n v="8867255699335"/>
    <d v="2025-12-12T00:00:00"/>
    <d v="2025-12-04T00:00:00"/>
    <m/>
    <d v="2025-12-12T00:00:00"/>
    <d v="2025-12-11T13:22:00"/>
    <n v="29411008110"/>
    <d v="2025-12-04T00:00:00"/>
    <s v="P112125KM"/>
    <s v="2% 01/10/26"/>
    <n v="206373"/>
    <d v="2025-12-04T00:00:00"/>
    <d v="2025-12-12T00:00:00"/>
    <n v="2.762"/>
    <x v="0"/>
  </r>
  <r>
    <x v="21"/>
    <n v="1008118"/>
    <n v="35.1"/>
    <n v="0.7"/>
    <n v="34.4"/>
    <n v="0.35"/>
    <n v="34.049999999999997"/>
    <d v="2025-12-12T00:00:00"/>
    <n v="1008118"/>
    <n v="2941"/>
    <n v="0.7"/>
    <n v="35.1"/>
    <d v="2025-12-04T00:00:00"/>
    <n v="34.4"/>
    <n v="0.7"/>
    <s v="NULL"/>
    <s v="PRO"/>
    <n v="0.35"/>
    <n v="34.049999999999997"/>
    <s v="PAID"/>
    <n v="2"/>
    <n v="8867255699335"/>
    <d v="2025-12-12T00:00:00"/>
    <d v="2025-12-04T00:00:00"/>
    <m/>
    <d v="2025-12-12T00:00:00"/>
    <d v="2025-12-11T13:22:00"/>
    <n v="29411008118"/>
    <d v="2025-12-04T00:00:00"/>
    <s v="P111225KM"/>
    <s v="2% 01/10/26"/>
    <n v="206372"/>
    <d v="2025-12-04T00:00:00"/>
    <d v="2025-12-12T00:00:00"/>
    <n v="0.70200000000000007"/>
    <x v="0"/>
  </r>
  <r>
    <x v="21"/>
    <n v="1008317"/>
    <n v="335.17"/>
    <n v="3.35"/>
    <n v="331.82"/>
    <n v="3.35"/>
    <n v="328.47"/>
    <d v="2025-12-12T00:00:00"/>
    <n v="1008317"/>
    <n v="2941"/>
    <n v="3.35"/>
    <n v="335.17"/>
    <d v="2025-12-05T00:00:00"/>
    <n v="331.82"/>
    <n v="3.35"/>
    <n v="1067962"/>
    <s v="SKB"/>
    <n v="3.35"/>
    <n v="328.47"/>
    <s v="PAID"/>
    <n v="2"/>
    <n v="8867255699335"/>
    <d v="2025-12-12T00:00:00"/>
    <d v="2025-12-05T00:00:00"/>
    <m/>
    <d v="2025-12-12T00:00:00"/>
    <d v="2025-12-11T13:22:00"/>
    <n v="29411008317"/>
    <d v="2025-12-05T00:00:00"/>
    <s v="112125KM"/>
    <s v="1% 01/10/26"/>
    <n v="1067962"/>
    <d v="2025-12-05T00:00:00"/>
    <d v="2025-12-12T00:00:00"/>
    <m/>
    <x v="0"/>
  </r>
  <r>
    <x v="21"/>
    <n v="1008318"/>
    <n v="1003.53"/>
    <n v="10.039999999999999"/>
    <n v="993.49"/>
    <n v="10.039999999999999"/>
    <n v="983.45"/>
    <d v="2025-12-12T00:00:00"/>
    <n v="1008318"/>
    <n v="2941"/>
    <n v="10.039999999999999"/>
    <n v="1003.53"/>
    <d v="2025-12-05T00:00:00"/>
    <n v="993.49"/>
    <n v="10.039999999999999"/>
    <n v="1067947"/>
    <s v="SKB"/>
    <n v="10.039999999999999"/>
    <n v="983.45"/>
    <s v="PAID"/>
    <n v="2"/>
    <n v="8867255699335"/>
    <d v="2025-12-12T00:00:00"/>
    <d v="2025-12-05T00:00:00"/>
    <m/>
    <d v="2025-12-12T00:00:00"/>
    <d v="2025-12-11T13:22:00"/>
    <n v="29411008318"/>
    <d v="2025-12-05T00:00:00"/>
    <s v="110925KM"/>
    <s v="1% 01/10/26"/>
    <n v="1067947"/>
    <d v="2025-12-05T00:00:00"/>
    <d v="2025-12-12T00:00:00"/>
    <m/>
    <x v="0"/>
  </r>
  <r>
    <x v="21"/>
    <n v="1008412"/>
    <n v="44.2"/>
    <n v="0.88"/>
    <n v="43.32"/>
    <n v="0.44"/>
    <n v="42.88"/>
    <d v="2025-12-12T00:00:00"/>
    <n v="1008412"/>
    <n v="2941"/>
    <n v="0.88"/>
    <n v="44.2"/>
    <d v="2025-12-05T00:00:00"/>
    <n v="43.32"/>
    <n v="0.88"/>
    <s v="NULL"/>
    <s v="PRO"/>
    <n v="0.44"/>
    <n v="42.88"/>
    <s v="PAID"/>
    <n v="2"/>
    <n v="8867255699335"/>
    <d v="2025-12-12T00:00:00"/>
    <d v="2025-12-05T00:00:00"/>
    <m/>
    <d v="2025-12-12T00:00:00"/>
    <d v="2025-12-11T13:22:00"/>
    <n v="29411008412"/>
    <d v="2025-12-05T00:00:00"/>
    <s v="P111225KM"/>
    <s v="2% 01/10/26"/>
    <n v="206793"/>
    <d v="2025-12-05T00:00:00"/>
    <d v="2025-12-12T00:00:00"/>
    <n v="0.88400000000000012"/>
    <x v="0"/>
  </r>
  <r>
    <x v="21"/>
    <n v="1008549"/>
    <n v="171.6"/>
    <n v="3.43"/>
    <n v="168.17"/>
    <n v="1.72"/>
    <n v="166.45"/>
    <d v="2025-12-12T00:00:00"/>
    <n v="1008549"/>
    <n v="2941"/>
    <n v="3.43"/>
    <n v="171.6"/>
    <d v="2025-12-05T00:00:00"/>
    <n v="168.17"/>
    <n v="3.43"/>
    <s v="NULL"/>
    <s v="PRO"/>
    <n v="1.72"/>
    <n v="166.45"/>
    <s v="PAID"/>
    <n v="2"/>
    <n v="8867255699335"/>
    <d v="2025-12-12T00:00:00"/>
    <d v="2025-12-05T00:00:00"/>
    <m/>
    <d v="2025-12-12T00:00:00"/>
    <d v="2025-12-11T13:22:00"/>
    <n v="29411008549"/>
    <d v="2025-12-05T00:00:00"/>
    <s v="P100625KM"/>
    <s v="2% 01/10/26"/>
    <n v="206582"/>
    <d v="2025-12-05T00:00:00"/>
    <d v="2025-12-12T00:00:00"/>
    <n v="3.4319999999999999"/>
    <x v="0"/>
  </r>
  <r>
    <x v="21"/>
    <n v="1008553"/>
    <n v="285.56"/>
    <n v="5.71"/>
    <n v="279.85000000000002"/>
    <n v="2.86"/>
    <n v="276.99"/>
    <d v="2025-12-12T00:00:00"/>
    <n v="1008553"/>
    <n v="2941"/>
    <n v="5.71"/>
    <n v="285.56"/>
    <d v="2025-12-05T00:00:00"/>
    <n v="279.85000000000002"/>
    <n v="5.71"/>
    <s v="NULL"/>
    <s v="PRO"/>
    <n v="2.86"/>
    <n v="276.99"/>
    <s v="PAID"/>
    <n v="2"/>
    <n v="8867255699335"/>
    <d v="2025-12-12T00:00:00"/>
    <d v="2025-12-05T00:00:00"/>
    <m/>
    <d v="2025-12-12T00:00:00"/>
    <d v="2025-12-11T13:22:00"/>
    <n v="29411008553"/>
    <d v="2025-12-05T00:00:00"/>
    <s v="P103125KM"/>
    <s v="2% 01/10/26"/>
    <n v="206583"/>
    <d v="2025-12-05T00:00:00"/>
    <d v="2025-12-12T00:00:00"/>
    <n v="5.7111999999999998"/>
    <x v="0"/>
  </r>
  <r>
    <x v="22"/>
    <n v="995675"/>
    <n v="874.04"/>
    <m/>
    <n v="874.04"/>
    <m/>
    <n v="874.04"/>
    <d v="2025-12-12T00:00:00"/>
    <n v="995675"/>
    <n v="2948"/>
    <n v="0"/>
    <n v="874.04"/>
    <d v="2025-10-08T00:00:00"/>
    <n v="874.04"/>
    <n v="0"/>
    <s v="NULL"/>
    <s v="PRO"/>
    <n v="0"/>
    <n v="874.04"/>
    <s v="PAID"/>
    <n v="2"/>
    <n v="3080223843337"/>
    <d v="2025-12-12T00:00:00"/>
    <d v="2025-10-08T00:00:00"/>
    <m/>
    <d v="2025-12-12T00:00:00"/>
    <d v="2025-12-12T08:10:00"/>
    <n v="2948995675"/>
    <d v="2025-10-08T00:00:00"/>
    <s v="100725HART"/>
    <s v="NET 11/10/25"/>
    <n v="196285"/>
    <d v="2025-10-08T00:00:00"/>
    <d v="2025-12-12T00:00:00"/>
    <m/>
    <x v="0"/>
  </r>
  <r>
    <x v="22"/>
    <n v="995864"/>
    <n v="150"/>
    <m/>
    <n v="150"/>
    <m/>
    <n v="150"/>
    <d v="2025-12-12T00:00:00"/>
    <n v="995864"/>
    <n v="2948"/>
    <n v="0"/>
    <n v="150"/>
    <d v="2025-10-09T00:00:00"/>
    <n v="150"/>
    <n v="0"/>
    <s v="NULL"/>
    <s v="PRO"/>
    <n v="0"/>
    <n v="150"/>
    <s v="PAID"/>
    <n v="2"/>
    <n v="3080223843337"/>
    <d v="2025-12-12T00:00:00"/>
    <d v="2025-10-09T00:00:00"/>
    <m/>
    <d v="2025-12-12T00:00:00"/>
    <d v="2025-12-12T08:10:00"/>
    <n v="2948995864"/>
    <d v="2025-10-09T00:00:00"/>
    <s v="NULL"/>
    <s v="NET 11/10/25"/>
    <s v="NULL"/>
    <d v="2025-10-09T00:00:00"/>
    <d v="2025-12-12T00:00:00"/>
    <m/>
    <x v="0"/>
  </r>
  <r>
    <x v="22"/>
    <n v="996688"/>
    <n v="1185.18"/>
    <m/>
    <n v="1185.18"/>
    <m/>
    <n v="1185.18"/>
    <d v="2025-12-12T00:00:00"/>
    <n v="996688"/>
    <n v="2948"/>
    <n v="0"/>
    <n v="1185.18"/>
    <d v="2025-10-13T00:00:00"/>
    <n v="1185.18"/>
    <n v="0"/>
    <s v="NULL"/>
    <s v="PRO"/>
    <n v="0"/>
    <n v="1185.18"/>
    <s v="PAID"/>
    <n v="2"/>
    <n v="3080223843337"/>
    <d v="2025-12-12T00:00:00"/>
    <d v="2025-10-13T00:00:00"/>
    <m/>
    <d v="2025-12-12T00:00:00"/>
    <d v="2025-12-12T08:10:00"/>
    <n v="2948996688"/>
    <d v="2025-10-13T00:00:00"/>
    <n v="101125"/>
    <s v="NET 11/10/25"/>
    <n v="197111"/>
    <d v="2025-10-13T00:00:00"/>
    <d v="2025-12-12T00:00:00"/>
    <m/>
    <x v="0"/>
  </r>
  <r>
    <x v="22"/>
    <n v="996834"/>
    <n v="1045.1600000000001"/>
    <m/>
    <n v="1045.1600000000001"/>
    <m/>
    <n v="1045.1600000000001"/>
    <d v="2025-12-12T00:00:00"/>
    <n v="996834"/>
    <n v="2948"/>
    <n v="0"/>
    <n v="1045.1600000000001"/>
    <d v="2025-10-13T00:00:00"/>
    <n v="1045.1600000000001"/>
    <n v="0"/>
    <s v="NULL"/>
    <s v="PRO"/>
    <n v="0"/>
    <n v="1045.1600000000001"/>
    <s v="PAID"/>
    <n v="2"/>
    <n v="3080223843337"/>
    <d v="2025-12-12T00:00:00"/>
    <d v="2025-10-13T00:00:00"/>
    <m/>
    <d v="2025-12-12T00:00:00"/>
    <d v="2025-12-12T08:10:00"/>
    <n v="2948996834"/>
    <d v="2025-10-13T00:00:00"/>
    <n v="101025"/>
    <s v="2% 11/10/25"/>
    <n v="197050"/>
    <d v="2025-10-13T00:00:00"/>
    <d v="2025-12-12T00:00:00"/>
    <n v="20.903200000000002"/>
    <x v="1"/>
  </r>
  <r>
    <x v="22"/>
    <n v="996838"/>
    <n v="138.30000000000001"/>
    <m/>
    <n v="138.30000000000001"/>
    <m/>
    <n v="138.30000000000001"/>
    <d v="2025-12-12T00:00:00"/>
    <n v="996838"/>
    <n v="2948"/>
    <n v="0"/>
    <n v="138.30000000000001"/>
    <d v="2025-10-13T00:00:00"/>
    <n v="138.30000000000001"/>
    <n v="0"/>
    <s v="NULL"/>
    <s v="PRO"/>
    <n v="0"/>
    <n v="138.30000000000001"/>
    <s v="PAID"/>
    <n v="2"/>
    <n v="3080223843337"/>
    <d v="2025-12-12T00:00:00"/>
    <d v="2025-10-13T00:00:00"/>
    <m/>
    <d v="2025-12-12T00:00:00"/>
    <d v="2025-12-12T08:10:00"/>
    <n v="2948996838"/>
    <d v="2025-10-13T00:00:00"/>
    <n v="101025"/>
    <s v="NET 11/10/25"/>
    <n v="197051"/>
    <d v="2025-10-13T00:00:00"/>
    <d v="2025-12-12T00:00:00"/>
    <m/>
    <x v="0"/>
  </r>
  <r>
    <x v="22"/>
    <n v="1008989"/>
    <n v="-40.5"/>
    <m/>
    <n v="-40.5"/>
    <m/>
    <n v="-40.5"/>
    <d v="2025-12-12T00:00:00"/>
    <n v="1008989"/>
    <n v="2948"/>
    <n v="0"/>
    <n v="-40.5"/>
    <d v="2025-12-09T00:00:00"/>
    <n v="-40.5"/>
    <n v="0"/>
    <n v="1008989"/>
    <s v="PRO"/>
    <n v="0"/>
    <n v="-40.5"/>
    <s v="PAID"/>
    <n v="2"/>
    <n v="3080223843337"/>
    <d v="2025-12-12T00:00:00"/>
    <d v="2025-12-09T00:00:00"/>
    <m/>
    <d v="2025-12-12T00:00:00"/>
    <d v="2025-12-12T08:10:00"/>
    <n v="29481008989"/>
    <d v="2025-12-09T00:00:00"/>
    <n v="399418"/>
    <s v="NET 01/10/26"/>
    <s v="OLYM112457"/>
    <d v="2025-12-09T00:00:00"/>
    <d v="2025-12-12T00:00:00"/>
    <m/>
    <x v="0"/>
  </r>
  <r>
    <x v="22"/>
    <n v="1009000"/>
    <n v="-56.7"/>
    <m/>
    <n v="-56.7"/>
    <m/>
    <n v="-56.7"/>
    <d v="2025-12-12T00:00:00"/>
    <n v="1009000"/>
    <n v="2948"/>
    <n v="0"/>
    <n v="-56.7"/>
    <d v="2025-12-09T00:00:00"/>
    <n v="-56.7"/>
    <n v="0"/>
    <n v="1009000"/>
    <s v="PRO"/>
    <n v="0"/>
    <n v="-56.7"/>
    <s v="PAID"/>
    <n v="2"/>
    <n v="3080223843337"/>
    <d v="2025-12-12T00:00:00"/>
    <d v="2025-12-09T00:00:00"/>
    <m/>
    <d v="2025-12-12T00:00:00"/>
    <d v="2025-12-12T08:10:00"/>
    <n v="29481009000"/>
    <d v="2025-12-09T00:00:00"/>
    <n v="399522"/>
    <s v="NET 01/10/26"/>
    <s v="OLYM112468"/>
    <d v="2025-12-09T00:00:00"/>
    <d v="2025-12-12T00:00:00"/>
    <m/>
    <x v="0"/>
  </r>
  <r>
    <x v="22"/>
    <n v="1009007"/>
    <n v="-178.2"/>
    <m/>
    <n v="-178.2"/>
    <m/>
    <n v="-178.2"/>
    <d v="2025-12-12T00:00:00"/>
    <n v="1009007"/>
    <n v="2948"/>
    <n v="0"/>
    <n v="-178.2"/>
    <d v="2025-12-09T00:00:00"/>
    <n v="-178.2"/>
    <n v="0"/>
    <n v="1009007"/>
    <s v="PRO"/>
    <n v="0"/>
    <n v="-178.2"/>
    <s v="PAID"/>
    <n v="2"/>
    <n v="3080223843337"/>
    <d v="2025-12-12T00:00:00"/>
    <d v="2025-12-09T00:00:00"/>
    <m/>
    <d v="2025-12-12T00:00:00"/>
    <d v="2025-12-12T08:10:00"/>
    <n v="29481009007"/>
    <d v="2025-12-09T00:00:00"/>
    <n v="399681"/>
    <s v="NET 01/10/26"/>
    <s v="OLYM112476"/>
    <d v="2025-12-09T00:00:00"/>
    <d v="2025-12-12T00:00:00"/>
    <m/>
    <x v="0"/>
  </r>
  <r>
    <x v="22"/>
    <n v="1009353"/>
    <n v="-172.89"/>
    <m/>
    <n v="-172.89"/>
    <m/>
    <n v="-172.89"/>
    <d v="2025-12-12T00:00:00"/>
    <n v="1009353"/>
    <n v="2948"/>
    <n v="0"/>
    <n v="-172.89"/>
    <d v="2025-12-10T00:00:00"/>
    <n v="-172.89"/>
    <n v="0"/>
    <n v="1009353"/>
    <s v="PRO"/>
    <n v="0"/>
    <n v="-172.89"/>
    <s v="PAID"/>
    <n v="2"/>
    <n v="3080223843337"/>
    <d v="2025-12-12T00:00:00"/>
    <d v="2025-12-10T00:00:00"/>
    <m/>
    <d v="2025-12-12T00:00:00"/>
    <d v="2025-12-12T08:10:00"/>
    <n v="29481009353"/>
    <d v="2025-12-10T00:00:00"/>
    <s v="N/A"/>
    <s v="NET 01/10/26"/>
    <s v="NMCNoINV"/>
    <d v="2025-12-10T00:00:00"/>
    <d v="2025-12-12T00:00:00"/>
    <m/>
    <x v="0"/>
  </r>
  <r>
    <x v="22"/>
    <s v="S3400"/>
    <n v="390.73"/>
    <m/>
    <n v="390.73"/>
    <n v="3.91"/>
    <n v="386.82"/>
    <d v="2025-12-12T00:00:00"/>
    <s v="S3400"/>
    <n v="2948"/>
    <n v="0"/>
    <n v="390.73"/>
    <d v="2025-11-30T00:00:00"/>
    <n v="390.73"/>
    <n v="0"/>
    <s v="NULL"/>
    <s v="PRO"/>
    <n v="3.91"/>
    <n v="386.82"/>
    <s v="PAID"/>
    <n v="2"/>
    <n v="3080223843337"/>
    <d v="2025-12-12T00:00:00"/>
    <d v="2025-11-30T00:00:00"/>
    <m/>
    <d v="2025-12-12T00:00:00"/>
    <d v="2025-12-12T08:10:00"/>
    <s v="2948S3400"/>
    <d v="2025-11-30T00:00:00"/>
    <s v="NULL"/>
    <s v="NET DUE 10TH"/>
    <s v="NULL"/>
    <d v="2025-11-30T00:00:00"/>
    <d v="2025-12-12T00:00:00"/>
    <m/>
    <x v="0"/>
  </r>
  <r>
    <x v="23"/>
    <n v="1007198"/>
    <n v="66.36"/>
    <n v="1.33"/>
    <n v="65.03"/>
    <n v="0.66"/>
    <n v="64.37"/>
    <d v="2025-12-12T00:00:00"/>
    <n v="1007198"/>
    <n v="3004"/>
    <n v="1.33"/>
    <n v="66.36"/>
    <d v="2025-12-01T00:00:00"/>
    <n v="65.03"/>
    <n v="1.33"/>
    <s v="NULL"/>
    <s v="PRO"/>
    <n v="0.66"/>
    <n v="64.37"/>
    <s v="PAID"/>
    <n v="2"/>
    <n v="1674855672133"/>
    <d v="2025-12-12T00:00:00"/>
    <d v="2025-12-01T00:00:00"/>
    <m/>
    <d v="2025-12-12T00:00:00"/>
    <d v="2025-12-09T09:13:00"/>
    <n v="30041007198"/>
    <d v="2025-12-01T00:00:00"/>
    <s v="3601061-OKC"/>
    <s v="2% 01/10/26"/>
    <n v="205759"/>
    <d v="2025-12-01T00:00:00"/>
    <d v="2025-12-12T00:00:00"/>
    <n v="1.3271999999999999"/>
    <x v="0"/>
  </r>
  <r>
    <x v="23"/>
    <n v="1007199"/>
    <n v="66.36"/>
    <n v="1.33"/>
    <n v="65.03"/>
    <n v="0.66"/>
    <n v="64.37"/>
    <d v="2025-12-12T00:00:00"/>
    <n v="1007199"/>
    <n v="3004"/>
    <n v="1.33"/>
    <n v="66.36"/>
    <d v="2025-12-01T00:00:00"/>
    <n v="65.03"/>
    <n v="1.33"/>
    <s v="NULL"/>
    <s v="PRO"/>
    <n v="0.66"/>
    <n v="64.37"/>
    <s v="PAID"/>
    <n v="2"/>
    <n v="1674855672133"/>
    <d v="2025-12-12T00:00:00"/>
    <d v="2025-12-01T00:00:00"/>
    <m/>
    <d v="2025-12-12T00:00:00"/>
    <d v="2025-12-09T09:13:00"/>
    <n v="30041007199"/>
    <d v="2025-12-01T00:00:00"/>
    <s v="3599808-SFD"/>
    <s v="2% 01/10/26"/>
    <n v="205755"/>
    <d v="2025-12-01T00:00:00"/>
    <d v="2025-12-12T00:00:00"/>
    <n v="1.3271999999999999"/>
    <x v="0"/>
  </r>
  <r>
    <x v="23"/>
    <n v="1007200"/>
    <n v="66.36"/>
    <n v="1.33"/>
    <n v="65.03"/>
    <n v="0.66"/>
    <n v="64.37"/>
    <d v="2025-12-12T00:00:00"/>
    <n v="1007200"/>
    <n v="3004"/>
    <n v="1.33"/>
    <n v="66.36"/>
    <d v="2025-12-01T00:00:00"/>
    <n v="65.03"/>
    <n v="1.33"/>
    <s v="NULL"/>
    <s v="PRO"/>
    <n v="0.66"/>
    <n v="64.37"/>
    <s v="PAID"/>
    <n v="2"/>
    <n v="1674855672133"/>
    <d v="2025-12-12T00:00:00"/>
    <d v="2025-12-01T00:00:00"/>
    <m/>
    <d v="2025-12-12T00:00:00"/>
    <d v="2025-12-09T09:13:00"/>
    <n v="30041007200"/>
    <d v="2025-12-01T00:00:00"/>
    <s v="3599811-OKC"/>
    <s v="2% 01/10/26"/>
    <n v="205757"/>
    <d v="2025-12-01T00:00:00"/>
    <d v="2025-12-12T00:00:00"/>
    <n v="1.3271999999999999"/>
    <x v="0"/>
  </r>
  <r>
    <x v="23"/>
    <n v="1007201"/>
    <n v="20.57"/>
    <n v="0.41"/>
    <n v="20.16"/>
    <n v="0.21"/>
    <n v="19.95"/>
    <d v="2025-12-12T00:00:00"/>
    <n v="1007201"/>
    <n v="3004"/>
    <n v="0.41"/>
    <n v="20.57"/>
    <d v="2025-12-01T00:00:00"/>
    <n v="20.16"/>
    <n v="0.41"/>
    <s v="NULL"/>
    <s v="PRO"/>
    <n v="0.21"/>
    <n v="19.95"/>
    <s v="PAID"/>
    <n v="2"/>
    <n v="1674855672133"/>
    <d v="2025-12-12T00:00:00"/>
    <d v="2025-12-01T00:00:00"/>
    <m/>
    <d v="2025-12-12T00:00:00"/>
    <d v="2025-12-09T09:13:00"/>
    <n v="30041007201"/>
    <d v="2025-12-01T00:00:00"/>
    <s v="3600005-LR"/>
    <s v="2% 01/10/26"/>
    <n v="205753"/>
    <d v="2025-12-01T00:00:00"/>
    <d v="2025-12-12T00:00:00"/>
    <n v="0.41139999999999999"/>
    <x v="0"/>
  </r>
  <r>
    <x v="23"/>
    <n v="1007202"/>
    <n v="66.36"/>
    <n v="1.33"/>
    <n v="65.03"/>
    <n v="0.66"/>
    <n v="64.37"/>
    <d v="2025-12-12T00:00:00"/>
    <n v="1007202"/>
    <n v="3004"/>
    <n v="1.33"/>
    <n v="66.36"/>
    <d v="2025-12-01T00:00:00"/>
    <n v="65.03"/>
    <n v="1.33"/>
    <s v="NULL"/>
    <s v="PRO"/>
    <n v="0.66"/>
    <n v="64.37"/>
    <s v="PAID"/>
    <n v="2"/>
    <n v="1674855672133"/>
    <d v="2025-12-12T00:00:00"/>
    <d v="2025-12-01T00:00:00"/>
    <m/>
    <d v="2025-12-12T00:00:00"/>
    <d v="2025-12-09T09:13:00"/>
    <n v="30041007202"/>
    <d v="2025-12-01T00:00:00"/>
    <s v="3599810-LR"/>
    <s v="2% 01/10/26"/>
    <n v="205752"/>
    <d v="2025-12-01T00:00:00"/>
    <d v="2025-12-12T00:00:00"/>
    <n v="1.3271999999999999"/>
    <x v="0"/>
  </r>
  <r>
    <x v="23"/>
    <n v="1007203"/>
    <n v="205.63"/>
    <n v="4.1100000000000003"/>
    <n v="201.52"/>
    <n v="2.06"/>
    <n v="199.46"/>
    <d v="2025-12-12T00:00:00"/>
    <n v="1007203"/>
    <n v="3004"/>
    <n v="4.1100000000000003"/>
    <n v="205.63"/>
    <d v="2025-12-01T00:00:00"/>
    <n v="201.52"/>
    <n v="4.1100000000000003"/>
    <s v="NULL"/>
    <s v="PRO"/>
    <n v="2.06"/>
    <n v="199.46"/>
    <s v="PAID"/>
    <n v="2"/>
    <n v="1674855672133"/>
    <d v="2025-12-12T00:00:00"/>
    <d v="2025-12-01T00:00:00"/>
    <m/>
    <d v="2025-12-12T00:00:00"/>
    <d v="2025-12-09T09:13:00"/>
    <n v="30041007203"/>
    <d v="2025-12-01T00:00:00"/>
    <s v="3601065-SFD"/>
    <s v="2% 01/10/26"/>
    <n v="205756"/>
    <d v="2025-12-01T00:00:00"/>
    <d v="2025-12-12T00:00:00"/>
    <n v="4.1125999999999996"/>
    <x v="0"/>
  </r>
  <r>
    <x v="23"/>
    <n v="1007205"/>
    <n v="20.57"/>
    <n v="0.41"/>
    <n v="20.16"/>
    <n v="0.21"/>
    <n v="19.95"/>
    <d v="2025-12-12T00:00:00"/>
    <n v="1007205"/>
    <n v="3004"/>
    <n v="0.41"/>
    <n v="20.57"/>
    <d v="2025-12-01T00:00:00"/>
    <n v="20.16"/>
    <n v="0.41"/>
    <s v="NULL"/>
    <s v="PRO"/>
    <n v="0.21"/>
    <n v="19.95"/>
    <s v="PAID"/>
    <n v="2"/>
    <n v="1674855672133"/>
    <d v="2025-12-12T00:00:00"/>
    <d v="2025-12-01T00:00:00"/>
    <m/>
    <d v="2025-12-12T00:00:00"/>
    <d v="2025-12-09T09:13:00"/>
    <n v="30041007205"/>
    <d v="2025-12-01T00:00:00"/>
    <s v="3600003-OKC"/>
    <s v="2% 01/10/26"/>
    <n v="205758"/>
    <d v="2025-12-01T00:00:00"/>
    <d v="2025-12-12T00:00:00"/>
    <n v="0.41139999999999999"/>
    <x v="0"/>
  </r>
  <r>
    <x v="23"/>
    <n v="1007206"/>
    <n v="532.79999999999995"/>
    <n v="10.66"/>
    <n v="522.14"/>
    <n v="5.33"/>
    <n v="516.80999999999995"/>
    <d v="2025-12-12T00:00:00"/>
    <n v="1007206"/>
    <n v="3004"/>
    <n v="10.66"/>
    <n v="532.79999999999995"/>
    <d v="2025-12-01T00:00:00"/>
    <n v="522.14"/>
    <n v="10.66"/>
    <s v="NULL"/>
    <s v="PRO"/>
    <n v="5.33"/>
    <n v="516.80999999999995"/>
    <s v="PAID"/>
    <n v="2"/>
    <n v="1674855672133"/>
    <d v="2025-12-12T00:00:00"/>
    <d v="2025-12-01T00:00:00"/>
    <m/>
    <d v="2025-12-12T00:00:00"/>
    <d v="2025-12-09T09:13:00"/>
    <n v="30041007206"/>
    <d v="2025-12-01T00:00:00"/>
    <s v="3601062-LR"/>
    <s v="2% 01/10/26"/>
    <n v="205754"/>
    <d v="2025-12-01T00:00:00"/>
    <d v="2025-12-12T00:00:00"/>
    <n v="10.655999999999999"/>
    <x v="0"/>
  </r>
  <r>
    <x v="23"/>
    <n v="1007257"/>
    <n v="127.89"/>
    <n v="2.56"/>
    <n v="125.33"/>
    <n v="1.28"/>
    <n v="124.05"/>
    <d v="2025-12-12T00:00:00"/>
    <n v="1007257"/>
    <n v="3004"/>
    <n v="2.56"/>
    <n v="127.89"/>
    <d v="2025-12-01T00:00:00"/>
    <n v="125.33"/>
    <n v="2.56"/>
    <s v="NULL"/>
    <s v="PRO"/>
    <n v="1.28"/>
    <n v="124.05"/>
    <s v="PAID"/>
    <n v="2"/>
    <n v="1674855672133"/>
    <d v="2025-12-12T00:00:00"/>
    <d v="2025-12-01T00:00:00"/>
    <m/>
    <d v="2025-12-12T00:00:00"/>
    <d v="2025-12-09T09:13:00"/>
    <n v="30041007257"/>
    <d v="2025-12-01T00:00:00"/>
    <s v="3601066-KC"/>
    <s v="2% 01/10/26"/>
    <n v="205766"/>
    <d v="2025-12-01T00:00:00"/>
    <d v="2025-12-12T00:00:00"/>
    <n v="2.5577999999999999"/>
    <x v="0"/>
  </r>
  <r>
    <x v="23"/>
    <n v="1007258"/>
    <n v="66.36"/>
    <n v="1.33"/>
    <n v="65.03"/>
    <n v="0.66"/>
    <n v="64.37"/>
    <d v="2025-12-12T00:00:00"/>
    <n v="1007258"/>
    <n v="3004"/>
    <n v="1.33"/>
    <n v="66.36"/>
    <d v="2025-12-01T00:00:00"/>
    <n v="65.03"/>
    <n v="1.33"/>
    <s v="NULL"/>
    <s v="PRO"/>
    <n v="0.66"/>
    <n v="64.37"/>
    <s v="PAID"/>
    <n v="2"/>
    <n v="1674855672133"/>
    <d v="2025-12-12T00:00:00"/>
    <d v="2025-12-01T00:00:00"/>
    <m/>
    <d v="2025-12-12T00:00:00"/>
    <d v="2025-12-09T09:13:00"/>
    <n v="30041007258"/>
    <d v="2025-12-01T00:00:00"/>
    <s v="3599807-TUL"/>
    <s v="2% 01/10/26"/>
    <n v="205762"/>
    <d v="2025-12-01T00:00:00"/>
    <d v="2025-12-12T00:00:00"/>
    <n v="1.3271999999999999"/>
    <x v="0"/>
  </r>
  <r>
    <x v="23"/>
    <n v="1007259"/>
    <n v="59.72"/>
    <n v="1.19"/>
    <n v="58.53"/>
    <n v="0.6"/>
    <n v="57.93"/>
    <d v="2025-12-12T00:00:00"/>
    <n v="1007259"/>
    <n v="3004"/>
    <n v="1.19"/>
    <n v="59.72"/>
    <d v="2025-12-01T00:00:00"/>
    <n v="58.53"/>
    <n v="1.19"/>
    <s v="NULL"/>
    <s v="PRO"/>
    <n v="0.6"/>
    <n v="57.93"/>
    <s v="PAID"/>
    <n v="2"/>
    <n v="1674855672133"/>
    <d v="2025-12-12T00:00:00"/>
    <d v="2025-12-01T00:00:00"/>
    <m/>
    <d v="2025-12-12T00:00:00"/>
    <d v="2025-12-09T09:13:00"/>
    <n v="30041007259"/>
    <d v="2025-12-01T00:00:00"/>
    <s v="3599809-KC"/>
    <s v="2% 01/10/26"/>
    <n v="205764"/>
    <d v="2025-12-01T00:00:00"/>
    <d v="2025-12-12T00:00:00"/>
    <n v="1.1943999999999999"/>
    <x v="0"/>
  </r>
  <r>
    <x v="23"/>
    <n v="1007260"/>
    <n v="33.18"/>
    <n v="0.66"/>
    <n v="32.520000000000003"/>
    <n v="0.33"/>
    <n v="32.19"/>
    <d v="2025-12-12T00:00:00"/>
    <n v="1007260"/>
    <n v="3004"/>
    <n v="0.66"/>
    <n v="33.18"/>
    <d v="2025-12-01T00:00:00"/>
    <n v="32.520000000000003"/>
    <n v="0.66"/>
    <s v="NULL"/>
    <s v="PRO"/>
    <n v="0.33"/>
    <n v="32.19"/>
    <s v="PAID"/>
    <n v="2"/>
    <n v="1674855672133"/>
    <d v="2025-12-12T00:00:00"/>
    <d v="2025-12-01T00:00:00"/>
    <m/>
    <d v="2025-12-12T00:00:00"/>
    <d v="2025-12-09T09:13:00"/>
    <n v="30041007260"/>
    <d v="2025-12-01T00:00:00"/>
    <s v="3599806-FAY"/>
    <s v="2% 01/10/26"/>
    <n v="205760"/>
    <d v="2025-12-01T00:00:00"/>
    <d v="2025-12-12T00:00:00"/>
    <n v="0.66359999999999997"/>
    <x v="0"/>
  </r>
  <r>
    <x v="23"/>
    <n v="1007262"/>
    <n v="182.97"/>
    <n v="3.66"/>
    <n v="179.31"/>
    <n v="1.83"/>
    <n v="177.48"/>
    <d v="2025-12-12T00:00:00"/>
    <n v="1007262"/>
    <n v="3004"/>
    <n v="3.66"/>
    <n v="182.97"/>
    <d v="2025-12-01T00:00:00"/>
    <n v="179.31"/>
    <n v="3.66"/>
    <s v="NULL"/>
    <s v="PRO"/>
    <n v="1.83"/>
    <n v="177.48"/>
    <s v="PAID"/>
    <n v="2"/>
    <n v="1674855672133"/>
    <d v="2025-12-12T00:00:00"/>
    <d v="2025-12-01T00:00:00"/>
    <m/>
    <d v="2025-12-12T00:00:00"/>
    <d v="2025-12-09T09:13:00"/>
    <n v="30041007262"/>
    <d v="2025-12-01T00:00:00"/>
    <s v="3601064-TUL"/>
    <s v="2% 01/10/26"/>
    <n v="205763"/>
    <d v="2025-12-01T00:00:00"/>
    <d v="2025-12-12T00:00:00"/>
    <n v="3.6594000000000002"/>
    <x v="0"/>
  </r>
  <r>
    <x v="23"/>
    <n v="1007264"/>
    <n v="99.54"/>
    <n v="1.99"/>
    <n v="97.55"/>
    <n v="1"/>
    <n v="96.55"/>
    <d v="2025-12-12T00:00:00"/>
    <n v="1007264"/>
    <n v="3004"/>
    <n v="1.99"/>
    <n v="99.54"/>
    <d v="2025-12-01T00:00:00"/>
    <n v="97.55"/>
    <n v="1.99"/>
    <s v="NULL"/>
    <s v="PRO"/>
    <n v="1"/>
    <n v="96.55"/>
    <s v="PAID"/>
    <n v="2"/>
    <n v="1674855672133"/>
    <d v="2025-12-12T00:00:00"/>
    <d v="2025-12-01T00:00:00"/>
    <m/>
    <d v="2025-12-12T00:00:00"/>
    <d v="2025-12-09T09:13:00"/>
    <n v="30041007264"/>
    <d v="2025-12-01T00:00:00"/>
    <s v="3601063-FAY"/>
    <s v="2% 01/10/26"/>
    <n v="205761"/>
    <d v="2025-12-01T00:00:00"/>
    <d v="2025-12-12T00:00:00"/>
    <n v="1.9908000000000001"/>
    <x v="0"/>
  </r>
  <r>
    <x v="23"/>
    <n v="1007266"/>
    <n v="20.57"/>
    <n v="0.41"/>
    <n v="20.16"/>
    <n v="0.21"/>
    <n v="19.95"/>
    <d v="2025-12-12T00:00:00"/>
    <n v="1007266"/>
    <n v="3004"/>
    <n v="0.41"/>
    <n v="20.57"/>
    <d v="2025-12-01T00:00:00"/>
    <n v="20.16"/>
    <n v="0.41"/>
    <s v="NULL"/>
    <s v="PRO"/>
    <n v="0.21"/>
    <n v="19.95"/>
    <s v="PAID"/>
    <n v="2"/>
    <n v="1674855672133"/>
    <d v="2025-12-12T00:00:00"/>
    <d v="2025-12-01T00:00:00"/>
    <m/>
    <d v="2025-12-12T00:00:00"/>
    <d v="2025-12-09T09:13:00"/>
    <n v="30041007266"/>
    <d v="2025-12-01T00:00:00"/>
    <s v="3600004-KC"/>
    <s v="2% 01/10/26"/>
    <n v="205765"/>
    <d v="2025-12-01T00:00:00"/>
    <d v="2025-12-12T00:00:00"/>
    <n v="0.41139999999999999"/>
    <x v="0"/>
  </r>
  <r>
    <x v="23"/>
    <n v="1007441"/>
    <n v="8786.67"/>
    <m/>
    <n v="8786.67"/>
    <n v="87.87"/>
    <n v="8698.7999999999993"/>
    <d v="2025-12-12T00:00:00"/>
    <n v="1007441"/>
    <n v="3004"/>
    <n v="0"/>
    <n v="8786.67"/>
    <d v="2025-12-01T00:00:00"/>
    <n v="8786.67"/>
    <n v="0"/>
    <s v="NULL"/>
    <s v="PRO"/>
    <n v="87.87"/>
    <n v="8698.7999999999993"/>
    <s v="PAID"/>
    <n v="2"/>
    <n v="1674855672133"/>
    <d v="2025-12-12T00:00:00"/>
    <d v="2025-12-01T00:00:00"/>
    <m/>
    <d v="2025-12-12T00:00:00"/>
    <d v="2025-12-09T09:13:00"/>
    <n v="30041007441"/>
    <d v="2025-12-01T00:00:00"/>
    <s v="3601183-EST"/>
    <s v="NET 01/10/26"/>
    <n v="205907"/>
    <d v="2025-12-01T00:00:00"/>
    <d v="2025-12-12T00:00:00"/>
    <m/>
    <x v="0"/>
  </r>
  <r>
    <x v="23"/>
    <n v="1007584"/>
    <n v="3990"/>
    <m/>
    <n v="3990"/>
    <n v="39.9"/>
    <n v="3950.1"/>
    <d v="2025-12-12T00:00:00"/>
    <n v="1007584"/>
    <n v="3004"/>
    <n v="0"/>
    <n v="3990"/>
    <d v="2025-12-02T00:00:00"/>
    <n v="3990"/>
    <n v="0"/>
    <s v="NULL"/>
    <s v="PRO"/>
    <n v="39.9"/>
    <n v="3950.1"/>
    <s v="PAID"/>
    <n v="2"/>
    <n v="1674855672133"/>
    <d v="2025-12-12T00:00:00"/>
    <d v="2025-12-02T00:00:00"/>
    <m/>
    <d v="2025-12-12T00:00:00"/>
    <d v="2025-12-09T09:13:00"/>
    <n v="30041007584"/>
    <d v="2025-12-02T00:00:00"/>
    <s v="NULL"/>
    <s v="NET 02/10/26"/>
    <s v="NULL"/>
    <d v="2025-12-02T00:00:00"/>
    <d v="2025-12-12T00:00:00"/>
    <m/>
    <x v="0"/>
  </r>
  <r>
    <x v="23"/>
    <n v="1007679"/>
    <n v="1656.38"/>
    <m/>
    <n v="1656.38"/>
    <n v="16.559999999999999"/>
    <n v="1639.82"/>
    <d v="2025-12-12T00:00:00"/>
    <n v="1007679"/>
    <n v="3004"/>
    <n v="0"/>
    <n v="1656.38"/>
    <d v="2025-12-02T00:00:00"/>
    <n v="1656.38"/>
    <n v="0"/>
    <s v="NULL"/>
    <s v="PRO"/>
    <n v="16.559999999999999"/>
    <n v="1639.82"/>
    <s v="PAID"/>
    <n v="2"/>
    <n v="1674855672133"/>
    <d v="2025-12-12T00:00:00"/>
    <d v="2025-12-02T00:00:00"/>
    <m/>
    <d v="2025-12-12T00:00:00"/>
    <d v="2025-12-09T09:13:00"/>
    <n v="30041007679"/>
    <d v="2025-12-02T00:00:00"/>
    <s v="3600070-FAY"/>
    <s v="NET 01/10/26"/>
    <n v="206105"/>
    <d v="2025-12-02T00:00:00"/>
    <d v="2025-12-12T00:00:00"/>
    <m/>
    <x v="0"/>
  </r>
  <r>
    <x v="23"/>
    <n v="1007680"/>
    <n v="1739.21"/>
    <m/>
    <n v="1739.21"/>
    <n v="17.39"/>
    <n v="1721.82"/>
    <d v="2025-12-12T00:00:00"/>
    <n v="1007680"/>
    <n v="3004"/>
    <n v="0"/>
    <n v="1739.21"/>
    <d v="2025-12-02T00:00:00"/>
    <n v="1739.21"/>
    <n v="0"/>
    <s v="NULL"/>
    <s v="PRO"/>
    <n v="17.39"/>
    <n v="1721.82"/>
    <s v="PAID"/>
    <n v="2"/>
    <n v="1674855672133"/>
    <d v="2025-12-12T00:00:00"/>
    <d v="2025-12-02T00:00:00"/>
    <m/>
    <d v="2025-12-12T00:00:00"/>
    <d v="2025-12-09T09:13:00"/>
    <n v="30041007680"/>
    <d v="2025-12-02T00:00:00"/>
    <s v="3600432-OKC"/>
    <s v="NET 01/10/26"/>
    <n v="206104"/>
    <d v="2025-12-02T00:00:00"/>
    <d v="2025-12-12T00:00:00"/>
    <m/>
    <x v="0"/>
  </r>
  <r>
    <x v="23"/>
    <n v="1007684"/>
    <n v="971.96"/>
    <m/>
    <n v="971.96"/>
    <n v="9.7200000000000006"/>
    <n v="962.24"/>
    <d v="2025-12-12T00:00:00"/>
    <n v="1007684"/>
    <n v="3004"/>
    <n v="0"/>
    <n v="971.96"/>
    <d v="2025-12-02T00:00:00"/>
    <n v="971.96"/>
    <n v="0"/>
    <s v="NULL"/>
    <s v="PRO"/>
    <n v="9.7200000000000006"/>
    <n v="962.24"/>
    <s v="PAID"/>
    <n v="2"/>
    <n v="1674855672133"/>
    <d v="2025-12-12T00:00:00"/>
    <d v="2025-12-02T00:00:00"/>
    <m/>
    <d v="2025-12-12T00:00:00"/>
    <d v="2025-12-09T09:13:00"/>
    <n v="30041007684"/>
    <d v="2025-12-02T00:00:00"/>
    <s v="3600796-FAY"/>
    <s v="NET 01/10/26"/>
    <n v="206106"/>
    <d v="2025-12-02T00:00:00"/>
    <d v="2025-12-12T00:00:00"/>
    <m/>
    <x v="0"/>
  </r>
  <r>
    <x v="23"/>
    <n v="1007745"/>
    <n v="547.70000000000005"/>
    <n v="10.95"/>
    <n v="536.75"/>
    <n v="5.48"/>
    <n v="531.27"/>
    <d v="2025-12-12T00:00:00"/>
    <n v="1007745"/>
    <n v="3004"/>
    <n v="10.95"/>
    <n v="547.70000000000005"/>
    <d v="2025-12-02T00:00:00"/>
    <n v="536.75"/>
    <n v="10.95"/>
    <s v="NULL"/>
    <s v="PRO"/>
    <n v="5.48"/>
    <n v="531.27"/>
    <s v="PAID"/>
    <n v="2"/>
    <n v="1674855672133"/>
    <d v="2025-12-12T00:00:00"/>
    <d v="2025-12-02T00:00:00"/>
    <m/>
    <d v="2025-12-12T00:00:00"/>
    <d v="2025-12-09T09:13:00"/>
    <n v="30041007745"/>
    <d v="2025-12-02T00:00:00"/>
    <s v="3601213-FAY"/>
    <s v="2% 01/10/26"/>
    <n v="206205"/>
    <d v="2025-12-02T00:00:00"/>
    <d v="2025-12-12T00:00:00"/>
    <n v="10.954000000000001"/>
    <x v="0"/>
  </r>
  <r>
    <x v="23"/>
    <n v="1007750"/>
    <n v="362.58"/>
    <n v="7.25"/>
    <n v="355.33"/>
    <n v="3.63"/>
    <n v="351.7"/>
    <d v="2025-12-12T00:00:00"/>
    <n v="1007750"/>
    <n v="3004"/>
    <n v="7.25"/>
    <n v="362.58"/>
    <d v="2025-12-02T00:00:00"/>
    <n v="355.33"/>
    <n v="7.25"/>
    <s v="NULL"/>
    <s v="PRO"/>
    <n v="3.63"/>
    <n v="351.7"/>
    <s v="PAID"/>
    <n v="2"/>
    <n v="1674855672133"/>
    <d v="2025-12-12T00:00:00"/>
    <d v="2025-12-02T00:00:00"/>
    <m/>
    <d v="2025-12-12T00:00:00"/>
    <d v="2025-12-09T09:13:00"/>
    <n v="30041007750"/>
    <d v="2025-12-02T00:00:00"/>
    <s v="3601214-OKC"/>
    <s v="2% 01/10/26"/>
    <n v="206206"/>
    <d v="2025-12-02T00:00:00"/>
    <d v="2025-12-12T00:00:00"/>
    <n v="7.2515999999999998"/>
    <x v="0"/>
  </r>
  <r>
    <x v="23"/>
    <n v="1007874"/>
    <n v="1656.38"/>
    <m/>
    <n v="1656.38"/>
    <n v="16.559999999999999"/>
    <n v="1639.82"/>
    <d v="2025-12-12T00:00:00"/>
    <n v="1007874"/>
    <n v="3004"/>
    <n v="0"/>
    <n v="1656.38"/>
    <d v="2025-12-03T00:00:00"/>
    <n v="1656.38"/>
    <n v="0"/>
    <s v="NULL"/>
    <s v="PRO"/>
    <n v="16.559999999999999"/>
    <n v="1639.82"/>
    <s v="PAID"/>
    <n v="2"/>
    <n v="1674855672133"/>
    <d v="2025-12-12T00:00:00"/>
    <d v="2025-12-03T00:00:00"/>
    <m/>
    <d v="2025-12-12T00:00:00"/>
    <d v="2025-12-09T09:13:00"/>
    <n v="30041007874"/>
    <d v="2025-12-03T00:00:00"/>
    <s v="3600072-TUL"/>
    <s v="NET 01/10/26"/>
    <n v="206436"/>
    <d v="2025-12-03T00:00:00"/>
    <d v="2025-12-12T00:00:00"/>
    <m/>
    <x v="0"/>
  </r>
  <r>
    <x v="23"/>
    <n v="1008313"/>
    <n v="3936.71"/>
    <n v="39.369999999999997"/>
    <n v="3897.34"/>
    <n v="39.369999999999997"/>
    <n v="3857.97"/>
    <d v="2025-12-12T00:00:00"/>
    <n v="1008313"/>
    <n v="3004"/>
    <n v="39.369999999999997"/>
    <n v="3936.71"/>
    <d v="2025-12-05T00:00:00"/>
    <n v="3897.34"/>
    <n v="39.369999999999997"/>
    <n v="1067776"/>
    <s v="SKB"/>
    <n v="39.369999999999997"/>
    <n v="3857.97"/>
    <s v="PAID"/>
    <n v="2"/>
    <n v="1674855672133"/>
    <d v="2025-12-12T00:00:00"/>
    <d v="2025-12-05T00:00:00"/>
    <m/>
    <d v="2025-12-12T00:00:00"/>
    <d v="2025-12-09T09:13:00"/>
    <n v="30041008313"/>
    <d v="2025-12-05T00:00:00"/>
    <n v="3600887"/>
    <s v="1% 01/10/26"/>
    <n v="1067776"/>
    <d v="2025-12-05T00:00:00"/>
    <d v="2025-12-12T00:00:00"/>
    <m/>
    <x v="0"/>
  </r>
  <r>
    <x v="23"/>
    <n v="1008320"/>
    <n v="2232"/>
    <n v="22.32"/>
    <n v="2209.6799999999998"/>
    <n v="22.32"/>
    <n v="2187.36"/>
    <d v="2025-12-12T00:00:00"/>
    <n v="1008320"/>
    <n v="3004"/>
    <n v="22.32"/>
    <n v="2232"/>
    <d v="2025-12-05T00:00:00"/>
    <n v="2209.6799999999998"/>
    <n v="22.32"/>
    <n v="1068200"/>
    <s v="SKB"/>
    <n v="22.32"/>
    <n v="2187.36"/>
    <s v="PAID"/>
    <n v="2"/>
    <n v="1674855672133"/>
    <d v="2025-12-12T00:00:00"/>
    <d v="2025-12-05T00:00:00"/>
    <m/>
    <d v="2025-12-12T00:00:00"/>
    <d v="2025-12-09T09:13:00"/>
    <n v="30041008320"/>
    <d v="2025-12-05T00:00:00"/>
    <n v="3600887"/>
    <s v="1% 01/10/26"/>
    <n v="1068200"/>
    <d v="2025-12-05T00:00:00"/>
    <d v="2025-12-12T00:00:00"/>
    <m/>
    <x v="0"/>
  </r>
  <r>
    <x v="23"/>
    <n v="1008321"/>
    <n v="231.09"/>
    <n v="2.31"/>
    <n v="228.78"/>
    <n v="2.31"/>
    <n v="226.47"/>
    <d v="2025-12-12T00:00:00"/>
    <n v="1008321"/>
    <n v="3004"/>
    <n v="2.31"/>
    <n v="231.09"/>
    <d v="2025-12-05T00:00:00"/>
    <n v="228.78"/>
    <n v="2.31"/>
    <n v="1068318"/>
    <s v="SKB"/>
    <n v="2.31"/>
    <n v="226.47"/>
    <s v="PAID"/>
    <n v="2"/>
    <n v="1674855672133"/>
    <d v="2025-12-12T00:00:00"/>
    <d v="2025-12-05T00:00:00"/>
    <m/>
    <d v="2025-12-12T00:00:00"/>
    <d v="2025-12-09T09:13:00"/>
    <n v="30041008321"/>
    <d v="2025-12-05T00:00:00"/>
    <n v="3601097"/>
    <s v="1% 01/10/26"/>
    <n v="1068318"/>
    <d v="2025-12-05T00:00:00"/>
    <d v="2025-12-12T00:00:00"/>
    <m/>
    <x v="0"/>
  </r>
  <r>
    <x v="23"/>
    <n v="1008360"/>
    <n v="-532.79999999999995"/>
    <m/>
    <n v="-532.79999999999995"/>
    <m/>
    <n v="-532.79999999999995"/>
    <d v="2025-12-12T00:00:00"/>
    <n v="1008360"/>
    <n v="3004"/>
    <n v="0"/>
    <n v="-532.79999999999995"/>
    <d v="2025-12-05T00:00:00"/>
    <n v="-532.79999999999995"/>
    <n v="0"/>
    <s v="NMC333683"/>
    <s v="MAC GROUP"/>
    <n v="0"/>
    <n v="-532.79999999999995"/>
    <s v="PAID"/>
    <n v="2"/>
    <n v="1674855672133"/>
    <d v="2025-12-12T00:00:00"/>
    <d v="2025-12-05T00:00:00"/>
    <m/>
    <d v="2025-12-12T00:00:00"/>
    <d v="2025-12-09T09:13:00"/>
    <n v="30041008360"/>
    <d v="2025-12-05T00:00:00"/>
    <n v="3600102"/>
    <s v="NET 01/10/26"/>
    <s v="NMC333683"/>
    <d v="2025-12-05T00:00:00"/>
    <d v="2025-12-12T00:00:00"/>
    <m/>
    <x v="0"/>
  </r>
  <r>
    <x v="24"/>
    <n v="1007577"/>
    <n v="3990"/>
    <m/>
    <n v="3990"/>
    <n v="39.9"/>
    <n v="3950.1"/>
    <d v="2025-12-12T00:00:00"/>
    <n v="1007577"/>
    <n v="3039"/>
    <n v="0"/>
    <n v="3990"/>
    <d v="2025-12-02T00:00:00"/>
    <n v="3990"/>
    <n v="0"/>
    <s v="NULL"/>
    <s v="PRO"/>
    <n v="39.9"/>
    <n v="3950.1"/>
    <s v="PAID"/>
    <n v="2"/>
    <n v="3734831650633"/>
    <d v="2025-12-12T00:00:00"/>
    <d v="2025-12-02T00:00:00"/>
    <m/>
    <d v="2025-12-12T00:00:00"/>
    <d v="2025-12-08T12:50:00"/>
    <n v="30391007577"/>
    <d v="2025-12-02T00:00:00"/>
    <s v="NULL"/>
    <s v="NET 02/10/26"/>
    <s v="NULL"/>
    <d v="2025-12-02T00:00:00"/>
    <d v="2025-12-12T00:00:00"/>
    <m/>
    <x v="0"/>
  </r>
  <r>
    <x v="24"/>
    <n v="1008170"/>
    <n v="766.36"/>
    <n v="15.33"/>
    <n v="751.03"/>
    <n v="7.66"/>
    <n v="743.37"/>
    <d v="2025-12-12T00:00:00"/>
    <n v="1008170"/>
    <n v="3039"/>
    <n v="15.33"/>
    <n v="766.36"/>
    <d v="2025-12-04T00:00:00"/>
    <n v="751.03"/>
    <n v="15.33"/>
    <s v="NULL"/>
    <s v="PRO"/>
    <n v="7.66"/>
    <n v="743.37"/>
    <s v="PAID"/>
    <n v="2"/>
    <n v="3734831650633"/>
    <d v="2025-12-12T00:00:00"/>
    <d v="2025-12-04T00:00:00"/>
    <m/>
    <d v="2025-12-12T00:00:00"/>
    <d v="2025-12-08T12:50:00"/>
    <n v="30391008170"/>
    <d v="2025-12-04T00:00:00"/>
    <n v="2867"/>
    <s v="2% 01/10/26"/>
    <n v="206727"/>
    <d v="2025-12-04T00:00:00"/>
    <d v="2025-12-12T00:00:00"/>
    <n v="15.327200000000001"/>
    <x v="0"/>
  </r>
  <r>
    <x v="24"/>
    <n v="1008364"/>
    <n v="206.42"/>
    <m/>
    <n v="206.42"/>
    <n v="2.06"/>
    <n v="204.36"/>
    <d v="2025-12-12T00:00:00"/>
    <n v="1008364"/>
    <n v="3039"/>
    <n v="0"/>
    <n v="206.42"/>
    <d v="2025-12-05T00:00:00"/>
    <n v="206.42"/>
    <n v="0"/>
    <s v="USW811896"/>
    <s v="NISI"/>
    <n v="2.06"/>
    <n v="204.36"/>
    <s v="PAID"/>
    <n v="2"/>
    <n v="3734831650633"/>
    <d v="2025-12-12T00:00:00"/>
    <d v="2025-12-05T00:00:00"/>
    <m/>
    <d v="2025-12-12T00:00:00"/>
    <d v="2025-12-08T12:50:00"/>
    <n v="30391008364"/>
    <d v="2025-12-05T00:00:00"/>
    <n v="2868"/>
    <s v="NET 01/10/26"/>
    <s v="USW811896"/>
    <d v="2025-12-05T00:00:00"/>
    <d v="2025-12-12T00:00:00"/>
    <m/>
    <x v="0"/>
  </r>
  <r>
    <x v="24"/>
    <n v="1008379"/>
    <n v="314.33"/>
    <m/>
    <n v="314.33"/>
    <n v="3.14"/>
    <n v="311.19"/>
    <d v="2025-12-12T00:00:00"/>
    <n v="1008379"/>
    <n v="3039"/>
    <n v="0"/>
    <n v="314.33"/>
    <d v="2025-12-05T00:00:00"/>
    <n v="314.33"/>
    <n v="0"/>
    <s v="USW811465"/>
    <s v="NISI"/>
    <n v="3.14"/>
    <n v="311.19"/>
    <s v="PAID"/>
    <n v="2"/>
    <n v="3734831650633"/>
    <d v="2025-12-12T00:00:00"/>
    <d v="2025-12-05T00:00:00"/>
    <m/>
    <d v="2025-12-12T00:00:00"/>
    <d v="2025-12-08T12:50:00"/>
    <n v="30391008379"/>
    <d v="2025-12-05T00:00:00"/>
    <n v="2839"/>
    <s v="NET 01/10/26"/>
    <s v="USW811465"/>
    <d v="2025-12-05T00:00:00"/>
    <d v="2025-12-12T00:00:00"/>
    <m/>
    <x v="0"/>
  </r>
  <r>
    <x v="24"/>
    <n v="1008435"/>
    <n v="2358.73"/>
    <n v="47.17"/>
    <n v="2311.56"/>
    <n v="23.59"/>
    <n v="2287.9699999999998"/>
    <d v="2025-12-12T00:00:00"/>
    <n v="1008435"/>
    <n v="3039"/>
    <n v="47.17"/>
    <n v="2358.73"/>
    <d v="2025-12-05T00:00:00"/>
    <n v="2311.56"/>
    <n v="47.17"/>
    <s v="NULL"/>
    <s v="PRO"/>
    <n v="23.59"/>
    <n v="2287.9699999999998"/>
    <s v="PAID"/>
    <n v="2"/>
    <n v="3734831650633"/>
    <d v="2025-12-12T00:00:00"/>
    <d v="2025-12-05T00:00:00"/>
    <m/>
    <d v="2025-12-12T00:00:00"/>
    <d v="2025-12-08T12:50:00"/>
    <n v="30391008435"/>
    <d v="2025-12-05T00:00:00"/>
    <n v="2867"/>
    <s v="2% 01/10/26"/>
    <n v="206735"/>
    <d v="2025-12-05T00:00:00"/>
    <d v="2025-12-12T00:00:00"/>
    <n v="47.174599999999998"/>
    <x v="0"/>
  </r>
  <r>
    <x v="24"/>
    <n v="1008438"/>
    <n v="215.88"/>
    <m/>
    <n v="215.88"/>
    <n v="2.16"/>
    <n v="213.72"/>
    <d v="2025-12-12T00:00:00"/>
    <n v="1008438"/>
    <n v="3039"/>
    <n v="0"/>
    <n v="215.88"/>
    <d v="2025-12-05T00:00:00"/>
    <n v="215.88"/>
    <n v="0"/>
    <s v="NULL"/>
    <s v="PRO"/>
    <n v="2.16"/>
    <n v="213.72"/>
    <s v="PAID"/>
    <n v="2"/>
    <n v="3734831650633"/>
    <d v="2025-12-12T00:00:00"/>
    <d v="2025-12-05T00:00:00"/>
    <m/>
    <d v="2025-12-12T00:00:00"/>
    <d v="2025-12-08T12:50:00"/>
    <n v="30391008438"/>
    <d v="2025-12-05T00:00:00"/>
    <n v="2867"/>
    <s v="NET 01/10/26"/>
    <n v="206736"/>
    <d v="2025-12-05T00:00:00"/>
    <d v="2025-12-12T00:00:00"/>
    <m/>
    <x v="0"/>
  </r>
  <r>
    <x v="25"/>
    <n v="1007238"/>
    <n v="66.36"/>
    <n v="1.33"/>
    <n v="65.03"/>
    <n v="0.66"/>
    <n v="64.37"/>
    <d v="2025-12-12T00:00:00"/>
    <n v="1007238"/>
    <n v="3046"/>
    <n v="1.33"/>
    <n v="66.36"/>
    <d v="2025-12-01T00:00:00"/>
    <n v="65.03"/>
    <n v="1.33"/>
    <s v="NULL"/>
    <s v="PRO"/>
    <n v="0.66"/>
    <n v="64.37"/>
    <s v="PAID"/>
    <n v="2"/>
    <n v="7059144563221"/>
    <d v="2025-12-12T00:00:00"/>
    <d v="2025-12-01T00:00:00"/>
    <m/>
    <d v="2025-12-12T00:00:00"/>
    <d v="2025-12-09T10:51:00"/>
    <n v="30461007238"/>
    <d v="2025-12-01T00:00:00"/>
    <n v="28211"/>
    <s v="2% 01/10/26"/>
    <n v="205786"/>
    <d v="2025-12-01T00:00:00"/>
    <d v="2025-12-12T00:00:00"/>
    <n v="1.3271999999999999"/>
    <x v="0"/>
  </r>
  <r>
    <x v="25"/>
    <n v="1007240"/>
    <n v="33.18"/>
    <n v="0.66"/>
    <n v="32.520000000000003"/>
    <n v="0.33"/>
    <n v="32.19"/>
    <d v="2025-12-12T00:00:00"/>
    <n v="1007240"/>
    <n v="3046"/>
    <n v="0.66"/>
    <n v="33.18"/>
    <d v="2025-12-01T00:00:00"/>
    <n v="32.520000000000003"/>
    <n v="0.66"/>
    <s v="NULL"/>
    <s v="PRO"/>
    <n v="0.33"/>
    <n v="32.19"/>
    <s v="PAID"/>
    <n v="2"/>
    <n v="7059144563221"/>
    <d v="2025-12-12T00:00:00"/>
    <d v="2025-12-01T00:00:00"/>
    <m/>
    <d v="2025-12-12T00:00:00"/>
    <d v="2025-12-09T10:51:00"/>
    <n v="30461007240"/>
    <d v="2025-12-01T00:00:00"/>
    <n v="28421"/>
    <s v="2% 01/10/26"/>
    <n v="205788"/>
    <d v="2025-12-01T00:00:00"/>
    <d v="2025-12-12T00:00:00"/>
    <n v="0.66359999999999997"/>
    <x v="0"/>
  </r>
  <r>
    <x v="25"/>
    <n v="1007241"/>
    <n v="99.54"/>
    <n v="1.99"/>
    <n v="97.55"/>
    <n v="1"/>
    <n v="96.55"/>
    <d v="2025-12-12T00:00:00"/>
    <n v="1007241"/>
    <n v="3046"/>
    <n v="1.99"/>
    <n v="99.54"/>
    <d v="2025-12-01T00:00:00"/>
    <n v="97.55"/>
    <n v="1.99"/>
    <s v="NULL"/>
    <s v="PRO"/>
    <n v="1"/>
    <n v="96.55"/>
    <s v="PAID"/>
    <n v="2"/>
    <n v="7059144563221"/>
    <d v="2025-12-12T00:00:00"/>
    <d v="2025-12-01T00:00:00"/>
    <m/>
    <d v="2025-12-12T00:00:00"/>
    <d v="2025-12-09T10:51:00"/>
    <n v="30461007241"/>
    <d v="2025-12-01T00:00:00"/>
    <n v="28197"/>
    <s v="2% 01/10/26"/>
    <n v="205784"/>
    <d v="2025-12-01T00:00:00"/>
    <d v="2025-12-12T00:00:00"/>
    <n v="1.9908000000000001"/>
    <x v="0"/>
  </r>
  <r>
    <x v="25"/>
    <n v="1007242"/>
    <n v="33.18"/>
    <n v="0.66"/>
    <n v="32.520000000000003"/>
    <n v="0.33"/>
    <n v="32.19"/>
    <d v="2025-12-12T00:00:00"/>
    <n v="1007242"/>
    <n v="3046"/>
    <n v="0.66"/>
    <n v="33.18"/>
    <d v="2025-12-01T00:00:00"/>
    <n v="32.520000000000003"/>
    <n v="0.66"/>
    <s v="NULL"/>
    <s v="PRO"/>
    <n v="0.33"/>
    <n v="32.19"/>
    <s v="PAID"/>
    <n v="2"/>
    <n v="7059144563221"/>
    <d v="2025-12-12T00:00:00"/>
    <d v="2025-12-01T00:00:00"/>
    <m/>
    <d v="2025-12-12T00:00:00"/>
    <d v="2025-12-09T10:51:00"/>
    <n v="30461007242"/>
    <d v="2025-12-01T00:00:00"/>
    <n v="28222"/>
    <s v="2% 01/10/26"/>
    <n v="205787"/>
    <d v="2025-12-01T00:00:00"/>
    <d v="2025-12-12T00:00:00"/>
    <n v="0.66359999999999997"/>
    <x v="0"/>
  </r>
  <r>
    <x v="25"/>
    <n v="1007243"/>
    <n v="33.18"/>
    <n v="0.66"/>
    <n v="32.520000000000003"/>
    <n v="0.33"/>
    <n v="32.19"/>
    <d v="2025-12-12T00:00:00"/>
    <n v="1007243"/>
    <n v="3046"/>
    <n v="0.66"/>
    <n v="33.18"/>
    <d v="2025-12-01T00:00:00"/>
    <n v="32.520000000000003"/>
    <n v="0.66"/>
    <s v="NULL"/>
    <s v="PRO"/>
    <n v="0.33"/>
    <n v="32.19"/>
    <s v="PAID"/>
    <n v="2"/>
    <n v="7059144563221"/>
    <d v="2025-12-12T00:00:00"/>
    <d v="2025-12-01T00:00:00"/>
    <m/>
    <d v="2025-12-12T00:00:00"/>
    <d v="2025-12-09T10:51:00"/>
    <n v="30461007243"/>
    <d v="2025-12-01T00:00:00"/>
    <n v="28184"/>
    <s v="2% 01/10/26"/>
    <n v="205783"/>
    <d v="2025-12-01T00:00:00"/>
    <d v="2025-12-12T00:00:00"/>
    <n v="0.66359999999999997"/>
    <x v="0"/>
  </r>
  <r>
    <x v="25"/>
    <n v="1007244"/>
    <n v="33.18"/>
    <n v="0.66"/>
    <n v="32.520000000000003"/>
    <n v="0.33"/>
    <n v="32.19"/>
    <d v="2025-12-12T00:00:00"/>
    <n v="1007244"/>
    <n v="3046"/>
    <n v="0.66"/>
    <n v="33.18"/>
    <d v="2025-12-01T00:00:00"/>
    <n v="32.520000000000003"/>
    <n v="0.66"/>
    <s v="NULL"/>
    <s v="PRO"/>
    <n v="0.33"/>
    <n v="32.19"/>
    <s v="PAID"/>
    <n v="2"/>
    <n v="7059144563221"/>
    <d v="2025-12-12T00:00:00"/>
    <d v="2025-12-01T00:00:00"/>
    <m/>
    <d v="2025-12-12T00:00:00"/>
    <d v="2025-12-09T10:51:00"/>
    <n v="30461007244"/>
    <d v="2025-12-01T00:00:00"/>
    <n v="28199"/>
    <s v="2% 01/10/26"/>
    <n v="205785"/>
    <d v="2025-12-01T00:00:00"/>
    <d v="2025-12-12T00:00:00"/>
    <n v="0.66359999999999997"/>
    <x v="0"/>
  </r>
  <r>
    <x v="25"/>
    <n v="1007294"/>
    <n v="159.43"/>
    <n v="3.19"/>
    <n v="156.24"/>
    <n v="1.59"/>
    <n v="154.65"/>
    <d v="2025-12-12T00:00:00"/>
    <n v="1007294"/>
    <n v="3046"/>
    <n v="3.19"/>
    <n v="159.43"/>
    <d v="2025-12-01T00:00:00"/>
    <n v="156.24"/>
    <n v="3.19"/>
    <s v="NULL"/>
    <s v="PRO"/>
    <n v="1.59"/>
    <n v="154.65"/>
    <s v="PAID"/>
    <n v="2"/>
    <n v="7059144563221"/>
    <d v="2025-12-12T00:00:00"/>
    <d v="2025-12-01T00:00:00"/>
    <m/>
    <d v="2025-12-12T00:00:00"/>
    <d v="2025-12-09T10:51:00"/>
    <n v="30461007294"/>
    <d v="2025-12-01T00:00:00"/>
    <n v="28496"/>
    <s v="2% 01/10/26"/>
    <n v="205891"/>
    <d v="2025-12-01T00:00:00"/>
    <d v="2025-12-12T00:00:00"/>
    <n v="3.1886000000000001"/>
    <x v="0"/>
  </r>
  <r>
    <x v="25"/>
    <n v="1007406"/>
    <n v="382.03"/>
    <n v="7.64"/>
    <n v="374.39"/>
    <n v="3.82"/>
    <n v="370.57"/>
    <d v="2025-12-12T00:00:00"/>
    <n v="1007406"/>
    <n v="3046"/>
    <n v="7.64"/>
    <n v="382.03"/>
    <d v="2025-12-01T00:00:00"/>
    <n v="374.39"/>
    <n v="7.64"/>
    <s v="NULL"/>
    <s v="PRO"/>
    <n v="3.82"/>
    <n v="370.57"/>
    <s v="PAID"/>
    <n v="2"/>
    <n v="7059144563221"/>
    <d v="2025-12-12T00:00:00"/>
    <d v="2025-12-01T00:00:00"/>
    <m/>
    <d v="2025-12-12T00:00:00"/>
    <d v="2025-12-09T10:51:00"/>
    <n v="30461007406"/>
    <d v="2025-12-01T00:00:00"/>
    <n v="28496"/>
    <s v="2% 01/10/26"/>
    <n v="205912"/>
    <d v="2025-12-01T00:00:00"/>
    <d v="2025-12-12T00:00:00"/>
    <n v="7.6405999999999992"/>
    <x v="0"/>
  </r>
  <r>
    <x v="25"/>
    <n v="1007412"/>
    <n v="368.89"/>
    <m/>
    <n v="368.89"/>
    <n v="3.69"/>
    <n v="365.2"/>
    <d v="2025-12-12T00:00:00"/>
    <n v="1007412"/>
    <n v="3046"/>
    <n v="0"/>
    <n v="368.89"/>
    <d v="2025-12-01T00:00:00"/>
    <n v="368.89"/>
    <n v="0"/>
    <s v="NULL"/>
    <s v="PRO"/>
    <n v="3.69"/>
    <n v="365.2"/>
    <s v="PAID"/>
    <n v="2"/>
    <n v="7059144563221"/>
    <d v="2025-12-12T00:00:00"/>
    <d v="2025-12-01T00:00:00"/>
    <m/>
    <d v="2025-12-12T00:00:00"/>
    <d v="2025-12-09T10:51:00"/>
    <n v="30461007412"/>
    <d v="2025-12-01T00:00:00"/>
    <n v="28496"/>
    <s v="NET 01/10/26"/>
    <n v="205913"/>
    <d v="2025-12-01T00:00:00"/>
    <d v="2025-12-12T00:00:00"/>
    <m/>
    <x v="0"/>
  </r>
  <r>
    <x v="25"/>
    <n v="1007461"/>
    <n v="9.51"/>
    <n v="0.19"/>
    <n v="9.32"/>
    <n v="0.1"/>
    <n v="9.2200000000000006"/>
    <d v="2025-12-12T00:00:00"/>
    <n v="1007461"/>
    <n v="3046"/>
    <n v="0.19"/>
    <n v="9.51"/>
    <d v="2025-12-01T00:00:00"/>
    <n v="9.32"/>
    <n v="0.19"/>
    <s v="NULL"/>
    <s v="PRO"/>
    <n v="0.1"/>
    <n v="9.2200000000000006"/>
    <s v="PAID"/>
    <n v="2"/>
    <n v="7059144563221"/>
    <d v="2025-12-12T00:00:00"/>
    <d v="2025-12-01T00:00:00"/>
    <m/>
    <d v="2025-12-12T00:00:00"/>
    <d v="2025-12-09T10:51:00"/>
    <n v="30461007461"/>
    <d v="2025-12-01T00:00:00"/>
    <n v="28438"/>
    <s v="2% 01/10/26"/>
    <n v="205962"/>
    <d v="2025-12-01T00:00:00"/>
    <d v="2025-12-12T00:00:00"/>
    <n v="0.19020000000000001"/>
    <x v="0"/>
  </r>
  <r>
    <x v="25"/>
    <n v="1007612"/>
    <n v="3990"/>
    <m/>
    <n v="3990"/>
    <n v="39.9"/>
    <n v="3950.1"/>
    <d v="2025-12-12T00:00:00"/>
    <n v="1007612"/>
    <n v="3046"/>
    <n v="0"/>
    <n v="3990"/>
    <d v="2025-12-02T00:00:00"/>
    <n v="3990"/>
    <n v="0"/>
    <s v="NULL"/>
    <s v="PRO"/>
    <n v="39.9"/>
    <n v="3950.1"/>
    <s v="PAID"/>
    <n v="2"/>
    <n v="7059144563221"/>
    <d v="2025-12-12T00:00:00"/>
    <d v="2025-12-02T00:00:00"/>
    <m/>
    <d v="2025-12-12T00:00:00"/>
    <d v="2025-12-09T10:51:00"/>
    <n v="30461007612"/>
    <d v="2025-12-02T00:00:00"/>
    <s v="NULL"/>
    <s v="NET 02/10/26"/>
    <s v="NULL"/>
    <d v="2025-12-02T00:00:00"/>
    <d v="2025-12-12T00:00:00"/>
    <m/>
    <x v="0"/>
  </r>
  <r>
    <x v="25"/>
    <n v="1007682"/>
    <n v="81.7"/>
    <m/>
    <n v="81.7"/>
    <n v="0.82"/>
    <n v="80.88"/>
    <d v="2025-12-12T00:00:00"/>
    <n v="1007682"/>
    <n v="3046"/>
    <n v="0"/>
    <n v="81.7"/>
    <d v="2025-12-02T00:00:00"/>
    <n v="81.7"/>
    <n v="0"/>
    <s v="NULL"/>
    <s v="PRO"/>
    <n v="0.82"/>
    <n v="80.88"/>
    <s v="PAID"/>
    <n v="2"/>
    <n v="7059144563221"/>
    <d v="2025-12-12T00:00:00"/>
    <d v="2025-12-02T00:00:00"/>
    <m/>
    <d v="2025-12-12T00:00:00"/>
    <d v="2025-12-09T10:51:00"/>
    <n v="30461007682"/>
    <d v="2025-12-02T00:00:00"/>
    <n v="28487"/>
    <s v="NET 01/10/26"/>
    <n v="206108"/>
    <d v="2025-12-02T00:00:00"/>
    <d v="2025-12-12T00:00:00"/>
    <m/>
    <x v="0"/>
  </r>
  <r>
    <x v="25"/>
    <n v="1007738"/>
    <n v="23.5"/>
    <n v="0.47"/>
    <n v="23.03"/>
    <n v="0.24"/>
    <n v="22.79"/>
    <d v="2025-12-12T00:00:00"/>
    <n v="1007738"/>
    <n v="3046"/>
    <n v="0.47"/>
    <n v="23.5"/>
    <d v="2025-12-02T00:00:00"/>
    <n v="23.03"/>
    <n v="0.47"/>
    <s v="NULL"/>
    <s v="PRO"/>
    <n v="0.24"/>
    <n v="22.79"/>
    <s v="PAID"/>
    <n v="2"/>
    <n v="7059144563221"/>
    <d v="2025-12-12T00:00:00"/>
    <d v="2025-12-02T00:00:00"/>
    <m/>
    <d v="2025-12-12T00:00:00"/>
    <d v="2025-12-09T10:51:00"/>
    <n v="30461007738"/>
    <d v="2025-12-02T00:00:00"/>
    <n v="28490"/>
    <s v="2% 01/10/26"/>
    <n v="206153"/>
    <d v="2025-12-02T00:00:00"/>
    <d v="2025-12-12T00:00:00"/>
    <n v="0.47000000000000003"/>
    <x v="0"/>
  </r>
  <r>
    <x v="25"/>
    <n v="1007759"/>
    <n v="2225.65"/>
    <m/>
    <n v="2225.65"/>
    <n v="22.26"/>
    <n v="2203.39"/>
    <d v="2025-12-12T00:00:00"/>
    <n v="1007759"/>
    <n v="3046"/>
    <n v="0"/>
    <n v="2225.65"/>
    <d v="2025-12-02T00:00:00"/>
    <n v="2225.65"/>
    <n v="0"/>
    <s v="NULL"/>
    <s v="PRO"/>
    <n v="22.26"/>
    <n v="2203.39"/>
    <s v="PAID"/>
    <n v="2"/>
    <n v="7059144563221"/>
    <d v="2025-12-12T00:00:00"/>
    <d v="2025-12-02T00:00:00"/>
    <m/>
    <d v="2025-12-12T00:00:00"/>
    <d v="2025-12-09T10:51:00"/>
    <n v="30461007759"/>
    <d v="2025-12-02T00:00:00"/>
    <n v="28490"/>
    <s v="NET 01/10/26"/>
    <n v="206220"/>
    <d v="2025-12-02T00:00:00"/>
    <d v="2025-12-12T00:00:00"/>
    <m/>
    <x v="0"/>
  </r>
  <r>
    <x v="25"/>
    <n v="1007763"/>
    <n v="301.93"/>
    <n v="6.04"/>
    <n v="295.89"/>
    <n v="3.02"/>
    <n v="292.87"/>
    <d v="2025-12-12T00:00:00"/>
    <n v="1007763"/>
    <n v="3046"/>
    <n v="6.04"/>
    <n v="301.93"/>
    <d v="2025-12-02T00:00:00"/>
    <n v="295.89"/>
    <n v="6.04"/>
    <s v="NULL"/>
    <s v="PRO"/>
    <n v="3.02"/>
    <n v="292.87"/>
    <s v="PAID"/>
    <n v="2"/>
    <n v="7059144563221"/>
    <d v="2025-12-12T00:00:00"/>
    <d v="2025-12-02T00:00:00"/>
    <m/>
    <d v="2025-12-12T00:00:00"/>
    <d v="2025-12-09T10:51:00"/>
    <n v="30461007763"/>
    <d v="2025-12-02T00:00:00"/>
    <n v="28490"/>
    <s v="2% 01/10/26"/>
    <n v="206219"/>
    <d v="2025-12-02T00:00:00"/>
    <d v="2025-12-12T00:00:00"/>
    <n v="6.0386000000000006"/>
    <x v="0"/>
  </r>
  <r>
    <x v="25"/>
    <n v="1007907"/>
    <n v="42.72"/>
    <m/>
    <n v="42.72"/>
    <n v="0.43"/>
    <n v="42.29"/>
    <d v="2025-12-12T00:00:00"/>
    <n v="1007907"/>
    <n v="3046"/>
    <n v="0"/>
    <n v="42.72"/>
    <d v="2025-12-03T00:00:00"/>
    <n v="42.72"/>
    <n v="0"/>
    <s v="NULL"/>
    <s v="PRO"/>
    <n v="0.43"/>
    <n v="42.29"/>
    <s v="PAID"/>
    <n v="2"/>
    <n v="7059144563221"/>
    <d v="2025-12-12T00:00:00"/>
    <d v="2025-12-03T00:00:00"/>
    <m/>
    <d v="2025-12-12T00:00:00"/>
    <d v="2025-12-09T10:51:00"/>
    <n v="30461007907"/>
    <d v="2025-12-03T00:00:00"/>
    <n v="28496"/>
    <s v="NET 01/10/26"/>
    <n v="206443"/>
    <d v="2025-12-03T00:00:00"/>
    <d v="2025-12-12T00:00:00"/>
    <m/>
    <x v="0"/>
  </r>
  <r>
    <x v="25"/>
    <n v="1007915"/>
    <n v="42.72"/>
    <m/>
    <n v="42.72"/>
    <n v="0.43"/>
    <n v="42.29"/>
    <d v="2025-12-12T00:00:00"/>
    <n v="1007915"/>
    <n v="3046"/>
    <n v="0"/>
    <n v="42.72"/>
    <d v="2025-12-03T00:00:00"/>
    <n v="42.72"/>
    <n v="0"/>
    <s v="NULL"/>
    <s v="PRO"/>
    <n v="0.43"/>
    <n v="42.29"/>
    <s v="PAID"/>
    <n v="2"/>
    <n v="7059144563221"/>
    <d v="2025-12-12T00:00:00"/>
    <d v="2025-12-03T00:00:00"/>
    <m/>
    <d v="2025-12-12T00:00:00"/>
    <d v="2025-12-09T10:51:00"/>
    <n v="30461007915"/>
    <d v="2025-12-03T00:00:00"/>
    <n v="28487"/>
    <s v="NET 01/10/26"/>
    <n v="206442"/>
    <d v="2025-12-03T00:00:00"/>
    <d v="2025-12-12T00:00:00"/>
    <m/>
    <x v="0"/>
  </r>
  <r>
    <x v="25"/>
    <n v="1008049"/>
    <n v="167.23"/>
    <n v="3.34"/>
    <n v="163.89"/>
    <n v="1.67"/>
    <n v="162.22"/>
    <d v="2025-12-12T00:00:00"/>
    <n v="1008049"/>
    <n v="3046"/>
    <n v="3.34"/>
    <n v="167.23"/>
    <d v="2025-12-03T00:00:00"/>
    <n v="163.89"/>
    <n v="3.34"/>
    <s v="NULL"/>
    <s v="PRO"/>
    <n v="1.67"/>
    <n v="162.22"/>
    <s v="PAID"/>
    <n v="2"/>
    <n v="7059144563221"/>
    <d v="2025-12-12T00:00:00"/>
    <d v="2025-12-03T00:00:00"/>
    <m/>
    <d v="2025-12-12T00:00:00"/>
    <d v="2025-12-09T10:51:00"/>
    <n v="30461008049"/>
    <d v="2025-12-03T00:00:00"/>
    <n v="28507"/>
    <s v="2% 01/10/26"/>
    <n v="206521"/>
    <d v="2025-12-03T00:00:00"/>
    <d v="2025-12-12T00:00:00"/>
    <n v="3.3445999999999998"/>
    <x v="0"/>
  </r>
  <r>
    <x v="25"/>
    <n v="1008121"/>
    <n v="17.55"/>
    <n v="0.35"/>
    <n v="17.2"/>
    <n v="0.18"/>
    <n v="17.02"/>
    <d v="2025-12-12T00:00:00"/>
    <n v="1008121"/>
    <n v="3046"/>
    <n v="0.35"/>
    <n v="17.55"/>
    <d v="2025-12-04T00:00:00"/>
    <n v="17.2"/>
    <n v="0.35"/>
    <s v="NULL"/>
    <s v="PRO"/>
    <n v="0.18"/>
    <n v="17.02"/>
    <s v="PAID"/>
    <n v="2"/>
    <n v="7059144563221"/>
    <d v="2025-12-12T00:00:00"/>
    <d v="2025-12-04T00:00:00"/>
    <m/>
    <d v="2025-12-12T00:00:00"/>
    <d v="2025-12-09T10:51:00"/>
    <n v="30461008121"/>
    <d v="2025-12-04T00:00:00"/>
    <n v="28416"/>
    <s v="2% 01/10/26"/>
    <n v="206393"/>
    <d v="2025-12-04T00:00:00"/>
    <d v="2025-12-12T00:00:00"/>
    <n v="0.35100000000000003"/>
    <x v="0"/>
  </r>
  <r>
    <x v="25"/>
    <n v="1008216"/>
    <n v="304.92"/>
    <n v="6.1"/>
    <n v="298.82"/>
    <n v="3.05"/>
    <n v="295.77"/>
    <d v="2025-12-12T00:00:00"/>
    <n v="1008216"/>
    <n v="3046"/>
    <n v="6.1"/>
    <n v="304.92"/>
    <d v="2025-12-04T00:00:00"/>
    <n v="298.82"/>
    <n v="6.1"/>
    <s v="NULL"/>
    <s v="PRO"/>
    <n v="3.05"/>
    <n v="295.77"/>
    <s v="PAID"/>
    <n v="2"/>
    <n v="7059144563221"/>
    <d v="2025-12-12T00:00:00"/>
    <d v="2025-12-04T00:00:00"/>
    <m/>
    <d v="2025-12-12T00:00:00"/>
    <d v="2025-12-09T10:51:00"/>
    <n v="30461008216"/>
    <d v="2025-12-04T00:00:00"/>
    <s v="PROWAND"/>
    <s v="2% 01/10/26"/>
    <n v="206568"/>
    <d v="2025-12-04T00:00:00"/>
    <d v="2025-12-12T00:00:00"/>
    <n v="6.0984000000000007"/>
    <x v="0"/>
  </r>
  <r>
    <x v="25"/>
    <n v="1008225"/>
    <n v="384.16"/>
    <m/>
    <n v="384.16"/>
    <n v="3.84"/>
    <n v="380.32"/>
    <d v="2025-12-12T00:00:00"/>
    <n v="1008225"/>
    <n v="3046"/>
    <n v="0"/>
    <n v="384.16"/>
    <d v="2025-12-04T00:00:00"/>
    <n v="384.16"/>
    <n v="0"/>
    <s v="NULL"/>
    <s v="PRO"/>
    <n v="3.84"/>
    <n v="380.32"/>
    <s v="PAID"/>
    <n v="2"/>
    <n v="7059144563221"/>
    <d v="2025-12-12T00:00:00"/>
    <d v="2025-12-04T00:00:00"/>
    <m/>
    <d v="2025-12-12T00:00:00"/>
    <d v="2025-12-09T10:51:00"/>
    <n v="30461008225"/>
    <d v="2025-12-04T00:00:00"/>
    <n v="28507"/>
    <s v="NET 01/10/26"/>
    <n v="206528"/>
    <d v="2025-12-04T00:00:00"/>
    <d v="2025-12-12T00:00:00"/>
    <m/>
    <x v="0"/>
  </r>
  <r>
    <x v="25"/>
    <n v="1008229"/>
    <n v="181.68"/>
    <n v="3.63"/>
    <n v="178.05"/>
    <n v="1.82"/>
    <n v="176.23"/>
    <d v="2025-12-12T00:00:00"/>
    <n v="1008229"/>
    <n v="3046"/>
    <n v="3.63"/>
    <n v="181.68"/>
    <d v="2025-12-04T00:00:00"/>
    <n v="178.05"/>
    <n v="3.63"/>
    <s v="NULL"/>
    <s v="PRO"/>
    <n v="1.82"/>
    <n v="176.23"/>
    <s v="PAID"/>
    <n v="2"/>
    <n v="7059144563221"/>
    <d v="2025-12-12T00:00:00"/>
    <d v="2025-12-04T00:00:00"/>
    <m/>
    <d v="2025-12-12T00:00:00"/>
    <d v="2025-12-09T10:51:00"/>
    <n v="30461008229"/>
    <d v="2025-12-04T00:00:00"/>
    <n v="28507"/>
    <s v="2% 01/10/26"/>
    <n v="206527"/>
    <d v="2025-12-04T00:00:00"/>
    <d v="2025-12-12T00:00:00"/>
    <n v="3.6336000000000004"/>
    <x v="0"/>
  </r>
  <r>
    <x v="25"/>
    <n v="1008329"/>
    <n v="-50"/>
    <m/>
    <n v="-50"/>
    <m/>
    <n v="-50"/>
    <d v="2025-12-12T00:00:00"/>
    <n v="1008329"/>
    <n v="3046"/>
    <n v="0"/>
    <n v="-50"/>
    <d v="2025-12-05T00:00:00"/>
    <n v="-50"/>
    <n v="0"/>
    <s v="NMCCM104637"/>
    <s v="DELKIN"/>
    <n v="0"/>
    <n v="-50"/>
    <s v="PAID"/>
    <n v="2"/>
    <n v="7059144563221"/>
    <d v="2025-12-12T00:00:00"/>
    <d v="2025-12-05T00:00:00"/>
    <m/>
    <d v="2025-12-12T00:00:00"/>
    <d v="2025-12-09T10:51:00"/>
    <n v="30461008329"/>
    <d v="2025-12-05T00:00:00"/>
    <s v="OCTSPIFF"/>
    <s v="NET 01/10/26"/>
    <s v="NMCCM104637"/>
    <d v="2025-12-05T00:00:00"/>
    <d v="2025-12-12T00:00:00"/>
    <m/>
    <x v="0"/>
  </r>
  <r>
    <x v="25"/>
    <n v="1008339"/>
    <n v="769.5"/>
    <m/>
    <n v="769.5"/>
    <n v="7.7"/>
    <n v="761.8"/>
    <d v="2025-12-12T00:00:00"/>
    <n v="1008339"/>
    <n v="3046"/>
    <n v="0"/>
    <n v="769.5"/>
    <d v="2025-12-05T00:00:00"/>
    <n v="769.5"/>
    <n v="0"/>
    <n v="1044274"/>
    <s v="ELITE"/>
    <n v="7.7"/>
    <n v="761.8"/>
    <s v="PAID"/>
    <n v="2"/>
    <n v="7059144563221"/>
    <d v="2025-12-12T00:00:00"/>
    <d v="2025-12-05T00:00:00"/>
    <m/>
    <d v="2025-12-12T00:00:00"/>
    <d v="2025-12-09T10:51:00"/>
    <n v="30461008339"/>
    <d v="2025-12-05T00:00:00"/>
    <n v="215417"/>
    <s v="NET 01/10/26"/>
    <n v="1044274"/>
    <d v="2025-12-05T00:00:00"/>
    <d v="2025-12-12T00:00:00"/>
    <m/>
    <x v="0"/>
  </r>
  <r>
    <x v="26"/>
    <n v="1007563"/>
    <n v="3990"/>
    <m/>
    <n v="3990"/>
    <n v="39.9"/>
    <n v="3950.1"/>
    <d v="2025-12-12T00:00:00"/>
    <n v="1007563"/>
    <n v="3074"/>
    <n v="0"/>
    <n v="3990"/>
    <d v="2025-12-02T00:00:00"/>
    <n v="3990"/>
    <n v="0"/>
    <s v="NULL"/>
    <s v="PRO"/>
    <n v="39.9"/>
    <n v="3950.1"/>
    <s v="PAID"/>
    <n v="2"/>
    <n v="2975781967632"/>
    <d v="2025-12-12T00:00:00"/>
    <d v="2025-12-02T00:00:00"/>
    <m/>
    <d v="2025-12-12T00:00:00"/>
    <d v="2025-12-09T10:11:00"/>
    <n v="30741007563"/>
    <d v="2025-12-02T00:00:00"/>
    <s v="NULL"/>
    <s v="NET 02/10/26"/>
    <s v="NULL"/>
    <d v="2025-12-02T00:00:00"/>
    <d v="2025-12-12T00:00:00"/>
    <m/>
    <x v="0"/>
  </r>
  <r>
    <x v="26"/>
    <n v="1007742"/>
    <n v="817.21"/>
    <n v="16.34"/>
    <n v="800.87"/>
    <n v="8.17"/>
    <n v="792.7"/>
    <d v="2025-12-12T00:00:00"/>
    <n v="1007742"/>
    <n v="3074"/>
    <n v="16.34"/>
    <n v="817.21"/>
    <d v="2025-12-02T00:00:00"/>
    <n v="800.87"/>
    <n v="16.34"/>
    <s v="NULL"/>
    <s v="PRO"/>
    <n v="8.17"/>
    <n v="792.7"/>
    <s v="PAID"/>
    <n v="2"/>
    <n v="2975781967632"/>
    <d v="2025-12-12T00:00:00"/>
    <d v="2025-12-02T00:00:00"/>
    <m/>
    <d v="2025-12-12T00:00:00"/>
    <d v="2025-12-09T10:11:00"/>
    <n v="30741007742"/>
    <d v="2025-12-02T00:00:00"/>
    <n v="18004498"/>
    <s v="2% 01/10/26"/>
    <n v="206154"/>
    <d v="2025-12-02T00:00:00"/>
    <d v="2025-12-12T00:00:00"/>
    <n v="16.344200000000001"/>
    <x v="0"/>
  </r>
  <r>
    <x v="26"/>
    <n v="1007970"/>
    <n v="985.79"/>
    <n v="19.72"/>
    <n v="966.07"/>
    <n v="9.86"/>
    <n v="956.21"/>
    <d v="2025-12-12T00:00:00"/>
    <n v="1007970"/>
    <n v="3074"/>
    <n v="19.72"/>
    <n v="985.79"/>
    <d v="2025-12-03T00:00:00"/>
    <n v="966.07"/>
    <n v="19.72"/>
    <s v="NULL"/>
    <s v="PRO"/>
    <n v="9.86"/>
    <n v="956.21"/>
    <s v="PAID"/>
    <n v="2"/>
    <n v="2975781967632"/>
    <d v="2025-12-12T00:00:00"/>
    <d v="2025-12-03T00:00:00"/>
    <m/>
    <d v="2025-12-12T00:00:00"/>
    <d v="2025-12-09T10:11:00"/>
    <n v="30741007970"/>
    <d v="2025-12-03T00:00:00"/>
    <n v="18004498"/>
    <s v="2% 01/10/26"/>
    <n v="206221"/>
    <d v="2025-12-03T00:00:00"/>
    <d v="2025-12-12T00:00:00"/>
    <n v="19.715799999999998"/>
    <x v="0"/>
  </r>
  <r>
    <x v="26"/>
    <n v="1007974"/>
    <n v="95.6"/>
    <m/>
    <n v="95.6"/>
    <n v="0.96"/>
    <n v="94.64"/>
    <d v="2025-12-12T00:00:00"/>
    <n v="1007974"/>
    <n v="3074"/>
    <n v="0"/>
    <n v="95.6"/>
    <d v="2025-12-03T00:00:00"/>
    <n v="95.6"/>
    <n v="0"/>
    <s v="NULL"/>
    <s v="PRO"/>
    <n v="0.96"/>
    <n v="94.64"/>
    <s v="PAID"/>
    <n v="2"/>
    <n v="2975781967632"/>
    <d v="2025-12-12T00:00:00"/>
    <d v="2025-12-03T00:00:00"/>
    <m/>
    <d v="2025-12-12T00:00:00"/>
    <d v="2025-12-09T10:11:00"/>
    <n v="30741007974"/>
    <d v="2025-12-03T00:00:00"/>
    <n v="18004498"/>
    <s v="NET 01/10/26"/>
    <n v="206222"/>
    <d v="2025-12-03T00:00:00"/>
    <d v="2025-12-12T00:00:00"/>
    <m/>
    <x v="0"/>
  </r>
  <r>
    <x v="26"/>
    <n v="1008373"/>
    <n v="204.44"/>
    <m/>
    <n v="204.44"/>
    <n v="2.04"/>
    <n v="202.4"/>
    <d v="2025-12-12T00:00:00"/>
    <n v="1008373"/>
    <n v="3074"/>
    <n v="0"/>
    <n v="204.44"/>
    <d v="2025-12-05T00:00:00"/>
    <n v="204.44"/>
    <n v="0"/>
    <s v="USW811962"/>
    <s v="NISI"/>
    <n v="2.04"/>
    <n v="202.4"/>
    <s v="PAID"/>
    <n v="2"/>
    <n v="2975781967632"/>
    <d v="2025-12-12T00:00:00"/>
    <d v="2025-12-05T00:00:00"/>
    <m/>
    <d v="2025-12-12T00:00:00"/>
    <d v="2025-12-09T10:11:00"/>
    <n v="30741008373"/>
    <d v="2025-12-05T00:00:00"/>
    <n v="215313"/>
    <s v="NET 01/10/26"/>
    <s v="USW811962"/>
    <d v="2025-12-05T00:00:00"/>
    <d v="2025-12-12T00:00:00"/>
    <m/>
    <x v="0"/>
  </r>
  <r>
    <x v="27"/>
    <n v="998573"/>
    <n v="-1439.21"/>
    <m/>
    <n v="-1439.21"/>
    <m/>
    <n v="-1439.21"/>
    <d v="2025-12-12T00:00:00"/>
    <n v="998573"/>
    <n v="3081"/>
    <n v="0"/>
    <n v="-1439.21"/>
    <d v="2025-10-20T00:00:00"/>
    <n v="-1439.21"/>
    <n v="0"/>
    <n v="998573"/>
    <s v="PRO"/>
    <n v="0"/>
    <n v="-1439.21"/>
    <s v="PAID"/>
    <n v="2"/>
    <n v="7673975854802"/>
    <d v="2025-12-12T00:00:00"/>
    <d v="2025-10-20T00:00:00"/>
    <m/>
    <d v="2025-12-12T00:00:00"/>
    <d v="2025-12-08T11:05:00"/>
    <n v="3081998573"/>
    <d v="2025-10-20T00:00:00"/>
    <s v="N/A"/>
    <s v="NET 11/10/25"/>
    <s v="NMCNoINV"/>
    <d v="2025-10-20T00:00:00"/>
    <d v="2025-12-12T00:00:00"/>
    <m/>
    <x v="0"/>
  </r>
  <r>
    <x v="27"/>
    <n v="1004517"/>
    <n v="-2928.89"/>
    <m/>
    <n v="-2928.89"/>
    <m/>
    <n v="-2928.89"/>
    <d v="2025-12-12T00:00:00"/>
    <n v="1004517"/>
    <n v="3081"/>
    <n v="0"/>
    <n v="-2928.89"/>
    <d v="2025-11-18T00:00:00"/>
    <n v="-2928.89"/>
    <n v="0"/>
    <n v="1004517"/>
    <s v="PRO"/>
    <n v="0"/>
    <n v="-2928.89"/>
    <s v="PAID"/>
    <n v="2"/>
    <n v="7673975854802"/>
    <d v="2025-12-12T00:00:00"/>
    <d v="2025-11-18T00:00:00"/>
    <m/>
    <d v="2025-12-12T00:00:00"/>
    <d v="2025-12-08T11:05:00"/>
    <n v="30811004517"/>
    <d v="2025-11-18T00:00:00"/>
    <n v="141998"/>
    <s v="NET 12/10/25"/>
    <n v="53457"/>
    <d v="2025-11-18T00:00:00"/>
    <d v="2025-12-12T00:00:00"/>
    <m/>
    <x v="0"/>
  </r>
  <r>
    <x v="27"/>
    <n v="1007277"/>
    <n v="33.18"/>
    <n v="0.66"/>
    <n v="32.520000000000003"/>
    <n v="0.33"/>
    <n v="32.19"/>
    <d v="2025-12-12T00:00:00"/>
    <n v="1007277"/>
    <n v="3081"/>
    <n v="0.66"/>
    <n v="33.18"/>
    <d v="2025-12-01T00:00:00"/>
    <n v="32.520000000000003"/>
    <n v="0.66"/>
    <s v="NULL"/>
    <s v="PRO"/>
    <n v="0.33"/>
    <n v="32.19"/>
    <s v="PAID"/>
    <n v="2"/>
    <n v="7673975854802"/>
    <d v="2025-12-12T00:00:00"/>
    <d v="2025-12-01T00:00:00"/>
    <m/>
    <d v="2025-12-12T00:00:00"/>
    <d v="2025-12-08T11:05:00"/>
    <n v="30811007277"/>
    <d v="2025-12-01T00:00:00"/>
    <s v="WW-PRO-9600"/>
    <s v="2% 01/10/26"/>
    <n v="205813"/>
    <d v="2025-12-01T00:00:00"/>
    <d v="2025-12-12T00:00:00"/>
    <n v="0.66359999999999997"/>
    <x v="0"/>
  </r>
  <r>
    <x v="27"/>
    <n v="1007279"/>
    <n v="33.18"/>
    <n v="0.66"/>
    <n v="32.520000000000003"/>
    <n v="0.33"/>
    <n v="32.19"/>
    <d v="2025-12-12T00:00:00"/>
    <n v="1007279"/>
    <n v="3081"/>
    <n v="0.66"/>
    <n v="33.18"/>
    <d v="2025-12-01T00:00:00"/>
    <n v="32.520000000000003"/>
    <n v="0.66"/>
    <s v="NULL"/>
    <s v="PRO"/>
    <n v="0.33"/>
    <n v="32.19"/>
    <s v="PAID"/>
    <n v="2"/>
    <n v="7673975854802"/>
    <d v="2025-12-12T00:00:00"/>
    <d v="2025-12-01T00:00:00"/>
    <m/>
    <d v="2025-12-12T00:00:00"/>
    <d v="2025-12-08T11:05:00"/>
    <n v="30811007279"/>
    <d v="2025-12-01T00:00:00"/>
    <s v="WW-PRO-9449"/>
    <s v="2% 01/10/26"/>
    <n v="205811"/>
    <d v="2025-12-01T00:00:00"/>
    <d v="2025-12-12T00:00:00"/>
    <n v="0.66359999999999997"/>
    <x v="0"/>
  </r>
  <r>
    <x v="27"/>
    <n v="1007283"/>
    <n v="33.18"/>
    <n v="0.66"/>
    <n v="32.520000000000003"/>
    <n v="0.33"/>
    <n v="32.19"/>
    <d v="2025-12-12T00:00:00"/>
    <n v="1007283"/>
    <n v="3081"/>
    <n v="0.66"/>
    <n v="33.18"/>
    <d v="2025-12-01T00:00:00"/>
    <n v="32.520000000000003"/>
    <n v="0.66"/>
    <s v="NULL"/>
    <s v="PRO"/>
    <n v="0.33"/>
    <n v="32.19"/>
    <s v="PAID"/>
    <n v="2"/>
    <n v="7673975854802"/>
    <d v="2025-12-12T00:00:00"/>
    <d v="2025-12-01T00:00:00"/>
    <m/>
    <d v="2025-12-12T00:00:00"/>
    <d v="2025-12-08T11:05:00"/>
    <n v="30811007283"/>
    <d v="2025-12-01T00:00:00"/>
    <s v="WW-PRO-9347"/>
    <s v="2% 01/10/26"/>
    <n v="205810"/>
    <d v="2025-12-01T00:00:00"/>
    <d v="2025-12-12T00:00:00"/>
    <n v="0.66359999999999997"/>
    <x v="0"/>
  </r>
  <r>
    <x v="27"/>
    <n v="1007285"/>
    <n v="66.36"/>
    <n v="1.33"/>
    <n v="65.03"/>
    <n v="0.66"/>
    <n v="64.37"/>
    <d v="2025-12-12T00:00:00"/>
    <n v="1007285"/>
    <n v="3081"/>
    <n v="1.33"/>
    <n v="66.36"/>
    <d v="2025-12-01T00:00:00"/>
    <n v="65.03"/>
    <n v="1.33"/>
    <s v="NULL"/>
    <s v="PRO"/>
    <n v="0.66"/>
    <n v="64.37"/>
    <s v="PAID"/>
    <n v="2"/>
    <n v="7673975854802"/>
    <d v="2025-12-12T00:00:00"/>
    <d v="2025-12-01T00:00:00"/>
    <m/>
    <d v="2025-12-12T00:00:00"/>
    <d v="2025-12-08T11:05:00"/>
    <n v="30811007285"/>
    <d v="2025-12-01T00:00:00"/>
    <s v="WW-PRO-9547"/>
    <s v="2% 01/10/26"/>
    <n v="205812"/>
    <d v="2025-12-01T00:00:00"/>
    <d v="2025-12-12T00:00:00"/>
    <n v="1.3271999999999999"/>
    <x v="0"/>
  </r>
  <r>
    <x v="27"/>
    <n v="1007342"/>
    <n v="33.18"/>
    <n v="0.66"/>
    <n v="32.520000000000003"/>
    <n v="0.33"/>
    <n v="32.19"/>
    <d v="2025-12-12T00:00:00"/>
    <n v="1007342"/>
    <n v="3081"/>
    <n v="0.66"/>
    <n v="33.18"/>
    <d v="2025-12-01T00:00:00"/>
    <n v="32.520000000000003"/>
    <n v="0.66"/>
    <s v="NULL"/>
    <s v="PRO"/>
    <n v="0.33"/>
    <n v="32.19"/>
    <s v="PAID"/>
    <n v="2"/>
    <n v="7673975854802"/>
    <d v="2025-12-12T00:00:00"/>
    <d v="2025-12-01T00:00:00"/>
    <m/>
    <d v="2025-12-12T00:00:00"/>
    <d v="2025-12-08T11:05:00"/>
    <n v="30811007342"/>
    <d v="2025-12-01T00:00:00"/>
    <s v="CM-PRO-8965"/>
    <s v="2% 01/10/26"/>
    <n v="205809"/>
    <d v="2025-12-01T00:00:00"/>
    <d v="2025-12-12T00:00:00"/>
    <n v="0.66359999999999997"/>
    <x v="0"/>
  </r>
  <r>
    <x v="27"/>
    <n v="1007344"/>
    <n v="33.18"/>
    <n v="0.66"/>
    <n v="32.520000000000003"/>
    <n v="0.33"/>
    <n v="32.19"/>
    <d v="2025-12-12T00:00:00"/>
    <n v="1007344"/>
    <n v="3081"/>
    <n v="0.66"/>
    <n v="33.18"/>
    <d v="2025-12-01T00:00:00"/>
    <n v="32.520000000000003"/>
    <n v="0.66"/>
    <s v="NULL"/>
    <s v="PRO"/>
    <n v="0.33"/>
    <n v="32.19"/>
    <s v="PAID"/>
    <n v="2"/>
    <n v="7673975854802"/>
    <d v="2025-12-12T00:00:00"/>
    <d v="2025-12-01T00:00:00"/>
    <m/>
    <d v="2025-12-12T00:00:00"/>
    <d v="2025-12-08T11:05:00"/>
    <n v="30811007344"/>
    <d v="2025-12-01T00:00:00"/>
    <s v="ACP-PRO-9353"/>
    <s v="2% 01/10/26"/>
    <n v="205805"/>
    <d v="2025-12-01T00:00:00"/>
    <d v="2025-12-12T00:00:00"/>
    <n v="0.66359999999999997"/>
    <x v="0"/>
  </r>
  <r>
    <x v="27"/>
    <n v="1007345"/>
    <n v="165.9"/>
    <n v="3.32"/>
    <n v="162.58000000000001"/>
    <n v="1.66"/>
    <n v="160.91999999999999"/>
    <d v="2025-12-12T00:00:00"/>
    <n v="1007345"/>
    <n v="3081"/>
    <n v="3.32"/>
    <n v="165.9"/>
    <d v="2025-12-01T00:00:00"/>
    <n v="162.58000000000001"/>
    <n v="3.32"/>
    <s v="NULL"/>
    <s v="PRO"/>
    <n v="1.66"/>
    <n v="160.91999999999999"/>
    <s v="PAID"/>
    <n v="2"/>
    <n v="7673975854802"/>
    <d v="2025-12-12T00:00:00"/>
    <d v="2025-12-01T00:00:00"/>
    <m/>
    <d v="2025-12-12T00:00:00"/>
    <d v="2025-12-08T11:05:00"/>
    <n v="30811007345"/>
    <d v="2025-12-01T00:00:00"/>
    <s v="TC8925"/>
    <s v="2% 01/10/26"/>
    <n v="205807"/>
    <d v="2025-12-01T00:00:00"/>
    <d v="2025-12-12T00:00:00"/>
    <n v="3.3180000000000001"/>
    <x v="0"/>
  </r>
  <r>
    <x v="27"/>
    <n v="1007348"/>
    <n v="33.18"/>
    <n v="0.66"/>
    <n v="32.520000000000003"/>
    <n v="0.33"/>
    <n v="32.19"/>
    <d v="2025-12-12T00:00:00"/>
    <n v="1007348"/>
    <n v="3081"/>
    <n v="0.66"/>
    <n v="33.18"/>
    <d v="2025-12-01T00:00:00"/>
    <n v="32.520000000000003"/>
    <n v="0.66"/>
    <s v="NULL"/>
    <s v="PRO"/>
    <n v="0.33"/>
    <n v="32.19"/>
    <s v="PAID"/>
    <n v="2"/>
    <n v="7673975854802"/>
    <d v="2025-12-12T00:00:00"/>
    <d v="2025-12-01T00:00:00"/>
    <m/>
    <d v="2025-12-12T00:00:00"/>
    <d v="2025-12-08T11:05:00"/>
    <n v="30811007348"/>
    <d v="2025-12-01T00:00:00"/>
    <s v="ACP-PRO-9621"/>
    <s v="2% 01/10/26"/>
    <n v="205806"/>
    <d v="2025-12-01T00:00:00"/>
    <d v="2025-12-12T00:00:00"/>
    <n v="0.66359999999999997"/>
    <x v="0"/>
  </r>
  <r>
    <x v="27"/>
    <n v="1007349"/>
    <n v="199.08"/>
    <n v="3.98"/>
    <n v="195.1"/>
    <n v="1.99"/>
    <n v="193.11"/>
    <d v="2025-12-12T00:00:00"/>
    <n v="1007349"/>
    <n v="3081"/>
    <n v="3.98"/>
    <n v="199.08"/>
    <d v="2025-12-01T00:00:00"/>
    <n v="195.1"/>
    <n v="3.98"/>
    <s v="NULL"/>
    <s v="PRO"/>
    <n v="1.99"/>
    <n v="193.11"/>
    <s v="PAID"/>
    <n v="2"/>
    <n v="7673975854802"/>
    <d v="2025-12-12T00:00:00"/>
    <d v="2025-12-01T00:00:00"/>
    <m/>
    <d v="2025-12-12T00:00:00"/>
    <d v="2025-12-08T11:05:00"/>
    <n v="30811007349"/>
    <d v="2025-12-01T00:00:00"/>
    <s v="TC101825"/>
    <s v="2% 01/10/26"/>
    <n v="205808"/>
    <d v="2025-12-01T00:00:00"/>
    <d v="2025-12-12T00:00:00"/>
    <n v="3.9816000000000003"/>
    <x v="0"/>
  </r>
  <r>
    <x v="27"/>
    <n v="1007351"/>
    <n v="33.18"/>
    <n v="0.66"/>
    <n v="32.520000000000003"/>
    <n v="0.33"/>
    <n v="32.19"/>
    <d v="2025-12-12T00:00:00"/>
    <n v="1007351"/>
    <n v="3081"/>
    <n v="0.66"/>
    <n v="33.18"/>
    <d v="2025-12-01T00:00:00"/>
    <n v="32.520000000000003"/>
    <n v="0.66"/>
    <s v="NULL"/>
    <s v="PRO"/>
    <n v="0.33"/>
    <n v="32.19"/>
    <s v="PAID"/>
    <n v="2"/>
    <n v="7673975854802"/>
    <d v="2025-12-12T00:00:00"/>
    <d v="2025-12-01T00:00:00"/>
    <m/>
    <d v="2025-12-12T00:00:00"/>
    <d v="2025-12-08T11:05:00"/>
    <n v="30811007351"/>
    <d v="2025-12-01T00:00:00"/>
    <s v="ACP-PRO-9184"/>
    <s v="2% 01/10/26"/>
    <n v="205804"/>
    <d v="2025-12-01T00:00:00"/>
    <d v="2025-12-12T00:00:00"/>
    <n v="0.66359999999999997"/>
    <x v="0"/>
  </r>
  <r>
    <x v="27"/>
    <n v="1007463"/>
    <n v="218.76"/>
    <n v="4.38"/>
    <n v="214.38"/>
    <n v="2.19"/>
    <n v="212.19"/>
    <d v="2025-12-12T00:00:00"/>
    <n v="1007463"/>
    <n v="3081"/>
    <n v="4.38"/>
    <n v="218.76"/>
    <d v="2025-12-01T00:00:00"/>
    <n v="214.38"/>
    <n v="4.38"/>
    <s v="NULL"/>
    <s v="PRO"/>
    <n v="2.19"/>
    <n v="212.19"/>
    <s v="PAID"/>
    <n v="2"/>
    <n v="7673975854802"/>
    <d v="2025-12-12T00:00:00"/>
    <d v="2025-12-01T00:00:00"/>
    <m/>
    <d v="2025-12-12T00:00:00"/>
    <d v="2025-12-08T11:05:00"/>
    <n v="30811007463"/>
    <d v="2025-12-01T00:00:00"/>
    <s v="WW-PRO-9509"/>
    <s v="2% 01/10/26"/>
    <n v="205968"/>
    <d v="2025-12-01T00:00:00"/>
    <d v="2025-12-12T00:00:00"/>
    <n v="4.3751999999999995"/>
    <x v="0"/>
  </r>
  <r>
    <x v="27"/>
    <n v="1007492"/>
    <n v="35"/>
    <n v="0.7"/>
    <n v="34.299999999999997"/>
    <n v="0.35"/>
    <n v="33.950000000000003"/>
    <d v="2025-12-12T00:00:00"/>
    <n v="1007492"/>
    <n v="3081"/>
    <n v="0.7"/>
    <n v="35"/>
    <d v="2025-12-01T00:00:00"/>
    <n v="34.299999999999997"/>
    <n v="0.7"/>
    <s v="NULL"/>
    <s v="PRO"/>
    <n v="0.35"/>
    <n v="33.950000000000003"/>
    <s v="PAID"/>
    <n v="2"/>
    <n v="7673975854802"/>
    <d v="2025-12-12T00:00:00"/>
    <d v="2025-12-01T00:00:00"/>
    <m/>
    <d v="2025-12-12T00:00:00"/>
    <d v="2025-12-08T11:05:00"/>
    <n v="30811007492"/>
    <d v="2025-12-01T00:00:00"/>
    <s v="ACP-PRO-9605"/>
    <s v="2% 01/10/26"/>
    <n v="206012"/>
    <d v="2025-12-01T00:00:00"/>
    <d v="2025-12-12T00:00:00"/>
    <n v="0.70000000000000007"/>
    <x v="0"/>
  </r>
  <r>
    <x v="27"/>
    <n v="1007599"/>
    <n v="3990"/>
    <m/>
    <n v="3990"/>
    <n v="39.9"/>
    <n v="3950.1"/>
    <d v="2025-12-12T00:00:00"/>
    <n v="1007599"/>
    <n v="3081"/>
    <n v="0"/>
    <n v="3990"/>
    <d v="2025-12-02T00:00:00"/>
    <n v="3990"/>
    <n v="0"/>
    <s v="NULL"/>
    <s v="PRO"/>
    <n v="39.9"/>
    <n v="3950.1"/>
    <s v="PAID"/>
    <n v="2"/>
    <n v="7673975854802"/>
    <d v="2025-12-12T00:00:00"/>
    <d v="2025-12-02T00:00:00"/>
    <m/>
    <d v="2025-12-12T00:00:00"/>
    <d v="2025-12-08T11:05:00"/>
    <n v="30811007599"/>
    <d v="2025-12-02T00:00:00"/>
    <s v="NULL"/>
    <s v="NET 02/10/26"/>
    <s v="NULL"/>
    <d v="2025-12-02T00:00:00"/>
    <d v="2025-12-12T00:00:00"/>
    <m/>
    <x v="0"/>
  </r>
  <r>
    <x v="27"/>
    <n v="1007721"/>
    <n v="869.96"/>
    <m/>
    <n v="869.96"/>
    <n v="8.6999999999999993"/>
    <n v="861.26"/>
    <d v="2025-12-12T00:00:00"/>
    <n v="1007721"/>
    <n v="3081"/>
    <n v="0"/>
    <n v="869.96"/>
    <d v="2025-12-02T00:00:00"/>
    <n v="869.96"/>
    <n v="0"/>
    <s v="NULL"/>
    <s v="PRO"/>
    <n v="8.6999999999999993"/>
    <n v="861.26"/>
    <s v="PAID"/>
    <n v="2"/>
    <n v="7673975854802"/>
    <d v="2025-12-12T00:00:00"/>
    <d v="2025-12-02T00:00:00"/>
    <m/>
    <d v="2025-12-12T00:00:00"/>
    <d v="2025-12-08T11:05:00"/>
    <n v="30811007721"/>
    <d v="2025-12-02T00:00:00"/>
    <s v="WW-PRO-9615"/>
    <s v="NET 01/10/26"/>
    <n v="206112"/>
    <d v="2025-12-02T00:00:00"/>
    <d v="2025-12-12T00:00:00"/>
    <m/>
    <x v="0"/>
  </r>
  <r>
    <x v="27"/>
    <n v="1007740"/>
    <n v="85.03"/>
    <n v="1.7"/>
    <n v="83.33"/>
    <n v="0.85"/>
    <n v="82.48"/>
    <d v="2025-12-12T00:00:00"/>
    <n v="1007740"/>
    <n v="3081"/>
    <n v="1.7"/>
    <n v="85.03"/>
    <d v="2025-12-02T00:00:00"/>
    <n v="83.33"/>
    <n v="1.7"/>
    <s v="NULL"/>
    <s v="PRO"/>
    <n v="0.85"/>
    <n v="82.48"/>
    <s v="PAID"/>
    <n v="2"/>
    <n v="7673975854802"/>
    <d v="2025-12-12T00:00:00"/>
    <d v="2025-12-02T00:00:00"/>
    <m/>
    <d v="2025-12-12T00:00:00"/>
    <d v="2025-12-08T11:05:00"/>
    <n v="30811007740"/>
    <d v="2025-12-02T00:00:00"/>
    <s v="WW-PRO-9653"/>
    <s v="2% 01/10/26"/>
    <n v="206156"/>
    <d v="2025-12-02T00:00:00"/>
    <d v="2025-12-12T00:00:00"/>
    <n v="1.7006000000000001"/>
    <x v="0"/>
  </r>
  <r>
    <x v="27"/>
    <n v="1007910"/>
    <n v="1376.92"/>
    <m/>
    <n v="1376.92"/>
    <n v="13.77"/>
    <n v="1363.15"/>
    <d v="2025-12-12T00:00:00"/>
    <n v="1007910"/>
    <n v="3081"/>
    <n v="0"/>
    <n v="1376.92"/>
    <d v="2025-12-03T00:00:00"/>
    <n v="1376.92"/>
    <n v="0"/>
    <s v="NULL"/>
    <s v="PRO"/>
    <n v="13.77"/>
    <n v="1363.15"/>
    <s v="PAID"/>
    <n v="2"/>
    <n v="7673975854802"/>
    <d v="2025-12-12T00:00:00"/>
    <d v="2025-12-03T00:00:00"/>
    <m/>
    <d v="2025-12-12T00:00:00"/>
    <d v="2025-12-08T11:05:00"/>
    <n v="30811007910"/>
    <d v="2025-12-03T00:00:00"/>
    <s v="CM-PRO-9631"/>
    <s v="NET 01/10/26"/>
    <n v="206449"/>
    <d v="2025-12-03T00:00:00"/>
    <d v="2025-12-12T00:00:00"/>
    <m/>
    <x v="0"/>
  </r>
  <r>
    <x v="27"/>
    <n v="1007941"/>
    <n v="740.73"/>
    <m/>
    <n v="740.73"/>
    <n v="7.41"/>
    <n v="733.32"/>
    <d v="2025-12-12T00:00:00"/>
    <n v="1007941"/>
    <n v="3081"/>
    <n v="0"/>
    <n v="740.73"/>
    <d v="2025-12-03T00:00:00"/>
    <n v="740.73"/>
    <n v="0"/>
    <s v="NULL"/>
    <s v="PRO"/>
    <n v="7.41"/>
    <n v="733.32"/>
    <s v="PAID"/>
    <n v="2"/>
    <n v="7673975854802"/>
    <d v="2025-12-12T00:00:00"/>
    <d v="2025-12-03T00:00:00"/>
    <m/>
    <d v="2025-12-12T00:00:00"/>
    <d v="2025-12-08T11:05:00"/>
    <n v="30811007941"/>
    <d v="2025-12-03T00:00:00"/>
    <s v="ACP-PRO-9650"/>
    <s v="NET 01/10/26"/>
    <n v="206284"/>
    <d v="2025-12-03T00:00:00"/>
    <d v="2025-12-12T00:00:00"/>
    <m/>
    <x v="0"/>
  </r>
  <r>
    <x v="27"/>
    <n v="1007947"/>
    <n v="666.09"/>
    <n v="13.32"/>
    <n v="652.77"/>
    <n v="6.66"/>
    <n v="646.11"/>
    <d v="2025-12-12T00:00:00"/>
    <n v="1007947"/>
    <n v="3081"/>
    <n v="13.32"/>
    <n v="666.09"/>
    <d v="2025-12-03T00:00:00"/>
    <n v="652.77"/>
    <n v="13.32"/>
    <s v="NULL"/>
    <s v="PRO"/>
    <n v="6.66"/>
    <n v="646.11"/>
    <s v="PAID"/>
    <n v="2"/>
    <n v="7673975854802"/>
    <d v="2025-12-12T00:00:00"/>
    <d v="2025-12-03T00:00:00"/>
    <m/>
    <d v="2025-12-12T00:00:00"/>
    <d v="2025-12-08T11:05:00"/>
    <n v="30811007947"/>
    <d v="2025-12-03T00:00:00"/>
    <s v="ACP-PRO-9650"/>
    <s v="2% 01/10/26"/>
    <n v="206283"/>
    <d v="2025-12-03T00:00:00"/>
    <d v="2025-12-12T00:00:00"/>
    <n v="13.321800000000001"/>
    <x v="0"/>
  </r>
  <r>
    <x v="27"/>
    <n v="1007965"/>
    <n v="238.81"/>
    <n v="4.78"/>
    <n v="234.03"/>
    <n v="2.39"/>
    <n v="231.64"/>
    <d v="2025-12-12T00:00:00"/>
    <n v="1007965"/>
    <n v="3081"/>
    <n v="4.78"/>
    <n v="238.81"/>
    <d v="2025-12-03T00:00:00"/>
    <n v="234.03"/>
    <n v="4.78"/>
    <s v="NULL"/>
    <s v="PRO"/>
    <n v="2.39"/>
    <n v="231.64"/>
    <s v="PAID"/>
    <n v="2"/>
    <n v="7673975854802"/>
    <d v="2025-12-12T00:00:00"/>
    <d v="2025-12-03T00:00:00"/>
    <m/>
    <d v="2025-12-12T00:00:00"/>
    <d v="2025-12-08T11:05:00"/>
    <n v="30811007965"/>
    <d v="2025-12-03T00:00:00"/>
    <s v="ACP-PRO-9650"/>
    <s v="2% 01/10/26"/>
    <n v="206267"/>
    <d v="2025-12-03T00:00:00"/>
    <d v="2025-12-12T00:00:00"/>
    <n v="4.7762000000000002"/>
    <x v="0"/>
  </r>
  <r>
    <x v="27"/>
    <n v="1007969"/>
    <n v="1183.82"/>
    <n v="23.68"/>
    <n v="1160.1400000000001"/>
    <n v="11.84"/>
    <n v="1148.3"/>
    <d v="2025-12-12T00:00:00"/>
    <n v="1007969"/>
    <n v="3081"/>
    <n v="23.68"/>
    <n v="1183.82"/>
    <d v="2025-12-03T00:00:00"/>
    <n v="1160.1400000000001"/>
    <n v="23.68"/>
    <s v="NULL"/>
    <s v="PRO"/>
    <n v="11.84"/>
    <n v="1148.3"/>
    <s v="PAID"/>
    <n v="2"/>
    <n v="7673975854802"/>
    <d v="2025-12-12T00:00:00"/>
    <d v="2025-12-03T00:00:00"/>
    <m/>
    <d v="2025-12-12T00:00:00"/>
    <d v="2025-12-08T11:05:00"/>
    <n v="30811007969"/>
    <d v="2025-12-03T00:00:00"/>
    <s v="WW-PRO-9653"/>
    <s v="2% 01/10/26"/>
    <n v="206229"/>
    <d v="2025-12-03T00:00:00"/>
    <d v="2025-12-12T00:00:00"/>
    <n v="23.676399999999997"/>
    <x v="0"/>
  </r>
  <r>
    <x v="27"/>
    <n v="1008006"/>
    <n v="708.11"/>
    <m/>
    <n v="708.11"/>
    <n v="7.08"/>
    <n v="701.03"/>
    <d v="2025-12-12T00:00:00"/>
    <n v="1008006"/>
    <n v="3081"/>
    <n v="0"/>
    <n v="708.11"/>
    <d v="2025-12-03T00:00:00"/>
    <n v="708.11"/>
    <n v="0"/>
    <s v="NULL"/>
    <s v="PRO"/>
    <n v="7.08"/>
    <n v="701.03"/>
    <s v="PAID"/>
    <n v="2"/>
    <n v="7673975854802"/>
    <d v="2025-12-12T00:00:00"/>
    <d v="2025-12-03T00:00:00"/>
    <m/>
    <d v="2025-12-12T00:00:00"/>
    <d v="2025-12-08T11:05:00"/>
    <n v="30811008006"/>
    <d v="2025-12-03T00:00:00"/>
    <s v="WW-PRO-9653"/>
    <s v="NET 01/10/26"/>
    <n v="206230"/>
    <d v="2025-12-03T00:00:00"/>
    <d v="2025-12-12T00:00:00"/>
    <m/>
    <x v="0"/>
  </r>
  <r>
    <x v="27"/>
    <n v="1008051"/>
    <n v="239.76"/>
    <n v="4.8"/>
    <n v="234.96"/>
    <n v="2.4"/>
    <n v="232.56"/>
    <d v="2025-12-12T00:00:00"/>
    <n v="1008051"/>
    <n v="3081"/>
    <n v="4.8"/>
    <n v="239.76"/>
    <d v="2025-12-03T00:00:00"/>
    <n v="234.96"/>
    <n v="4.8"/>
    <s v="NULL"/>
    <s v="PRO"/>
    <n v="2.4"/>
    <n v="232.56"/>
    <s v="PAID"/>
    <n v="2"/>
    <n v="7673975854802"/>
    <d v="2025-12-12T00:00:00"/>
    <d v="2025-12-03T00:00:00"/>
    <m/>
    <d v="2025-12-12T00:00:00"/>
    <d v="2025-12-08T11:05:00"/>
    <n v="30811008051"/>
    <d v="2025-12-03T00:00:00"/>
    <s v="MKG-9676-PRO"/>
    <s v="2% 01/10/26"/>
    <n v="206546"/>
    <d v="2025-12-03T00:00:00"/>
    <d v="2025-12-12T00:00:00"/>
    <n v="4.7952000000000004"/>
    <x v="0"/>
  </r>
  <r>
    <x v="27"/>
    <n v="1008091"/>
    <n v="17.55"/>
    <n v="0.35"/>
    <n v="17.2"/>
    <n v="0.18"/>
    <n v="17.02"/>
    <d v="2025-12-12T00:00:00"/>
    <n v="1008091"/>
    <n v="3081"/>
    <n v="0.35"/>
    <n v="17.55"/>
    <d v="2025-12-04T00:00:00"/>
    <n v="17.2"/>
    <n v="0.35"/>
    <s v="NULL"/>
    <s v="PRO"/>
    <n v="0.18"/>
    <n v="17.02"/>
    <s v="PAID"/>
    <n v="2"/>
    <n v="7673975854802"/>
    <d v="2025-12-12T00:00:00"/>
    <d v="2025-12-04T00:00:00"/>
    <m/>
    <d v="2025-12-12T00:00:00"/>
    <d v="2025-12-08T11:05:00"/>
    <n v="30811008091"/>
    <d v="2025-12-04T00:00:00"/>
    <s v="WW-PRO-9509"/>
    <s v="2% 01/10/26"/>
    <n v="206403"/>
    <d v="2025-12-04T00:00:00"/>
    <d v="2025-12-12T00:00:00"/>
    <n v="0.35100000000000003"/>
    <x v="0"/>
  </r>
  <r>
    <x v="27"/>
    <n v="1008153"/>
    <n v="1739.92"/>
    <m/>
    <n v="1739.92"/>
    <n v="17.399999999999999"/>
    <n v="1722.52"/>
    <d v="2025-12-12T00:00:00"/>
    <n v="1008153"/>
    <n v="3081"/>
    <n v="0"/>
    <n v="1739.92"/>
    <d v="2025-12-04T00:00:00"/>
    <n v="1739.92"/>
    <n v="0"/>
    <s v="NULL"/>
    <s v="PRO"/>
    <n v="17.399999999999999"/>
    <n v="1722.52"/>
    <s v="PAID"/>
    <n v="2"/>
    <n v="7673975854802"/>
    <d v="2025-12-12T00:00:00"/>
    <d v="2025-12-04T00:00:00"/>
    <m/>
    <d v="2025-12-12T00:00:00"/>
    <d v="2025-12-08T11:05:00"/>
    <n v="30811008153"/>
    <d v="2025-12-04T00:00:00"/>
    <s v="WW-PRO-9509"/>
    <s v="NET 01/10/26"/>
    <n v="206656"/>
    <d v="2025-12-04T00:00:00"/>
    <d v="2025-12-12T00:00:00"/>
    <m/>
    <x v="0"/>
  </r>
  <r>
    <x v="27"/>
    <n v="1008157"/>
    <n v="1056.9000000000001"/>
    <m/>
    <n v="1056.9000000000001"/>
    <n v="10.57"/>
    <n v="1046.33"/>
    <d v="2025-12-12T00:00:00"/>
    <n v="1008157"/>
    <n v="3081"/>
    <n v="0"/>
    <n v="1056.9000000000001"/>
    <d v="2025-12-04T00:00:00"/>
    <n v="1056.9000000000001"/>
    <n v="0"/>
    <s v="NULL"/>
    <s v="PRO"/>
    <n v="10.57"/>
    <n v="1046.33"/>
    <s v="PAID"/>
    <n v="2"/>
    <n v="7673975854802"/>
    <d v="2025-12-12T00:00:00"/>
    <d v="2025-12-04T00:00:00"/>
    <m/>
    <d v="2025-12-12T00:00:00"/>
    <d v="2025-12-08T11:05:00"/>
    <n v="30811008157"/>
    <d v="2025-12-04T00:00:00"/>
    <s v="WW-PRO-9653"/>
    <s v="NET 01/10/26"/>
    <n v="206657"/>
    <d v="2025-12-04T00:00:00"/>
    <d v="2025-12-12T00:00:00"/>
    <m/>
    <x v="0"/>
  </r>
  <r>
    <x v="27"/>
    <n v="1008209"/>
    <n v="130.46"/>
    <n v="2.61"/>
    <n v="127.85"/>
    <n v="1.3"/>
    <n v="126.55"/>
    <d v="2025-12-12T00:00:00"/>
    <n v="1008209"/>
    <n v="3081"/>
    <n v="2.61"/>
    <n v="130.46"/>
    <d v="2025-12-04T00:00:00"/>
    <n v="127.85"/>
    <n v="2.61"/>
    <s v="NULL"/>
    <s v="PRO"/>
    <n v="1.3"/>
    <n v="126.55"/>
    <s v="PAID"/>
    <n v="2"/>
    <n v="7673975854802"/>
    <d v="2025-12-12T00:00:00"/>
    <d v="2025-12-04T00:00:00"/>
    <m/>
    <d v="2025-12-12T00:00:00"/>
    <d v="2025-12-08T11:05:00"/>
    <n v="30811008209"/>
    <d v="2025-12-04T00:00:00"/>
    <s v="LAN120325"/>
    <s v="2% 01/10/26"/>
    <n v="206707"/>
    <d v="2025-12-04T00:00:00"/>
    <d v="2025-12-12T00:00:00"/>
    <n v="2.6092000000000004"/>
    <x v="0"/>
  </r>
  <r>
    <x v="27"/>
    <n v="1008267"/>
    <n v="45.54"/>
    <n v="0.91"/>
    <n v="44.63"/>
    <n v="0.46"/>
    <n v="44.17"/>
    <d v="2025-12-12T00:00:00"/>
    <n v="1008267"/>
    <n v="3081"/>
    <n v="0.91"/>
    <n v="45.54"/>
    <d v="2025-12-04T00:00:00"/>
    <n v="44.63"/>
    <n v="0.91"/>
    <s v="NULL"/>
    <s v="PRO"/>
    <n v="0.46"/>
    <n v="44.17"/>
    <s v="PAID"/>
    <n v="2"/>
    <n v="7673975854802"/>
    <d v="2025-12-12T00:00:00"/>
    <d v="2025-12-04T00:00:00"/>
    <m/>
    <d v="2025-12-12T00:00:00"/>
    <d v="2025-12-08T11:05:00"/>
    <n v="30811008267"/>
    <d v="2025-12-04T00:00:00"/>
    <s v="MKG-9676-PRO"/>
    <s v="2% 01/10/26"/>
    <n v="206554"/>
    <d v="2025-12-04T00:00:00"/>
    <d v="2025-12-12T00:00:00"/>
    <n v="0.91080000000000005"/>
    <x v="0"/>
  </r>
  <r>
    <x v="27"/>
    <n v="1008270"/>
    <n v="3843.11"/>
    <m/>
    <n v="3843.11"/>
    <n v="38.43"/>
    <n v="3804.68"/>
    <d v="2025-12-12T00:00:00"/>
    <n v="1008270"/>
    <n v="3081"/>
    <n v="0"/>
    <n v="3843.11"/>
    <d v="2025-12-04T00:00:00"/>
    <n v="3843.11"/>
    <n v="0"/>
    <s v="NULL"/>
    <s v="PRO"/>
    <n v="38.43"/>
    <n v="3804.68"/>
    <s v="PAID"/>
    <n v="2"/>
    <n v="7673975854802"/>
    <d v="2025-12-12T00:00:00"/>
    <d v="2025-12-04T00:00:00"/>
    <m/>
    <d v="2025-12-12T00:00:00"/>
    <d v="2025-12-08T11:05:00"/>
    <n v="30811008270"/>
    <d v="2025-12-04T00:00:00"/>
    <s v="MKG-9676-PRO"/>
    <s v="NET 01/10/26"/>
    <n v="206555"/>
    <d v="2025-12-04T00:00:00"/>
    <d v="2025-12-12T00:00:00"/>
    <m/>
    <x v="0"/>
  </r>
  <r>
    <x v="27"/>
    <n v="1008300"/>
    <n v="124.89"/>
    <n v="2.5"/>
    <n v="122.39"/>
    <n v="1.25"/>
    <n v="121.14"/>
    <d v="2025-12-12T00:00:00"/>
    <n v="1008300"/>
    <n v="3081"/>
    <n v="2.5"/>
    <n v="124.89"/>
    <d v="2025-12-05T00:00:00"/>
    <n v="122.39"/>
    <n v="2.5"/>
    <n v="100638"/>
    <s v="OPTECH"/>
    <n v="1.25"/>
    <n v="121.14"/>
    <s v="PAID"/>
    <n v="2"/>
    <n v="7673975854802"/>
    <d v="2025-12-12T00:00:00"/>
    <d v="2025-12-05T00:00:00"/>
    <m/>
    <d v="2025-12-12T00:00:00"/>
    <d v="2025-12-08T11:05:00"/>
    <n v="30811008300"/>
    <d v="2025-12-05T00:00:00"/>
    <s v="CMOT9671"/>
    <s v="2% 01/10/26"/>
    <n v="100638"/>
    <d v="2025-12-05T00:00:00"/>
    <d v="2025-12-12T00:00:00"/>
    <n v="2.4978000000000002"/>
    <x v="0"/>
  </r>
  <r>
    <x v="27"/>
    <n v="1008347"/>
    <n v="1843.8"/>
    <m/>
    <n v="1843.8"/>
    <n v="18.440000000000001"/>
    <n v="1825.36"/>
    <d v="2025-12-12T00:00:00"/>
    <n v="1008347"/>
    <n v="3081"/>
    <n v="0"/>
    <n v="1843.8"/>
    <d v="2025-12-05T00:00:00"/>
    <n v="1843.8"/>
    <n v="0"/>
    <s v="A112988"/>
    <s v="HAHNEMUHLE"/>
    <n v="18.440000000000001"/>
    <n v="1825.36"/>
    <s v="PAID"/>
    <n v="2"/>
    <n v="7673975854802"/>
    <d v="2025-12-12T00:00:00"/>
    <d v="2025-12-05T00:00:00"/>
    <m/>
    <d v="2025-12-12T00:00:00"/>
    <d v="2025-12-08T11:05:00"/>
    <n v="30811008347"/>
    <d v="2025-12-05T00:00:00"/>
    <n v="12022025"/>
    <s v="NET 01/10/26"/>
    <s v="A112988"/>
    <d v="2025-12-05T00:00:00"/>
    <d v="2025-12-12T00:00:00"/>
    <m/>
    <x v="0"/>
  </r>
  <r>
    <x v="27"/>
    <n v="1008348"/>
    <n v="1211.08"/>
    <m/>
    <n v="1211.08"/>
    <n v="12.11"/>
    <n v="1198.97"/>
    <d v="2025-12-12T00:00:00"/>
    <n v="1008348"/>
    <n v="3081"/>
    <n v="0"/>
    <n v="1211.08"/>
    <d v="2025-12-05T00:00:00"/>
    <n v="1211.08"/>
    <n v="0"/>
    <s v="A112989"/>
    <s v="HAHNEMUHLE"/>
    <n v="12.11"/>
    <n v="1198.97"/>
    <s v="PAID"/>
    <n v="2"/>
    <n v="7673975854802"/>
    <d v="2025-12-12T00:00:00"/>
    <d v="2025-12-05T00:00:00"/>
    <m/>
    <d v="2025-12-12T00:00:00"/>
    <d v="2025-12-08T11:05:00"/>
    <n v="30811008348"/>
    <d v="2025-12-05T00:00:00"/>
    <s v="LAN12032"/>
    <s v="NET 01/10/26"/>
    <s v="A112989"/>
    <d v="2025-12-05T00:00:00"/>
    <d v="2025-12-12T00:00:00"/>
    <m/>
    <x v="0"/>
  </r>
  <r>
    <x v="27"/>
    <n v="1008441"/>
    <n v="166.74"/>
    <n v="3.33"/>
    <n v="163.41"/>
    <n v="1.67"/>
    <n v="161.74"/>
    <d v="2025-12-12T00:00:00"/>
    <n v="1008441"/>
    <n v="3081"/>
    <n v="3.33"/>
    <n v="166.74"/>
    <d v="2025-12-05T00:00:00"/>
    <n v="163.41"/>
    <n v="3.33"/>
    <s v="NULL"/>
    <s v="PRO"/>
    <n v="1.67"/>
    <n v="161.74"/>
    <s v="PAID"/>
    <n v="2"/>
    <n v="7673975854802"/>
    <d v="2025-12-12T00:00:00"/>
    <d v="2025-12-05T00:00:00"/>
    <m/>
    <d v="2025-12-12T00:00:00"/>
    <d v="2025-12-08T11:05:00"/>
    <n v="30811008441"/>
    <d v="2025-12-05T00:00:00"/>
    <s v="WW-PRO-9547"/>
    <s v="2% 01/10/26"/>
    <n v="206611"/>
    <d v="2025-12-05T00:00:00"/>
    <d v="2025-12-12T00:00:00"/>
    <n v="3.3348000000000004"/>
    <x v="0"/>
  </r>
  <r>
    <x v="27"/>
    <n v="1008445"/>
    <n v="179.1"/>
    <n v="3.58"/>
    <n v="175.52"/>
    <n v="1.79"/>
    <n v="173.73"/>
    <d v="2025-12-12T00:00:00"/>
    <n v="1008445"/>
    <n v="3081"/>
    <n v="3.58"/>
    <n v="179.1"/>
    <d v="2025-12-05T00:00:00"/>
    <n v="175.52"/>
    <n v="3.58"/>
    <s v="NULL"/>
    <s v="PRO"/>
    <n v="1.79"/>
    <n v="173.73"/>
    <s v="PAID"/>
    <n v="2"/>
    <n v="7673975854802"/>
    <d v="2025-12-12T00:00:00"/>
    <d v="2025-12-05T00:00:00"/>
    <m/>
    <d v="2025-12-12T00:00:00"/>
    <d v="2025-12-08T11:05:00"/>
    <n v="30811008445"/>
    <d v="2025-12-05T00:00:00"/>
    <s v="WW-PRO-9600"/>
    <s v="2% 01/10/26"/>
    <n v="206612"/>
    <d v="2025-12-05T00:00:00"/>
    <d v="2025-12-12T00:00:00"/>
    <n v="3.5819999999999999"/>
    <x v="0"/>
  </r>
  <r>
    <x v="27"/>
    <n v="1008448"/>
    <n v="199"/>
    <n v="3.98"/>
    <n v="195.02"/>
    <n v="1.99"/>
    <n v="193.03"/>
    <d v="2025-12-12T00:00:00"/>
    <n v="1008448"/>
    <n v="3081"/>
    <n v="3.98"/>
    <n v="199"/>
    <d v="2025-12-05T00:00:00"/>
    <n v="195.02"/>
    <n v="3.98"/>
    <s v="NULL"/>
    <s v="PRO"/>
    <n v="1.99"/>
    <n v="193.03"/>
    <s v="PAID"/>
    <n v="2"/>
    <n v="7673975854802"/>
    <d v="2025-12-12T00:00:00"/>
    <d v="2025-12-05T00:00:00"/>
    <m/>
    <d v="2025-12-12T00:00:00"/>
    <d v="2025-12-08T11:05:00"/>
    <n v="30811008448"/>
    <d v="2025-12-05T00:00:00"/>
    <s v="ACP-PRO-9480"/>
    <s v="2% 01/10/26"/>
    <n v="206610"/>
    <d v="2025-12-05T00:00:00"/>
    <d v="2025-12-12T00:00:00"/>
    <n v="3.98"/>
    <x v="0"/>
  </r>
  <r>
    <x v="27"/>
    <n v="1008508"/>
    <n v="1849.99"/>
    <m/>
    <n v="1849.99"/>
    <n v="18.5"/>
    <n v="1831.49"/>
    <d v="2025-12-12T00:00:00"/>
    <n v="1008508"/>
    <n v="3081"/>
    <n v="0"/>
    <n v="1849.99"/>
    <d v="2025-12-05T00:00:00"/>
    <n v="1849.99"/>
    <n v="0"/>
    <s v="NULL"/>
    <s v="PRO"/>
    <n v="18.5"/>
    <n v="1831.49"/>
    <s v="PAID"/>
    <n v="2"/>
    <n v="7673975854802"/>
    <d v="2025-12-12T00:00:00"/>
    <d v="2025-12-05T00:00:00"/>
    <m/>
    <d v="2025-12-12T00:00:00"/>
    <d v="2025-12-08T11:05:00"/>
    <n v="30811008508"/>
    <d v="2025-12-05T00:00:00"/>
    <s v="MPV50200DEMO"/>
    <s v="NET 01/10/26"/>
    <n v="206853"/>
    <d v="2025-12-05T00:00:00"/>
    <d v="2025-12-12T00:00:00"/>
    <m/>
    <x v="0"/>
  </r>
  <r>
    <x v="27"/>
    <n v="1008510"/>
    <n v="1849.99"/>
    <m/>
    <n v="1849.99"/>
    <n v="18.5"/>
    <n v="1831.49"/>
    <d v="2025-12-12T00:00:00"/>
    <n v="1008510"/>
    <n v="3081"/>
    <n v="0"/>
    <n v="1849.99"/>
    <d v="2025-12-05T00:00:00"/>
    <n v="1849.99"/>
    <n v="0"/>
    <s v="NULL"/>
    <s v="PRO"/>
    <n v="18.5"/>
    <n v="1831.49"/>
    <s v="PAID"/>
    <n v="2"/>
    <n v="7673975854802"/>
    <d v="2025-12-12T00:00:00"/>
    <d v="2025-12-05T00:00:00"/>
    <m/>
    <d v="2025-12-12T00:00:00"/>
    <d v="2025-12-08T11:05:00"/>
    <n v="30811008510"/>
    <d v="2025-12-05T00:00:00"/>
    <s v="MKG-9640"/>
    <s v="NET 01/10/26"/>
    <n v="206851"/>
    <d v="2025-12-05T00:00:00"/>
    <d v="2025-12-12T00:00:00"/>
    <m/>
    <x v="0"/>
  </r>
  <r>
    <x v="27"/>
    <n v="1008512"/>
    <n v="40.83"/>
    <m/>
    <n v="40.83"/>
    <n v="0.41"/>
    <n v="40.42"/>
    <d v="2025-12-12T00:00:00"/>
    <n v="1008512"/>
    <n v="3081"/>
    <n v="0"/>
    <n v="40.83"/>
    <d v="2025-12-05T00:00:00"/>
    <n v="40.83"/>
    <n v="0"/>
    <s v="NULL"/>
    <s v="PRO"/>
    <n v="0.41"/>
    <n v="40.42"/>
    <s v="PAID"/>
    <n v="2"/>
    <n v="7673975854802"/>
    <d v="2025-12-12T00:00:00"/>
    <d v="2025-12-05T00:00:00"/>
    <m/>
    <d v="2025-12-12T00:00:00"/>
    <d v="2025-12-08T11:05:00"/>
    <n v="30811008512"/>
    <d v="2025-12-05T00:00:00"/>
    <s v="WW-PRO-9674"/>
    <s v="NET 01/10/26"/>
    <n v="206854"/>
    <d v="2025-12-05T00:00:00"/>
    <d v="2025-12-12T00:00:00"/>
    <m/>
    <x v="0"/>
  </r>
  <r>
    <x v="27"/>
    <n v="1008513"/>
    <n v="331.64"/>
    <m/>
    <n v="331.64"/>
    <n v="3.32"/>
    <n v="328.32"/>
    <d v="2025-12-12T00:00:00"/>
    <n v="1008513"/>
    <n v="3081"/>
    <n v="0"/>
    <n v="331.64"/>
    <d v="2025-12-05T00:00:00"/>
    <n v="331.64"/>
    <n v="0"/>
    <s v="NULL"/>
    <s v="PRO"/>
    <n v="3.32"/>
    <n v="328.32"/>
    <s v="PAID"/>
    <n v="2"/>
    <n v="7673975854802"/>
    <d v="2025-12-12T00:00:00"/>
    <d v="2025-12-05T00:00:00"/>
    <m/>
    <d v="2025-12-12T00:00:00"/>
    <d v="2025-12-08T11:05:00"/>
    <n v="30811008513"/>
    <d v="2025-12-05T00:00:00"/>
    <s v="ACP-PRO-9685"/>
    <s v="NET 01/10/26"/>
    <n v="206850"/>
    <d v="2025-12-05T00:00:00"/>
    <d v="2025-12-12T00:00:00"/>
    <m/>
    <x v="0"/>
  </r>
  <r>
    <x v="27"/>
    <n v="1008515"/>
    <n v="1849.99"/>
    <m/>
    <n v="1849.99"/>
    <n v="18.5"/>
    <n v="1831.49"/>
    <d v="2025-12-12T00:00:00"/>
    <n v="1008515"/>
    <n v="3081"/>
    <n v="0"/>
    <n v="1849.99"/>
    <d v="2025-12-05T00:00:00"/>
    <n v="1849.99"/>
    <n v="0"/>
    <s v="NULL"/>
    <s v="PRO"/>
    <n v="18.5"/>
    <n v="1831.49"/>
    <s v="PAID"/>
    <n v="2"/>
    <n v="7673975854802"/>
    <d v="2025-12-12T00:00:00"/>
    <d v="2025-12-05T00:00:00"/>
    <m/>
    <d v="2025-12-12T00:00:00"/>
    <d v="2025-12-08T11:05:00"/>
    <n v="30811008515"/>
    <d v="2025-12-05T00:00:00"/>
    <s v="LAN112425."/>
    <s v="NET 01/10/26"/>
    <n v="206852"/>
    <d v="2025-12-05T00:00:00"/>
    <d v="2025-12-12T00:00:00"/>
    <m/>
    <x v="0"/>
  </r>
  <r>
    <x v="27"/>
    <n v="1008517"/>
    <n v="706.58"/>
    <n v="14.13"/>
    <n v="692.45"/>
    <n v="7.07"/>
    <n v="685.38"/>
    <d v="2025-12-12T00:00:00"/>
    <n v="1008517"/>
    <n v="3081"/>
    <n v="14.13"/>
    <n v="706.58"/>
    <d v="2025-12-05T00:00:00"/>
    <n v="692.45"/>
    <n v="14.13"/>
    <s v="NULL"/>
    <s v="PRO"/>
    <n v="7.07"/>
    <n v="685.38"/>
    <s v="PAID"/>
    <n v="2"/>
    <n v="7673975854802"/>
    <d v="2025-12-12T00:00:00"/>
    <d v="2025-12-05T00:00:00"/>
    <m/>
    <d v="2025-12-12T00:00:00"/>
    <d v="2025-12-08T11:05:00"/>
    <n v="30811008517"/>
    <d v="2025-12-05T00:00:00"/>
    <s v="WW-PRO-9674"/>
    <s v="2% 01/10/26"/>
    <n v="206849"/>
    <d v="2025-12-05T00:00:00"/>
    <d v="2025-12-12T00:00:00"/>
    <n v="14.131600000000001"/>
    <x v="0"/>
  </r>
  <r>
    <x v="27"/>
    <n v="1008521"/>
    <n v="7.43"/>
    <n v="0.15"/>
    <n v="7.28"/>
    <n v="7.0000000000000007E-2"/>
    <n v="7.21"/>
    <d v="2025-12-12T00:00:00"/>
    <n v="1008521"/>
    <n v="3081"/>
    <n v="0.15"/>
    <n v="7.43"/>
    <d v="2025-12-05T00:00:00"/>
    <n v="7.28"/>
    <n v="0.15"/>
    <s v="NULL"/>
    <s v="PRO"/>
    <n v="7.0000000000000007E-2"/>
    <n v="7.21"/>
    <s v="PAID"/>
    <n v="2"/>
    <n v="7673975854802"/>
    <d v="2025-12-12T00:00:00"/>
    <d v="2025-12-05T00:00:00"/>
    <m/>
    <d v="2025-12-12T00:00:00"/>
    <d v="2025-12-08T11:05:00"/>
    <n v="30811008521"/>
    <d v="2025-12-05T00:00:00"/>
    <s v="WW-PRO-9674"/>
    <s v="2% 01/10/26"/>
    <n v="206843"/>
    <d v="2025-12-05T00:00:00"/>
    <d v="2025-12-12T00:00:00"/>
    <n v="0.14860000000000001"/>
    <x v="0"/>
  </r>
  <r>
    <x v="27"/>
    <n v="1008522"/>
    <n v="538.1"/>
    <n v="10.76"/>
    <n v="527.34"/>
    <n v="5.38"/>
    <n v="521.96"/>
    <d v="2025-12-12T00:00:00"/>
    <n v="1008522"/>
    <n v="3081"/>
    <n v="10.76"/>
    <n v="538.1"/>
    <d v="2025-12-05T00:00:00"/>
    <n v="527.34"/>
    <n v="10.76"/>
    <s v="NULL"/>
    <s v="PRO"/>
    <n v="5.38"/>
    <n v="521.96"/>
    <s v="PAID"/>
    <n v="2"/>
    <n v="7673975854802"/>
    <d v="2025-12-12T00:00:00"/>
    <d v="2025-12-05T00:00:00"/>
    <m/>
    <d v="2025-12-12T00:00:00"/>
    <d v="2025-12-08T11:05:00"/>
    <n v="30811008522"/>
    <d v="2025-12-05T00:00:00"/>
    <s v="ACP-PRO-9685"/>
    <s v="2% 01/10/26"/>
    <n v="206842"/>
    <d v="2025-12-05T00:00:00"/>
    <d v="2025-12-12T00:00:00"/>
    <n v="10.762"/>
    <x v="0"/>
  </r>
  <r>
    <x v="27"/>
    <n v="1008523"/>
    <n v="351.47"/>
    <n v="7.03"/>
    <n v="344.44"/>
    <n v="3.51"/>
    <n v="340.93"/>
    <d v="2025-12-12T00:00:00"/>
    <n v="1008523"/>
    <n v="3081"/>
    <n v="7.03"/>
    <n v="351.47"/>
    <d v="2025-12-05T00:00:00"/>
    <n v="344.44"/>
    <n v="7.03"/>
    <s v="NULL"/>
    <s v="PRO"/>
    <n v="3.51"/>
    <n v="340.93"/>
    <s v="PAID"/>
    <n v="2"/>
    <n v="7673975854802"/>
    <d v="2025-12-12T00:00:00"/>
    <d v="2025-12-05T00:00:00"/>
    <m/>
    <d v="2025-12-12T00:00:00"/>
    <d v="2025-12-08T11:05:00"/>
    <n v="30811008523"/>
    <d v="2025-12-05T00:00:00"/>
    <s v="ACP-PRO-9685"/>
    <s v="2% 01/10/26"/>
    <n v="206848"/>
    <d v="2025-12-05T00:00:00"/>
    <d v="2025-12-12T00:00:00"/>
    <n v="7.0294000000000008"/>
    <x v="0"/>
  </r>
  <r>
    <x v="27"/>
    <n v="1008524"/>
    <n v="336.26"/>
    <n v="6.73"/>
    <n v="329.53"/>
    <n v="3.36"/>
    <n v="326.17"/>
    <d v="2025-12-12T00:00:00"/>
    <n v="1008524"/>
    <n v="3081"/>
    <n v="6.73"/>
    <n v="336.26"/>
    <d v="2025-12-05T00:00:00"/>
    <n v="329.53"/>
    <n v="6.73"/>
    <s v="NULL"/>
    <s v="PRO"/>
    <n v="3.36"/>
    <n v="326.17"/>
    <s v="PAID"/>
    <n v="2"/>
    <n v="7673975854802"/>
    <d v="2025-12-12T00:00:00"/>
    <d v="2025-12-05T00:00:00"/>
    <m/>
    <d v="2025-12-12T00:00:00"/>
    <d v="2025-12-08T11:05:00"/>
    <n v="30811008524"/>
    <d v="2025-12-05T00:00:00"/>
    <s v="WW-PRO-9691"/>
    <s v="2% 01/10/26"/>
    <n v="206886"/>
    <d v="2025-12-05T00:00:00"/>
    <d v="2025-12-12T00:00:00"/>
    <n v="6.7252000000000001"/>
    <x v="0"/>
  </r>
  <r>
    <x v="28"/>
    <n v="1007553"/>
    <n v="3990"/>
    <m/>
    <n v="3990"/>
    <n v="39.9"/>
    <n v="3950.1"/>
    <d v="2025-12-12T00:00:00"/>
    <n v="1007553"/>
    <n v="3109"/>
    <n v="0"/>
    <n v="3990"/>
    <d v="2025-12-02T00:00:00"/>
    <n v="3990"/>
    <n v="0"/>
    <s v="NULL"/>
    <s v="PRO"/>
    <n v="39.9"/>
    <n v="3950.1"/>
    <s v="PAID"/>
    <n v="2"/>
    <n v="4419654702762"/>
    <d v="2025-12-12T00:00:00"/>
    <d v="2025-12-02T00:00:00"/>
    <m/>
    <d v="2025-12-12T00:00:00"/>
    <d v="2025-12-11T12:00:00"/>
    <n v="31091007553"/>
    <d v="2025-12-02T00:00:00"/>
    <s v="NULL"/>
    <s v="NET 02/10/26"/>
    <s v="NULL"/>
    <d v="2025-12-02T00:00:00"/>
    <d v="2025-12-12T00:00:00"/>
    <m/>
    <x v="0"/>
  </r>
  <r>
    <x v="28"/>
    <n v="1007834"/>
    <n v="138.6"/>
    <n v="2.77"/>
    <n v="135.83000000000001"/>
    <n v="1.39"/>
    <n v="134.44"/>
    <d v="2025-12-12T00:00:00"/>
    <n v="1007834"/>
    <n v="3109"/>
    <n v="2.77"/>
    <n v="138.6"/>
    <d v="2025-12-02T00:00:00"/>
    <n v="135.83000000000001"/>
    <n v="2.77"/>
    <s v="NULL"/>
    <s v="PRO"/>
    <n v="1.39"/>
    <n v="134.44"/>
    <s v="PAID"/>
    <n v="2"/>
    <n v="4419654702762"/>
    <d v="2025-12-12T00:00:00"/>
    <d v="2025-12-02T00:00:00"/>
    <m/>
    <d v="2025-12-12T00:00:00"/>
    <d v="2025-12-11T12:00:00"/>
    <n v="31091007834"/>
    <d v="2025-12-02T00:00:00"/>
    <n v="46386"/>
    <s v="2% 01/10/26"/>
    <n v="206161"/>
    <d v="2025-12-02T00:00:00"/>
    <d v="2025-12-12T00:00:00"/>
    <n v="2.7719999999999998"/>
    <x v="0"/>
  </r>
  <r>
    <x v="28"/>
    <n v="1007954"/>
    <n v="876.08"/>
    <n v="17.52"/>
    <n v="858.56"/>
    <n v="8.76"/>
    <n v="849.8"/>
    <d v="2025-12-12T00:00:00"/>
    <n v="1007954"/>
    <n v="3109"/>
    <n v="17.52"/>
    <n v="876.08"/>
    <d v="2025-12-03T00:00:00"/>
    <n v="858.56"/>
    <n v="17.52"/>
    <s v="NULL"/>
    <s v="PRO"/>
    <n v="8.76"/>
    <n v="849.8"/>
    <s v="PAID"/>
    <n v="2"/>
    <n v="4419654702762"/>
    <d v="2025-12-12T00:00:00"/>
    <d v="2025-12-03T00:00:00"/>
    <m/>
    <d v="2025-12-12T00:00:00"/>
    <d v="2025-12-11T12:00:00"/>
    <n v="31091007954"/>
    <d v="2025-12-03T00:00:00"/>
    <n v="46396"/>
    <s v="2% 01/10/26"/>
    <n v="206245"/>
    <d v="2025-12-03T00:00:00"/>
    <d v="2025-12-12T00:00:00"/>
    <n v="17.521600000000003"/>
    <x v="0"/>
  </r>
  <r>
    <x v="28"/>
    <n v="1007959"/>
    <n v="117.3"/>
    <m/>
    <n v="117.3"/>
    <n v="1.17"/>
    <n v="116.13"/>
    <d v="2025-12-12T00:00:00"/>
    <n v="1007959"/>
    <n v="3109"/>
    <n v="0"/>
    <n v="117.3"/>
    <d v="2025-12-03T00:00:00"/>
    <n v="117.3"/>
    <n v="0"/>
    <s v="NULL"/>
    <s v="PRO"/>
    <n v="1.17"/>
    <n v="116.13"/>
    <s v="PAID"/>
    <n v="2"/>
    <n v="4419654702762"/>
    <d v="2025-12-12T00:00:00"/>
    <d v="2025-12-03T00:00:00"/>
    <m/>
    <d v="2025-12-12T00:00:00"/>
    <d v="2025-12-11T12:00:00"/>
    <n v="31091007959"/>
    <d v="2025-12-03T00:00:00"/>
    <n v="46386"/>
    <s v="NET 01/10/26"/>
    <n v="206246"/>
    <d v="2025-12-03T00:00:00"/>
    <d v="2025-12-12T00:00:00"/>
    <m/>
    <x v="0"/>
  </r>
  <r>
    <x v="28"/>
    <n v="1007961"/>
    <n v="989.17"/>
    <n v="19.78"/>
    <n v="969.39"/>
    <n v="9.89"/>
    <n v="959.5"/>
    <d v="2025-12-12T00:00:00"/>
    <n v="1007961"/>
    <n v="3109"/>
    <n v="19.78"/>
    <n v="989.17"/>
    <d v="2025-12-03T00:00:00"/>
    <n v="969.39"/>
    <n v="19.78"/>
    <s v="NULL"/>
    <s v="PRO"/>
    <n v="9.89"/>
    <n v="959.5"/>
    <s v="PAID"/>
    <n v="2"/>
    <n v="4419654702762"/>
    <d v="2025-12-12T00:00:00"/>
    <d v="2025-12-03T00:00:00"/>
    <m/>
    <d v="2025-12-12T00:00:00"/>
    <d v="2025-12-11T12:00:00"/>
    <n v="31091007961"/>
    <d v="2025-12-03T00:00:00"/>
    <n v="46386"/>
    <s v="2% 01/10/26"/>
    <n v="206244"/>
    <d v="2025-12-03T00:00:00"/>
    <d v="2025-12-12T00:00:00"/>
    <n v="19.7834"/>
    <x v="0"/>
  </r>
  <r>
    <x v="28"/>
    <n v="1008276"/>
    <n v="-50"/>
    <m/>
    <n v="-50"/>
    <m/>
    <n v="-50"/>
    <d v="2025-12-12T00:00:00"/>
    <n v="1008276"/>
    <n v="3109"/>
    <n v="0"/>
    <n v="-50"/>
    <d v="2025-12-04T00:00:00"/>
    <n v="-50"/>
    <n v="0"/>
    <s v="NMCNoINV"/>
    <s v="PRO"/>
    <n v="0"/>
    <n v="-50"/>
    <s v="PAID"/>
    <n v="2"/>
    <n v="4419654702762"/>
    <d v="2025-12-12T00:00:00"/>
    <d v="2025-12-04T00:00:00"/>
    <m/>
    <d v="2025-12-12T00:00:00"/>
    <d v="2025-12-11T12:00:00"/>
    <n v="31091008276"/>
    <d v="2025-12-04T00:00:00"/>
    <s v="N/A"/>
    <s v="NET 01/10/26"/>
    <s v="NMCNoINV"/>
    <d v="2025-12-04T00:00:00"/>
    <d v="2025-12-12T00:00:00"/>
    <m/>
    <x v="0"/>
  </r>
  <r>
    <x v="28"/>
    <n v="1008325"/>
    <n v="264"/>
    <m/>
    <n v="264"/>
    <n v="2.64"/>
    <n v="261.36"/>
    <d v="2025-12-12T00:00:00"/>
    <n v="1008325"/>
    <n v="3109"/>
    <n v="0"/>
    <n v="264"/>
    <d v="2025-12-05T00:00:00"/>
    <n v="264"/>
    <n v="0"/>
    <s v="INV124997"/>
    <s v="DELKIN"/>
    <n v="2.64"/>
    <n v="261.36"/>
    <s v="PAID"/>
    <n v="2"/>
    <n v="4419654702762"/>
    <d v="2025-12-12T00:00:00"/>
    <d v="2025-12-05T00:00:00"/>
    <m/>
    <d v="2025-12-12T00:00:00"/>
    <d v="2025-12-11T12:00:00"/>
    <n v="31091008325"/>
    <d v="2025-12-05T00:00:00"/>
    <n v="46363"/>
    <s v="NET 01/10/26"/>
    <s v="INV124997"/>
    <d v="2025-12-05T00:00:00"/>
    <d v="2025-12-12T00:00:00"/>
    <m/>
    <x v="0"/>
  </r>
  <r>
    <x v="28"/>
    <n v="1008327"/>
    <n v="-10"/>
    <m/>
    <n v="-10"/>
    <m/>
    <n v="-10"/>
    <d v="2025-12-12T00:00:00"/>
    <n v="1008327"/>
    <n v="3109"/>
    <n v="0"/>
    <n v="-10"/>
    <d v="2025-12-05T00:00:00"/>
    <n v="-10"/>
    <n v="0"/>
    <s v="NMCCM104632"/>
    <s v="DELKIN"/>
    <n v="0"/>
    <n v="-10"/>
    <s v="PAID"/>
    <n v="2"/>
    <n v="4419654702762"/>
    <d v="2025-12-12T00:00:00"/>
    <d v="2025-12-05T00:00:00"/>
    <m/>
    <d v="2025-12-12T00:00:00"/>
    <d v="2025-12-11T12:00:00"/>
    <n v="31091008327"/>
    <d v="2025-12-05T00:00:00"/>
    <s v="OCTSPIFF"/>
    <s v="NET 01/10/26"/>
    <s v="NMCCM104632"/>
    <d v="2025-12-05T00:00:00"/>
    <d v="2025-12-12T00:00:00"/>
    <m/>
    <x v="0"/>
  </r>
  <r>
    <x v="28"/>
    <n v="1008475"/>
    <n v="25.96"/>
    <n v="0.52"/>
    <n v="25.44"/>
    <n v="0.26"/>
    <n v="25.18"/>
    <d v="2025-12-12T00:00:00"/>
    <n v="1008475"/>
    <n v="3109"/>
    <n v="0.52"/>
    <n v="25.96"/>
    <d v="2025-12-05T00:00:00"/>
    <n v="25.44"/>
    <n v="0.52"/>
    <s v="NULL"/>
    <s v="PRO"/>
    <n v="0.26"/>
    <n v="25.18"/>
    <s v="PAID"/>
    <n v="2"/>
    <n v="4419654702762"/>
    <d v="2025-12-12T00:00:00"/>
    <d v="2025-12-05T00:00:00"/>
    <m/>
    <d v="2025-12-12T00:00:00"/>
    <d v="2025-12-11T12:00:00"/>
    <n v="31091008475"/>
    <d v="2025-12-05T00:00:00"/>
    <n v="46386"/>
    <s v="2% 01/10/26"/>
    <n v="206623"/>
    <d v="2025-12-05T00:00:00"/>
    <d v="2025-12-12T00:00:00"/>
    <n v="0.51919999999999999"/>
    <x v="0"/>
  </r>
  <r>
    <x v="28"/>
    <n v="1008491"/>
    <n v="260.27999999999997"/>
    <n v="5.21"/>
    <n v="255.07"/>
    <n v="2.6"/>
    <n v="252.47"/>
    <d v="2025-12-12T00:00:00"/>
    <n v="1008491"/>
    <n v="3109"/>
    <n v="5.21"/>
    <n v="260.27999999999997"/>
    <d v="2025-12-05T00:00:00"/>
    <n v="255.07"/>
    <n v="5.21"/>
    <s v="NULL"/>
    <s v="PRO"/>
    <n v="2.6"/>
    <n v="252.47"/>
    <s v="PAID"/>
    <n v="2"/>
    <n v="4419654702762"/>
    <d v="2025-12-12T00:00:00"/>
    <d v="2025-12-05T00:00:00"/>
    <m/>
    <d v="2025-12-12T00:00:00"/>
    <d v="2025-12-11T12:00:00"/>
    <n v="31091008491"/>
    <d v="2025-12-05T00:00:00"/>
    <n v="46400"/>
    <s v="2% 01/10/26"/>
    <n v="206835"/>
    <d v="2025-12-05T00:00:00"/>
    <d v="2025-12-12T00:00:00"/>
    <n v="5.2055999999999996"/>
    <x v="0"/>
  </r>
  <r>
    <x v="28"/>
    <n v="1008496"/>
    <n v="514.20000000000005"/>
    <m/>
    <n v="514.20000000000005"/>
    <n v="5.14"/>
    <n v="509.06"/>
    <d v="2025-12-12T00:00:00"/>
    <n v="1008496"/>
    <n v="3109"/>
    <n v="0"/>
    <n v="514.20000000000005"/>
    <d v="2025-12-05T00:00:00"/>
    <n v="514.20000000000005"/>
    <n v="0"/>
    <s v="NULL"/>
    <s v="PRO"/>
    <n v="5.14"/>
    <n v="509.06"/>
    <s v="PAID"/>
    <n v="2"/>
    <n v="4419654702762"/>
    <d v="2025-12-12T00:00:00"/>
    <d v="2025-12-05T00:00:00"/>
    <m/>
    <d v="2025-12-12T00:00:00"/>
    <d v="2025-12-11T12:00:00"/>
    <n v="31091008496"/>
    <d v="2025-12-05T00:00:00"/>
    <n v="46400"/>
    <s v="NET 01/10/26"/>
    <n v="206836"/>
    <d v="2025-12-05T00:00:00"/>
    <d v="2025-12-12T00:00:00"/>
    <m/>
    <x v="0"/>
  </r>
  <r>
    <x v="29"/>
    <n v="1007225"/>
    <n v="199.08"/>
    <n v="3.98"/>
    <n v="195.1"/>
    <n v="1.99"/>
    <n v="193.11"/>
    <d v="2025-12-12T00:00:00"/>
    <n v="1007225"/>
    <n v="3123"/>
    <n v="3.98"/>
    <n v="199.08"/>
    <d v="2025-12-01T00:00:00"/>
    <n v="195.1"/>
    <n v="3.98"/>
    <s v="NULL"/>
    <s v="PRO"/>
    <n v="1.99"/>
    <n v="193.11"/>
    <s v="PAID"/>
    <n v="2"/>
    <n v="6585911636828"/>
    <d v="2025-12-12T00:00:00"/>
    <d v="2025-12-01T00:00:00"/>
    <m/>
    <d v="2025-12-12T00:00:00"/>
    <d v="2025-12-09T16:28:00"/>
    <n v="31231007225"/>
    <d v="2025-12-01T00:00:00"/>
    <s v="250801P"/>
    <s v="2% 01/10/26"/>
    <n v="205710"/>
    <d v="2025-12-01T00:00:00"/>
    <d v="2025-12-12T00:00:00"/>
    <n v="3.9816000000000003"/>
    <x v="0"/>
  </r>
  <r>
    <x v="29"/>
    <n v="1007401"/>
    <n v="18.48"/>
    <n v="0.37"/>
    <n v="18.11"/>
    <n v="0.18"/>
    <n v="17.93"/>
    <d v="2025-12-12T00:00:00"/>
    <n v="1007401"/>
    <n v="3123"/>
    <n v="0.37"/>
    <n v="18.48"/>
    <d v="2025-12-01T00:00:00"/>
    <n v="18.11"/>
    <n v="0.37"/>
    <s v="NULL"/>
    <s v="PRO"/>
    <n v="0.18"/>
    <n v="17.93"/>
    <s v="PAID"/>
    <n v="2"/>
    <n v="6585911636828"/>
    <d v="2025-12-12T00:00:00"/>
    <d v="2025-12-01T00:00:00"/>
    <m/>
    <d v="2025-12-12T00:00:00"/>
    <d v="2025-12-09T16:28:00"/>
    <n v="31231007401"/>
    <d v="2025-12-01T00:00:00"/>
    <s v="251021P"/>
    <s v="2% 01/10/26"/>
    <n v="205992"/>
    <d v="2025-12-01T00:00:00"/>
    <d v="2025-12-12T00:00:00"/>
    <n v="0.36960000000000004"/>
    <x v="0"/>
  </r>
  <r>
    <x v="29"/>
    <n v="1007439"/>
    <n v="120.96"/>
    <n v="2.42"/>
    <n v="118.54"/>
    <n v="1.21"/>
    <n v="117.33"/>
    <d v="2025-12-12T00:00:00"/>
    <n v="1007439"/>
    <n v="3123"/>
    <n v="2.42"/>
    <n v="120.96"/>
    <d v="2025-12-01T00:00:00"/>
    <n v="118.54"/>
    <n v="2.42"/>
    <s v="NULL"/>
    <s v="PRO"/>
    <n v="1.21"/>
    <n v="117.33"/>
    <s v="PAID"/>
    <n v="2"/>
    <n v="6585911636828"/>
    <d v="2025-12-12T00:00:00"/>
    <d v="2025-12-01T00:00:00"/>
    <m/>
    <d v="2025-12-12T00:00:00"/>
    <d v="2025-12-09T16:28:00"/>
    <n v="31231007439"/>
    <d v="2025-12-01T00:00:00"/>
    <s v="251128P"/>
    <s v="2% 01/10/26"/>
    <n v="205900"/>
    <d v="2025-12-01T00:00:00"/>
    <d v="2025-12-12T00:00:00"/>
    <n v="2.4192"/>
    <x v="0"/>
  </r>
  <r>
    <x v="29"/>
    <n v="1007619"/>
    <n v="3990"/>
    <m/>
    <n v="3990"/>
    <n v="39.9"/>
    <n v="3950.1"/>
    <d v="2025-12-12T00:00:00"/>
    <n v="1007619"/>
    <n v="3123"/>
    <n v="0"/>
    <n v="3990"/>
    <d v="2025-12-02T00:00:00"/>
    <n v="3990"/>
    <n v="0"/>
    <s v="NULL"/>
    <s v="PRO"/>
    <n v="39.9"/>
    <n v="3950.1"/>
    <s v="PAID"/>
    <n v="2"/>
    <n v="6585911636828"/>
    <d v="2025-12-12T00:00:00"/>
    <d v="2025-12-02T00:00:00"/>
    <m/>
    <d v="2025-12-12T00:00:00"/>
    <d v="2025-12-09T16:28:00"/>
    <n v="31231007619"/>
    <d v="2025-12-02T00:00:00"/>
    <s v="NULL"/>
    <s v="NET 02/10/26"/>
    <s v="NULL"/>
    <d v="2025-12-02T00:00:00"/>
    <d v="2025-12-12T00:00:00"/>
    <m/>
    <x v="0"/>
  </r>
  <r>
    <x v="29"/>
    <n v="1008115"/>
    <n v="389.23"/>
    <n v="7.78"/>
    <n v="381.45"/>
    <n v="3.89"/>
    <n v="377.56"/>
    <d v="2025-12-12T00:00:00"/>
    <n v="1008115"/>
    <n v="3123"/>
    <n v="7.78"/>
    <n v="389.23"/>
    <d v="2025-12-04T00:00:00"/>
    <n v="381.45"/>
    <n v="7.78"/>
    <s v="NULL"/>
    <s v="PRO"/>
    <n v="3.89"/>
    <n v="377.56"/>
    <s v="PAID"/>
    <n v="2"/>
    <n v="6585911636828"/>
    <d v="2025-12-12T00:00:00"/>
    <d v="2025-12-04T00:00:00"/>
    <m/>
    <d v="2025-12-12T00:00:00"/>
    <d v="2025-12-09T16:28:00"/>
    <n v="31231008115"/>
    <d v="2025-12-04T00:00:00"/>
    <n v="251118"/>
    <s v="2% 01/10/26"/>
    <n v="206374"/>
    <d v="2025-12-04T00:00:00"/>
    <d v="2025-12-12T00:00:00"/>
    <n v="7.7846000000000002"/>
    <x v="0"/>
  </r>
  <r>
    <x v="29"/>
    <n v="1008143"/>
    <n v="556.83000000000004"/>
    <m/>
    <n v="556.83000000000004"/>
    <n v="5.57"/>
    <n v="551.26"/>
    <d v="2025-12-12T00:00:00"/>
    <n v="1008143"/>
    <n v="3123"/>
    <n v="0"/>
    <n v="556.83000000000004"/>
    <d v="2025-12-04T00:00:00"/>
    <n v="556.83000000000004"/>
    <n v="0"/>
    <s v="NULL"/>
    <s v="PRO"/>
    <n v="5.57"/>
    <n v="551.26"/>
    <s v="PAID"/>
    <n v="2"/>
    <n v="6585911636828"/>
    <d v="2025-12-12T00:00:00"/>
    <d v="2025-12-04T00:00:00"/>
    <m/>
    <d v="2025-12-12T00:00:00"/>
    <d v="2025-12-09T16:28:00"/>
    <n v="31231008143"/>
    <d v="2025-12-04T00:00:00"/>
    <s v="251128P"/>
    <s v="NET 01/10/26"/>
    <n v="206637"/>
    <d v="2025-12-04T00:00:00"/>
    <d v="2025-12-12T00:00:00"/>
    <m/>
    <x v="0"/>
  </r>
  <r>
    <x v="29"/>
    <n v="1008334"/>
    <n v="-20"/>
    <m/>
    <n v="-20"/>
    <m/>
    <n v="-20"/>
    <d v="2025-12-12T00:00:00"/>
    <n v="1008334"/>
    <n v="3123"/>
    <n v="0"/>
    <n v="-20"/>
    <d v="2025-12-05T00:00:00"/>
    <n v="-20"/>
    <n v="0"/>
    <s v="NMCCM104640"/>
    <s v="DELKIN"/>
    <n v="0"/>
    <n v="-20"/>
    <s v="PAID"/>
    <n v="2"/>
    <n v="6585911636828"/>
    <d v="2025-12-12T00:00:00"/>
    <d v="2025-12-05T00:00:00"/>
    <m/>
    <d v="2025-12-12T00:00:00"/>
    <d v="2025-12-09T16:28:00"/>
    <n v="31231008334"/>
    <d v="2025-12-05T00:00:00"/>
    <s v="OCTSPIFF"/>
    <s v="NET 01/10/26"/>
    <s v="NMCCM104640"/>
    <d v="2025-12-05T00:00:00"/>
    <d v="2025-12-12T00:00:00"/>
    <m/>
    <x v="0"/>
  </r>
  <r>
    <x v="29"/>
    <n v="1008494"/>
    <n v="809.92"/>
    <m/>
    <n v="809.92"/>
    <n v="8.1"/>
    <n v="801.82"/>
    <d v="2025-12-12T00:00:00"/>
    <n v="1008494"/>
    <n v="3123"/>
    <n v="0"/>
    <n v="809.92"/>
    <d v="2025-12-05T00:00:00"/>
    <n v="809.92"/>
    <n v="0"/>
    <s v="NULL"/>
    <s v="PRO"/>
    <n v="8.1"/>
    <n v="801.82"/>
    <s v="PAID"/>
    <n v="2"/>
    <n v="6585911636828"/>
    <d v="2025-12-12T00:00:00"/>
    <d v="2025-12-05T00:00:00"/>
    <m/>
    <d v="2025-12-12T00:00:00"/>
    <d v="2025-12-09T16:28:00"/>
    <n v="31231008494"/>
    <d v="2025-12-05T00:00:00"/>
    <n v="251204"/>
    <s v="NET 01/10/26"/>
    <n v="206830"/>
    <d v="2025-12-05T00:00:00"/>
    <d v="2025-12-12T00:00:00"/>
    <m/>
    <x v="0"/>
  </r>
  <r>
    <x v="29"/>
    <n v="1008535"/>
    <n v="50.7"/>
    <n v="1.01"/>
    <n v="49.69"/>
    <n v="0.51"/>
    <n v="49.18"/>
    <d v="2025-12-12T00:00:00"/>
    <n v="1008535"/>
    <n v="3123"/>
    <n v="1.01"/>
    <n v="50.7"/>
    <d v="2025-12-05T00:00:00"/>
    <n v="49.69"/>
    <n v="1.01"/>
    <s v="NULL"/>
    <s v="PRO"/>
    <n v="0.51"/>
    <n v="49.18"/>
    <s v="PAID"/>
    <n v="2"/>
    <n v="6585911636828"/>
    <d v="2025-12-12T00:00:00"/>
    <d v="2025-12-05T00:00:00"/>
    <m/>
    <d v="2025-12-12T00:00:00"/>
    <d v="2025-12-09T16:28:00"/>
    <n v="31231008535"/>
    <d v="2025-12-05T00:00:00"/>
    <n v="251204"/>
    <s v="2% 01/10/26"/>
    <n v="206829"/>
    <d v="2025-12-05T00:00:00"/>
    <d v="2025-12-12T00:00:00"/>
    <n v="1.014"/>
    <x v="0"/>
  </r>
  <r>
    <x v="29"/>
    <n v="1008568"/>
    <n v="-2052.9"/>
    <m/>
    <n v="-2052.9"/>
    <m/>
    <n v="-2052.9"/>
    <d v="2025-12-10T00:00:00"/>
    <n v="1008568"/>
    <n v="3123"/>
    <n v="0"/>
    <n v="-2052.9"/>
    <d v="2025-12-06T00:00:00"/>
    <n v="-2052.9"/>
    <n v="0"/>
    <n v="1008568"/>
    <s v="PRO"/>
    <n v="0"/>
    <n v="-2052.9"/>
    <s v="PAID"/>
    <n v="2"/>
    <n v="6585911636828"/>
    <d v="2025-12-12T00:00:00"/>
    <d v="2025-12-06T00:00:00"/>
    <m/>
    <d v="2025-12-12T00:00:00"/>
    <d v="2025-12-09T16:28:00"/>
    <n v="31231008568"/>
    <d v="2025-12-06T00:00:00"/>
    <s v="NULL"/>
    <s v="NET 01/10/26"/>
    <s v="NULL"/>
    <d v="2025-12-06T00:00:00"/>
    <d v="2025-12-10T00:00:00"/>
    <m/>
    <x v="0"/>
  </r>
  <r>
    <x v="30"/>
    <n v="1007653"/>
    <n v="3990"/>
    <m/>
    <n v="3990"/>
    <n v="39.9"/>
    <n v="3950.1"/>
    <d v="2025-12-12T00:00:00"/>
    <n v="1007653"/>
    <n v="3130"/>
    <n v="0"/>
    <n v="3990"/>
    <d v="2025-12-02T00:00:00"/>
    <n v="3990"/>
    <n v="0"/>
    <s v="NULL"/>
    <s v="PRO"/>
    <n v="39.9"/>
    <n v="3950.1"/>
    <s v="PAID"/>
    <n v="2"/>
    <n v="2211197334439"/>
    <d v="2025-12-12T00:00:00"/>
    <d v="2025-12-02T00:00:00"/>
    <m/>
    <d v="2025-12-12T00:00:00"/>
    <d v="2025-12-10T09:09:00"/>
    <n v="31301007653"/>
    <d v="2025-12-02T00:00:00"/>
    <s v="NULL"/>
    <s v="NET 02/10/26"/>
    <s v="NULL"/>
    <d v="2025-12-02T00:00:00"/>
    <d v="2025-12-12T00:00:00"/>
    <m/>
    <x v="0"/>
  </r>
  <r>
    <x v="31"/>
    <n v="1007393"/>
    <n v="118.04"/>
    <n v="2.36"/>
    <n v="115.68"/>
    <n v="1.18"/>
    <n v="114.5"/>
    <d v="2025-12-12T00:00:00"/>
    <n v="1007393"/>
    <n v="3151"/>
    <n v="2.36"/>
    <n v="118.04"/>
    <d v="2025-12-01T00:00:00"/>
    <n v="115.68"/>
    <n v="2.36"/>
    <s v="NULL"/>
    <s v="PRO"/>
    <n v="1.18"/>
    <n v="114.5"/>
    <s v="PAID"/>
    <n v="2"/>
    <n v="3310541154657"/>
    <d v="2025-12-12T00:00:00"/>
    <d v="2025-12-01T00:00:00"/>
    <m/>
    <d v="2025-12-12T00:00:00"/>
    <d v="2025-12-11T11:59:00"/>
    <n v="31511007393"/>
    <d v="2025-12-01T00:00:00"/>
    <n v="84441"/>
    <s v="2% 01/10/26"/>
    <n v="205993"/>
    <d v="2025-12-01T00:00:00"/>
    <d v="2025-12-12T00:00:00"/>
    <n v="2.3608000000000002"/>
    <x v="0"/>
  </r>
  <r>
    <x v="31"/>
    <n v="1007398"/>
    <n v="66"/>
    <n v="1.32"/>
    <n v="64.680000000000007"/>
    <n v="0.66"/>
    <n v="64.02"/>
    <d v="2025-12-12T00:00:00"/>
    <n v="1007398"/>
    <n v="3151"/>
    <n v="1.32"/>
    <n v="66"/>
    <d v="2025-12-01T00:00:00"/>
    <n v="64.680000000000007"/>
    <n v="1.32"/>
    <s v="NULL"/>
    <s v="PRO"/>
    <n v="0.66"/>
    <n v="64.02"/>
    <s v="PAID"/>
    <n v="2"/>
    <n v="3310541154657"/>
    <d v="2025-12-12T00:00:00"/>
    <d v="2025-12-01T00:00:00"/>
    <m/>
    <d v="2025-12-12T00:00:00"/>
    <d v="2025-12-11T11:59:00"/>
    <n v="31511007398"/>
    <d v="2025-12-01T00:00:00"/>
    <n v="84564"/>
    <s v="2% 01/10/26"/>
    <n v="205994"/>
    <d v="2025-12-01T00:00:00"/>
    <d v="2025-12-12T00:00:00"/>
    <n v="1.32"/>
    <x v="0"/>
  </r>
  <r>
    <x v="31"/>
    <n v="1007425"/>
    <n v="66.44"/>
    <n v="1.33"/>
    <n v="65.11"/>
    <n v="0.66"/>
    <n v="64.45"/>
    <d v="2025-12-12T00:00:00"/>
    <n v="1007425"/>
    <n v="3151"/>
    <n v="1.33"/>
    <n v="66.44"/>
    <d v="2025-12-01T00:00:00"/>
    <n v="65.11"/>
    <n v="1.33"/>
    <s v="NULL"/>
    <s v="PRO"/>
    <n v="0.66"/>
    <n v="64.45"/>
    <s v="PAID"/>
    <n v="2"/>
    <n v="3310541154657"/>
    <d v="2025-12-12T00:00:00"/>
    <d v="2025-12-01T00:00:00"/>
    <m/>
    <d v="2025-12-12T00:00:00"/>
    <d v="2025-12-11T11:59:00"/>
    <n v="31511007425"/>
    <d v="2025-12-01T00:00:00"/>
    <n v="84608"/>
    <s v="2% 01/10/26"/>
    <n v="205949"/>
    <d v="2025-12-01T00:00:00"/>
    <d v="2025-12-12T00:00:00"/>
    <n v="1.3288"/>
    <x v="0"/>
  </r>
  <r>
    <x v="31"/>
    <n v="1007429"/>
    <n v="46.76"/>
    <n v="0.94"/>
    <n v="45.82"/>
    <n v="0.47"/>
    <n v="45.35"/>
    <d v="2025-12-12T00:00:00"/>
    <n v="1007429"/>
    <n v="3151"/>
    <n v="0.94"/>
    <n v="46.76"/>
    <d v="2025-12-01T00:00:00"/>
    <n v="45.82"/>
    <n v="0.94"/>
    <s v="NULL"/>
    <s v="PRO"/>
    <n v="0.47"/>
    <n v="45.35"/>
    <s v="PAID"/>
    <n v="2"/>
    <n v="3310541154657"/>
    <d v="2025-12-12T00:00:00"/>
    <d v="2025-12-01T00:00:00"/>
    <m/>
    <d v="2025-12-12T00:00:00"/>
    <d v="2025-12-11T11:59:00"/>
    <n v="31511007429"/>
    <d v="2025-12-01T00:00:00"/>
    <n v="84564"/>
    <s v="2% 01/10/26"/>
    <n v="205948"/>
    <d v="2025-12-01T00:00:00"/>
    <d v="2025-12-12T00:00:00"/>
    <n v="0.93520000000000003"/>
    <x v="0"/>
  </r>
  <r>
    <x v="31"/>
    <n v="1007580"/>
    <n v="3990"/>
    <m/>
    <n v="3990"/>
    <n v="39.9"/>
    <n v="3950.1"/>
    <d v="2025-12-12T00:00:00"/>
    <n v="1007580"/>
    <n v="3151"/>
    <n v="0"/>
    <n v="3990"/>
    <d v="2025-12-02T00:00:00"/>
    <n v="3990"/>
    <n v="0"/>
    <s v="NULL"/>
    <s v="PRO"/>
    <n v="39.9"/>
    <n v="3950.1"/>
    <s v="PAID"/>
    <n v="2"/>
    <n v="3310541154657"/>
    <d v="2025-12-12T00:00:00"/>
    <d v="2025-12-02T00:00:00"/>
    <m/>
    <d v="2025-12-12T00:00:00"/>
    <d v="2025-12-11T11:59:00"/>
    <n v="31511007580"/>
    <d v="2025-12-02T00:00:00"/>
    <s v="NULL"/>
    <s v="NET 02/10/26"/>
    <s v="NULL"/>
    <d v="2025-12-02T00:00:00"/>
    <d v="2025-12-12T00:00:00"/>
    <m/>
    <x v="0"/>
  </r>
  <r>
    <x v="31"/>
    <n v="1007685"/>
    <n v="2981.49"/>
    <m/>
    <n v="2981.49"/>
    <n v="29.81"/>
    <n v="2951.68"/>
    <d v="2025-12-12T00:00:00"/>
    <n v="1007685"/>
    <n v="3151"/>
    <n v="0"/>
    <n v="2981.49"/>
    <d v="2025-12-02T00:00:00"/>
    <n v="2981.49"/>
    <n v="0"/>
    <s v="NULL"/>
    <s v="PRO"/>
    <n v="29.81"/>
    <n v="2951.68"/>
    <s v="PAID"/>
    <n v="2"/>
    <n v="3310541154657"/>
    <d v="2025-12-12T00:00:00"/>
    <d v="2025-12-02T00:00:00"/>
    <m/>
    <d v="2025-12-12T00:00:00"/>
    <d v="2025-12-11T11:59:00"/>
    <n v="31511007685"/>
    <d v="2025-12-02T00:00:00"/>
    <n v="84677"/>
    <s v="NET 01/10/26"/>
    <n v="206183"/>
    <d v="2025-12-02T00:00:00"/>
    <d v="2025-12-12T00:00:00"/>
    <m/>
    <x v="0"/>
  </r>
  <r>
    <x v="31"/>
    <n v="1007687"/>
    <n v="137.56"/>
    <n v="2.75"/>
    <n v="134.81"/>
    <n v="1.38"/>
    <n v="133.43"/>
    <d v="2025-12-12T00:00:00"/>
    <n v="1007687"/>
    <n v="3151"/>
    <n v="2.75"/>
    <n v="137.56"/>
    <d v="2025-12-02T00:00:00"/>
    <n v="134.81"/>
    <n v="2.75"/>
    <s v="NULL"/>
    <s v="PRO"/>
    <n v="1.38"/>
    <n v="133.43"/>
    <s v="PAID"/>
    <n v="2"/>
    <n v="3310541154657"/>
    <d v="2025-12-12T00:00:00"/>
    <d v="2025-12-02T00:00:00"/>
    <m/>
    <d v="2025-12-12T00:00:00"/>
    <d v="2025-12-11T11:59:00"/>
    <n v="31511007687"/>
    <d v="2025-12-02T00:00:00"/>
    <n v="84687"/>
    <s v="2% 01/10/26"/>
    <n v="206181"/>
    <d v="2025-12-02T00:00:00"/>
    <d v="2025-12-12T00:00:00"/>
    <n v="2.7512000000000003"/>
    <x v="0"/>
  </r>
  <r>
    <x v="31"/>
    <n v="1007693"/>
    <n v="4584.38"/>
    <m/>
    <n v="4584.38"/>
    <n v="45.84"/>
    <n v="4538.54"/>
    <d v="2025-12-12T00:00:00"/>
    <n v="1007693"/>
    <n v="3151"/>
    <n v="0"/>
    <n v="4584.38"/>
    <d v="2025-12-02T00:00:00"/>
    <n v="4584.38"/>
    <n v="0"/>
    <s v="NULL"/>
    <s v="PRO"/>
    <n v="45.84"/>
    <n v="4538.54"/>
    <s v="PAID"/>
    <n v="2"/>
    <n v="3310541154657"/>
    <d v="2025-12-12T00:00:00"/>
    <d v="2025-12-02T00:00:00"/>
    <m/>
    <d v="2025-12-12T00:00:00"/>
    <d v="2025-12-11T11:59:00"/>
    <n v="31511007693"/>
    <d v="2025-12-02T00:00:00"/>
    <n v="84687"/>
    <s v="NET 01/10/26"/>
    <n v="206182"/>
    <d v="2025-12-02T00:00:00"/>
    <d v="2025-12-12T00:00:00"/>
    <m/>
    <x v="0"/>
  </r>
  <r>
    <x v="31"/>
    <n v="1007756"/>
    <n v="23.16"/>
    <n v="0.46"/>
    <n v="22.7"/>
    <n v="0.23"/>
    <n v="22.47"/>
    <d v="2025-12-12T00:00:00"/>
    <n v="1007756"/>
    <n v="3151"/>
    <n v="0.46"/>
    <n v="23.16"/>
    <d v="2025-12-02T00:00:00"/>
    <n v="22.7"/>
    <n v="0.46"/>
    <s v="NULL"/>
    <s v="PRO"/>
    <n v="0.23"/>
    <n v="22.47"/>
    <s v="PAID"/>
    <n v="2"/>
    <n v="3310541154657"/>
    <d v="2025-12-12T00:00:00"/>
    <d v="2025-12-02T00:00:00"/>
    <m/>
    <d v="2025-12-12T00:00:00"/>
    <d v="2025-12-11T11:59:00"/>
    <n v="31511007756"/>
    <d v="2025-12-02T00:00:00"/>
    <n v="84528"/>
    <s v="2% 01/10/26"/>
    <n v="206262"/>
    <d v="2025-12-02T00:00:00"/>
    <d v="2025-12-12T00:00:00"/>
    <n v="0.4632"/>
    <x v="0"/>
  </r>
  <r>
    <x v="31"/>
    <n v="1007822"/>
    <n v="3478.42"/>
    <m/>
    <n v="3478.42"/>
    <n v="34.78"/>
    <n v="3443.64"/>
    <d v="2025-12-12T00:00:00"/>
    <n v="1007822"/>
    <n v="3151"/>
    <n v="0"/>
    <n v="3478.42"/>
    <d v="2025-12-02T00:00:00"/>
    <n v="3478.42"/>
    <n v="0"/>
    <s v="NULL"/>
    <s v="PRO"/>
    <n v="34.78"/>
    <n v="3443.64"/>
    <s v="PAID"/>
    <n v="2"/>
    <n v="3310541154657"/>
    <d v="2025-12-12T00:00:00"/>
    <d v="2025-12-02T00:00:00"/>
    <m/>
    <d v="2025-12-12T00:00:00"/>
    <d v="2025-12-11T11:59:00"/>
    <n v="31511007822"/>
    <d v="2025-12-02T00:00:00"/>
    <n v="84291"/>
    <s v="NET 01/10/26"/>
    <n v="206079"/>
    <d v="2025-12-02T00:00:00"/>
    <d v="2025-12-12T00:00:00"/>
    <m/>
    <x v="0"/>
  </r>
  <r>
    <x v="31"/>
    <n v="1007859"/>
    <n v="682.81"/>
    <n v="13.66"/>
    <n v="669.15"/>
    <n v="6.83"/>
    <n v="662.32"/>
    <d v="2025-12-12T00:00:00"/>
    <n v="1007859"/>
    <n v="3151"/>
    <n v="13.66"/>
    <n v="682.81"/>
    <d v="2025-12-02T00:00:00"/>
    <n v="669.15"/>
    <n v="13.66"/>
    <s v="NULL"/>
    <s v="PRO"/>
    <n v="6.83"/>
    <n v="662.32"/>
    <s v="PAID"/>
    <n v="2"/>
    <n v="3310541154657"/>
    <d v="2025-12-12T00:00:00"/>
    <d v="2025-12-02T00:00:00"/>
    <m/>
    <d v="2025-12-12T00:00:00"/>
    <d v="2025-12-11T11:59:00"/>
    <n v="31511007859"/>
    <d v="2025-12-02T00:00:00"/>
    <n v="84687"/>
    <s v="2% 01/10/26"/>
    <n v="206142"/>
    <d v="2025-12-02T00:00:00"/>
    <d v="2025-12-12T00:00:00"/>
    <n v="13.656199999999998"/>
    <x v="0"/>
  </r>
  <r>
    <x v="31"/>
    <n v="1007922"/>
    <n v="364.46"/>
    <m/>
    <n v="364.46"/>
    <n v="3.64"/>
    <n v="360.82"/>
    <d v="2025-12-12T00:00:00"/>
    <n v="1007922"/>
    <n v="3151"/>
    <n v="0"/>
    <n v="364.46"/>
    <d v="2025-12-03T00:00:00"/>
    <n v="364.46"/>
    <n v="0"/>
    <s v="NULL"/>
    <s v="PRO"/>
    <n v="3.64"/>
    <n v="360.82"/>
    <s v="PAID"/>
    <n v="2"/>
    <n v="3310541154657"/>
    <d v="2025-12-12T00:00:00"/>
    <d v="2025-12-03T00:00:00"/>
    <m/>
    <d v="2025-12-12T00:00:00"/>
    <d v="2025-12-11T11:59:00"/>
    <n v="31511007922"/>
    <d v="2025-12-03T00:00:00"/>
    <n v="84493"/>
    <s v="NET 01/10/26"/>
    <n v="206424"/>
    <d v="2025-12-03T00:00:00"/>
    <d v="2025-12-12T00:00:00"/>
    <m/>
    <x v="0"/>
  </r>
  <r>
    <x v="31"/>
    <n v="1007928"/>
    <n v="5669.8"/>
    <m/>
    <n v="5669.8"/>
    <n v="56.7"/>
    <n v="5613.1"/>
    <d v="2025-12-12T00:00:00"/>
    <n v="1007928"/>
    <n v="3151"/>
    <n v="0"/>
    <n v="5669.8"/>
    <d v="2025-12-03T00:00:00"/>
    <n v="5669.8"/>
    <n v="0"/>
    <s v="NULL"/>
    <s v="PRO"/>
    <n v="56.7"/>
    <n v="5613.1"/>
    <s v="PAID"/>
    <n v="2"/>
    <n v="3310541154657"/>
    <d v="2025-12-12T00:00:00"/>
    <d v="2025-12-03T00:00:00"/>
    <m/>
    <d v="2025-12-12T00:00:00"/>
    <d v="2025-12-11T11:59:00"/>
    <n v="31511007928"/>
    <d v="2025-12-03T00:00:00"/>
    <n v="84669"/>
    <s v="NET 01/10/26"/>
    <n v="206425"/>
    <d v="2025-12-03T00:00:00"/>
    <d v="2025-12-12T00:00:00"/>
    <m/>
    <x v="0"/>
  </r>
  <r>
    <x v="31"/>
    <n v="1007930"/>
    <n v="566.96"/>
    <m/>
    <n v="566.96"/>
    <n v="5.67"/>
    <n v="561.29"/>
    <d v="2025-12-12T00:00:00"/>
    <n v="1007930"/>
    <n v="3151"/>
    <n v="0"/>
    <n v="566.96"/>
    <d v="2025-12-03T00:00:00"/>
    <n v="566.96"/>
    <n v="0"/>
    <s v="NULL"/>
    <s v="PRO"/>
    <n v="5.67"/>
    <n v="561.29"/>
    <s v="PAID"/>
    <n v="2"/>
    <n v="3310541154657"/>
    <d v="2025-12-12T00:00:00"/>
    <d v="2025-12-03T00:00:00"/>
    <m/>
    <d v="2025-12-12T00:00:00"/>
    <d v="2025-12-11T11:59:00"/>
    <n v="31511007930"/>
    <d v="2025-12-03T00:00:00"/>
    <n v="82984"/>
    <s v="NET 01/10/26"/>
    <n v="206423"/>
    <d v="2025-12-03T00:00:00"/>
    <d v="2025-12-12T00:00:00"/>
    <m/>
    <x v="0"/>
  </r>
  <r>
    <x v="31"/>
    <n v="1008015"/>
    <n v="4013.66"/>
    <m/>
    <n v="4013.66"/>
    <n v="40.14"/>
    <n v="3973.52"/>
    <d v="2025-12-12T00:00:00"/>
    <n v="1008015"/>
    <n v="3151"/>
    <n v="0"/>
    <n v="4013.66"/>
    <d v="2025-12-03T00:00:00"/>
    <n v="4013.66"/>
    <n v="0"/>
    <s v="NULL"/>
    <s v="PRO"/>
    <n v="40.14"/>
    <n v="3973.52"/>
    <s v="PAID"/>
    <n v="2"/>
    <n v="3310541154657"/>
    <d v="2025-12-12T00:00:00"/>
    <d v="2025-12-03T00:00:00"/>
    <m/>
    <d v="2025-12-12T00:00:00"/>
    <d v="2025-12-11T11:59:00"/>
    <n v="31511008015"/>
    <d v="2025-12-03T00:00:00"/>
    <n v="84528"/>
    <s v="NET 01/10/26"/>
    <n v="206273"/>
    <d v="2025-12-03T00:00:00"/>
    <d v="2025-12-12T00:00:00"/>
    <m/>
    <x v="0"/>
  </r>
  <r>
    <x v="31"/>
    <n v="1008021"/>
    <n v="1000.06"/>
    <n v="20"/>
    <n v="980.06"/>
    <n v="10"/>
    <n v="970.06"/>
    <d v="2025-12-12T00:00:00"/>
    <n v="1008021"/>
    <n v="3151"/>
    <n v="20"/>
    <n v="1000.06"/>
    <d v="2025-12-03T00:00:00"/>
    <n v="980.06"/>
    <n v="20"/>
    <s v="NULL"/>
    <s v="PRO"/>
    <n v="10"/>
    <n v="970.06"/>
    <s v="PAID"/>
    <n v="2"/>
    <n v="3310541154657"/>
    <d v="2025-12-12T00:00:00"/>
    <d v="2025-12-03T00:00:00"/>
    <m/>
    <d v="2025-12-12T00:00:00"/>
    <d v="2025-12-11T11:59:00"/>
    <n v="31511008021"/>
    <d v="2025-12-03T00:00:00"/>
    <n v="84528"/>
    <s v="2% 01/10/26"/>
    <n v="206272"/>
    <d v="2025-12-03T00:00:00"/>
    <d v="2025-12-12T00:00:00"/>
    <n v="20.001200000000001"/>
    <x v="0"/>
  </r>
  <r>
    <x v="31"/>
    <n v="1008039"/>
    <n v="42.71"/>
    <n v="0.85"/>
    <n v="41.86"/>
    <n v="0.43"/>
    <n v="41.43"/>
    <d v="2025-12-12T00:00:00"/>
    <n v="1008039"/>
    <n v="3151"/>
    <n v="0.85"/>
    <n v="42.71"/>
    <d v="2025-12-03T00:00:00"/>
    <n v="41.86"/>
    <n v="0.85"/>
    <s v="NULL"/>
    <s v="PRO"/>
    <n v="0.43"/>
    <n v="41.43"/>
    <s v="PAID"/>
    <n v="2"/>
    <n v="3310541154657"/>
    <d v="2025-12-12T00:00:00"/>
    <d v="2025-12-03T00:00:00"/>
    <m/>
    <d v="2025-12-12T00:00:00"/>
    <d v="2025-12-11T11:59:00"/>
    <n v="31511008039"/>
    <d v="2025-12-03T00:00:00"/>
    <n v="84564"/>
    <s v="2% 01/10/26"/>
    <n v="206051"/>
    <d v="2025-12-03T00:00:00"/>
    <d v="2025-12-12T00:00:00"/>
    <n v="0.85420000000000007"/>
    <x v="0"/>
  </r>
  <r>
    <x v="31"/>
    <n v="1008141"/>
    <n v="5375.84"/>
    <m/>
    <n v="5375.84"/>
    <n v="53.76"/>
    <n v="5322.08"/>
    <d v="2025-12-12T00:00:00"/>
    <n v="1008141"/>
    <n v="3151"/>
    <n v="0"/>
    <n v="5375.84"/>
    <d v="2025-12-04T00:00:00"/>
    <n v="5375.84"/>
    <n v="0"/>
    <s v="NULL"/>
    <s v="PRO"/>
    <n v="53.76"/>
    <n v="5322.08"/>
    <s v="PAID"/>
    <n v="2"/>
    <n v="3310541154657"/>
    <d v="2025-12-12T00:00:00"/>
    <d v="2025-12-04T00:00:00"/>
    <m/>
    <d v="2025-12-12T00:00:00"/>
    <d v="2025-12-11T11:59:00"/>
    <n v="31511008141"/>
    <d v="2025-12-04T00:00:00"/>
    <n v="84528"/>
    <s v="NET 01/10/26"/>
    <n v="206638"/>
    <d v="2025-12-04T00:00:00"/>
    <d v="2025-12-12T00:00:00"/>
    <m/>
    <x v="0"/>
  </r>
  <r>
    <x v="31"/>
    <n v="1008282"/>
    <n v="-50"/>
    <m/>
    <n v="-50"/>
    <m/>
    <n v="-50"/>
    <d v="2025-12-12T00:00:00"/>
    <n v="1008282"/>
    <n v="3151"/>
    <n v="0"/>
    <n v="-50"/>
    <d v="2025-12-04T00:00:00"/>
    <n v="-50"/>
    <n v="0"/>
    <s v="NMCNoINV"/>
    <s v="PRO"/>
    <n v="0"/>
    <n v="-50"/>
    <s v="PAID"/>
    <n v="2"/>
    <n v="3310541154657"/>
    <d v="2025-12-12T00:00:00"/>
    <d v="2025-12-04T00:00:00"/>
    <m/>
    <d v="2025-12-12T00:00:00"/>
    <d v="2025-12-11T11:59:00"/>
    <n v="31511008282"/>
    <d v="2025-12-04T00:00:00"/>
    <s v="N/A"/>
    <s v="NET 01/10/26"/>
    <s v="NMCNoINV"/>
    <d v="2025-12-04T00:00:00"/>
    <d v="2025-12-12T00:00:00"/>
    <m/>
    <x v="0"/>
  </r>
  <r>
    <x v="31"/>
    <n v="1008387"/>
    <n v="376.2"/>
    <m/>
    <n v="376.2"/>
    <n v="3.76"/>
    <n v="372.44"/>
    <d v="2025-12-12T00:00:00"/>
    <n v="1008387"/>
    <n v="3151"/>
    <n v="0"/>
    <n v="376.2"/>
    <d v="2025-12-05T00:00:00"/>
    <n v="376.2"/>
    <n v="0"/>
    <s v="P25F06A"/>
    <s v="PHOTOGENIC"/>
    <n v="3.76"/>
    <n v="372.44"/>
    <s v="PAID"/>
    <n v="2"/>
    <n v="3310541154657"/>
    <d v="2025-12-12T00:00:00"/>
    <d v="2025-12-05T00:00:00"/>
    <m/>
    <d v="2025-12-12T00:00:00"/>
    <d v="2025-12-11T11:59:00"/>
    <n v="31511008387"/>
    <d v="2025-12-05T00:00:00"/>
    <n v="84159"/>
    <s v="NET 01/10/26"/>
    <s v="P25F06A"/>
    <d v="2025-12-05T00:00:00"/>
    <d v="2025-12-12T00:00:00"/>
    <m/>
    <x v="0"/>
  </r>
  <r>
    <x v="31"/>
    <n v="1008397"/>
    <n v="983.32"/>
    <m/>
    <n v="983.32"/>
    <n v="9.83"/>
    <n v="973.49"/>
    <d v="2025-12-12T00:00:00"/>
    <n v="1008397"/>
    <n v="3151"/>
    <n v="0"/>
    <n v="983.32"/>
    <d v="2025-12-05T00:00:00"/>
    <n v="983.32"/>
    <n v="0"/>
    <n v="84561"/>
    <s v="ROCKY NOOK"/>
    <n v="9.83"/>
    <n v="973.49"/>
    <s v="PAID"/>
    <n v="2"/>
    <n v="3310541154657"/>
    <d v="2025-12-12T00:00:00"/>
    <d v="2025-12-05T00:00:00"/>
    <m/>
    <d v="2025-12-12T00:00:00"/>
    <d v="2025-12-11T11:59:00"/>
    <n v="31511008397"/>
    <d v="2025-12-05T00:00:00"/>
    <n v="84561"/>
    <s v="NET 01/10/26"/>
    <n v="84561"/>
    <d v="2025-12-05T00:00:00"/>
    <d v="2025-12-12T00:00:00"/>
    <m/>
    <x v="0"/>
  </r>
  <r>
    <x v="31"/>
    <n v="1008547"/>
    <n v="550.58000000000004"/>
    <n v="11.01"/>
    <n v="539.57000000000005"/>
    <n v="5.51"/>
    <n v="534.05999999999995"/>
    <d v="2025-12-12T00:00:00"/>
    <n v="1008547"/>
    <n v="3151"/>
    <n v="11.01"/>
    <n v="550.58000000000004"/>
    <d v="2025-12-05T00:00:00"/>
    <n v="539.57000000000005"/>
    <n v="11.01"/>
    <s v="NULL"/>
    <s v="PRO"/>
    <n v="5.51"/>
    <n v="534.05999999999995"/>
    <s v="PAID"/>
    <n v="2"/>
    <n v="3310541154657"/>
    <d v="2025-12-12T00:00:00"/>
    <d v="2025-12-05T00:00:00"/>
    <m/>
    <d v="2025-12-12T00:00:00"/>
    <d v="2025-12-11T11:59:00"/>
    <n v="31511008547"/>
    <d v="2025-12-05T00:00:00"/>
    <n v="83768"/>
    <s v="2% 01/10/26"/>
    <n v="206584"/>
    <d v="2025-12-05T00:00:00"/>
    <d v="2025-12-12T00:00:00"/>
    <n v="11.011600000000001"/>
    <x v="0"/>
  </r>
  <r>
    <x v="31"/>
    <n v="1008548"/>
    <n v="420.25"/>
    <n v="8.41"/>
    <n v="411.84"/>
    <n v="4.2"/>
    <n v="407.64"/>
    <d v="2025-12-12T00:00:00"/>
    <n v="1008548"/>
    <n v="3151"/>
    <n v="8.41"/>
    <n v="420.25"/>
    <d v="2025-12-05T00:00:00"/>
    <n v="411.84"/>
    <n v="8.41"/>
    <s v="NULL"/>
    <s v="PRO"/>
    <n v="4.2"/>
    <n v="407.64"/>
    <s v="PAID"/>
    <n v="2"/>
    <n v="3310541154657"/>
    <d v="2025-12-12T00:00:00"/>
    <d v="2025-12-05T00:00:00"/>
    <m/>
    <d v="2025-12-12T00:00:00"/>
    <d v="2025-12-11T11:59:00"/>
    <n v="31511008548"/>
    <d v="2025-12-05T00:00:00"/>
    <n v="84493"/>
    <s v="2% 01/10/26"/>
    <n v="206586"/>
    <d v="2025-12-05T00:00:00"/>
    <d v="2025-12-12T00:00:00"/>
    <n v="8.4049999999999994"/>
    <x v="0"/>
  </r>
  <r>
    <x v="31"/>
    <n v="1008550"/>
    <n v="254.1"/>
    <n v="5.08"/>
    <n v="249.02"/>
    <n v="2.54"/>
    <n v="246.48"/>
    <d v="2025-12-12T00:00:00"/>
    <n v="1008550"/>
    <n v="3151"/>
    <n v="5.08"/>
    <n v="254.1"/>
    <d v="2025-12-05T00:00:00"/>
    <n v="249.02"/>
    <n v="5.08"/>
    <s v="NULL"/>
    <s v="PRO"/>
    <n v="2.54"/>
    <n v="246.48"/>
    <s v="PAID"/>
    <n v="2"/>
    <n v="3310541154657"/>
    <d v="2025-12-12T00:00:00"/>
    <d v="2025-12-05T00:00:00"/>
    <m/>
    <d v="2025-12-12T00:00:00"/>
    <d v="2025-12-11T11:59:00"/>
    <n v="31511008550"/>
    <d v="2025-12-05T00:00:00"/>
    <n v="84384"/>
    <s v="2% 01/10/26"/>
    <n v="206585"/>
    <d v="2025-12-05T00:00:00"/>
    <d v="2025-12-12T00:00:00"/>
    <n v="5.0819999999999999"/>
    <x v="0"/>
  </r>
  <r>
    <x v="31"/>
    <n v="1008973"/>
    <n v="-445.5"/>
    <m/>
    <n v="-445.5"/>
    <m/>
    <n v="-445.5"/>
    <d v="2025-12-12T00:00:00"/>
    <n v="1008973"/>
    <n v="3151"/>
    <n v="0"/>
    <n v="-445.5"/>
    <d v="2025-12-09T00:00:00"/>
    <n v="-445.5"/>
    <n v="0"/>
    <n v="1008973"/>
    <s v="PRO"/>
    <n v="0"/>
    <n v="-445.5"/>
    <s v="PAID"/>
    <n v="2"/>
    <n v="3310541154657"/>
    <d v="2025-12-12T00:00:00"/>
    <d v="2025-12-09T00:00:00"/>
    <m/>
    <d v="2025-12-12T00:00:00"/>
    <d v="2025-12-11T11:59:00"/>
    <n v="31511008973"/>
    <d v="2025-12-09T00:00:00"/>
    <s v="GLAOMOCT25"/>
    <s v="NET 01/10/26"/>
    <s v="OLYM112441"/>
    <d v="2025-12-09T00:00:00"/>
    <d v="2025-12-12T00:00:00"/>
    <m/>
    <x v="0"/>
  </r>
  <r>
    <x v="32"/>
    <n v="1006396"/>
    <n v="8544"/>
    <m/>
    <n v="8544"/>
    <m/>
    <n v="8544"/>
    <d v="2025-12-12T00:00:00"/>
    <n v="1006396"/>
    <n v="3172"/>
    <n v="0"/>
    <n v="8544"/>
    <d v="2025-11-25T00:00:00"/>
    <n v="8544"/>
    <n v="0"/>
    <s v="NULL"/>
    <s v="PRO"/>
    <n v="0"/>
    <n v="8544"/>
    <s v="PAID"/>
    <n v="2"/>
    <n v="5105740675841"/>
    <d v="2025-12-12T00:00:00"/>
    <d v="2025-11-25T00:00:00"/>
    <m/>
    <d v="2025-12-12T00:00:00"/>
    <d v="2025-12-08T12:14:00"/>
    <n v="31721006396"/>
    <d v="2025-11-25T00:00:00"/>
    <s v="031325TA"/>
    <s v="NET 01/10/26"/>
    <n v="204916"/>
    <d v="2025-11-25T00:00:00"/>
    <d v="2025-12-12T00:00:00"/>
    <m/>
    <x v="0"/>
  </r>
  <r>
    <x v="32"/>
    <n v="1006725"/>
    <n v="7348"/>
    <m/>
    <n v="7348"/>
    <m/>
    <n v="7348"/>
    <d v="2025-12-12T00:00:00"/>
    <n v="1006725"/>
    <n v="3172"/>
    <n v="0"/>
    <n v="7348"/>
    <d v="2025-11-26T00:00:00"/>
    <n v="7348"/>
    <n v="0"/>
    <s v="NULL"/>
    <s v="PRO"/>
    <n v="0"/>
    <n v="7348"/>
    <s v="PAID"/>
    <n v="2"/>
    <n v="5105740675841"/>
    <d v="2025-12-12T00:00:00"/>
    <d v="2025-11-26T00:00:00"/>
    <m/>
    <d v="2025-12-12T00:00:00"/>
    <d v="2025-12-08T12:14:00"/>
    <n v="31721006725"/>
    <d v="2025-11-26T00:00:00"/>
    <s v="A INSTAX MINI 11/6/25"/>
    <s v="NET 01/10/26"/>
    <n v="205432"/>
    <d v="2025-11-26T00:00:00"/>
    <d v="2025-12-12T00:00:00"/>
    <m/>
    <x v="0"/>
  </r>
  <r>
    <x v="32"/>
    <n v="1006732"/>
    <n v="771.54"/>
    <m/>
    <n v="771.54"/>
    <m/>
    <n v="771.54"/>
    <d v="2025-12-12T00:00:00"/>
    <n v="1006732"/>
    <n v="3172"/>
    <n v="0"/>
    <n v="771.54"/>
    <d v="2025-11-26T00:00:00"/>
    <n v="771.54"/>
    <n v="0"/>
    <s v="NULL"/>
    <s v="PRO"/>
    <n v="0"/>
    <n v="771.54"/>
    <s v="PAID"/>
    <n v="2"/>
    <n v="5105740675841"/>
    <d v="2025-12-12T00:00:00"/>
    <d v="2025-11-26T00:00:00"/>
    <m/>
    <d v="2025-12-12T00:00:00"/>
    <d v="2025-12-08T12:14:00"/>
    <n v="31721006732"/>
    <d v="2025-11-26T00:00:00"/>
    <s v="031325TA"/>
    <s v="NET 01/10/26"/>
    <n v="205431"/>
    <d v="2025-11-26T00:00:00"/>
    <d v="2025-12-12T00:00:00"/>
    <m/>
    <x v="0"/>
  </r>
  <r>
    <x v="32"/>
    <n v="1007506"/>
    <n v="350"/>
    <m/>
    <n v="350"/>
    <n v="3.5"/>
    <n v="346.5"/>
    <d v="2025-12-12T00:00:00"/>
    <n v="1007506"/>
    <n v="3172"/>
    <n v="0"/>
    <n v="350"/>
    <d v="2025-12-02T00:00:00"/>
    <n v="350"/>
    <n v="0"/>
    <s v="NULL"/>
    <s v="PRO"/>
    <n v="3.5"/>
    <n v="346.5"/>
    <s v="PAID"/>
    <n v="2"/>
    <n v="5105740675841"/>
    <d v="2025-12-12T00:00:00"/>
    <d v="2025-12-02T00:00:00"/>
    <m/>
    <d v="2025-12-12T00:00:00"/>
    <d v="2025-12-08T12:14:00"/>
    <n v="31721007506"/>
    <d v="2025-12-02T00:00:00"/>
    <s v="NULL"/>
    <s v="NET DUE 10TH"/>
    <s v="NULL"/>
    <d v="2025-12-02T00:00:00"/>
    <d v="2025-12-12T00:00:00"/>
    <m/>
    <x v="0"/>
  </r>
  <r>
    <x v="32"/>
    <n v="1008096"/>
    <n v="76525.759999999995"/>
    <m/>
    <n v="76525.759999999995"/>
    <n v="765.26"/>
    <n v="75760.5"/>
    <d v="2025-12-12T00:00:00"/>
    <n v="1008096"/>
    <n v="3172"/>
    <n v="0"/>
    <n v="76525.759999999995"/>
    <d v="2025-12-04T00:00:00"/>
    <n v="76525.759999999995"/>
    <n v="0"/>
    <s v="NULL"/>
    <s v="PRO"/>
    <n v="765.26"/>
    <n v="75760.5"/>
    <s v="PAID"/>
    <n v="2"/>
    <n v="5105740675841"/>
    <d v="2025-12-12T00:00:00"/>
    <d v="2025-12-04T00:00:00"/>
    <m/>
    <d v="2025-12-12T00:00:00"/>
    <d v="2025-12-08T12:14:00"/>
    <n v="31721008096"/>
    <d v="2025-12-04T00:00:00"/>
    <s v="031325TA"/>
    <s v="NET 01/10/26"/>
    <n v="206465"/>
    <d v="2025-12-04T00:00:00"/>
    <d v="2025-12-12T00:00:00"/>
    <m/>
    <x v="0"/>
  </r>
  <r>
    <x v="33"/>
    <n v="1007300"/>
    <n v="165.9"/>
    <n v="3.32"/>
    <n v="162.58000000000001"/>
    <n v="1.66"/>
    <n v="160.91999999999999"/>
    <d v="2025-12-12T00:00:00"/>
    <n v="1007300"/>
    <n v="3214"/>
    <n v="3.32"/>
    <n v="165.9"/>
    <d v="2025-12-01T00:00:00"/>
    <n v="162.58000000000001"/>
    <n v="3.32"/>
    <s v="NULL"/>
    <s v="PRO"/>
    <n v="1.66"/>
    <n v="160.91999999999999"/>
    <s v="PAID"/>
    <n v="2"/>
    <n v="3947331087820"/>
    <d v="2025-12-12T00:00:00"/>
    <d v="2025-12-01T00:00:00"/>
    <m/>
    <d v="2025-12-12T00:00:00"/>
    <d v="2025-12-10T11:54:00"/>
    <n v="32141007300"/>
    <d v="2025-12-01T00:00:00"/>
    <s v="PRO101125"/>
    <s v="2% 01/10/26"/>
    <n v="205851"/>
    <d v="2025-12-01T00:00:00"/>
    <d v="2025-12-12T00:00:00"/>
    <n v="3.3180000000000001"/>
    <x v="0"/>
  </r>
  <r>
    <x v="33"/>
    <n v="1007304"/>
    <n v="165.9"/>
    <n v="3.32"/>
    <n v="162.58000000000001"/>
    <n v="1.66"/>
    <n v="160.91999999999999"/>
    <d v="2025-12-12T00:00:00"/>
    <n v="1007304"/>
    <n v="3214"/>
    <n v="3.32"/>
    <n v="165.9"/>
    <d v="2025-12-01T00:00:00"/>
    <n v="162.58000000000001"/>
    <n v="3.32"/>
    <s v="NULL"/>
    <s v="PRO"/>
    <n v="1.66"/>
    <n v="160.91999999999999"/>
    <s v="PAID"/>
    <n v="2"/>
    <n v="3947331087820"/>
    <d v="2025-12-12T00:00:00"/>
    <d v="2025-12-01T00:00:00"/>
    <m/>
    <d v="2025-12-12T00:00:00"/>
    <d v="2025-12-10T11:54:00"/>
    <n v="32141007304"/>
    <d v="2025-12-01T00:00:00"/>
    <s v="PRO9625"/>
    <s v="2% 01/10/26"/>
    <n v="205850"/>
    <d v="2025-12-01T00:00:00"/>
    <d v="2025-12-12T00:00:00"/>
    <n v="3.3180000000000001"/>
    <x v="0"/>
  </r>
  <r>
    <x v="33"/>
    <n v="1007305"/>
    <n v="175.22"/>
    <n v="3.5"/>
    <n v="171.72"/>
    <n v="1.75"/>
    <n v="169.97"/>
    <d v="2025-12-12T00:00:00"/>
    <n v="1007305"/>
    <n v="3214"/>
    <n v="3.5"/>
    <n v="175.22"/>
    <d v="2025-12-01T00:00:00"/>
    <n v="171.72"/>
    <n v="3.5"/>
    <s v="NULL"/>
    <s v="PRO"/>
    <n v="1.75"/>
    <n v="169.97"/>
    <s v="PAID"/>
    <n v="2"/>
    <n v="3947331087820"/>
    <d v="2025-12-12T00:00:00"/>
    <d v="2025-12-01T00:00:00"/>
    <m/>
    <d v="2025-12-12T00:00:00"/>
    <d v="2025-12-10T11:54:00"/>
    <n v="32141007305"/>
    <d v="2025-12-01T00:00:00"/>
    <s v="PHO111725C"/>
    <s v="2% 01/10/26"/>
    <n v="205852"/>
    <d v="2025-12-01T00:00:00"/>
    <d v="2025-12-12T00:00:00"/>
    <n v="3.5044"/>
    <x v="0"/>
  </r>
  <r>
    <x v="33"/>
    <n v="1007755"/>
    <n v="214.43"/>
    <n v="4.29"/>
    <n v="210.14"/>
    <n v="2.14"/>
    <n v="208"/>
    <d v="2025-12-12T00:00:00"/>
    <n v="1007755"/>
    <n v="3214"/>
    <n v="4.29"/>
    <n v="214.43"/>
    <d v="2025-12-02T00:00:00"/>
    <n v="210.14"/>
    <n v="4.29"/>
    <s v="NULL"/>
    <s v="PRO"/>
    <n v="2.14"/>
    <n v="208"/>
    <s v="PAID"/>
    <n v="2"/>
    <n v="3947331087820"/>
    <d v="2025-12-12T00:00:00"/>
    <d v="2025-12-02T00:00:00"/>
    <m/>
    <d v="2025-12-12T00:00:00"/>
    <d v="2025-12-10T11:54:00"/>
    <n v="32141007755"/>
    <d v="2025-12-02T00:00:00"/>
    <s v="DS112825B"/>
    <s v="2% 01/10/26"/>
    <n v="206269"/>
    <d v="2025-12-02T00:00:00"/>
    <d v="2025-12-12T00:00:00"/>
    <n v="4.2886000000000006"/>
    <x v="0"/>
  </r>
  <r>
    <x v="33"/>
    <n v="1007768"/>
    <n v="214.43"/>
    <n v="4.29"/>
    <n v="210.14"/>
    <n v="2.14"/>
    <n v="208"/>
    <d v="2025-12-12T00:00:00"/>
    <n v="1007768"/>
    <n v="3214"/>
    <n v="4.29"/>
    <n v="214.43"/>
    <d v="2025-12-02T00:00:00"/>
    <n v="210.14"/>
    <n v="4.29"/>
    <s v="NULL"/>
    <s v="PRO"/>
    <n v="2.14"/>
    <n v="208"/>
    <s v="PAID"/>
    <n v="2"/>
    <n v="3947331087820"/>
    <d v="2025-12-12T00:00:00"/>
    <d v="2025-12-02T00:00:00"/>
    <m/>
    <d v="2025-12-12T00:00:00"/>
    <d v="2025-12-10T11:54:00"/>
    <n v="32141007768"/>
    <d v="2025-12-02T00:00:00"/>
    <s v="DS112825C"/>
    <s v="2% 01/10/26"/>
    <n v="206270"/>
    <d v="2025-12-02T00:00:00"/>
    <d v="2025-12-12T00:00:00"/>
    <n v="4.2886000000000006"/>
    <x v="0"/>
  </r>
  <r>
    <x v="33"/>
    <n v="1007840"/>
    <n v="888.54"/>
    <n v="17.77"/>
    <n v="870.77"/>
    <n v="8.89"/>
    <n v="861.88"/>
    <d v="2025-12-12T00:00:00"/>
    <n v="1007840"/>
    <n v="3214"/>
    <n v="17.77"/>
    <n v="888.54"/>
    <d v="2025-12-02T00:00:00"/>
    <n v="870.77"/>
    <n v="17.77"/>
    <s v="NULL"/>
    <s v="PRO"/>
    <n v="8.89"/>
    <n v="861.88"/>
    <s v="PAID"/>
    <n v="2"/>
    <n v="3947331087820"/>
    <d v="2025-12-12T00:00:00"/>
    <d v="2025-12-02T00:00:00"/>
    <m/>
    <d v="2025-12-12T00:00:00"/>
    <d v="2025-12-10T11:54:00"/>
    <n v="32141007840"/>
    <d v="2025-12-02T00:00:00"/>
    <s v="PHO112925TA"/>
    <s v="2% 01/10/26"/>
    <n v="206162"/>
    <d v="2025-12-02T00:00:00"/>
    <d v="2025-12-12T00:00:00"/>
    <n v="17.770800000000001"/>
    <x v="0"/>
  </r>
  <r>
    <x v="33"/>
    <n v="1007958"/>
    <n v="4142.5200000000004"/>
    <n v="82.85"/>
    <n v="4059.67"/>
    <n v="41.43"/>
    <n v="4018.24"/>
    <d v="2025-12-12T00:00:00"/>
    <n v="1007958"/>
    <n v="3214"/>
    <n v="82.85"/>
    <n v="4142.5200000000004"/>
    <d v="2025-12-03T00:00:00"/>
    <n v="4059.67"/>
    <n v="82.85"/>
    <s v="NULL"/>
    <s v="PRO"/>
    <n v="41.43"/>
    <n v="4018.24"/>
    <s v="PAID"/>
    <n v="2"/>
    <n v="3947331087820"/>
    <d v="2025-12-12T00:00:00"/>
    <d v="2025-12-03T00:00:00"/>
    <m/>
    <d v="2025-12-12T00:00:00"/>
    <d v="2025-12-10T11:54:00"/>
    <n v="32141007958"/>
    <d v="2025-12-03T00:00:00"/>
    <s v="PHO112925TA"/>
    <s v="2% 01/10/26"/>
    <n v="206247"/>
    <d v="2025-12-03T00:00:00"/>
    <d v="2025-12-12T00:00:00"/>
    <n v="82.850400000000008"/>
    <x v="0"/>
  </r>
  <r>
    <x v="33"/>
    <n v="1007963"/>
    <n v="3638.59"/>
    <m/>
    <n v="3638.59"/>
    <n v="36.39"/>
    <n v="3602.2"/>
    <d v="2025-12-12T00:00:00"/>
    <n v="1007963"/>
    <n v="3214"/>
    <n v="0"/>
    <n v="3638.59"/>
    <d v="2025-12-03T00:00:00"/>
    <n v="3638.59"/>
    <n v="0"/>
    <s v="NULL"/>
    <s v="PRO"/>
    <n v="36.39"/>
    <n v="3602.2"/>
    <s v="PAID"/>
    <n v="2"/>
    <n v="3947331087820"/>
    <d v="2025-12-12T00:00:00"/>
    <d v="2025-12-03T00:00:00"/>
    <m/>
    <d v="2025-12-12T00:00:00"/>
    <d v="2025-12-10T11:54:00"/>
    <n v="32141007963"/>
    <d v="2025-12-03T00:00:00"/>
    <s v="PHO112925TA"/>
    <s v="NET 01/10/26"/>
    <n v="206248"/>
    <d v="2025-12-03T00:00:00"/>
    <d v="2025-12-12T00:00:00"/>
    <m/>
    <x v="0"/>
  </r>
  <r>
    <x v="33"/>
    <n v="1007994"/>
    <n v="44.31"/>
    <n v="0.89"/>
    <n v="43.42"/>
    <n v="0.44"/>
    <n v="42.98"/>
    <d v="2025-12-12T00:00:00"/>
    <n v="1007994"/>
    <n v="3214"/>
    <n v="0.89"/>
    <n v="44.31"/>
    <d v="2025-12-03T00:00:00"/>
    <n v="43.42"/>
    <n v="0.89"/>
    <s v="NULL"/>
    <s v="PRO"/>
    <n v="0.44"/>
    <n v="42.98"/>
    <s v="PAID"/>
    <n v="2"/>
    <n v="3947331087820"/>
    <d v="2025-12-12T00:00:00"/>
    <d v="2025-12-03T00:00:00"/>
    <m/>
    <d v="2025-12-12T00:00:00"/>
    <d v="2025-12-10T11:54:00"/>
    <n v="32141007994"/>
    <d v="2025-12-03T00:00:00"/>
    <s v="DS112925"/>
    <s v="2% 01/10/26"/>
    <n v="206291"/>
    <d v="2025-12-03T00:00:00"/>
    <d v="2025-12-12T00:00:00"/>
    <n v="0.8862000000000001"/>
    <x v="0"/>
  </r>
  <r>
    <x v="33"/>
    <n v="1007996"/>
    <n v="12.72"/>
    <n v="0.25"/>
    <n v="12.47"/>
    <n v="0.13"/>
    <n v="12.34"/>
    <d v="2025-12-12T00:00:00"/>
    <n v="1007996"/>
    <n v="3214"/>
    <n v="0.25"/>
    <n v="12.72"/>
    <d v="2025-12-03T00:00:00"/>
    <n v="12.47"/>
    <n v="0.25"/>
    <s v="NULL"/>
    <s v="PRO"/>
    <n v="0.13"/>
    <n v="12.34"/>
    <s v="PAID"/>
    <n v="2"/>
    <n v="3947331087820"/>
    <d v="2025-12-12T00:00:00"/>
    <d v="2025-12-03T00:00:00"/>
    <m/>
    <d v="2025-12-12T00:00:00"/>
    <d v="2025-12-10T11:54:00"/>
    <n v="32141007996"/>
    <d v="2025-12-03T00:00:00"/>
    <s v="DS112825A"/>
    <s v="2% 01/10/26"/>
    <n v="206290"/>
    <d v="2025-12-03T00:00:00"/>
    <d v="2025-12-12T00:00:00"/>
    <n v="0.25440000000000002"/>
    <x v="0"/>
  </r>
  <r>
    <x v="33"/>
    <n v="1008076"/>
    <n v="505.18"/>
    <n v="10.1"/>
    <n v="495.08"/>
    <n v="5.05"/>
    <n v="490.03"/>
    <d v="2025-12-12T00:00:00"/>
    <n v="1008076"/>
    <n v="3214"/>
    <n v="10.1"/>
    <n v="505.18"/>
    <d v="2025-12-04T00:00:00"/>
    <n v="495.08"/>
    <n v="10.1"/>
    <s v="NULL"/>
    <s v="PRO"/>
    <n v="5.05"/>
    <n v="490.03"/>
    <s v="PAID"/>
    <n v="2"/>
    <n v="3947331087820"/>
    <d v="2025-12-12T00:00:00"/>
    <d v="2025-12-04T00:00:00"/>
    <m/>
    <d v="2025-12-12T00:00:00"/>
    <d v="2025-12-10T11:54:00"/>
    <n v="32141008076"/>
    <d v="2025-12-04T00:00:00"/>
    <s v="PHO12225B"/>
    <s v="2% 01/10/26"/>
    <n v="206491"/>
    <d v="2025-12-04T00:00:00"/>
    <d v="2025-12-12T00:00:00"/>
    <n v="10.1036"/>
    <x v="0"/>
  </r>
  <r>
    <x v="33"/>
    <n v="1008078"/>
    <n v="108.85"/>
    <m/>
    <n v="108.85"/>
    <n v="1.0900000000000001"/>
    <n v="107.76"/>
    <d v="2025-12-12T00:00:00"/>
    <n v="1008078"/>
    <n v="3214"/>
    <n v="0"/>
    <n v="108.85"/>
    <d v="2025-12-04T00:00:00"/>
    <n v="108.85"/>
    <n v="0"/>
    <s v="NULL"/>
    <s v="PRO"/>
    <n v="1.0900000000000001"/>
    <n v="107.76"/>
    <s v="PAID"/>
    <n v="2"/>
    <n v="3947331087820"/>
    <d v="2025-12-12T00:00:00"/>
    <d v="2025-12-04T00:00:00"/>
    <m/>
    <d v="2025-12-12T00:00:00"/>
    <d v="2025-12-10T11:54:00"/>
    <n v="32141008078"/>
    <d v="2025-12-04T00:00:00"/>
    <s v="PHO12225B"/>
    <s v="NET 01/10/26"/>
    <n v="206493"/>
    <d v="2025-12-04T00:00:00"/>
    <d v="2025-12-12T00:00:00"/>
    <m/>
    <x v="0"/>
  </r>
  <r>
    <x v="33"/>
    <n v="1008079"/>
    <n v="2020.97"/>
    <m/>
    <n v="2020.97"/>
    <n v="20.21"/>
    <n v="2000.76"/>
    <d v="2025-12-12T00:00:00"/>
    <n v="1008079"/>
    <n v="3214"/>
    <n v="0"/>
    <n v="2020.97"/>
    <d v="2025-12-04T00:00:00"/>
    <n v="2020.97"/>
    <n v="0"/>
    <s v="NULL"/>
    <s v="PRO"/>
    <n v="20.21"/>
    <n v="2000.76"/>
    <s v="PAID"/>
    <n v="2"/>
    <n v="3947331087820"/>
    <d v="2025-12-12T00:00:00"/>
    <d v="2025-12-04T00:00:00"/>
    <m/>
    <d v="2025-12-12T00:00:00"/>
    <d v="2025-12-10T11:54:00"/>
    <n v="32141008079"/>
    <d v="2025-12-04T00:00:00"/>
    <s v="PHO12225"/>
    <s v="NET 01/10/26"/>
    <n v="206492"/>
    <d v="2025-12-04T00:00:00"/>
    <d v="2025-12-12T00:00:00"/>
    <m/>
    <x v="0"/>
  </r>
  <r>
    <x v="33"/>
    <n v="1008138"/>
    <n v="699.96"/>
    <n v="14"/>
    <n v="685.96"/>
    <n v="7"/>
    <n v="678.96"/>
    <d v="2025-12-12T00:00:00"/>
    <n v="1008138"/>
    <n v="3214"/>
    <n v="14"/>
    <n v="699.96"/>
    <d v="2025-12-04T00:00:00"/>
    <n v="685.96"/>
    <n v="14"/>
    <s v="NULL"/>
    <s v="PRO"/>
    <n v="7"/>
    <n v="678.96"/>
    <s v="PAID"/>
    <n v="2"/>
    <n v="3947331087820"/>
    <d v="2025-12-12T00:00:00"/>
    <d v="2025-12-04T00:00:00"/>
    <m/>
    <d v="2025-12-12T00:00:00"/>
    <d v="2025-12-10T11:54:00"/>
    <n v="32141008138"/>
    <d v="2025-12-04T00:00:00"/>
    <s v="PRO12325"/>
    <s v="2% 01/10/26"/>
    <n v="206677"/>
    <d v="2025-12-04T00:00:00"/>
    <d v="2025-12-12T00:00:00"/>
    <n v="13.999200000000002"/>
    <x v="0"/>
  </r>
  <r>
    <x v="33"/>
    <n v="1008322"/>
    <n v="504.06"/>
    <n v="5.04"/>
    <n v="499.02"/>
    <n v="5.04"/>
    <n v="493.98"/>
    <d v="2025-12-12T00:00:00"/>
    <n v="1008322"/>
    <n v="3214"/>
    <n v="5.04"/>
    <n v="504.06"/>
    <d v="2025-12-05T00:00:00"/>
    <n v="499.02"/>
    <n v="5.04"/>
    <n v="1065455"/>
    <s v="SKB"/>
    <n v="5.04"/>
    <n v="493.98"/>
    <s v="PAID"/>
    <n v="2"/>
    <n v="3947331087820"/>
    <d v="2025-12-12T00:00:00"/>
    <d v="2025-12-05T00:00:00"/>
    <m/>
    <d v="2025-12-12T00:00:00"/>
    <d v="2025-12-10T11:54:00"/>
    <n v="32141008322"/>
    <d v="2025-12-05T00:00:00"/>
    <n v="92025"/>
    <s v="1% 01/10/26"/>
    <n v="1065455"/>
    <d v="2025-12-05T00:00:00"/>
    <d v="2025-12-12T00:00:00"/>
    <m/>
    <x v="0"/>
  </r>
  <r>
    <x v="33"/>
    <n v="1008323"/>
    <n v="813.36"/>
    <n v="8.1300000000000008"/>
    <n v="805.23"/>
    <n v="8.1300000000000008"/>
    <n v="797.1"/>
    <d v="2025-12-12T00:00:00"/>
    <n v="1008323"/>
    <n v="3214"/>
    <n v="8.1300000000000008"/>
    <n v="813.36"/>
    <d v="2025-12-05T00:00:00"/>
    <n v="805.23"/>
    <n v="8.1300000000000008"/>
    <n v="1063989"/>
    <s v="SKB"/>
    <n v="8.1300000000000008"/>
    <n v="797.1"/>
    <s v="PAID"/>
    <n v="2"/>
    <n v="3947331087820"/>
    <d v="2025-12-12T00:00:00"/>
    <d v="2025-12-05T00:00:00"/>
    <m/>
    <d v="2025-12-12T00:00:00"/>
    <d v="2025-12-10T11:54:00"/>
    <n v="32141008323"/>
    <d v="2025-12-05T00:00:00"/>
    <n v="92025"/>
    <s v="1% 01/10/26"/>
    <n v="1063989"/>
    <d v="2025-12-05T00:00:00"/>
    <d v="2025-12-12T00:00:00"/>
    <m/>
    <x v="0"/>
  </r>
  <r>
    <x v="33"/>
    <n v="1008324"/>
    <n v="620.4"/>
    <n v="6.2"/>
    <n v="614.20000000000005"/>
    <n v="6.2"/>
    <n v="608"/>
    <d v="2025-12-12T00:00:00"/>
    <n v="1008324"/>
    <n v="3214"/>
    <n v="6.2"/>
    <n v="620.4"/>
    <d v="2025-12-05T00:00:00"/>
    <n v="614.20000000000005"/>
    <n v="6.2"/>
    <n v="1062962"/>
    <s v="SKB"/>
    <n v="6.2"/>
    <n v="608"/>
    <s v="PAID"/>
    <n v="2"/>
    <n v="3947331087820"/>
    <d v="2025-12-12T00:00:00"/>
    <d v="2025-12-05T00:00:00"/>
    <m/>
    <d v="2025-12-12T00:00:00"/>
    <d v="2025-12-10T11:54:00"/>
    <n v="32141008324"/>
    <d v="2025-12-05T00:00:00"/>
    <n v="92025"/>
    <s v="1% 01/10/26"/>
    <n v="1062962"/>
    <d v="2025-12-05T00:00:00"/>
    <d v="2025-12-12T00:00:00"/>
    <m/>
    <x v="0"/>
  </r>
  <r>
    <x v="33"/>
    <n v="1008401"/>
    <n v="495.2"/>
    <n v="9.9"/>
    <n v="485.3"/>
    <n v="4.95"/>
    <n v="480.35"/>
    <d v="2025-12-12T00:00:00"/>
    <n v="1008401"/>
    <n v="3214"/>
    <n v="9.9"/>
    <n v="495.2"/>
    <d v="2025-12-05T00:00:00"/>
    <n v="485.3"/>
    <n v="9.9"/>
    <s v="NULL"/>
    <s v="PRO"/>
    <n v="4.95"/>
    <n v="480.35"/>
    <s v="PAID"/>
    <n v="2"/>
    <n v="3947331087820"/>
    <d v="2025-12-12T00:00:00"/>
    <d v="2025-12-05T00:00:00"/>
    <m/>
    <d v="2025-12-12T00:00:00"/>
    <d v="2025-12-10T11:54:00"/>
    <n v="32141008401"/>
    <d v="2025-12-05T00:00:00"/>
    <s v="PHO12525"/>
    <s v="2% 01/10/26"/>
    <n v="206902"/>
    <d v="2025-12-05T00:00:00"/>
    <d v="2025-12-12T00:00:00"/>
    <n v="9.9039999999999999"/>
    <x v="0"/>
  </r>
  <r>
    <x v="33"/>
    <n v="1008403"/>
    <n v="269.98"/>
    <n v="5.4"/>
    <n v="264.58"/>
    <n v="2.7"/>
    <n v="261.88"/>
    <d v="2025-12-12T00:00:00"/>
    <n v="1008403"/>
    <n v="3214"/>
    <n v="5.4"/>
    <n v="269.98"/>
    <d v="2025-12-05T00:00:00"/>
    <n v="264.58"/>
    <n v="5.4"/>
    <s v="NULL"/>
    <s v="PRO"/>
    <n v="2.7"/>
    <n v="261.88"/>
    <s v="PAID"/>
    <n v="2"/>
    <n v="3947331087820"/>
    <d v="2025-12-12T00:00:00"/>
    <d v="2025-12-05T00:00:00"/>
    <m/>
    <d v="2025-12-12T00:00:00"/>
    <d v="2025-12-10T11:54:00"/>
    <n v="32141008403"/>
    <d v="2025-12-05T00:00:00"/>
    <s v="PHO12525B"/>
    <s v="2% 01/10/26"/>
    <n v="206903"/>
    <d v="2025-12-05T00:00:00"/>
    <d v="2025-12-12T00:00:00"/>
    <n v="5.3996000000000004"/>
    <x v="0"/>
  </r>
  <r>
    <x v="33"/>
    <n v="1008474"/>
    <n v="597"/>
    <n v="11.94"/>
    <n v="585.05999999999995"/>
    <n v="5.97"/>
    <n v="579.09"/>
    <d v="2025-12-12T00:00:00"/>
    <n v="1008474"/>
    <n v="3214"/>
    <n v="11.94"/>
    <n v="597"/>
    <d v="2025-12-05T00:00:00"/>
    <n v="585.05999999999995"/>
    <n v="11.94"/>
    <s v="NULL"/>
    <s v="PRO"/>
    <n v="5.97"/>
    <n v="579.09"/>
    <s v="PAID"/>
    <n v="2"/>
    <n v="3947331087820"/>
    <d v="2025-12-12T00:00:00"/>
    <d v="2025-12-05T00:00:00"/>
    <m/>
    <d v="2025-12-12T00:00:00"/>
    <d v="2025-12-10T11:54:00"/>
    <n v="32141008474"/>
    <d v="2025-12-05T00:00:00"/>
    <s v="PHO102425"/>
    <s v="2% 01/10/26"/>
    <n v="206624"/>
    <d v="2025-12-05T00:00:00"/>
    <d v="2025-12-12T00:00:00"/>
    <n v="11.94"/>
    <x v="0"/>
  </r>
  <r>
    <x v="33"/>
    <n v="1008497"/>
    <n v="13076.3"/>
    <m/>
    <n v="13076.3"/>
    <n v="130.76"/>
    <n v="12945.54"/>
    <d v="2025-12-12T00:00:00"/>
    <n v="1008497"/>
    <n v="3214"/>
    <n v="0"/>
    <n v="13076.3"/>
    <d v="2025-12-05T00:00:00"/>
    <n v="13076.3"/>
    <n v="0"/>
    <s v="NULL"/>
    <s v="PRO"/>
    <n v="130.76"/>
    <n v="12945.54"/>
    <s v="PAID"/>
    <n v="2"/>
    <n v="3947331087820"/>
    <d v="2025-12-12T00:00:00"/>
    <d v="2025-12-05T00:00:00"/>
    <m/>
    <d v="2025-12-12T00:00:00"/>
    <d v="2025-12-10T11:54:00"/>
    <n v="32141008497"/>
    <d v="2025-12-05T00:00:00"/>
    <s v="PHONEXTDAYOLY"/>
    <s v="NET 01/10/26"/>
    <n v="206893"/>
    <d v="2025-12-05T00:00:00"/>
    <d v="2025-12-12T00:00:00"/>
    <m/>
    <x v="0"/>
  </r>
  <r>
    <x v="33"/>
    <n v="1008506"/>
    <n v="5711.88"/>
    <m/>
    <n v="5711.88"/>
    <n v="57.12"/>
    <n v="5654.76"/>
    <d v="2025-12-12T00:00:00"/>
    <n v="1008506"/>
    <n v="3214"/>
    <n v="0"/>
    <n v="5711.88"/>
    <d v="2025-12-05T00:00:00"/>
    <n v="5711.88"/>
    <n v="0"/>
    <s v="NULL"/>
    <s v="PRO"/>
    <n v="57.12"/>
    <n v="5654.76"/>
    <s v="PAID"/>
    <n v="2"/>
    <n v="3947331087820"/>
    <d v="2025-12-12T00:00:00"/>
    <d v="2025-12-05T00:00:00"/>
    <m/>
    <d v="2025-12-12T00:00:00"/>
    <d v="2025-12-10T11:54:00"/>
    <n v="32141008506"/>
    <d v="2025-12-05T00:00:00"/>
    <s v="PHO12225"/>
    <s v="NET 01/10/26"/>
    <n v="206812"/>
    <d v="2025-12-05T00:00:00"/>
    <d v="2025-12-12T00:00:00"/>
    <m/>
    <x v="0"/>
  </r>
  <r>
    <x v="33"/>
    <n v="1008956"/>
    <n v="-40.5"/>
    <m/>
    <n v="-40.5"/>
    <m/>
    <n v="-40.5"/>
    <d v="2025-12-12T00:00:00"/>
    <n v="1008956"/>
    <n v="3214"/>
    <n v="0"/>
    <n v="-40.5"/>
    <d v="2025-12-09T00:00:00"/>
    <n v="-40.5"/>
    <n v="0"/>
    <n v="1008956"/>
    <s v="PRO"/>
    <n v="0"/>
    <n v="-40.5"/>
    <s v="PAID"/>
    <n v="2"/>
    <n v="3947331087820"/>
    <d v="2025-12-12T00:00:00"/>
    <d v="2025-12-09T00:00:00"/>
    <m/>
    <d v="2025-12-12T00:00:00"/>
    <d v="2025-12-10T11:54:00"/>
    <n v="32141008956"/>
    <d v="2025-12-09T00:00:00"/>
    <n v="332129"/>
    <s v="NET 01/10/26"/>
    <s v="OLYM112419"/>
    <d v="2025-12-09T00:00:00"/>
    <d v="2025-12-12T00:00:00"/>
    <m/>
    <x v="0"/>
  </r>
  <r>
    <x v="33"/>
    <n v="1008957"/>
    <n v="-240"/>
    <m/>
    <n v="-240"/>
    <m/>
    <n v="-240"/>
    <d v="2025-12-12T00:00:00"/>
    <n v="1008957"/>
    <n v="3214"/>
    <n v="0"/>
    <n v="-240"/>
    <d v="2025-12-09T00:00:00"/>
    <n v="-240"/>
    <n v="0"/>
    <n v="1008957"/>
    <s v="PRO"/>
    <n v="0"/>
    <n v="-240"/>
    <s v="PAID"/>
    <n v="2"/>
    <n v="3947331087820"/>
    <d v="2025-12-12T00:00:00"/>
    <d v="2025-12-09T00:00:00"/>
    <m/>
    <d v="2025-12-12T00:00:00"/>
    <d v="2025-12-10T11:54:00"/>
    <n v="32141008957"/>
    <d v="2025-12-09T00:00:00"/>
    <n v="332276"/>
    <s v="NET 01/10/26"/>
    <s v="PANA112420"/>
    <d v="2025-12-09T00:00:00"/>
    <d v="2025-12-12T00:00:00"/>
    <m/>
    <x v="0"/>
  </r>
  <r>
    <x v="33"/>
    <n v="1008968"/>
    <n v="-37.5"/>
    <m/>
    <n v="-37.5"/>
    <m/>
    <n v="-37.5"/>
    <d v="2025-12-12T00:00:00"/>
    <n v="1008968"/>
    <n v="3214"/>
    <n v="0"/>
    <n v="-37.5"/>
    <d v="2025-12-09T00:00:00"/>
    <n v="-37.5"/>
    <n v="0"/>
    <n v="1008968"/>
    <s v="PRO"/>
    <n v="0"/>
    <n v="-37.5"/>
    <s v="PAID"/>
    <n v="2"/>
    <n v="3947331087820"/>
    <d v="2025-12-12T00:00:00"/>
    <d v="2025-12-09T00:00:00"/>
    <m/>
    <d v="2025-12-12T00:00:00"/>
    <d v="2025-12-10T11:54:00"/>
    <n v="32141008968"/>
    <d v="2025-12-09T00:00:00"/>
    <n v="332054"/>
    <s v="NET 01/10/26"/>
    <s v="PANA112434"/>
    <d v="2025-12-09T00:00:00"/>
    <d v="2025-12-12T00:00:00"/>
    <m/>
    <x v="0"/>
  </r>
  <r>
    <x v="33"/>
    <n v="1008969"/>
    <n v="-37.5"/>
    <m/>
    <n v="-37.5"/>
    <m/>
    <n v="-37.5"/>
    <d v="2025-12-12T00:00:00"/>
    <n v="1008969"/>
    <n v="3214"/>
    <n v="0"/>
    <n v="-37.5"/>
    <d v="2025-12-09T00:00:00"/>
    <n v="-37.5"/>
    <n v="0"/>
    <n v="1008969"/>
    <s v="PRO"/>
    <n v="0"/>
    <n v="-37.5"/>
    <s v="PAID"/>
    <n v="2"/>
    <n v="3947331087820"/>
    <d v="2025-12-12T00:00:00"/>
    <d v="2025-12-09T00:00:00"/>
    <m/>
    <d v="2025-12-12T00:00:00"/>
    <d v="2025-12-10T11:54:00"/>
    <n v="32141008969"/>
    <d v="2025-12-09T00:00:00"/>
    <n v="332088"/>
    <s v="NET 01/10/26"/>
    <s v="PANA112435"/>
    <d v="2025-12-09T00:00:00"/>
    <d v="2025-12-12T00:00:00"/>
    <m/>
    <x v="0"/>
  </r>
  <r>
    <x v="33"/>
    <n v="1008970"/>
    <n v="-320"/>
    <m/>
    <n v="-320"/>
    <m/>
    <n v="-320"/>
    <d v="2025-12-12T00:00:00"/>
    <n v="1008970"/>
    <n v="3214"/>
    <n v="0"/>
    <n v="-320"/>
    <d v="2025-12-09T00:00:00"/>
    <n v="-320"/>
    <n v="0"/>
    <n v="1008970"/>
    <s v="PRO"/>
    <n v="0"/>
    <n v="-320"/>
    <s v="PAID"/>
    <n v="2"/>
    <n v="3947331087820"/>
    <d v="2025-12-12T00:00:00"/>
    <d v="2025-12-09T00:00:00"/>
    <m/>
    <d v="2025-12-12T00:00:00"/>
    <d v="2025-12-10T11:54:00"/>
    <n v="32141008970"/>
    <d v="2025-12-09T00:00:00"/>
    <n v="332106"/>
    <s v="NET 01/10/26"/>
    <s v="PANA112436"/>
    <d v="2025-12-09T00:00:00"/>
    <d v="2025-12-12T00:00:00"/>
    <m/>
    <x v="0"/>
  </r>
  <r>
    <x v="33"/>
    <n v="1008972"/>
    <n v="-137.69999999999999"/>
    <m/>
    <n v="-137.69999999999999"/>
    <m/>
    <n v="-137.69999999999999"/>
    <d v="2025-12-12T00:00:00"/>
    <n v="1008972"/>
    <n v="3214"/>
    <n v="0"/>
    <n v="-137.69999999999999"/>
    <d v="2025-12-09T00:00:00"/>
    <n v="-137.69999999999999"/>
    <n v="0"/>
    <n v="1008972"/>
    <s v="PRO"/>
    <n v="0"/>
    <n v="-137.69999999999999"/>
    <s v="PAID"/>
    <n v="2"/>
    <n v="3947331087820"/>
    <d v="2025-12-12T00:00:00"/>
    <d v="2025-12-09T00:00:00"/>
    <m/>
    <d v="2025-12-12T00:00:00"/>
    <d v="2025-12-10T11:54:00"/>
    <n v="32141008972"/>
    <d v="2025-12-09T00:00:00"/>
    <n v="332717"/>
    <s v="NET 01/10/26"/>
    <s v="OLYM112440"/>
    <d v="2025-12-09T00:00:00"/>
    <d v="2025-12-12T00:00:00"/>
    <m/>
    <x v="0"/>
  </r>
  <r>
    <x v="33"/>
    <n v="1008979"/>
    <n v="-40.5"/>
    <m/>
    <n v="-40.5"/>
    <m/>
    <n v="-40.5"/>
    <d v="2025-12-12T00:00:00"/>
    <n v="1008979"/>
    <n v="3214"/>
    <n v="0"/>
    <n v="-40.5"/>
    <d v="2025-12-09T00:00:00"/>
    <n v="-40.5"/>
    <n v="0"/>
    <n v="1008979"/>
    <s v="PRO"/>
    <n v="0"/>
    <n v="-40.5"/>
    <s v="PAID"/>
    <n v="2"/>
    <n v="3947331087820"/>
    <d v="2025-12-12T00:00:00"/>
    <d v="2025-12-09T00:00:00"/>
    <m/>
    <d v="2025-12-12T00:00:00"/>
    <d v="2025-12-10T11:54:00"/>
    <n v="32141008979"/>
    <d v="2025-12-09T00:00:00"/>
    <n v="332917"/>
    <s v="NET 01/10/26"/>
    <s v="OLYM112447"/>
    <d v="2025-12-09T00:00:00"/>
    <d v="2025-12-12T00:00:00"/>
    <m/>
    <x v="0"/>
  </r>
  <r>
    <x v="33"/>
    <n v="1008990"/>
    <n v="-162"/>
    <m/>
    <n v="-162"/>
    <m/>
    <n v="-162"/>
    <d v="2025-12-12T00:00:00"/>
    <n v="1008990"/>
    <n v="3214"/>
    <n v="0"/>
    <n v="-162"/>
    <d v="2025-12-09T00:00:00"/>
    <n v="-162"/>
    <n v="0"/>
    <n v="1008990"/>
    <s v="PRO"/>
    <n v="0"/>
    <n v="-162"/>
    <s v="PAID"/>
    <n v="2"/>
    <n v="3947331087820"/>
    <d v="2025-12-12T00:00:00"/>
    <d v="2025-12-09T00:00:00"/>
    <m/>
    <d v="2025-12-12T00:00:00"/>
    <d v="2025-12-10T11:54:00"/>
    <n v="32141008990"/>
    <d v="2025-12-09T00:00:00"/>
    <n v="333211"/>
    <s v="NET 01/10/26"/>
    <s v="OLYM112458"/>
    <d v="2025-12-09T00:00:00"/>
    <d v="2025-12-12T00:00:00"/>
    <m/>
    <x v="0"/>
  </r>
  <r>
    <x v="33"/>
    <n v="1008991"/>
    <n v="-162"/>
    <m/>
    <n v="-162"/>
    <m/>
    <n v="-162"/>
    <d v="2025-12-12T00:00:00"/>
    <n v="1008991"/>
    <n v="3214"/>
    <n v="0"/>
    <n v="-162"/>
    <d v="2025-12-09T00:00:00"/>
    <n v="-162"/>
    <n v="0"/>
    <n v="1008991"/>
    <s v="PRO"/>
    <n v="0"/>
    <n v="-162"/>
    <s v="PAID"/>
    <n v="2"/>
    <n v="3947331087820"/>
    <d v="2025-12-12T00:00:00"/>
    <d v="2025-12-09T00:00:00"/>
    <m/>
    <d v="2025-12-12T00:00:00"/>
    <d v="2025-12-10T11:54:00"/>
    <n v="32141008991"/>
    <d v="2025-12-09T00:00:00"/>
    <n v="333253"/>
    <s v="NET 01/10/26"/>
    <s v="OLYM112459"/>
    <d v="2025-12-09T00:00:00"/>
    <d v="2025-12-12T00:00:00"/>
    <m/>
    <x v="0"/>
  </r>
  <r>
    <x v="33"/>
    <n v="1009002"/>
    <n v="-75"/>
    <m/>
    <n v="-75"/>
    <m/>
    <n v="-75"/>
    <d v="2025-12-12T00:00:00"/>
    <n v="1009002"/>
    <n v="3214"/>
    <n v="0"/>
    <n v="-75"/>
    <d v="2025-12-09T00:00:00"/>
    <n v="-75"/>
    <n v="0"/>
    <n v="1009002"/>
    <s v="PRO"/>
    <n v="0"/>
    <n v="-75"/>
    <s v="PAID"/>
    <n v="2"/>
    <n v="3947331087820"/>
    <d v="2025-12-12T00:00:00"/>
    <d v="2025-12-09T00:00:00"/>
    <m/>
    <d v="2025-12-12T00:00:00"/>
    <d v="2025-12-10T11:54:00"/>
    <n v="32141009002"/>
    <d v="2025-12-09T00:00:00"/>
    <n v="333182"/>
    <s v="NET 01/10/26"/>
    <s v="PANA112470"/>
    <d v="2025-12-09T00:00:00"/>
    <d v="2025-12-12T00:00:00"/>
    <m/>
    <x v="0"/>
  </r>
  <r>
    <x v="33"/>
    <n v="1009018"/>
    <n v="-40.5"/>
    <m/>
    <n v="-40.5"/>
    <m/>
    <n v="-40.5"/>
    <d v="2025-12-12T00:00:00"/>
    <n v="1009018"/>
    <n v="3214"/>
    <n v="0"/>
    <n v="-40.5"/>
    <d v="2025-12-09T00:00:00"/>
    <n v="-40.5"/>
    <n v="0"/>
    <n v="1009018"/>
    <s v="PRO"/>
    <n v="0"/>
    <n v="-40.5"/>
    <s v="PAID"/>
    <n v="2"/>
    <n v="3947331087820"/>
    <d v="2025-12-12T00:00:00"/>
    <d v="2025-12-09T00:00:00"/>
    <m/>
    <d v="2025-12-12T00:00:00"/>
    <d v="2025-12-10T11:54:00"/>
    <n v="32141009018"/>
    <d v="2025-12-09T00:00:00"/>
    <n v="333867"/>
    <s v="NET 01/10/26"/>
    <s v="OLYM112492"/>
    <d v="2025-12-09T00:00:00"/>
    <d v="2025-12-12T00:00:00"/>
    <m/>
    <x v="0"/>
  </r>
  <r>
    <x v="33"/>
    <n v="1009019"/>
    <n v="-162"/>
    <m/>
    <n v="-162"/>
    <m/>
    <n v="-162"/>
    <d v="2025-12-12T00:00:00"/>
    <n v="1009019"/>
    <n v="3214"/>
    <n v="0"/>
    <n v="-162"/>
    <d v="2025-12-09T00:00:00"/>
    <n v="-162"/>
    <n v="0"/>
    <n v="1009019"/>
    <s v="PRO"/>
    <n v="0"/>
    <n v="-162"/>
    <s v="PAID"/>
    <n v="2"/>
    <n v="3947331087820"/>
    <d v="2025-12-12T00:00:00"/>
    <d v="2025-12-09T00:00:00"/>
    <m/>
    <d v="2025-12-12T00:00:00"/>
    <d v="2025-12-10T11:54:00"/>
    <n v="32141009019"/>
    <d v="2025-12-09T00:00:00"/>
    <n v="333756"/>
    <s v="NET 01/10/26"/>
    <s v="OLYM112493"/>
    <d v="2025-12-09T00:00:00"/>
    <d v="2025-12-12T00:00:00"/>
    <m/>
    <x v="0"/>
  </r>
  <r>
    <x v="34"/>
    <n v="1004610"/>
    <n v="72.260000000000005"/>
    <n v="1.45"/>
    <n v="70.81"/>
    <m/>
    <n v="70.81"/>
    <d v="2025-12-12T00:00:00"/>
    <n v="1004610"/>
    <n v="3221"/>
    <n v="1.45"/>
    <n v="72.260000000000005"/>
    <d v="2025-11-18T00:00:00"/>
    <n v="70.81"/>
    <n v="1.45"/>
    <s v="NULL"/>
    <s v="PRO"/>
    <n v="0"/>
    <n v="70.81"/>
    <s v="PAID"/>
    <n v="2"/>
    <n v="5670696210319"/>
    <d v="2025-12-12T00:00:00"/>
    <d v="2025-11-18T00:00:00"/>
    <m/>
    <d v="2025-12-12T00:00:00"/>
    <d v="2025-12-10T16:23:00"/>
    <n v="32211004610"/>
    <d v="2025-11-18T00:00:00"/>
    <n v="111725"/>
    <s v="2% 12/10/25"/>
    <n v="203680"/>
    <d v="2025-11-18T00:00:00"/>
    <d v="2025-12-12T00:00:00"/>
    <n v="1.4452"/>
    <x v="0"/>
  </r>
  <r>
    <x v="34"/>
    <n v="1004716"/>
    <n v="123.46"/>
    <n v="2.4700000000000002"/>
    <n v="120.99"/>
    <m/>
    <n v="120.99"/>
    <d v="2025-12-12T00:00:00"/>
    <n v="1004716"/>
    <n v="3221"/>
    <n v="2.4700000000000002"/>
    <n v="123.46"/>
    <d v="2025-11-18T00:00:00"/>
    <n v="120.99"/>
    <n v="2.4700000000000002"/>
    <s v="NULL"/>
    <s v="PRO"/>
    <n v="0"/>
    <n v="120.99"/>
    <s v="PAID"/>
    <n v="2"/>
    <n v="5670696210319"/>
    <d v="2025-12-12T00:00:00"/>
    <d v="2025-11-18T00:00:00"/>
    <m/>
    <d v="2025-12-12T00:00:00"/>
    <d v="2025-12-10T16:23:00"/>
    <n v="32211004716"/>
    <d v="2025-11-18T00:00:00"/>
    <n v="111725"/>
    <s v="2% 12/10/25"/>
    <n v="203709"/>
    <d v="2025-11-18T00:00:00"/>
    <d v="2025-12-12T00:00:00"/>
    <n v="2.4691999999999998"/>
    <x v="0"/>
  </r>
  <r>
    <x v="34"/>
    <n v="1005142"/>
    <n v="227.9"/>
    <m/>
    <n v="227.9"/>
    <m/>
    <n v="227.9"/>
    <d v="2025-12-12T00:00:00"/>
    <n v="1005142"/>
    <n v="3221"/>
    <n v="0"/>
    <n v="227.9"/>
    <d v="2025-11-19T00:00:00"/>
    <n v="227.9"/>
    <n v="0"/>
    <s v="NULL"/>
    <s v="PRO"/>
    <n v="0"/>
    <n v="227.9"/>
    <s v="PAID"/>
    <n v="2"/>
    <n v="5670696210319"/>
    <d v="2025-12-12T00:00:00"/>
    <d v="2025-11-19T00:00:00"/>
    <m/>
    <d v="2025-12-12T00:00:00"/>
    <d v="2025-12-10T16:23:00"/>
    <n v="32211005142"/>
    <d v="2025-11-19T00:00:00"/>
    <n v="111725"/>
    <s v="NET 12/10/25"/>
    <n v="203983"/>
    <d v="2025-11-19T00:00:00"/>
    <d v="2025-12-12T00:00:00"/>
    <m/>
    <x v="0"/>
  </r>
  <r>
    <x v="34"/>
    <n v="1006941"/>
    <n v="530.54"/>
    <n v="5.31"/>
    <n v="525.23"/>
    <m/>
    <n v="525.23"/>
    <d v="2025-12-12T00:00:00"/>
    <n v="1006941"/>
    <n v="3221"/>
    <n v="5.31"/>
    <n v="530.54"/>
    <d v="2025-11-06T00:00:00"/>
    <n v="525.23"/>
    <n v="5.31"/>
    <s v="01-00891826"/>
    <s v="TAMRON"/>
    <n v="0"/>
    <n v="525.23"/>
    <s v="PAID"/>
    <n v="2"/>
    <n v="5670696210319"/>
    <d v="2025-12-12T00:00:00"/>
    <d v="2025-11-28T00:00:00"/>
    <m/>
    <d v="2025-12-12T00:00:00"/>
    <d v="2025-12-10T16:23:00"/>
    <n v="32211006941"/>
    <d v="2025-11-06T00:00:00"/>
    <s v="81325JR"/>
    <s v="1% 01/10/26"/>
    <s v="01-00891826"/>
    <d v="2025-11-28T00:00:00"/>
    <d v="2025-12-12T00:00:00"/>
    <m/>
    <x v="0"/>
  </r>
  <r>
    <x v="34"/>
    <n v="1007209"/>
    <n v="99.54"/>
    <n v="1.99"/>
    <n v="97.55"/>
    <n v="1"/>
    <n v="96.55"/>
    <d v="2025-12-12T00:00:00"/>
    <n v="1007209"/>
    <n v="3221"/>
    <n v="1.99"/>
    <n v="99.54"/>
    <d v="2025-12-01T00:00:00"/>
    <n v="97.55"/>
    <n v="1.99"/>
    <s v="NULL"/>
    <s v="PRO"/>
    <n v="1"/>
    <n v="96.55"/>
    <s v="PAID"/>
    <n v="2"/>
    <n v="5670696210319"/>
    <d v="2025-12-12T00:00:00"/>
    <d v="2025-12-01T00:00:00"/>
    <m/>
    <d v="2025-12-12T00:00:00"/>
    <d v="2025-12-10T16:23:00"/>
    <n v="32211007209"/>
    <d v="2025-12-01T00:00:00"/>
    <n v="111725"/>
    <s v="2% 01/10/26"/>
    <n v="205790"/>
    <d v="2025-12-01T00:00:00"/>
    <d v="2025-12-12T00:00:00"/>
    <n v="1.9908000000000001"/>
    <x v="0"/>
  </r>
  <r>
    <x v="34"/>
    <n v="1007245"/>
    <n v="74.819999999999993"/>
    <n v="1.5"/>
    <n v="73.319999999999993"/>
    <n v="0.75"/>
    <n v="72.569999999999993"/>
    <d v="2025-12-12T00:00:00"/>
    <n v="1007245"/>
    <n v="3221"/>
    <n v="1.5"/>
    <n v="74.819999999999993"/>
    <d v="2025-12-01T00:00:00"/>
    <n v="73.319999999999993"/>
    <n v="1.5"/>
    <s v="NULL"/>
    <s v="PRO"/>
    <n v="0.75"/>
    <n v="72.569999999999993"/>
    <s v="PAID"/>
    <n v="2"/>
    <n v="5670696210319"/>
    <d v="2025-12-12T00:00:00"/>
    <d v="2025-12-01T00:00:00"/>
    <m/>
    <d v="2025-12-12T00:00:00"/>
    <d v="2025-12-10T16:23:00"/>
    <n v="32211007245"/>
    <d v="2025-12-01T00:00:00"/>
    <n v="110325"/>
    <s v="2% 01/10/26"/>
    <n v="205789"/>
    <d v="2025-12-01T00:00:00"/>
    <d v="2025-12-12T00:00:00"/>
    <n v="1.4964"/>
    <x v="0"/>
  </r>
  <r>
    <x v="34"/>
    <n v="1007288"/>
    <n v="383.4"/>
    <n v="7.67"/>
    <n v="375.73"/>
    <n v="3.83"/>
    <n v="371.9"/>
    <d v="2025-12-12T00:00:00"/>
    <n v="1007288"/>
    <n v="3221"/>
    <n v="7.67"/>
    <n v="383.4"/>
    <d v="2025-12-01T00:00:00"/>
    <n v="375.73"/>
    <n v="7.67"/>
    <s v="NULL"/>
    <s v="PRO"/>
    <n v="3.83"/>
    <n v="371.9"/>
    <s v="PAID"/>
    <n v="2"/>
    <n v="5670696210319"/>
    <d v="2025-12-12T00:00:00"/>
    <d v="2025-12-01T00:00:00"/>
    <m/>
    <d v="2025-12-12T00:00:00"/>
    <d v="2025-12-10T16:23:00"/>
    <n v="32211007288"/>
    <d v="2025-12-01T00:00:00"/>
    <n v="112925"/>
    <s v="2% 01/10/26"/>
    <n v="205892"/>
    <d v="2025-12-01T00:00:00"/>
    <d v="2025-12-12T00:00:00"/>
    <n v="7.6679999999999993"/>
    <x v="0"/>
  </r>
  <r>
    <x v="34"/>
    <n v="1007403"/>
    <n v="189.92"/>
    <n v="3.8"/>
    <n v="186.12"/>
    <n v="1.9"/>
    <n v="184.22"/>
    <d v="2025-12-12T00:00:00"/>
    <n v="1007403"/>
    <n v="3221"/>
    <n v="3.8"/>
    <n v="189.92"/>
    <d v="2025-12-01T00:00:00"/>
    <n v="186.12"/>
    <n v="3.8"/>
    <s v="NULL"/>
    <s v="PRO"/>
    <n v="1.9"/>
    <n v="184.22"/>
    <s v="PAID"/>
    <n v="2"/>
    <n v="5670696210319"/>
    <d v="2025-12-12T00:00:00"/>
    <d v="2025-12-01T00:00:00"/>
    <m/>
    <d v="2025-12-12T00:00:00"/>
    <d v="2025-12-10T16:23:00"/>
    <n v="32211007403"/>
    <d v="2025-12-01T00:00:00"/>
    <n v="112925"/>
    <s v="2% 01/10/26"/>
    <n v="205914"/>
    <d v="2025-12-01T00:00:00"/>
    <d v="2025-12-12T00:00:00"/>
    <n v="3.7984"/>
    <x v="0"/>
  </r>
  <r>
    <x v="34"/>
    <n v="1007410"/>
    <n v="21.75"/>
    <m/>
    <n v="21.75"/>
    <n v="0.22"/>
    <n v="21.53"/>
    <d v="2025-12-12T00:00:00"/>
    <n v="1007410"/>
    <n v="3221"/>
    <n v="0"/>
    <n v="21.75"/>
    <d v="2025-12-01T00:00:00"/>
    <n v="21.75"/>
    <n v="0"/>
    <s v="NULL"/>
    <s v="PRO"/>
    <n v="0.22"/>
    <n v="21.53"/>
    <s v="PAID"/>
    <n v="2"/>
    <n v="5670696210319"/>
    <d v="2025-12-12T00:00:00"/>
    <d v="2025-12-01T00:00:00"/>
    <m/>
    <d v="2025-12-12T00:00:00"/>
    <d v="2025-12-10T16:23:00"/>
    <n v="32211007410"/>
    <d v="2025-12-01T00:00:00"/>
    <n v="112925"/>
    <s v="NET 01/10/26"/>
    <n v="205915"/>
    <d v="2025-12-01T00:00:00"/>
    <d v="2025-12-12T00:00:00"/>
    <m/>
    <x v="0"/>
  </r>
  <r>
    <x v="34"/>
    <n v="1007561"/>
    <n v="350"/>
    <m/>
    <n v="350"/>
    <n v="3.5"/>
    <n v="346.5"/>
    <d v="2025-12-12T00:00:00"/>
    <n v="1007561"/>
    <n v="3221"/>
    <n v="0"/>
    <n v="350"/>
    <d v="2025-12-02T00:00:00"/>
    <n v="350"/>
    <n v="0"/>
    <s v="NULL"/>
    <s v="PRO"/>
    <n v="3.5"/>
    <n v="346.5"/>
    <s v="PAID"/>
    <n v="2"/>
    <n v="5670696210319"/>
    <d v="2025-12-12T00:00:00"/>
    <d v="2025-12-02T00:00:00"/>
    <m/>
    <d v="2025-12-12T00:00:00"/>
    <d v="2025-12-10T16:23:00"/>
    <n v="32211007561"/>
    <d v="2025-12-02T00:00:00"/>
    <s v="NULL"/>
    <s v="NET DUE 10TH"/>
    <s v="NULL"/>
    <d v="2025-12-02T00:00:00"/>
    <d v="2025-12-12T00:00:00"/>
    <m/>
    <x v="0"/>
  </r>
  <r>
    <x v="34"/>
    <n v="1008024"/>
    <n v="58.35"/>
    <n v="1.17"/>
    <n v="57.18"/>
    <n v="0.57999999999999996"/>
    <n v="56.6"/>
    <d v="2025-12-12T00:00:00"/>
    <n v="1008024"/>
    <n v="3221"/>
    <n v="1.17"/>
    <n v="58.35"/>
    <d v="2025-12-03T00:00:00"/>
    <n v="57.18"/>
    <n v="1.17"/>
    <s v="NULL"/>
    <s v="PRO"/>
    <n v="0.57999999999999996"/>
    <n v="56.6"/>
    <s v="PAID"/>
    <n v="2"/>
    <n v="5670696210319"/>
    <d v="2025-12-12T00:00:00"/>
    <d v="2025-12-03T00:00:00"/>
    <m/>
    <d v="2025-12-12T00:00:00"/>
    <d v="2025-12-10T16:23:00"/>
    <n v="32211008024"/>
    <d v="2025-12-03T00:00:00"/>
    <n v="110325"/>
    <s v="2% 01/10/26"/>
    <n v="206066"/>
    <d v="2025-12-03T00:00:00"/>
    <d v="2025-12-12T00:00:00"/>
    <n v="1.167"/>
    <x v="0"/>
  </r>
  <r>
    <x v="34"/>
    <n v="1008127"/>
    <n v="113.37"/>
    <n v="2.27"/>
    <n v="111.1"/>
    <n v="1.1299999999999999"/>
    <n v="109.97"/>
    <d v="2025-12-12T00:00:00"/>
    <n v="1008127"/>
    <n v="3221"/>
    <n v="2.27"/>
    <n v="113.37"/>
    <d v="2025-12-04T00:00:00"/>
    <n v="111.1"/>
    <n v="2.27"/>
    <s v="NULL"/>
    <s v="PRO"/>
    <n v="1.1299999999999999"/>
    <n v="109.97"/>
    <s v="PAID"/>
    <n v="2"/>
    <n v="5670696210319"/>
    <d v="2025-12-12T00:00:00"/>
    <d v="2025-12-04T00:00:00"/>
    <m/>
    <d v="2025-12-12T00:00:00"/>
    <d v="2025-12-10T16:23:00"/>
    <n v="32211008127"/>
    <d v="2025-12-04T00:00:00"/>
    <n v="111725"/>
    <s v="2% 01/10/26"/>
    <n v="206394"/>
    <d v="2025-12-04T00:00:00"/>
    <d v="2025-12-12T00:00:00"/>
    <n v="2.2674000000000003"/>
    <x v="0"/>
  </r>
  <r>
    <x v="34"/>
    <n v="1008305"/>
    <n v="256.47000000000003"/>
    <n v="5.13"/>
    <n v="251.34"/>
    <n v="2.56"/>
    <n v="248.78"/>
    <d v="2025-12-12T00:00:00"/>
    <n v="1008305"/>
    <n v="3221"/>
    <n v="5.13"/>
    <n v="256.47000000000003"/>
    <d v="2025-12-05T00:00:00"/>
    <n v="251.34"/>
    <n v="5.13"/>
    <s v="INV404264"/>
    <s v="TIFFEN"/>
    <n v="2.56"/>
    <n v="248.78"/>
    <s v="PAID"/>
    <n v="2"/>
    <n v="5670696210319"/>
    <d v="2025-12-12T00:00:00"/>
    <d v="2025-12-05T00:00:00"/>
    <m/>
    <d v="2025-12-12T00:00:00"/>
    <d v="2025-12-10T16:23:00"/>
    <n v="32211008305"/>
    <d v="2025-12-05T00:00:00"/>
    <s v="NULL"/>
    <s v="2% 01/10/26"/>
    <s v="INV404264"/>
    <d v="2025-12-05T00:00:00"/>
    <d v="2025-12-12T00:00:00"/>
    <n v="5.1294000000000004"/>
    <x v="0"/>
  </r>
  <r>
    <x v="34"/>
    <n v="1008385"/>
    <n v="1481.45"/>
    <m/>
    <n v="1481.45"/>
    <n v="14.81"/>
    <n v="1466.64"/>
    <d v="2025-12-12T00:00:00"/>
    <n v="1008385"/>
    <n v="3221"/>
    <n v="0"/>
    <n v="1481.45"/>
    <d v="2025-12-05T00:00:00"/>
    <n v="1481.45"/>
    <n v="0"/>
    <n v="58518"/>
    <s v="PAKOR"/>
    <n v="14.81"/>
    <n v="1466.64"/>
    <s v="PAID"/>
    <n v="2"/>
    <n v="5670696210319"/>
    <d v="2025-12-12T00:00:00"/>
    <d v="2025-12-05T00:00:00"/>
    <m/>
    <d v="2025-12-12T00:00:00"/>
    <d v="2025-12-10T16:23:00"/>
    <n v="32211008385"/>
    <d v="2025-12-05T00:00:00"/>
    <s v="NULL"/>
    <s v="NET 01/10/26"/>
    <n v="58518"/>
    <d v="2025-12-05T00:00:00"/>
    <d v="2025-12-12T00:00:00"/>
    <m/>
    <x v="0"/>
  </r>
  <r>
    <x v="34"/>
    <n v="1008583"/>
    <n v="-1723.84"/>
    <m/>
    <n v="-1723.84"/>
    <m/>
    <n v="-1723.84"/>
    <d v="2025-12-12T00:00:00"/>
    <n v="1008583"/>
    <n v="3221"/>
    <n v="0"/>
    <n v="-1723.84"/>
    <d v="2025-12-08T00:00:00"/>
    <n v="-1723.84"/>
    <n v="0"/>
    <n v="1008583"/>
    <s v="PRO"/>
    <n v="0"/>
    <n v="-1723.84"/>
    <s v="PAID"/>
    <n v="2"/>
    <n v="5670696210319"/>
    <d v="2025-12-12T00:00:00"/>
    <d v="2025-12-08T00:00:00"/>
    <m/>
    <d v="2025-12-12T00:00:00"/>
    <d v="2025-12-10T16:23:00"/>
    <n v="32211008583"/>
    <d v="2025-12-08T00:00:00"/>
    <s v="N/A"/>
    <s v="NET 01/10/26"/>
    <s v="NMC103671634x"/>
    <d v="2025-12-08T00:00:00"/>
    <d v="2025-12-12T00:00:00"/>
    <m/>
    <x v="0"/>
  </r>
  <r>
    <x v="35"/>
    <n v="1002946"/>
    <n v="1619.3"/>
    <m/>
    <n v="1619.3"/>
    <m/>
    <n v="1619.3"/>
    <d v="2025-12-12T00:00:00"/>
    <n v="1002946"/>
    <n v="3228"/>
    <n v="0"/>
    <n v="1619.3"/>
    <d v="2025-11-10T00:00:00"/>
    <n v="1619.3"/>
    <n v="0"/>
    <s v="NULL"/>
    <s v="PRO"/>
    <n v="0"/>
    <n v="1619.3"/>
    <s v="PAID"/>
    <n v="2"/>
    <n v="6914882413916"/>
    <d v="2025-12-12T00:00:00"/>
    <d v="2025-11-10T00:00:00"/>
    <m/>
    <d v="2025-12-12T00:00:00"/>
    <d v="2025-12-09T16:32:00"/>
    <n v="32281002946"/>
    <d v="2025-11-10T00:00:00"/>
    <s v="42525PU"/>
    <s v="NET 12/10/25"/>
    <n v="202357"/>
    <d v="2025-11-10T00:00:00"/>
    <d v="2025-12-12T00:00:00"/>
    <m/>
    <x v="0"/>
  </r>
  <r>
    <x v="35"/>
    <n v="1002949"/>
    <n v="1619.3"/>
    <m/>
    <n v="1619.3"/>
    <m/>
    <n v="1619.3"/>
    <d v="2025-12-12T00:00:00"/>
    <n v="1002949"/>
    <n v="3228"/>
    <n v="0"/>
    <n v="1619.3"/>
    <d v="2025-11-10T00:00:00"/>
    <n v="1619.3"/>
    <n v="0"/>
    <s v="NULL"/>
    <s v="PRO"/>
    <n v="0"/>
    <n v="1619.3"/>
    <s v="PAID"/>
    <n v="2"/>
    <n v="6914882413916"/>
    <d v="2025-12-12T00:00:00"/>
    <d v="2025-11-10T00:00:00"/>
    <m/>
    <d v="2025-12-12T00:00:00"/>
    <d v="2025-12-09T16:32:00"/>
    <n v="32281002949"/>
    <d v="2025-11-10T00:00:00"/>
    <s v="41325PU"/>
    <s v="NET 12/10/25"/>
    <n v="202356"/>
    <d v="2025-11-10T00:00:00"/>
    <d v="2025-12-12T00:00:00"/>
    <m/>
    <x v="0"/>
  </r>
  <r>
    <x v="35"/>
    <n v="1002996"/>
    <n v="90.5"/>
    <m/>
    <n v="90.5"/>
    <m/>
    <n v="90.5"/>
    <d v="2025-12-12T00:00:00"/>
    <n v="1002996"/>
    <n v="3228"/>
    <n v="0"/>
    <n v="90.5"/>
    <d v="2025-11-10T00:00:00"/>
    <n v="90.5"/>
    <n v="0"/>
    <s v="NULL"/>
    <s v="PRO"/>
    <n v="0"/>
    <n v="90.5"/>
    <s v="PAID"/>
    <n v="2"/>
    <n v="6914882413916"/>
    <d v="2025-12-12T00:00:00"/>
    <d v="2025-11-10T00:00:00"/>
    <m/>
    <d v="2025-12-12T00:00:00"/>
    <d v="2025-12-09T16:32:00"/>
    <n v="32281002996"/>
    <d v="2025-11-10T00:00:00"/>
    <s v="BUFF61325"/>
    <s v="NET 12/10/25"/>
    <n v="202322"/>
    <d v="2025-11-10T00:00:00"/>
    <d v="2025-12-12T00:00:00"/>
    <m/>
    <x v="0"/>
  </r>
  <r>
    <x v="35"/>
    <n v="1003018"/>
    <n v="817.46"/>
    <m/>
    <n v="817.46"/>
    <m/>
    <n v="817.46"/>
    <d v="2025-12-12T00:00:00"/>
    <n v="1003018"/>
    <n v="3228"/>
    <n v="0"/>
    <n v="817.46"/>
    <d v="2025-11-10T00:00:00"/>
    <n v="817.46"/>
    <n v="0"/>
    <s v="NULL"/>
    <s v="PRO"/>
    <n v="0"/>
    <n v="817.46"/>
    <s v="PAID"/>
    <n v="2"/>
    <n v="6914882413916"/>
    <d v="2025-12-12T00:00:00"/>
    <d v="2025-11-10T00:00:00"/>
    <m/>
    <d v="2025-12-12T00:00:00"/>
    <d v="2025-12-09T16:32:00"/>
    <n v="32281003018"/>
    <d v="2025-11-10T00:00:00"/>
    <s v="110925PU"/>
    <s v="NET 12/10/25"/>
    <n v="202300"/>
    <d v="2025-11-10T00:00:00"/>
    <d v="2025-12-12T00:00:00"/>
    <m/>
    <x v="0"/>
  </r>
  <r>
    <x v="35"/>
    <n v="1003082"/>
    <n v="615.96"/>
    <n v="12.32"/>
    <n v="603.64"/>
    <m/>
    <n v="603.64"/>
    <d v="2025-12-12T00:00:00"/>
    <n v="1003082"/>
    <n v="3228"/>
    <n v="12.32"/>
    <n v="615.96"/>
    <d v="2025-11-10T00:00:00"/>
    <n v="603.64"/>
    <n v="12.32"/>
    <s v="NULL"/>
    <s v="PRO"/>
    <n v="0"/>
    <n v="603.64"/>
    <s v="PAID"/>
    <n v="2"/>
    <n v="6914882413916"/>
    <d v="2025-12-12T00:00:00"/>
    <d v="2025-11-10T00:00:00"/>
    <m/>
    <d v="2025-12-12T00:00:00"/>
    <d v="2025-12-09T16:32:00"/>
    <n v="32281003082"/>
    <d v="2025-11-10T00:00:00"/>
    <s v="110925PU"/>
    <s v="2% 12/10/25"/>
    <n v="202276"/>
    <d v="2025-11-10T00:00:00"/>
    <d v="2025-12-12T00:00:00"/>
    <n v="12.3192"/>
    <x v="0"/>
  </r>
  <r>
    <x v="35"/>
    <n v="1003096"/>
    <n v="4652.96"/>
    <m/>
    <n v="4652.96"/>
    <m/>
    <n v="4652.96"/>
    <d v="2025-12-12T00:00:00"/>
    <n v="1003096"/>
    <n v="3228"/>
    <n v="0"/>
    <n v="4652.96"/>
    <d v="2025-11-10T00:00:00"/>
    <n v="4652.96"/>
    <n v="0"/>
    <s v="NULL"/>
    <s v="PRO"/>
    <n v="0"/>
    <n v="4652.96"/>
    <s v="PAID"/>
    <n v="2"/>
    <n v="6914882413916"/>
    <d v="2025-12-12T00:00:00"/>
    <d v="2025-11-10T00:00:00"/>
    <m/>
    <d v="2025-12-12T00:00:00"/>
    <d v="2025-12-09T16:32:00"/>
    <n v="32281003096"/>
    <d v="2025-11-10T00:00:00"/>
    <s v="FUJIBUFF11525"/>
    <s v="NET 12/10/25"/>
    <n v="202217"/>
    <d v="2025-11-10T00:00:00"/>
    <d v="2025-12-12T00:00:00"/>
    <m/>
    <x v="0"/>
  </r>
  <r>
    <x v="35"/>
    <n v="1003104"/>
    <n v="512.14"/>
    <n v="10.24"/>
    <n v="501.9"/>
    <m/>
    <n v="501.9"/>
    <d v="2025-12-12T00:00:00"/>
    <n v="1003104"/>
    <n v="3228"/>
    <n v="10.24"/>
    <n v="512.14"/>
    <d v="2025-11-10T00:00:00"/>
    <n v="501.9"/>
    <n v="10.24"/>
    <s v="NULL"/>
    <s v="PRO"/>
    <n v="0"/>
    <n v="501.9"/>
    <s v="PAID"/>
    <n v="2"/>
    <n v="6914882413916"/>
    <d v="2025-12-12T00:00:00"/>
    <d v="2025-11-10T00:00:00"/>
    <m/>
    <d v="2025-12-12T00:00:00"/>
    <d v="2025-12-09T16:32:00"/>
    <n v="32281003104"/>
    <d v="2025-11-10T00:00:00"/>
    <s v="110925PU"/>
    <s v="2% 12/10/25"/>
    <n v="202299"/>
    <d v="2025-11-10T00:00:00"/>
    <d v="2025-12-12T00:00:00"/>
    <n v="10.242800000000001"/>
    <x v="0"/>
  </r>
  <r>
    <x v="35"/>
    <n v="1003118"/>
    <n v="109.74"/>
    <n v="1.1000000000000001"/>
    <n v="108.64"/>
    <m/>
    <n v="108.64"/>
    <d v="2025-12-12T00:00:00"/>
    <n v="1003118"/>
    <n v="3228"/>
    <n v="1.1000000000000001"/>
    <n v="109.74"/>
    <d v="2025-11-11T00:00:00"/>
    <n v="108.64"/>
    <n v="1.1000000000000001"/>
    <n v="1066323"/>
    <s v="SKB"/>
    <n v="0"/>
    <n v="108.64"/>
    <s v="PAID"/>
    <n v="2"/>
    <n v="6914882413916"/>
    <d v="2025-12-12T00:00:00"/>
    <d v="2025-11-11T00:00:00"/>
    <m/>
    <d v="2025-12-12T00:00:00"/>
    <d v="2025-12-09T16:32:00"/>
    <n v="32281003118"/>
    <d v="2025-11-11T00:00:00"/>
    <n v="92025"/>
    <s v="1% 12/10/25"/>
    <n v="1066323"/>
    <d v="2025-11-11T00:00:00"/>
    <d v="2025-12-12T00:00:00"/>
    <m/>
    <x v="0"/>
  </r>
  <r>
    <x v="35"/>
    <n v="1003183"/>
    <n v="1592.64"/>
    <n v="15.93"/>
    <n v="1576.71"/>
    <m/>
    <n v="1576.71"/>
    <d v="2025-12-12T00:00:00"/>
    <n v="1003183"/>
    <n v="3228"/>
    <n v="15.93"/>
    <n v="1592.64"/>
    <d v="2025-10-30T00:00:00"/>
    <n v="1576.71"/>
    <n v="15.93"/>
    <s v="01-00891450"/>
    <s v="TAMRON"/>
    <n v="0"/>
    <n v="1576.71"/>
    <s v="PAID"/>
    <n v="2"/>
    <n v="6914882413916"/>
    <d v="2025-12-12T00:00:00"/>
    <d v="2025-11-11T00:00:00"/>
    <m/>
    <d v="2025-12-12T00:00:00"/>
    <d v="2025-12-09T16:32:00"/>
    <n v="32281003183"/>
    <d v="2025-10-30T00:00:00"/>
    <s v="82725HV"/>
    <s v="1% 12/10/25"/>
    <s v="01-00891450"/>
    <d v="2025-11-11T00:00:00"/>
    <d v="2025-12-12T00:00:00"/>
    <m/>
    <x v="0"/>
  </r>
  <r>
    <x v="35"/>
    <n v="1003184"/>
    <n v="6370.56"/>
    <n v="18.53"/>
    <n v="6052.03"/>
    <m/>
    <n v="6052.03"/>
    <d v="2025-12-12T00:00:00"/>
    <n v="1003184"/>
    <n v="3228"/>
    <n v="318.52999999999997"/>
    <n v="6370.56"/>
    <d v="2025-10-30T00:00:00"/>
    <n v="6052.03"/>
    <n v="318.52999999999997"/>
    <s v="01-00891451"/>
    <s v="TAMRON"/>
    <n v="0"/>
    <n v="6052.03"/>
    <s v="PAID"/>
    <n v="2"/>
    <n v="6914882413916"/>
    <d v="2025-12-12T00:00:00"/>
    <d v="2025-11-11T00:00:00"/>
    <m/>
    <d v="2025-12-12T00:00:00"/>
    <d v="2025-12-09T16:32:00"/>
    <n v="32281003184"/>
    <d v="2025-10-30T00:00:00"/>
    <s v="FAL25 T"/>
    <s v="5% 12/10/25"/>
    <s v="01-00891451"/>
    <d v="2025-11-11T00:00:00"/>
    <d v="2025-12-12T00:00:00"/>
    <n v="318.52800000000002"/>
    <x v="0"/>
  </r>
  <r>
    <x v="35"/>
    <n v="1003364"/>
    <n v="617.23"/>
    <n v="12.34"/>
    <n v="604.89"/>
    <m/>
    <n v="604.89"/>
    <d v="2025-12-12T00:00:00"/>
    <n v="1003364"/>
    <n v="3228"/>
    <n v="12.34"/>
    <n v="617.23"/>
    <d v="2025-11-11T00:00:00"/>
    <n v="604.89"/>
    <n v="12.34"/>
    <s v="NULL"/>
    <s v="PRO"/>
    <n v="0"/>
    <n v="604.89"/>
    <s v="PAID"/>
    <n v="2"/>
    <n v="6914882413916"/>
    <d v="2025-12-12T00:00:00"/>
    <d v="2025-11-11T00:00:00"/>
    <m/>
    <d v="2025-12-12T00:00:00"/>
    <d v="2025-12-09T16:32:00"/>
    <n v="32281003364"/>
    <d v="2025-11-11T00:00:00"/>
    <s v="111125PU"/>
    <s v="2% 12/10/25"/>
    <n v="202506"/>
    <d v="2025-11-11T00:00:00"/>
    <d v="2025-12-12T00:00:00"/>
    <n v="12.3446"/>
    <x v="0"/>
  </r>
  <r>
    <x v="35"/>
    <n v="1003440"/>
    <n v="142.4"/>
    <m/>
    <n v="142.4"/>
    <m/>
    <n v="142.4"/>
    <d v="2025-12-12T00:00:00"/>
    <n v="1003440"/>
    <n v="3228"/>
    <n v="0"/>
    <n v="142.4"/>
    <d v="2025-11-11T00:00:00"/>
    <n v="142.4"/>
    <n v="0"/>
    <s v="NULL"/>
    <s v="PRO"/>
    <n v="0"/>
    <n v="142.4"/>
    <s v="PAID"/>
    <n v="2"/>
    <n v="6914882413916"/>
    <d v="2025-12-12T00:00:00"/>
    <d v="2025-11-11T00:00:00"/>
    <m/>
    <d v="2025-12-12T00:00:00"/>
    <d v="2025-12-09T16:32:00"/>
    <n v="32281003440"/>
    <d v="2025-11-11T00:00:00"/>
    <s v="FUJIBUFF11525"/>
    <s v="NET 12/10/25"/>
    <n v="202606"/>
    <d v="2025-11-11T00:00:00"/>
    <d v="2025-12-12T00:00:00"/>
    <m/>
    <x v="0"/>
  </r>
  <r>
    <x v="35"/>
    <n v="1003443"/>
    <n v="89"/>
    <m/>
    <n v="89"/>
    <m/>
    <n v="89"/>
    <d v="2025-12-12T00:00:00"/>
    <n v="1003443"/>
    <n v="3228"/>
    <n v="0"/>
    <n v="89"/>
    <d v="2025-11-11T00:00:00"/>
    <n v="89"/>
    <n v="0"/>
    <s v="NULL"/>
    <s v="PRO"/>
    <n v="0"/>
    <n v="89"/>
    <s v="PAID"/>
    <n v="2"/>
    <n v="6914882413916"/>
    <d v="2025-12-12T00:00:00"/>
    <d v="2025-11-11T00:00:00"/>
    <m/>
    <d v="2025-12-12T00:00:00"/>
    <d v="2025-12-09T16:32:00"/>
    <n v="32281003443"/>
    <d v="2025-11-11T00:00:00"/>
    <s v="102925PU"/>
    <s v="NET 12/10/25"/>
    <n v="202605"/>
    <d v="2025-11-11T00:00:00"/>
    <d v="2025-12-12T00:00:00"/>
    <m/>
    <x v="0"/>
  </r>
  <r>
    <x v="35"/>
    <n v="1003463"/>
    <n v="-1551.9"/>
    <m/>
    <n v="-1551.9"/>
    <m/>
    <n v="-1551.9"/>
    <d v="2025-12-12T00:00:00"/>
    <n v="1003463"/>
    <n v="3228"/>
    <n v="0"/>
    <n v="-1551.9"/>
    <d v="2025-11-12T00:00:00"/>
    <n v="-1551.9"/>
    <n v="0"/>
    <n v="1003463"/>
    <s v="TAMRON"/>
    <n v="0"/>
    <n v="-1551.9"/>
    <s v="PAID"/>
    <n v="2"/>
    <n v="6914882413916"/>
    <d v="2025-12-12T00:00:00"/>
    <d v="2025-11-12T00:00:00"/>
    <m/>
    <d v="2025-12-12T00:00:00"/>
    <d v="2025-12-09T16:32:00"/>
    <n v="32281003463"/>
    <d v="2025-11-10T00:00:00"/>
    <s v="RA 1489"/>
    <s v="1% 12/10/25"/>
    <s v="01-00892005"/>
    <d v="2025-11-12T00:00:00"/>
    <d v="2025-12-12T00:00:00"/>
    <m/>
    <x v="0"/>
  </r>
  <r>
    <x v="35"/>
    <n v="1003587"/>
    <n v="90.5"/>
    <m/>
    <n v="90.5"/>
    <m/>
    <n v="90.5"/>
    <d v="2025-12-12T00:00:00"/>
    <n v="1003587"/>
    <n v="3228"/>
    <n v="0"/>
    <n v="90.5"/>
    <d v="2025-11-12T00:00:00"/>
    <n v="90.5"/>
    <n v="0"/>
    <s v="NULL"/>
    <s v="PRO"/>
    <n v="0"/>
    <n v="90.5"/>
    <s v="PAID"/>
    <n v="2"/>
    <n v="6914882413916"/>
    <d v="2025-12-12T00:00:00"/>
    <d v="2025-11-12T00:00:00"/>
    <m/>
    <d v="2025-12-12T00:00:00"/>
    <d v="2025-12-09T16:32:00"/>
    <n v="32281003587"/>
    <d v="2025-11-12T00:00:00"/>
    <s v="BUFF72325"/>
    <s v="NET 12/10/25"/>
    <n v="202755"/>
    <d v="2025-11-12T00:00:00"/>
    <d v="2025-12-12T00:00:00"/>
    <m/>
    <x v="0"/>
  </r>
  <r>
    <x v="35"/>
    <n v="1003628"/>
    <n v="534"/>
    <m/>
    <n v="534"/>
    <m/>
    <n v="534"/>
    <d v="2025-12-12T00:00:00"/>
    <n v="1003628"/>
    <n v="3228"/>
    <n v="0"/>
    <n v="534"/>
    <d v="2025-11-12T00:00:00"/>
    <n v="534"/>
    <n v="0"/>
    <s v="NULL"/>
    <s v="PRO"/>
    <n v="0"/>
    <n v="534"/>
    <s v="PAID"/>
    <n v="2"/>
    <n v="6914882413916"/>
    <d v="2025-12-12T00:00:00"/>
    <d v="2025-11-12T00:00:00"/>
    <m/>
    <d v="2025-12-12T00:00:00"/>
    <d v="2025-12-09T16:32:00"/>
    <n v="32281003628"/>
    <d v="2025-11-12T00:00:00"/>
    <s v="110725PU"/>
    <s v="NET 12/10/25"/>
    <n v="202644"/>
    <d v="2025-11-12T00:00:00"/>
    <d v="2025-12-12T00:00:00"/>
    <m/>
    <x v="0"/>
  </r>
  <r>
    <x v="35"/>
    <n v="1003631"/>
    <n v="201.87"/>
    <n v="4.04"/>
    <n v="197.83"/>
    <m/>
    <n v="197.83"/>
    <d v="2025-12-12T00:00:00"/>
    <n v="1003631"/>
    <n v="3228"/>
    <n v="4.04"/>
    <n v="201.87"/>
    <d v="2025-11-12T00:00:00"/>
    <n v="197.83"/>
    <n v="4.04"/>
    <s v="NULL"/>
    <s v="PRO"/>
    <n v="0"/>
    <n v="197.83"/>
    <s v="PAID"/>
    <n v="2"/>
    <n v="6914882413916"/>
    <d v="2025-12-12T00:00:00"/>
    <d v="2025-11-12T00:00:00"/>
    <m/>
    <d v="2025-12-12T00:00:00"/>
    <d v="2025-12-09T16:32:00"/>
    <n v="32281003631"/>
    <d v="2025-11-12T00:00:00"/>
    <s v="111225PU"/>
    <s v="2% 12/10/25"/>
    <n v="202687"/>
    <d v="2025-11-12T00:00:00"/>
    <d v="2025-12-12T00:00:00"/>
    <n v="4.0373999999999999"/>
    <x v="0"/>
  </r>
  <r>
    <x v="35"/>
    <n v="1003656"/>
    <n v="83.19"/>
    <m/>
    <n v="83.19"/>
    <m/>
    <n v="83.19"/>
    <d v="2025-12-12T00:00:00"/>
    <n v="1003656"/>
    <n v="3228"/>
    <n v="0"/>
    <n v="83.19"/>
    <d v="2025-11-12T00:00:00"/>
    <n v="83.19"/>
    <n v="0"/>
    <s v="NULL"/>
    <s v="PRO"/>
    <n v="0"/>
    <n v="83.19"/>
    <s v="PAID"/>
    <n v="2"/>
    <n v="6914882413916"/>
    <d v="2025-12-12T00:00:00"/>
    <d v="2025-11-12T00:00:00"/>
    <m/>
    <d v="2025-12-12T00:00:00"/>
    <d v="2025-12-09T16:32:00"/>
    <n v="32281003656"/>
    <d v="2025-11-12T00:00:00"/>
    <s v="111225PU"/>
    <s v="NET 12/10/25"/>
    <n v="202699"/>
    <d v="2025-11-12T00:00:00"/>
    <d v="2025-12-12T00:00:00"/>
    <m/>
    <x v="0"/>
  </r>
  <r>
    <x v="35"/>
    <n v="1003663"/>
    <n v="635.74"/>
    <n v="12.71"/>
    <n v="623.03"/>
    <m/>
    <n v="623.03"/>
    <d v="2025-12-12T00:00:00"/>
    <n v="1003663"/>
    <n v="3228"/>
    <n v="12.71"/>
    <n v="635.74"/>
    <d v="2025-11-12T00:00:00"/>
    <n v="623.03"/>
    <n v="12.71"/>
    <s v="NULL"/>
    <s v="PRO"/>
    <n v="0"/>
    <n v="623.03"/>
    <s v="PAID"/>
    <n v="2"/>
    <n v="6914882413916"/>
    <d v="2025-12-12T00:00:00"/>
    <d v="2025-11-12T00:00:00"/>
    <m/>
    <d v="2025-12-12T00:00:00"/>
    <d v="2025-12-09T16:32:00"/>
    <n v="32281003663"/>
    <d v="2025-11-12T00:00:00"/>
    <s v="111225PU"/>
    <s v="2% 12/10/25"/>
    <n v="202698"/>
    <d v="2025-11-12T00:00:00"/>
    <d v="2025-12-12T00:00:00"/>
    <n v="12.7148"/>
    <x v="0"/>
  </r>
  <r>
    <x v="35"/>
    <n v="1003820"/>
    <n v="167.04"/>
    <n v="3.34"/>
    <n v="163.69999999999999"/>
    <m/>
    <n v="163.69999999999999"/>
    <d v="2025-12-12T00:00:00"/>
    <n v="1003820"/>
    <n v="3228"/>
    <n v="3.34"/>
    <n v="167.04"/>
    <d v="2025-11-13T00:00:00"/>
    <n v="163.69999999999999"/>
    <n v="3.34"/>
    <s v="NULL"/>
    <s v="PRO"/>
    <n v="0"/>
    <n v="163.69999999999999"/>
    <s v="PAID"/>
    <n v="2"/>
    <n v="6914882413916"/>
    <d v="2025-12-12T00:00:00"/>
    <d v="2025-11-13T00:00:00"/>
    <m/>
    <d v="2025-12-12T00:00:00"/>
    <d v="2025-12-09T16:32:00"/>
    <n v="32281003820"/>
    <d v="2025-11-13T00:00:00"/>
    <s v="BUFF11525"/>
    <s v="2% 12/10/25"/>
    <n v="202894"/>
    <d v="2025-11-13T00:00:00"/>
    <d v="2025-12-12T00:00:00"/>
    <n v="3.3407999999999998"/>
    <x v="0"/>
  </r>
  <r>
    <x v="35"/>
    <n v="1003822"/>
    <n v="251.6"/>
    <n v="5.03"/>
    <n v="246.57"/>
    <m/>
    <n v="246.57"/>
    <d v="2025-12-12T00:00:00"/>
    <n v="1003822"/>
    <n v="3228"/>
    <n v="5.03"/>
    <n v="251.6"/>
    <d v="2025-11-13T00:00:00"/>
    <n v="246.57"/>
    <n v="5.03"/>
    <s v="NULL"/>
    <s v="PRO"/>
    <n v="0"/>
    <n v="246.57"/>
    <s v="PAID"/>
    <n v="2"/>
    <n v="6914882413916"/>
    <d v="2025-12-12T00:00:00"/>
    <d v="2025-11-13T00:00:00"/>
    <m/>
    <d v="2025-12-12T00:00:00"/>
    <d v="2025-12-09T16:32:00"/>
    <n v="32281003822"/>
    <d v="2025-11-13T00:00:00"/>
    <s v="101425PU"/>
    <s v="2% 12/10/25"/>
    <n v="202892"/>
    <d v="2025-11-13T00:00:00"/>
    <d v="2025-12-12T00:00:00"/>
    <n v="5.032"/>
    <x v="0"/>
  </r>
  <r>
    <x v="35"/>
    <n v="1003826"/>
    <n v="251.6"/>
    <n v="5.03"/>
    <n v="246.57"/>
    <m/>
    <n v="246.57"/>
    <d v="2025-12-12T00:00:00"/>
    <n v="1003826"/>
    <n v="3228"/>
    <n v="5.03"/>
    <n v="251.6"/>
    <d v="2025-11-13T00:00:00"/>
    <n v="246.57"/>
    <n v="5.03"/>
    <s v="NULL"/>
    <s v="PRO"/>
    <n v="0"/>
    <n v="246.57"/>
    <s v="PAID"/>
    <n v="2"/>
    <n v="6914882413916"/>
    <d v="2025-12-12T00:00:00"/>
    <d v="2025-11-13T00:00:00"/>
    <m/>
    <d v="2025-12-12T00:00:00"/>
    <d v="2025-12-09T16:32:00"/>
    <n v="32281003826"/>
    <d v="2025-11-13T00:00:00"/>
    <s v="SHOWBUFF916"/>
    <s v="2% 12/10/25"/>
    <n v="202893"/>
    <d v="2025-11-13T00:00:00"/>
    <d v="2025-12-12T00:00:00"/>
    <n v="5.032"/>
    <x v="0"/>
  </r>
  <r>
    <x v="35"/>
    <n v="1003887"/>
    <n v="89.79"/>
    <n v="1.8"/>
    <n v="87.99"/>
    <m/>
    <n v="87.99"/>
    <d v="2025-12-12T00:00:00"/>
    <n v="1003887"/>
    <n v="3228"/>
    <n v="1.8"/>
    <n v="89.79"/>
    <d v="2025-11-14T00:00:00"/>
    <n v="87.99"/>
    <n v="1.8"/>
    <s v="NULL"/>
    <s v="PRO"/>
    <n v="0"/>
    <n v="87.99"/>
    <s v="PAID"/>
    <n v="2"/>
    <n v="6914882413916"/>
    <d v="2025-12-12T00:00:00"/>
    <d v="2025-11-14T00:00:00"/>
    <m/>
    <d v="2025-12-12T00:00:00"/>
    <d v="2025-12-09T16:32:00"/>
    <n v="32281003887"/>
    <d v="2025-11-14T00:00:00"/>
    <s v="FBA102225"/>
    <s v="2% 12/10/25"/>
    <n v="202952"/>
    <d v="2025-11-14T00:00:00"/>
    <d v="2025-12-12T00:00:00"/>
    <n v="1.7958000000000001"/>
    <x v="0"/>
  </r>
  <r>
    <x v="35"/>
    <n v="1003935"/>
    <n v="103.56"/>
    <n v="2.0699999999999998"/>
    <n v="101.49"/>
    <m/>
    <n v="101.49"/>
    <d v="2025-12-12T00:00:00"/>
    <n v="1003935"/>
    <n v="3228"/>
    <n v="2.0699999999999998"/>
    <n v="103.56"/>
    <d v="2025-11-14T00:00:00"/>
    <n v="101.49"/>
    <n v="2.0699999999999998"/>
    <s v="NULL"/>
    <s v="PRO"/>
    <n v="0"/>
    <n v="101.49"/>
    <s v="PAID"/>
    <n v="2"/>
    <n v="6914882413916"/>
    <d v="2025-12-12T00:00:00"/>
    <d v="2025-11-14T00:00:00"/>
    <m/>
    <d v="2025-12-12T00:00:00"/>
    <d v="2025-12-09T16:32:00"/>
    <n v="32281003935"/>
    <d v="2025-11-14T00:00:00"/>
    <s v="PU111325"/>
    <s v="2% 12/10/25"/>
    <n v="203395"/>
    <d v="2025-11-14T00:00:00"/>
    <d v="2025-12-12T00:00:00"/>
    <n v="2.0712000000000002"/>
    <x v="0"/>
  </r>
  <r>
    <x v="35"/>
    <n v="1004093"/>
    <n v="5219.76"/>
    <m/>
    <n v="5219.76"/>
    <m/>
    <n v="5219.76"/>
    <d v="2025-12-12T00:00:00"/>
    <n v="1004093"/>
    <n v="3228"/>
    <n v="0"/>
    <n v="5219.76"/>
    <d v="2025-11-14T00:00:00"/>
    <n v="5219.76"/>
    <n v="0"/>
    <s v="NULL"/>
    <s v="PRO"/>
    <n v="0"/>
    <n v="5219.76"/>
    <s v="PAID"/>
    <n v="2"/>
    <n v="6914882413916"/>
    <d v="2025-12-12T00:00:00"/>
    <d v="2025-11-14T00:00:00"/>
    <m/>
    <d v="2025-12-12T00:00:00"/>
    <d v="2025-12-09T16:32:00"/>
    <n v="32281004093"/>
    <d v="2025-11-14T00:00:00"/>
    <s v="102325PU"/>
    <s v="NET 12/10/25"/>
    <n v="203279"/>
    <d v="2025-11-14T00:00:00"/>
    <d v="2025-12-12T00:00:00"/>
    <m/>
    <x v="0"/>
  </r>
  <r>
    <x v="35"/>
    <n v="1004095"/>
    <n v="4535.88"/>
    <m/>
    <n v="4535.88"/>
    <m/>
    <n v="4535.88"/>
    <d v="2025-12-12T00:00:00"/>
    <n v="1004095"/>
    <n v="3228"/>
    <n v="0"/>
    <n v="4535.88"/>
    <d v="2025-11-14T00:00:00"/>
    <n v="4535.88"/>
    <n v="0"/>
    <s v="NULL"/>
    <s v="PRO"/>
    <n v="0"/>
    <n v="4535.88"/>
    <s v="PAID"/>
    <n v="2"/>
    <n v="6914882413916"/>
    <d v="2025-12-12T00:00:00"/>
    <d v="2025-11-14T00:00:00"/>
    <m/>
    <d v="2025-12-12T00:00:00"/>
    <d v="2025-12-09T16:32:00"/>
    <n v="32281004095"/>
    <d v="2025-11-14T00:00:00"/>
    <s v="8625PU"/>
    <s v="NET 12/10/25"/>
    <n v="203275"/>
    <d v="2025-11-14T00:00:00"/>
    <d v="2025-12-12T00:00:00"/>
    <m/>
    <x v="0"/>
  </r>
  <r>
    <x v="35"/>
    <n v="1004096"/>
    <n v="364.46"/>
    <m/>
    <n v="364.46"/>
    <m/>
    <n v="364.46"/>
    <d v="2025-12-12T00:00:00"/>
    <n v="1004096"/>
    <n v="3228"/>
    <n v="0"/>
    <n v="364.46"/>
    <d v="2025-11-14T00:00:00"/>
    <n v="364.46"/>
    <n v="0"/>
    <s v="NULL"/>
    <s v="PRO"/>
    <n v="0"/>
    <n v="364.46"/>
    <s v="PAID"/>
    <n v="2"/>
    <n v="6914882413916"/>
    <d v="2025-12-12T00:00:00"/>
    <d v="2025-11-14T00:00:00"/>
    <m/>
    <d v="2025-12-12T00:00:00"/>
    <d v="2025-12-09T16:32:00"/>
    <n v="32281004096"/>
    <d v="2025-11-14T00:00:00"/>
    <s v="9328PU"/>
    <s v="NET 12/10/25"/>
    <n v="203277"/>
    <d v="2025-11-14T00:00:00"/>
    <d v="2025-12-12T00:00:00"/>
    <m/>
    <x v="0"/>
  </r>
  <r>
    <x v="35"/>
    <n v="1004097"/>
    <n v="2957.92"/>
    <m/>
    <n v="2957.92"/>
    <m/>
    <n v="2957.92"/>
    <d v="2025-12-12T00:00:00"/>
    <n v="1004097"/>
    <n v="3228"/>
    <n v="0"/>
    <n v="2957.92"/>
    <d v="2025-11-14T00:00:00"/>
    <n v="2957.92"/>
    <n v="0"/>
    <s v="NULL"/>
    <s v="PRO"/>
    <n v="0"/>
    <n v="2957.92"/>
    <s v="PAID"/>
    <n v="2"/>
    <n v="6914882413916"/>
    <d v="2025-12-12T00:00:00"/>
    <d v="2025-11-14T00:00:00"/>
    <m/>
    <d v="2025-12-12T00:00:00"/>
    <d v="2025-12-09T16:32:00"/>
    <n v="32281004097"/>
    <d v="2025-11-14T00:00:00"/>
    <s v="62025PU"/>
    <s v="NET 12/10/25"/>
    <n v="203273"/>
    <d v="2025-11-14T00:00:00"/>
    <d v="2025-12-12T00:00:00"/>
    <m/>
    <x v="0"/>
  </r>
  <r>
    <x v="35"/>
    <n v="1004099"/>
    <n v="3023.92"/>
    <m/>
    <n v="3023.92"/>
    <m/>
    <n v="3023.92"/>
    <d v="2025-12-12T00:00:00"/>
    <n v="1004099"/>
    <n v="3228"/>
    <n v="0"/>
    <n v="3023.92"/>
    <d v="2025-11-14T00:00:00"/>
    <n v="3023.92"/>
    <n v="0"/>
    <s v="NULL"/>
    <s v="PRO"/>
    <n v="0"/>
    <n v="3023.92"/>
    <s v="PAID"/>
    <n v="2"/>
    <n v="6914882413916"/>
    <d v="2025-12-12T00:00:00"/>
    <d v="2025-11-14T00:00:00"/>
    <m/>
    <d v="2025-12-12T00:00:00"/>
    <d v="2025-12-09T16:32:00"/>
    <n v="32281004099"/>
    <d v="2025-11-14T00:00:00"/>
    <s v="82925PU"/>
    <s v="NET 12/10/25"/>
    <n v="203276"/>
    <d v="2025-11-14T00:00:00"/>
    <d v="2025-12-12T00:00:00"/>
    <m/>
    <x v="0"/>
  </r>
  <r>
    <x v="35"/>
    <n v="1004100"/>
    <n v="426.6"/>
    <m/>
    <n v="426.6"/>
    <m/>
    <n v="426.6"/>
    <d v="2025-12-12T00:00:00"/>
    <n v="1004100"/>
    <n v="3228"/>
    <n v="0"/>
    <n v="426.6"/>
    <d v="2025-11-14T00:00:00"/>
    <n v="426.6"/>
    <n v="0"/>
    <s v="NULL"/>
    <s v="PRO"/>
    <n v="0"/>
    <n v="426.6"/>
    <s v="PAID"/>
    <n v="2"/>
    <n v="6914882413916"/>
    <d v="2025-12-12T00:00:00"/>
    <d v="2025-11-14T00:00:00"/>
    <m/>
    <d v="2025-12-12T00:00:00"/>
    <d v="2025-12-09T16:32:00"/>
    <n v="32281004100"/>
    <d v="2025-11-14T00:00:00"/>
    <s v="91425PU"/>
    <s v="NET 12/10/25"/>
    <n v="203278"/>
    <d v="2025-11-14T00:00:00"/>
    <d v="2025-12-12T00:00:00"/>
    <m/>
    <x v="0"/>
  </r>
  <r>
    <x v="35"/>
    <n v="1004102"/>
    <n v="1652.96"/>
    <m/>
    <n v="1652.96"/>
    <m/>
    <n v="1652.96"/>
    <d v="2025-12-12T00:00:00"/>
    <n v="1004102"/>
    <n v="3228"/>
    <n v="0"/>
    <n v="1652.96"/>
    <d v="2025-11-14T00:00:00"/>
    <n v="1652.96"/>
    <n v="0"/>
    <s v="NULL"/>
    <s v="PRO"/>
    <n v="0"/>
    <n v="1652.96"/>
    <s v="PAID"/>
    <n v="2"/>
    <n v="6914882413916"/>
    <d v="2025-12-12T00:00:00"/>
    <d v="2025-11-14T00:00:00"/>
    <m/>
    <d v="2025-12-12T00:00:00"/>
    <d v="2025-12-09T16:32:00"/>
    <n v="32281004102"/>
    <d v="2025-11-14T00:00:00"/>
    <s v="62825PU"/>
    <s v="NET 12/10/25"/>
    <n v="203274"/>
    <d v="2025-11-14T00:00:00"/>
    <d v="2025-12-12T00:00:00"/>
    <m/>
    <x v="0"/>
  </r>
  <r>
    <x v="35"/>
    <n v="1004143"/>
    <n v="6394.18"/>
    <m/>
    <n v="6394.18"/>
    <m/>
    <n v="6394.18"/>
    <d v="2025-12-12T00:00:00"/>
    <n v="1004143"/>
    <n v="3228"/>
    <n v="0"/>
    <n v="6394.18"/>
    <d v="2025-11-14T00:00:00"/>
    <n v="6394.18"/>
    <n v="0"/>
    <s v="NULL"/>
    <s v="PRO"/>
    <n v="0"/>
    <n v="6394.18"/>
    <s v="PAID"/>
    <n v="2"/>
    <n v="6914882413916"/>
    <d v="2025-12-12T00:00:00"/>
    <d v="2025-11-14T00:00:00"/>
    <m/>
    <d v="2025-12-12T00:00:00"/>
    <d v="2025-12-09T16:32:00"/>
    <n v="32281004143"/>
    <d v="2025-11-14T00:00:00"/>
    <s v="FUJIBUFF102325"/>
    <s v="NET 12/10/25"/>
    <n v="203283"/>
    <d v="2025-11-14T00:00:00"/>
    <d v="2025-12-12T00:00:00"/>
    <m/>
    <x v="0"/>
  </r>
  <r>
    <x v="35"/>
    <n v="1004146"/>
    <n v="1343.96"/>
    <m/>
    <n v="1343.96"/>
    <m/>
    <n v="1343.96"/>
    <d v="2025-12-12T00:00:00"/>
    <n v="1004146"/>
    <n v="3228"/>
    <n v="0"/>
    <n v="1343.96"/>
    <d v="2025-11-14T00:00:00"/>
    <n v="1343.96"/>
    <n v="0"/>
    <s v="NULL"/>
    <s v="PRO"/>
    <n v="0"/>
    <n v="1343.96"/>
    <s v="PAID"/>
    <n v="2"/>
    <n v="6914882413916"/>
    <d v="2025-12-12T00:00:00"/>
    <d v="2025-11-14T00:00:00"/>
    <m/>
    <d v="2025-12-12T00:00:00"/>
    <d v="2025-12-09T16:32:00"/>
    <n v="32281004146"/>
    <d v="2025-11-14T00:00:00"/>
    <s v="91725 PAN BF"/>
    <s v="NET 12/10/25"/>
    <n v="203281"/>
    <d v="2025-11-14T00:00:00"/>
    <d v="2025-12-12T00:00:00"/>
    <m/>
    <x v="0"/>
  </r>
  <r>
    <x v="35"/>
    <n v="1004148"/>
    <n v="1943.88"/>
    <m/>
    <n v="1943.88"/>
    <m/>
    <n v="1943.88"/>
    <d v="2025-12-12T00:00:00"/>
    <n v="1004148"/>
    <n v="3228"/>
    <n v="0"/>
    <n v="1943.88"/>
    <d v="2025-11-14T00:00:00"/>
    <n v="1943.88"/>
    <n v="0"/>
    <s v="NULL"/>
    <s v="PRO"/>
    <n v="0"/>
    <n v="1943.88"/>
    <s v="PAID"/>
    <n v="2"/>
    <n v="6914882413916"/>
    <d v="2025-12-12T00:00:00"/>
    <d v="2025-11-14T00:00:00"/>
    <m/>
    <d v="2025-12-12T00:00:00"/>
    <d v="2025-12-09T16:32:00"/>
    <n v="32281004148"/>
    <d v="2025-11-14T00:00:00"/>
    <s v="FUJIBUFF11525"/>
    <s v="NET 12/10/25"/>
    <n v="203284"/>
    <d v="2025-11-14T00:00:00"/>
    <d v="2025-12-12T00:00:00"/>
    <m/>
    <x v="0"/>
  </r>
  <r>
    <x v="35"/>
    <n v="1004150"/>
    <n v="4451.88"/>
    <m/>
    <n v="4451.88"/>
    <m/>
    <n v="4451.88"/>
    <d v="2025-12-12T00:00:00"/>
    <n v="1004150"/>
    <n v="3228"/>
    <n v="0"/>
    <n v="4451.88"/>
    <d v="2025-11-14T00:00:00"/>
    <n v="4451.88"/>
    <n v="0"/>
    <s v="NULL"/>
    <s v="PRO"/>
    <n v="0"/>
    <n v="4451.88"/>
    <s v="PAID"/>
    <n v="2"/>
    <n v="6914882413916"/>
    <d v="2025-12-12T00:00:00"/>
    <d v="2025-11-14T00:00:00"/>
    <m/>
    <d v="2025-12-12T00:00:00"/>
    <d v="2025-12-09T16:32:00"/>
    <n v="32281004150"/>
    <d v="2025-11-14T00:00:00"/>
    <s v="BUFF8825"/>
    <s v="NET 12/10/25"/>
    <n v="203280"/>
    <d v="2025-11-14T00:00:00"/>
    <d v="2025-12-12T00:00:00"/>
    <m/>
    <x v="0"/>
  </r>
  <r>
    <x v="35"/>
    <n v="1004151"/>
    <n v="364.46"/>
    <m/>
    <n v="364.46"/>
    <m/>
    <n v="364.46"/>
    <d v="2025-12-12T00:00:00"/>
    <n v="1004151"/>
    <n v="3228"/>
    <n v="0"/>
    <n v="364.46"/>
    <d v="2025-11-14T00:00:00"/>
    <n v="364.46"/>
    <n v="0"/>
    <s v="NULL"/>
    <s v="PRO"/>
    <n v="0"/>
    <n v="364.46"/>
    <s v="PAID"/>
    <n v="2"/>
    <n v="6914882413916"/>
    <d v="2025-12-12T00:00:00"/>
    <d v="2025-11-14T00:00:00"/>
    <m/>
    <d v="2025-12-12T00:00:00"/>
    <d v="2025-12-09T16:32:00"/>
    <n v="32281004151"/>
    <d v="2025-11-14T00:00:00"/>
    <s v="BUFF10825"/>
    <s v="NET 12/10/25"/>
    <n v="203282"/>
    <d v="2025-11-14T00:00:00"/>
    <d v="2025-12-12T00:00:00"/>
    <m/>
    <x v="0"/>
  </r>
  <r>
    <x v="35"/>
    <n v="1006018"/>
    <n v="-178"/>
    <m/>
    <n v="-178"/>
    <m/>
    <n v="-178"/>
    <d v="2025-12-12T00:00:00"/>
    <n v="1006018"/>
    <n v="3228"/>
    <n v="0"/>
    <n v="-178"/>
    <d v="2025-11-25T00:00:00"/>
    <n v="-178"/>
    <n v="0"/>
    <n v="1006018"/>
    <s v="PRO"/>
    <n v="0"/>
    <n v="-178"/>
    <s v="PAID"/>
    <n v="2"/>
    <n v="6914882413916"/>
    <d v="2025-12-12T00:00:00"/>
    <d v="2025-11-25T00:00:00"/>
    <m/>
    <d v="2025-12-12T00:00:00"/>
    <d v="2025-12-09T16:32:00"/>
    <n v="32281006018"/>
    <d v="2025-11-25T00:00:00"/>
    <s v="NULL"/>
    <s v="NET 12/10/25"/>
    <s v="NULL"/>
    <d v="2025-11-25T00:00:00"/>
    <d v="2025-12-12T00:00:00"/>
    <m/>
    <x v="0"/>
  </r>
  <r>
    <x v="35"/>
    <n v="1007296"/>
    <n v="771.17"/>
    <n v="15.42"/>
    <n v="755.75"/>
    <n v="7.71"/>
    <n v="748.04"/>
    <d v="2025-12-12T00:00:00"/>
    <n v="1007296"/>
    <n v="3228"/>
    <n v="15.42"/>
    <n v="771.17"/>
    <d v="2025-12-01T00:00:00"/>
    <n v="755.75"/>
    <n v="15.42"/>
    <s v="NULL"/>
    <s v="PRO"/>
    <n v="7.71"/>
    <n v="748.04"/>
    <s v="PAID"/>
    <n v="2"/>
    <n v="6914882413916"/>
    <d v="2025-12-12T00:00:00"/>
    <d v="2025-12-01T00:00:00"/>
    <m/>
    <d v="2025-12-12T00:00:00"/>
    <d v="2025-12-09T16:32:00"/>
    <n v="32281007296"/>
    <d v="2025-12-01T00:00:00"/>
    <s v="112925PU"/>
    <s v="2% 01/10/26"/>
    <n v="205895"/>
    <d v="2025-12-01T00:00:00"/>
    <d v="2025-12-12T00:00:00"/>
    <n v="15.423399999999999"/>
    <x v="0"/>
  </r>
  <r>
    <x v="35"/>
    <n v="1007374"/>
    <n v="806.57"/>
    <n v="16.13"/>
    <n v="790.44"/>
    <n v="8.07"/>
    <n v="782.37"/>
    <d v="2025-12-12T00:00:00"/>
    <n v="1007374"/>
    <n v="3228"/>
    <n v="16.13"/>
    <n v="806.57"/>
    <d v="2025-12-01T00:00:00"/>
    <n v="790.44"/>
    <n v="16.13"/>
    <s v="NULL"/>
    <s v="PRO"/>
    <n v="8.07"/>
    <n v="782.37"/>
    <s v="PAID"/>
    <n v="2"/>
    <n v="6914882413916"/>
    <d v="2025-12-12T00:00:00"/>
    <d v="2025-12-01T00:00:00"/>
    <m/>
    <d v="2025-12-12T00:00:00"/>
    <d v="2025-12-09T16:32:00"/>
    <n v="32281007374"/>
    <d v="2025-12-01T00:00:00"/>
    <s v="120125PU"/>
    <s v="2% 01/10/26"/>
    <n v="205935"/>
    <d v="2025-12-01T00:00:00"/>
    <d v="2025-12-12T00:00:00"/>
    <n v="16.131400000000003"/>
    <x v="0"/>
  </r>
  <r>
    <x v="35"/>
    <n v="1007381"/>
    <n v="47.55"/>
    <n v="0.95"/>
    <n v="46.6"/>
    <n v="0.48"/>
    <n v="46.12"/>
    <d v="2025-12-12T00:00:00"/>
    <n v="1007381"/>
    <n v="3228"/>
    <n v="0.95"/>
    <n v="47.55"/>
    <d v="2025-12-01T00:00:00"/>
    <n v="46.6"/>
    <n v="0.95"/>
    <s v="NULL"/>
    <s v="PRO"/>
    <n v="0.48"/>
    <n v="46.12"/>
    <s v="PAID"/>
    <n v="2"/>
    <n v="6914882413916"/>
    <d v="2025-12-12T00:00:00"/>
    <d v="2025-12-01T00:00:00"/>
    <m/>
    <d v="2025-12-12T00:00:00"/>
    <d v="2025-12-09T16:32:00"/>
    <n v="32281007381"/>
    <d v="2025-12-01T00:00:00"/>
    <s v="111225PU"/>
    <s v="2% 01/10/26"/>
    <n v="205977"/>
    <d v="2025-12-01T00:00:00"/>
    <d v="2025-12-12T00:00:00"/>
    <n v="0.95099999999999996"/>
    <x v="0"/>
  </r>
  <r>
    <x v="35"/>
    <n v="1007390"/>
    <n v="421.49"/>
    <n v="8.43"/>
    <n v="413.06"/>
    <n v="4.21"/>
    <n v="408.85"/>
    <d v="2025-12-12T00:00:00"/>
    <n v="1007390"/>
    <n v="3228"/>
    <n v="8.43"/>
    <n v="421.49"/>
    <d v="2025-12-01T00:00:00"/>
    <n v="413.06"/>
    <n v="8.43"/>
    <s v="NULL"/>
    <s v="PRO"/>
    <n v="4.21"/>
    <n v="408.85"/>
    <s v="PAID"/>
    <n v="2"/>
    <n v="6914882413916"/>
    <d v="2025-12-12T00:00:00"/>
    <d v="2025-12-01T00:00:00"/>
    <m/>
    <d v="2025-12-12T00:00:00"/>
    <d v="2025-12-09T16:32:00"/>
    <n v="32281007390"/>
    <d v="2025-12-01T00:00:00"/>
    <s v="112525BF"/>
    <s v="2% 01/10/26"/>
    <n v="205698"/>
    <d v="2025-12-01T00:00:00"/>
    <d v="2025-12-12T00:00:00"/>
    <n v="8.4298000000000002"/>
    <x v="0"/>
  </r>
  <r>
    <x v="35"/>
    <n v="1007427"/>
    <n v="124.8"/>
    <n v="2.5"/>
    <n v="122.3"/>
    <n v="1.25"/>
    <n v="121.05"/>
    <d v="2025-12-12T00:00:00"/>
    <n v="1007427"/>
    <n v="3228"/>
    <n v="2.5"/>
    <n v="124.8"/>
    <d v="2025-12-01T00:00:00"/>
    <n v="122.3"/>
    <n v="2.5"/>
    <s v="NULL"/>
    <s v="PRO"/>
    <n v="1.25"/>
    <n v="121.05"/>
    <s v="PAID"/>
    <n v="2"/>
    <n v="6914882413916"/>
    <d v="2025-12-12T00:00:00"/>
    <d v="2025-12-01T00:00:00"/>
    <m/>
    <d v="2025-12-12T00:00:00"/>
    <d v="2025-12-09T16:32:00"/>
    <n v="32281007427"/>
    <d v="2025-12-01T00:00:00"/>
    <s v="120125PU"/>
    <s v="2% 01/10/26"/>
    <n v="205945"/>
    <d v="2025-12-01T00:00:00"/>
    <d v="2025-12-12T00:00:00"/>
    <n v="2.496"/>
    <x v="0"/>
  </r>
  <r>
    <x v="35"/>
    <n v="1007445"/>
    <n v="127.2"/>
    <m/>
    <n v="127.2"/>
    <n v="1.27"/>
    <n v="125.93"/>
    <d v="2025-12-12T00:00:00"/>
    <n v="1007445"/>
    <n v="3228"/>
    <n v="0"/>
    <n v="127.2"/>
    <d v="2025-12-01T00:00:00"/>
    <n v="127.2"/>
    <n v="0"/>
    <s v="NULL"/>
    <s v="PRO"/>
    <n v="1.27"/>
    <n v="125.93"/>
    <s v="PAID"/>
    <n v="2"/>
    <n v="6914882413916"/>
    <d v="2025-12-12T00:00:00"/>
    <d v="2025-12-01T00:00:00"/>
    <m/>
    <d v="2025-12-12T00:00:00"/>
    <d v="2025-12-09T16:32:00"/>
    <n v="32281007445"/>
    <d v="2025-12-01T00:00:00"/>
    <s v="112925PU"/>
    <s v="NET 01/10/26"/>
    <n v="205925"/>
    <d v="2025-12-01T00:00:00"/>
    <d v="2025-12-12T00:00:00"/>
    <m/>
    <x v="0"/>
  </r>
  <r>
    <x v="35"/>
    <n v="1007451"/>
    <n v="276.79000000000002"/>
    <n v="5.54"/>
    <n v="271.25"/>
    <n v="2.77"/>
    <n v="268.48"/>
    <d v="2025-12-12T00:00:00"/>
    <n v="1007451"/>
    <n v="3228"/>
    <n v="5.54"/>
    <n v="276.79000000000002"/>
    <d v="2025-12-01T00:00:00"/>
    <n v="271.25"/>
    <n v="5.54"/>
    <s v="NULL"/>
    <s v="PRO"/>
    <n v="2.77"/>
    <n v="268.48"/>
    <s v="PAID"/>
    <n v="2"/>
    <n v="6914882413916"/>
    <d v="2025-12-12T00:00:00"/>
    <d v="2025-12-01T00:00:00"/>
    <m/>
    <d v="2025-12-12T00:00:00"/>
    <d v="2025-12-09T16:32:00"/>
    <n v="32281007451"/>
    <d v="2025-12-01T00:00:00"/>
    <s v="112925PU"/>
    <s v="2% 01/10/26"/>
    <n v="205924"/>
    <d v="2025-12-01T00:00:00"/>
    <d v="2025-12-12T00:00:00"/>
    <n v="5.5358000000000009"/>
    <x v="0"/>
  </r>
  <r>
    <x v="35"/>
    <n v="1007490"/>
    <n v="37.92"/>
    <n v="0.76"/>
    <n v="37.159999999999997"/>
    <n v="0.38"/>
    <n v="36.78"/>
    <d v="2025-12-12T00:00:00"/>
    <n v="1007490"/>
    <n v="3228"/>
    <n v="0.76"/>
    <n v="37.92"/>
    <d v="2025-12-01T00:00:00"/>
    <n v="37.159999999999997"/>
    <n v="0.76"/>
    <s v="NULL"/>
    <s v="PRO"/>
    <n v="0.38"/>
    <n v="36.78"/>
    <s v="PAID"/>
    <n v="2"/>
    <n v="6914882413916"/>
    <d v="2025-12-12T00:00:00"/>
    <d v="2025-12-01T00:00:00"/>
    <m/>
    <d v="2025-12-12T00:00:00"/>
    <d v="2025-12-09T16:32:00"/>
    <n v="32281007490"/>
    <d v="2025-12-01T00:00:00"/>
    <s v="103125PU"/>
    <s v="2% 01/10/26"/>
    <n v="206017"/>
    <d v="2025-12-01T00:00:00"/>
    <d v="2025-12-12T00:00:00"/>
    <n v="0.75840000000000007"/>
    <x v="0"/>
  </r>
  <r>
    <x v="35"/>
    <n v="1007594"/>
    <n v="3990"/>
    <m/>
    <n v="3990"/>
    <n v="39.9"/>
    <n v="3950.1"/>
    <d v="2025-12-12T00:00:00"/>
    <n v="1007594"/>
    <n v="3228"/>
    <n v="0"/>
    <n v="3990"/>
    <d v="2025-12-02T00:00:00"/>
    <n v="3990"/>
    <n v="0"/>
    <s v="NULL"/>
    <s v="PRO"/>
    <n v="39.9"/>
    <n v="3950.1"/>
    <s v="PAID"/>
    <n v="2"/>
    <n v="6914882413916"/>
    <d v="2025-12-12T00:00:00"/>
    <d v="2025-12-02T00:00:00"/>
    <m/>
    <d v="2025-12-12T00:00:00"/>
    <d v="2025-12-09T16:32:00"/>
    <n v="32281007594"/>
    <d v="2025-12-02T00:00:00"/>
    <s v="NULL"/>
    <s v="NET 02/10/26"/>
    <s v="NULL"/>
    <d v="2025-12-02T00:00:00"/>
    <d v="2025-12-12T00:00:00"/>
    <m/>
    <x v="0"/>
  </r>
  <r>
    <x v="35"/>
    <n v="1007767"/>
    <n v="400.8"/>
    <n v="8.02"/>
    <n v="392.78"/>
    <n v="4.01"/>
    <n v="388.77"/>
    <d v="2025-12-12T00:00:00"/>
    <n v="1007767"/>
    <n v="3228"/>
    <n v="8.02"/>
    <n v="400.8"/>
    <d v="2025-12-02T00:00:00"/>
    <n v="392.78"/>
    <n v="8.02"/>
    <s v="NULL"/>
    <s v="PRO"/>
    <n v="4.01"/>
    <n v="388.77"/>
    <s v="PAID"/>
    <n v="2"/>
    <n v="6914882413916"/>
    <d v="2025-12-12T00:00:00"/>
    <d v="2025-12-02T00:00:00"/>
    <m/>
    <d v="2025-12-12T00:00:00"/>
    <d v="2025-12-09T16:32:00"/>
    <n v="32281007767"/>
    <d v="2025-12-02T00:00:00"/>
    <s v="120225PU"/>
    <s v="2% 01/10/26"/>
    <n v="206271"/>
    <d v="2025-12-02T00:00:00"/>
    <d v="2025-12-12T00:00:00"/>
    <n v="8.016"/>
    <x v="0"/>
  </r>
  <r>
    <x v="35"/>
    <n v="1007832"/>
    <n v="937.93"/>
    <n v="18.760000000000002"/>
    <n v="919.17"/>
    <n v="9.3800000000000008"/>
    <n v="909.79"/>
    <d v="2025-12-12T00:00:00"/>
    <n v="1007832"/>
    <n v="3228"/>
    <n v="18.760000000000002"/>
    <n v="937.93"/>
    <d v="2025-12-02T00:00:00"/>
    <n v="919.17"/>
    <n v="18.760000000000002"/>
    <s v="NULL"/>
    <s v="PRO"/>
    <n v="9.3800000000000008"/>
    <n v="909.79"/>
    <s v="PAID"/>
    <n v="2"/>
    <n v="6914882413916"/>
    <d v="2025-12-12T00:00:00"/>
    <d v="2025-12-02T00:00:00"/>
    <m/>
    <d v="2025-12-12T00:00:00"/>
    <d v="2025-12-09T16:32:00"/>
    <n v="32281007832"/>
    <d v="2025-12-02T00:00:00"/>
    <s v="BUFF112925"/>
    <s v="2% 01/10/26"/>
    <n v="206163"/>
    <d v="2025-12-02T00:00:00"/>
    <d v="2025-12-12T00:00:00"/>
    <n v="18.758599999999998"/>
    <x v="0"/>
  </r>
  <r>
    <x v="35"/>
    <n v="1007841"/>
    <n v="769.46"/>
    <m/>
    <n v="769.46"/>
    <n v="7.69"/>
    <n v="761.77"/>
    <d v="2025-12-12T00:00:00"/>
    <n v="1007841"/>
    <n v="3228"/>
    <n v="0"/>
    <n v="769.46"/>
    <d v="2025-12-02T00:00:00"/>
    <n v="769.46"/>
    <n v="0"/>
    <s v="NULL"/>
    <s v="PRO"/>
    <n v="7.69"/>
    <n v="761.77"/>
    <s v="PAID"/>
    <n v="2"/>
    <n v="6914882413916"/>
    <d v="2025-12-12T00:00:00"/>
    <d v="2025-12-02T00:00:00"/>
    <m/>
    <d v="2025-12-12T00:00:00"/>
    <d v="2025-12-09T16:32:00"/>
    <n v="32281007841"/>
    <d v="2025-12-02T00:00:00"/>
    <s v="FBA112525"/>
    <s v="NET 01/10/26"/>
    <n v="206127"/>
    <d v="2025-12-02T00:00:00"/>
    <d v="2025-12-12T00:00:00"/>
    <m/>
    <x v="0"/>
  </r>
  <r>
    <x v="35"/>
    <n v="1007847"/>
    <n v="2733.03"/>
    <m/>
    <n v="2733.03"/>
    <n v="27.33"/>
    <n v="2705.7"/>
    <d v="2025-12-12T00:00:00"/>
    <n v="1007847"/>
    <n v="3228"/>
    <n v="0"/>
    <n v="2733.03"/>
    <d v="2025-12-02T00:00:00"/>
    <n v="2733.03"/>
    <n v="0"/>
    <s v="NULL"/>
    <s v="PRO"/>
    <n v="27.33"/>
    <n v="2705.7"/>
    <s v="PAID"/>
    <n v="2"/>
    <n v="6914882413916"/>
    <d v="2025-12-12T00:00:00"/>
    <d v="2025-12-02T00:00:00"/>
    <m/>
    <d v="2025-12-12T00:00:00"/>
    <d v="2025-12-09T16:32:00"/>
    <n v="32281007847"/>
    <d v="2025-12-02T00:00:00"/>
    <s v="91725 PAN BF"/>
    <s v="NET 01/10/26"/>
    <n v="206128"/>
    <d v="2025-12-02T00:00:00"/>
    <d v="2025-12-12T00:00:00"/>
    <m/>
    <x v="0"/>
  </r>
  <r>
    <x v="35"/>
    <n v="1007932"/>
    <n v="1484.4"/>
    <m/>
    <n v="1484.4"/>
    <n v="14.84"/>
    <n v="1469.56"/>
    <d v="2025-12-12T00:00:00"/>
    <n v="1007932"/>
    <n v="3228"/>
    <n v="0"/>
    <n v="1484.4"/>
    <d v="2025-12-03T00:00:00"/>
    <n v="1484.4"/>
    <n v="0"/>
    <s v="NULL"/>
    <s v="PRO"/>
    <n v="14.84"/>
    <n v="1469.56"/>
    <s v="PAID"/>
    <n v="2"/>
    <n v="6914882413916"/>
    <d v="2025-12-12T00:00:00"/>
    <d v="2025-12-03T00:00:00"/>
    <m/>
    <d v="2025-12-12T00:00:00"/>
    <d v="2025-12-09T16:32:00"/>
    <n v="32281007932"/>
    <d v="2025-12-03T00:00:00"/>
    <s v="112725PU"/>
    <s v="NET 01/10/26"/>
    <n v="206467"/>
    <d v="2025-12-03T00:00:00"/>
    <d v="2025-12-12T00:00:00"/>
    <m/>
    <x v="0"/>
  </r>
  <r>
    <x v="35"/>
    <n v="1007934"/>
    <n v="371.1"/>
    <m/>
    <n v="371.1"/>
    <n v="3.71"/>
    <n v="367.39"/>
    <d v="2025-12-12T00:00:00"/>
    <n v="1007934"/>
    <n v="3228"/>
    <n v="0"/>
    <n v="371.1"/>
    <d v="2025-12-03T00:00:00"/>
    <n v="371.1"/>
    <n v="0"/>
    <s v="NULL"/>
    <s v="PRO"/>
    <n v="3.71"/>
    <n v="367.39"/>
    <s v="PAID"/>
    <n v="2"/>
    <n v="6914882413916"/>
    <d v="2025-12-12T00:00:00"/>
    <d v="2025-12-03T00:00:00"/>
    <m/>
    <d v="2025-12-12T00:00:00"/>
    <d v="2025-12-09T16:32:00"/>
    <n v="32281007934"/>
    <d v="2025-12-03T00:00:00"/>
    <s v="112525BF"/>
    <s v="NET 01/10/26"/>
    <n v="206469"/>
    <d v="2025-12-03T00:00:00"/>
    <d v="2025-12-12T00:00:00"/>
    <m/>
    <x v="0"/>
  </r>
  <r>
    <x v="35"/>
    <n v="1007937"/>
    <n v="828.19"/>
    <m/>
    <n v="828.19"/>
    <n v="8.2799999999999994"/>
    <n v="819.91"/>
    <d v="2025-12-12T00:00:00"/>
    <n v="1007937"/>
    <n v="3228"/>
    <n v="0"/>
    <n v="828.19"/>
    <d v="2025-12-03T00:00:00"/>
    <n v="828.19"/>
    <n v="0"/>
    <s v="NULL"/>
    <s v="PRO"/>
    <n v="8.2799999999999994"/>
    <n v="819.91"/>
    <s v="PAID"/>
    <n v="2"/>
    <n v="6914882413916"/>
    <d v="2025-12-12T00:00:00"/>
    <d v="2025-12-03T00:00:00"/>
    <m/>
    <d v="2025-12-12T00:00:00"/>
    <d v="2025-12-09T16:32:00"/>
    <n v="32281007937"/>
    <d v="2025-12-03T00:00:00"/>
    <s v="91725 PAN BF"/>
    <s v="NET 01/10/26"/>
    <n v="206468"/>
    <d v="2025-12-03T00:00:00"/>
    <d v="2025-12-12T00:00:00"/>
    <m/>
    <x v="0"/>
  </r>
  <r>
    <x v="35"/>
    <n v="1007939"/>
    <n v="971.96"/>
    <m/>
    <n v="971.96"/>
    <n v="9.7200000000000006"/>
    <n v="962.24"/>
    <d v="2025-12-12T00:00:00"/>
    <n v="1007939"/>
    <n v="3228"/>
    <n v="0"/>
    <n v="971.96"/>
    <d v="2025-12-03T00:00:00"/>
    <n v="971.96"/>
    <n v="0"/>
    <s v="NULL"/>
    <s v="PRO"/>
    <n v="9.7200000000000006"/>
    <n v="962.24"/>
    <s v="PAID"/>
    <n v="2"/>
    <n v="6914882413916"/>
    <d v="2025-12-12T00:00:00"/>
    <d v="2025-12-03T00:00:00"/>
    <m/>
    <d v="2025-12-12T00:00:00"/>
    <d v="2025-12-09T16:32:00"/>
    <n v="32281007939"/>
    <d v="2025-12-03T00:00:00"/>
    <s v="FBA112525"/>
    <s v="NET 01/10/26"/>
    <n v="206466"/>
    <d v="2025-12-03T00:00:00"/>
    <d v="2025-12-12T00:00:00"/>
    <m/>
    <x v="0"/>
  </r>
  <r>
    <x v="35"/>
    <n v="1007956"/>
    <n v="985.65"/>
    <n v="19.71"/>
    <n v="965.94"/>
    <n v="9.86"/>
    <n v="956.08"/>
    <d v="2025-12-12T00:00:00"/>
    <n v="1007956"/>
    <n v="3228"/>
    <n v="19.71"/>
    <n v="985.65"/>
    <d v="2025-12-03T00:00:00"/>
    <n v="965.94"/>
    <n v="19.71"/>
    <s v="NULL"/>
    <s v="PRO"/>
    <n v="9.86"/>
    <n v="956.08"/>
    <s v="PAID"/>
    <n v="2"/>
    <n v="6914882413916"/>
    <d v="2025-12-12T00:00:00"/>
    <d v="2025-12-03T00:00:00"/>
    <m/>
    <d v="2025-12-12T00:00:00"/>
    <d v="2025-12-09T16:32:00"/>
    <n v="32281007956"/>
    <d v="2025-12-03T00:00:00"/>
    <s v="BUFF112925"/>
    <s v="2% 01/10/26"/>
    <n v="206249"/>
    <d v="2025-12-03T00:00:00"/>
    <d v="2025-12-12T00:00:00"/>
    <n v="19.713000000000001"/>
    <x v="0"/>
  </r>
  <r>
    <x v="35"/>
    <n v="1007983"/>
    <n v="1442.5"/>
    <m/>
    <n v="1442.5"/>
    <n v="14.43"/>
    <n v="1428.07"/>
    <d v="2025-12-12T00:00:00"/>
    <n v="1007983"/>
    <n v="3228"/>
    <n v="0"/>
    <n v="1442.5"/>
    <d v="2025-12-03T00:00:00"/>
    <n v="1442.5"/>
    <n v="0"/>
    <s v="NULL"/>
    <s v="PRO"/>
    <n v="14.43"/>
    <n v="1428.07"/>
    <s v="PAID"/>
    <n v="2"/>
    <n v="6914882413916"/>
    <d v="2025-12-12T00:00:00"/>
    <d v="2025-12-03T00:00:00"/>
    <m/>
    <d v="2025-12-12T00:00:00"/>
    <d v="2025-12-09T16:32:00"/>
    <n v="32281007983"/>
    <d v="2025-12-03T00:00:00"/>
    <s v="BUFF112925"/>
    <s v="NET 01/10/26"/>
    <n v="206250"/>
    <d v="2025-12-03T00:00:00"/>
    <d v="2025-12-12T00:00:00"/>
    <m/>
    <x v="0"/>
  </r>
  <r>
    <x v="35"/>
    <n v="1007992"/>
    <n v="458.2"/>
    <m/>
    <n v="458.2"/>
    <n v="4.58"/>
    <n v="453.62"/>
    <d v="2025-12-12T00:00:00"/>
    <n v="1007992"/>
    <n v="3228"/>
    <n v="0"/>
    <n v="458.2"/>
    <d v="2025-12-03T00:00:00"/>
    <n v="458.2"/>
    <n v="0"/>
    <s v="NULL"/>
    <s v="PRO"/>
    <n v="4.58"/>
    <n v="453.62"/>
    <s v="PAID"/>
    <n v="2"/>
    <n v="6914882413916"/>
    <d v="2025-12-12T00:00:00"/>
    <d v="2025-12-03T00:00:00"/>
    <m/>
    <d v="2025-12-12T00:00:00"/>
    <d v="2025-12-09T16:32:00"/>
    <n v="32281007992"/>
    <d v="2025-12-03T00:00:00"/>
    <s v="120225PU"/>
    <s v="NET 01/10/26"/>
    <n v="206293"/>
    <d v="2025-12-03T00:00:00"/>
    <d v="2025-12-12T00:00:00"/>
    <m/>
    <x v="0"/>
  </r>
  <r>
    <x v="35"/>
    <n v="1007999"/>
    <n v="97.89"/>
    <n v="1.96"/>
    <n v="95.93"/>
    <n v="0.98"/>
    <n v="94.95"/>
    <d v="2025-12-12T00:00:00"/>
    <n v="1007999"/>
    <n v="3228"/>
    <n v="1.96"/>
    <n v="97.89"/>
    <d v="2025-12-03T00:00:00"/>
    <n v="95.93"/>
    <n v="1.96"/>
    <s v="NULL"/>
    <s v="PRO"/>
    <n v="0.98"/>
    <n v="94.95"/>
    <s v="PAID"/>
    <n v="2"/>
    <n v="6914882413916"/>
    <d v="2025-12-12T00:00:00"/>
    <d v="2025-12-03T00:00:00"/>
    <m/>
    <d v="2025-12-12T00:00:00"/>
    <d v="2025-12-09T16:32:00"/>
    <n v="32281007999"/>
    <d v="2025-12-03T00:00:00"/>
    <s v="120225PU"/>
    <s v="2% 01/10/26"/>
    <n v="206292"/>
    <d v="2025-12-03T00:00:00"/>
    <d v="2025-12-12T00:00:00"/>
    <n v="1.9578"/>
    <x v="0"/>
  </r>
  <r>
    <x v="35"/>
    <n v="1008067"/>
    <n v="1117"/>
    <n v="22.34"/>
    <n v="1094.6600000000001"/>
    <n v="11.17"/>
    <n v="1083.49"/>
    <d v="2025-12-12T00:00:00"/>
    <n v="1008067"/>
    <n v="3228"/>
    <n v="22.34"/>
    <n v="1117"/>
    <d v="2025-12-04T00:00:00"/>
    <n v="1094.6600000000001"/>
    <n v="22.34"/>
    <s v="NULL"/>
    <s v="PRO"/>
    <n v="11.17"/>
    <n v="1083.49"/>
    <s v="PAID"/>
    <n v="2"/>
    <n v="6914882413916"/>
    <d v="2025-12-12T00:00:00"/>
    <d v="2025-12-04T00:00:00"/>
    <m/>
    <d v="2025-12-12T00:00:00"/>
    <d v="2025-12-09T16:32:00"/>
    <n v="32281008067"/>
    <d v="2025-12-04T00:00:00"/>
    <s v="LAOWA11625"/>
    <s v="2% 01/10/26"/>
    <n v="206416"/>
    <d v="2025-12-04T00:00:00"/>
    <d v="2025-12-12T00:00:00"/>
    <n v="22.34"/>
    <x v="0"/>
  </r>
  <r>
    <x v="35"/>
    <n v="1008071"/>
    <n v="718"/>
    <n v="14.36"/>
    <n v="703.64"/>
    <n v="7.18"/>
    <n v="696.46"/>
    <d v="2025-12-12T00:00:00"/>
    <n v="1008071"/>
    <n v="3228"/>
    <n v="14.36"/>
    <n v="718"/>
    <d v="2025-12-04T00:00:00"/>
    <n v="703.64"/>
    <n v="14.36"/>
    <s v="NULL"/>
    <s v="PRO"/>
    <n v="7.18"/>
    <n v="696.46"/>
    <s v="PAID"/>
    <n v="2"/>
    <n v="6914882413916"/>
    <d v="2025-12-12T00:00:00"/>
    <d v="2025-12-04T00:00:00"/>
    <m/>
    <d v="2025-12-12T00:00:00"/>
    <d v="2025-12-09T16:32:00"/>
    <n v="32281008071"/>
    <d v="2025-12-04T00:00:00"/>
    <s v="FBA112525"/>
    <s v="2% 01/10/26"/>
    <n v="206417"/>
    <d v="2025-12-04T00:00:00"/>
    <d v="2025-12-12T00:00:00"/>
    <n v="14.36"/>
    <x v="0"/>
  </r>
  <r>
    <x v="35"/>
    <n v="1008139"/>
    <n v="1603.29"/>
    <n v="32.07"/>
    <n v="1571.22"/>
    <n v="16.03"/>
    <n v="1555.19"/>
    <d v="2025-12-12T00:00:00"/>
    <n v="1008139"/>
    <n v="3228"/>
    <n v="32.07"/>
    <n v="1603.29"/>
    <d v="2025-12-04T00:00:00"/>
    <n v="1571.22"/>
    <n v="32.07"/>
    <s v="NULL"/>
    <s v="PRO"/>
    <n v="16.03"/>
    <n v="1555.19"/>
    <s v="PAID"/>
    <n v="2"/>
    <n v="6914882413916"/>
    <d v="2025-12-12T00:00:00"/>
    <d v="2025-12-04T00:00:00"/>
    <m/>
    <d v="2025-12-12T00:00:00"/>
    <d v="2025-12-09T16:32:00"/>
    <n v="32281008139"/>
    <d v="2025-12-04T00:00:00"/>
    <s v="120425PU"/>
    <s v="2% 01/10/26"/>
    <n v="206711"/>
    <d v="2025-12-04T00:00:00"/>
    <d v="2025-12-12T00:00:00"/>
    <n v="32.065800000000003"/>
    <x v="0"/>
  </r>
  <r>
    <x v="35"/>
    <n v="1008246"/>
    <n v="154.91999999999999"/>
    <n v="3.1"/>
    <n v="151.82"/>
    <n v="1.55"/>
    <n v="150.27000000000001"/>
    <d v="2025-12-12T00:00:00"/>
    <n v="1008246"/>
    <n v="3228"/>
    <n v="3.1"/>
    <n v="154.91999999999999"/>
    <d v="2025-12-04T00:00:00"/>
    <n v="151.82"/>
    <n v="3.1"/>
    <s v="NULL"/>
    <s v="PRO"/>
    <n v="1.55"/>
    <n v="150.27000000000001"/>
    <s v="PAID"/>
    <n v="2"/>
    <n v="6914882413916"/>
    <d v="2025-12-12T00:00:00"/>
    <d v="2025-12-04T00:00:00"/>
    <m/>
    <d v="2025-12-12T00:00:00"/>
    <d v="2025-12-09T16:32:00"/>
    <n v="32281008246"/>
    <d v="2025-12-04T00:00:00"/>
    <s v="BUFF112925"/>
    <s v="2% 01/10/26"/>
    <n v="206572"/>
    <d v="2025-12-04T00:00:00"/>
    <d v="2025-12-12T00:00:00"/>
    <n v="3.0983999999999998"/>
    <x v="0"/>
  </r>
  <r>
    <x v="35"/>
    <n v="1008252"/>
    <n v="76.3"/>
    <n v="1.53"/>
    <n v="74.77"/>
    <n v="0.76"/>
    <n v="74.010000000000005"/>
    <d v="2025-12-12T00:00:00"/>
    <n v="1008252"/>
    <n v="3228"/>
    <n v="1.53"/>
    <n v="76.3"/>
    <d v="2025-12-04T00:00:00"/>
    <n v="74.77"/>
    <n v="1.53"/>
    <s v="NULL"/>
    <s v="PRO"/>
    <n v="0.76"/>
    <n v="74.010000000000005"/>
    <s v="PAID"/>
    <n v="2"/>
    <n v="6914882413916"/>
    <d v="2025-12-12T00:00:00"/>
    <d v="2025-12-04T00:00:00"/>
    <m/>
    <d v="2025-12-12T00:00:00"/>
    <d v="2025-12-09T16:32:00"/>
    <n v="32281008252"/>
    <d v="2025-12-04T00:00:00"/>
    <s v="WANDRD50%OFFBU"/>
    <s v="2% 01/10/26"/>
    <n v="206571"/>
    <d v="2025-12-04T00:00:00"/>
    <d v="2025-12-12T00:00:00"/>
    <n v="1.526"/>
    <x v="0"/>
  </r>
  <r>
    <x v="35"/>
    <n v="1008254"/>
    <n v="90.48"/>
    <n v="1.81"/>
    <n v="88.67"/>
    <n v="0.9"/>
    <n v="87.77"/>
    <d v="2025-12-12T00:00:00"/>
    <n v="1008254"/>
    <n v="3228"/>
    <n v="1.81"/>
    <n v="90.48"/>
    <d v="2025-12-04T00:00:00"/>
    <n v="88.67"/>
    <n v="1.81"/>
    <s v="NULL"/>
    <s v="PRO"/>
    <n v="0.9"/>
    <n v="87.77"/>
    <s v="PAID"/>
    <n v="2"/>
    <n v="6914882413916"/>
    <d v="2025-12-12T00:00:00"/>
    <d v="2025-12-04T00:00:00"/>
    <m/>
    <d v="2025-12-12T00:00:00"/>
    <d v="2025-12-09T16:32:00"/>
    <n v="32281008254"/>
    <d v="2025-12-04T00:00:00"/>
    <s v="120325PU"/>
    <s v="2% 01/10/26"/>
    <n v="206517"/>
    <d v="2025-12-04T00:00:00"/>
    <d v="2025-12-12T00:00:00"/>
    <n v="1.8096000000000001"/>
    <x v="0"/>
  </r>
  <r>
    <x v="35"/>
    <n v="1008259"/>
    <n v="182.24"/>
    <m/>
    <n v="182.24"/>
    <n v="1.82"/>
    <n v="180.42"/>
    <d v="2025-12-12T00:00:00"/>
    <n v="1008259"/>
    <n v="3228"/>
    <n v="0"/>
    <n v="182.24"/>
    <d v="2025-12-04T00:00:00"/>
    <n v="182.24"/>
    <n v="0"/>
    <s v="NULL"/>
    <s v="PRO"/>
    <n v="1.82"/>
    <n v="180.42"/>
    <s v="PAID"/>
    <n v="2"/>
    <n v="6914882413916"/>
    <d v="2025-12-12T00:00:00"/>
    <d v="2025-12-04T00:00:00"/>
    <m/>
    <d v="2025-12-12T00:00:00"/>
    <d v="2025-12-09T16:32:00"/>
    <n v="32281008259"/>
    <d v="2025-12-04T00:00:00"/>
    <s v="120325PU"/>
    <s v="NET 01/10/26"/>
    <n v="206518"/>
    <d v="2025-12-04T00:00:00"/>
    <d v="2025-12-12T00:00:00"/>
    <m/>
    <x v="0"/>
  </r>
  <r>
    <x v="35"/>
    <n v="1008414"/>
    <n v="241.37"/>
    <n v="4.83"/>
    <n v="236.54"/>
    <n v="2.41"/>
    <n v="234.13"/>
    <d v="2025-12-12T00:00:00"/>
    <n v="1008414"/>
    <n v="3228"/>
    <n v="4.83"/>
    <n v="241.37"/>
    <d v="2025-12-05T00:00:00"/>
    <n v="236.54"/>
    <n v="4.83"/>
    <s v="NULL"/>
    <s v="PRO"/>
    <n v="2.41"/>
    <n v="234.13"/>
    <s v="PAID"/>
    <n v="2"/>
    <n v="6914882413916"/>
    <d v="2025-12-12T00:00:00"/>
    <d v="2025-12-05T00:00:00"/>
    <m/>
    <d v="2025-12-12T00:00:00"/>
    <d v="2025-12-09T16:32:00"/>
    <n v="32281008414"/>
    <d v="2025-12-05T00:00:00"/>
    <s v="120425PU"/>
    <s v="2% 01/10/26"/>
    <n v="206717"/>
    <d v="2025-12-05T00:00:00"/>
    <d v="2025-12-12T00:00:00"/>
    <n v="4.8273999999999999"/>
    <x v="0"/>
  </r>
  <r>
    <x v="35"/>
    <n v="1008479"/>
    <n v="73.75"/>
    <n v="1.48"/>
    <n v="72.27"/>
    <n v="0.74"/>
    <n v="71.53"/>
    <d v="2025-12-12T00:00:00"/>
    <n v="1008479"/>
    <n v="3228"/>
    <n v="1.48"/>
    <n v="73.75"/>
    <d v="2025-12-05T00:00:00"/>
    <n v="72.27"/>
    <n v="1.48"/>
    <s v="NULL"/>
    <s v="PRO"/>
    <n v="0.74"/>
    <n v="71.53"/>
    <s v="PAID"/>
    <n v="2"/>
    <n v="6914882413916"/>
    <d v="2025-12-12T00:00:00"/>
    <d v="2025-12-05T00:00:00"/>
    <m/>
    <d v="2025-12-12T00:00:00"/>
    <d v="2025-12-09T16:32:00"/>
    <n v="32281008479"/>
    <d v="2025-12-05T00:00:00"/>
    <s v="BUFF11525"/>
    <s v="2% 01/10/26"/>
    <n v="206625"/>
    <d v="2025-12-05T00:00:00"/>
    <d v="2025-12-12T00:00:00"/>
    <n v="1.4750000000000001"/>
    <x v="0"/>
  </r>
  <r>
    <x v="35"/>
    <n v="1008499"/>
    <n v="85.02"/>
    <m/>
    <n v="85.02"/>
    <n v="0.85"/>
    <n v="84.17"/>
    <d v="2025-12-12T00:00:00"/>
    <n v="1008499"/>
    <n v="3228"/>
    <n v="0"/>
    <n v="85.02"/>
    <d v="2025-12-05T00:00:00"/>
    <n v="85.02"/>
    <n v="0"/>
    <s v="NULL"/>
    <s v="PRO"/>
    <n v="0.85"/>
    <n v="84.17"/>
    <s v="PAID"/>
    <n v="2"/>
    <n v="6914882413916"/>
    <d v="2025-12-12T00:00:00"/>
    <d v="2025-12-05T00:00:00"/>
    <m/>
    <d v="2025-12-12T00:00:00"/>
    <d v="2025-12-09T16:32:00"/>
    <n v="32281008499"/>
    <d v="2025-12-05T00:00:00"/>
    <s v="120325PU"/>
    <s v="NET 01/10/26"/>
    <n v="206813"/>
    <d v="2025-12-05T00:00:00"/>
    <d v="2025-12-12T00:00:00"/>
    <m/>
    <x v="0"/>
  </r>
  <r>
    <x v="35"/>
    <n v="1008545"/>
    <n v="444.84"/>
    <n v="8.9"/>
    <n v="435.94"/>
    <n v="4.45"/>
    <n v="431.49"/>
    <d v="2025-12-12T00:00:00"/>
    <n v="1008545"/>
    <n v="3228"/>
    <n v="8.9"/>
    <n v="444.84"/>
    <d v="2025-12-05T00:00:00"/>
    <n v="435.94"/>
    <n v="8.9"/>
    <s v="NULL"/>
    <s v="PRO"/>
    <n v="4.45"/>
    <n v="431.49"/>
    <s v="PAID"/>
    <n v="2"/>
    <n v="6914882413916"/>
    <d v="2025-12-12T00:00:00"/>
    <d v="2025-12-05T00:00:00"/>
    <m/>
    <d v="2025-12-12T00:00:00"/>
    <d v="2025-12-09T16:32:00"/>
    <n v="32281008545"/>
    <d v="2025-12-05T00:00:00"/>
    <s v="12525PU"/>
    <s v="2% 01/10/26"/>
    <n v="206860"/>
    <d v="2025-12-05T00:00:00"/>
    <d v="2025-12-12T00:00:00"/>
    <n v="8.8967999999999989"/>
    <x v="0"/>
  </r>
  <r>
    <x v="35"/>
    <n v="1008570"/>
    <n v="-200"/>
    <m/>
    <n v="-200"/>
    <m/>
    <n v="-200"/>
    <d v="2025-12-12T00:00:00"/>
    <n v="1008570"/>
    <n v="3228"/>
    <n v="0"/>
    <n v="-200"/>
    <d v="2025-12-08T00:00:00"/>
    <n v="-200"/>
    <n v="0"/>
    <n v="1008570"/>
    <s v="PRO"/>
    <n v="0"/>
    <n v="-200"/>
    <s v="PAID"/>
    <n v="2"/>
    <n v="6914882413916"/>
    <d v="2025-12-12T00:00:00"/>
    <d v="2025-12-08T00:00:00"/>
    <m/>
    <d v="2025-12-12T00:00:00"/>
    <d v="2025-12-09T16:32:00"/>
    <n v="32281008570"/>
    <d v="2025-12-08T00:00:00"/>
    <s v="N/A"/>
    <s v="NET 01/10/26"/>
    <s v="NMCNoINV"/>
    <d v="2025-12-08T00:00:00"/>
    <d v="2025-12-12T00:00:00"/>
    <m/>
    <x v="0"/>
  </r>
  <r>
    <x v="36"/>
    <n v="1007362"/>
    <n v="439.2"/>
    <n v="8.7799999999999994"/>
    <n v="430.42"/>
    <n v="4.3899999999999997"/>
    <n v="426.03"/>
    <d v="2025-12-12T00:00:00"/>
    <n v="1007362"/>
    <n v="3249"/>
    <n v="8.7799999999999994"/>
    <n v="439.2"/>
    <d v="2025-12-01T00:00:00"/>
    <n v="430.42"/>
    <n v="8.7799999999999994"/>
    <s v="NULL"/>
    <s v="PRO"/>
    <n v="4.3899999999999997"/>
    <n v="426.03"/>
    <s v="PAID"/>
    <n v="2"/>
    <n v="1841535894754"/>
    <d v="2025-12-12T00:00:00"/>
    <d v="2025-12-01T00:00:00"/>
    <m/>
    <d v="2025-12-12T00:00:00"/>
    <d v="2025-12-09T13:43:00"/>
    <n v="32491007362"/>
    <d v="2025-12-01T00:00:00"/>
    <s v="H80334"/>
    <s v="2% 01/10/26"/>
    <n v="205841"/>
    <d v="2025-12-01T00:00:00"/>
    <d v="2025-12-12T00:00:00"/>
    <n v="8.7840000000000007"/>
    <x v="0"/>
  </r>
  <r>
    <x v="36"/>
    <n v="1007369"/>
    <n v="20.57"/>
    <n v="0.41"/>
    <n v="20.16"/>
    <n v="0.21"/>
    <n v="19.95"/>
    <d v="2025-12-12T00:00:00"/>
    <n v="1007369"/>
    <n v="3249"/>
    <n v="0.41"/>
    <n v="20.57"/>
    <d v="2025-12-01T00:00:00"/>
    <n v="20.16"/>
    <n v="0.41"/>
    <s v="NULL"/>
    <s v="PRO"/>
    <n v="0.21"/>
    <n v="19.95"/>
    <s v="PAID"/>
    <n v="2"/>
    <n v="1841535894754"/>
    <d v="2025-12-12T00:00:00"/>
    <d v="2025-12-01T00:00:00"/>
    <m/>
    <d v="2025-12-12T00:00:00"/>
    <d v="2025-12-09T13:43:00"/>
    <n v="32491007369"/>
    <d v="2025-12-01T00:00:00"/>
    <s v="H80182"/>
    <s v="2% 01/10/26"/>
    <n v="205840"/>
    <d v="2025-12-01T00:00:00"/>
    <d v="2025-12-12T00:00:00"/>
    <n v="0.41139999999999999"/>
    <x v="0"/>
  </r>
  <r>
    <x v="36"/>
    <n v="1007383"/>
    <n v="82.59"/>
    <n v="1.65"/>
    <n v="80.94"/>
    <n v="0.83"/>
    <n v="80.11"/>
    <d v="2025-12-12T00:00:00"/>
    <n v="1007383"/>
    <n v="3249"/>
    <n v="1.65"/>
    <n v="82.59"/>
    <d v="2025-12-01T00:00:00"/>
    <n v="80.94"/>
    <n v="1.65"/>
    <s v="NULL"/>
    <s v="PRO"/>
    <n v="0.83"/>
    <n v="80.11"/>
    <s v="PAID"/>
    <n v="2"/>
    <n v="1841535894754"/>
    <d v="2025-12-12T00:00:00"/>
    <d v="2025-12-01T00:00:00"/>
    <m/>
    <d v="2025-12-12T00:00:00"/>
    <d v="2025-12-09T13:43:00"/>
    <n v="32491007383"/>
    <d v="2025-12-01T00:00:00"/>
    <s v="H80316"/>
    <s v="2% 01/10/26"/>
    <n v="205975"/>
    <d v="2025-12-01T00:00:00"/>
    <d v="2025-12-12T00:00:00"/>
    <n v="1.6518000000000002"/>
    <x v="0"/>
  </r>
  <r>
    <x v="36"/>
    <n v="1007387"/>
    <n v="222.18"/>
    <n v="4.4400000000000004"/>
    <n v="217.74"/>
    <n v="2.2200000000000002"/>
    <n v="215.52"/>
    <d v="2025-12-12T00:00:00"/>
    <n v="1007387"/>
    <n v="3249"/>
    <n v="4.4400000000000004"/>
    <n v="222.18"/>
    <d v="2025-12-01T00:00:00"/>
    <n v="217.74"/>
    <n v="4.4400000000000004"/>
    <s v="NULL"/>
    <s v="PRO"/>
    <n v="2.2200000000000002"/>
    <n v="215.52"/>
    <s v="PAID"/>
    <n v="2"/>
    <n v="1841535894754"/>
    <d v="2025-12-12T00:00:00"/>
    <d v="2025-12-01T00:00:00"/>
    <m/>
    <d v="2025-12-12T00:00:00"/>
    <d v="2025-12-09T13:43:00"/>
    <n v="32491007387"/>
    <d v="2025-12-01T00:00:00"/>
    <s v="H79786"/>
    <s v="2% 01/10/26"/>
    <n v="205974"/>
    <d v="2025-12-01T00:00:00"/>
    <d v="2025-12-12T00:00:00"/>
    <n v="4.4436"/>
    <x v="0"/>
  </r>
  <r>
    <x v="36"/>
    <n v="1007447"/>
    <n v="1310.3499999999999"/>
    <n v="26.21"/>
    <n v="1284.1400000000001"/>
    <n v="13.1"/>
    <n v="1271.04"/>
    <d v="2025-12-12T00:00:00"/>
    <n v="1007447"/>
    <n v="3249"/>
    <n v="26.21"/>
    <n v="1310.3499999999999"/>
    <d v="2025-12-01T00:00:00"/>
    <n v="1284.1400000000001"/>
    <n v="26.21"/>
    <s v="NULL"/>
    <s v="PRO"/>
    <n v="13.1"/>
    <n v="1271.04"/>
    <s v="PAID"/>
    <n v="2"/>
    <n v="1841535894754"/>
    <d v="2025-12-12T00:00:00"/>
    <d v="2025-12-01T00:00:00"/>
    <m/>
    <d v="2025-12-12T00:00:00"/>
    <d v="2025-12-09T13:43:00"/>
    <n v="32491007447"/>
    <d v="2025-12-01T00:00:00"/>
    <s v="H80391"/>
    <s v="2% 01/10/26"/>
    <n v="205921"/>
    <d v="2025-12-01T00:00:00"/>
    <d v="2025-12-12T00:00:00"/>
    <n v="26.206999999999997"/>
    <x v="0"/>
  </r>
  <r>
    <x v="36"/>
    <n v="1007453"/>
    <n v="1252.58"/>
    <n v="25.05"/>
    <n v="1227.53"/>
    <n v="12.53"/>
    <n v="1215"/>
    <d v="2025-12-12T00:00:00"/>
    <n v="1007453"/>
    <n v="3249"/>
    <n v="25.05"/>
    <n v="1252.58"/>
    <d v="2025-12-01T00:00:00"/>
    <n v="1227.53"/>
    <n v="25.05"/>
    <s v="NULL"/>
    <s v="PRO"/>
    <n v="12.53"/>
    <n v="1215"/>
    <s v="PAID"/>
    <n v="2"/>
    <n v="1841535894754"/>
    <d v="2025-12-12T00:00:00"/>
    <d v="2025-12-01T00:00:00"/>
    <m/>
    <d v="2025-12-12T00:00:00"/>
    <d v="2025-12-09T13:43:00"/>
    <n v="32491007453"/>
    <d v="2025-12-01T00:00:00"/>
    <s v="H80390"/>
    <s v="2% 01/10/26"/>
    <n v="205920"/>
    <d v="2025-12-01T00:00:00"/>
    <d v="2025-12-12T00:00:00"/>
    <n v="25.051600000000001"/>
    <x v="0"/>
  </r>
  <r>
    <x v="36"/>
    <n v="1007518"/>
    <n v="3990"/>
    <m/>
    <n v="3990"/>
    <n v="39.9"/>
    <n v="3950.1"/>
    <d v="2025-12-12T00:00:00"/>
    <n v="1007518"/>
    <n v="3249"/>
    <n v="0"/>
    <n v="3990"/>
    <d v="2025-12-02T00:00:00"/>
    <n v="3990"/>
    <n v="0"/>
    <s v="NULL"/>
    <s v="PRO"/>
    <n v="39.9"/>
    <n v="3950.1"/>
    <s v="PAID"/>
    <n v="2"/>
    <n v="1841535894754"/>
    <d v="2025-12-12T00:00:00"/>
    <d v="2025-12-02T00:00:00"/>
    <m/>
    <d v="2025-12-12T00:00:00"/>
    <d v="2025-12-09T13:43:00"/>
    <n v="32491007518"/>
    <d v="2025-12-02T00:00:00"/>
    <s v="NULL"/>
    <s v="NET 02/10/26"/>
    <s v="NULL"/>
    <d v="2025-12-02T00:00:00"/>
    <d v="2025-12-12T00:00:00"/>
    <m/>
    <x v="0"/>
  </r>
  <r>
    <x v="36"/>
    <n v="1007842"/>
    <n v="769.46"/>
    <m/>
    <n v="769.46"/>
    <n v="7.69"/>
    <n v="761.77"/>
    <d v="2025-12-12T00:00:00"/>
    <n v="1007842"/>
    <n v="3249"/>
    <n v="0"/>
    <n v="769.46"/>
    <d v="2025-12-02T00:00:00"/>
    <n v="769.46"/>
    <n v="0"/>
    <s v="NULL"/>
    <s v="PRO"/>
    <n v="7.69"/>
    <n v="761.77"/>
    <s v="PAID"/>
    <n v="2"/>
    <n v="1841535894754"/>
    <d v="2025-12-12T00:00:00"/>
    <d v="2025-12-02T00:00:00"/>
    <m/>
    <d v="2025-12-12T00:00:00"/>
    <d v="2025-12-09T13:43:00"/>
    <n v="32491007842"/>
    <d v="2025-12-02T00:00:00"/>
    <s v="H80275"/>
    <s v="NET 01/10/26"/>
    <n v="206123"/>
    <d v="2025-12-02T00:00:00"/>
    <d v="2025-12-12T00:00:00"/>
    <m/>
    <x v="0"/>
  </r>
  <r>
    <x v="36"/>
    <n v="1007845"/>
    <n v="3478.42"/>
    <m/>
    <n v="3478.42"/>
    <n v="34.78"/>
    <n v="3443.64"/>
    <d v="2025-12-12T00:00:00"/>
    <n v="1007845"/>
    <n v="3249"/>
    <n v="0"/>
    <n v="3478.42"/>
    <d v="2025-12-02T00:00:00"/>
    <n v="3478.42"/>
    <n v="0"/>
    <s v="NULL"/>
    <s v="PRO"/>
    <n v="34.78"/>
    <n v="3443.64"/>
    <s v="PAID"/>
    <n v="2"/>
    <n v="1841535894754"/>
    <d v="2025-12-12T00:00:00"/>
    <d v="2025-12-02T00:00:00"/>
    <m/>
    <d v="2025-12-12T00:00:00"/>
    <d v="2025-12-09T13:43:00"/>
    <n v="32491007845"/>
    <d v="2025-12-02T00:00:00"/>
    <s v="H80120"/>
    <s v="NET 01/10/26"/>
    <n v="206121"/>
    <d v="2025-12-02T00:00:00"/>
    <d v="2025-12-12T00:00:00"/>
    <m/>
    <x v="0"/>
  </r>
  <r>
    <x v="36"/>
    <n v="1007848"/>
    <n v="404.96"/>
    <m/>
    <n v="404.96"/>
    <n v="4.05"/>
    <n v="400.91"/>
    <d v="2025-12-12T00:00:00"/>
    <n v="1007848"/>
    <n v="3249"/>
    <n v="0"/>
    <n v="404.96"/>
    <d v="2025-12-02T00:00:00"/>
    <n v="404.96"/>
    <n v="0"/>
    <s v="NULL"/>
    <s v="PRO"/>
    <n v="4.05"/>
    <n v="400.91"/>
    <s v="PAID"/>
    <n v="2"/>
    <n v="1841535894754"/>
    <d v="2025-12-12T00:00:00"/>
    <d v="2025-12-02T00:00:00"/>
    <m/>
    <d v="2025-12-12T00:00:00"/>
    <d v="2025-12-09T13:43:00"/>
    <n v="32491007848"/>
    <d v="2025-12-02T00:00:00"/>
    <s v="H80330"/>
    <s v="NET 01/10/26"/>
    <n v="206124"/>
    <d v="2025-12-02T00:00:00"/>
    <d v="2025-12-12T00:00:00"/>
    <m/>
    <x v="0"/>
  </r>
  <r>
    <x v="36"/>
    <n v="1007850"/>
    <n v="971.96"/>
    <m/>
    <n v="971.96"/>
    <n v="9.7200000000000006"/>
    <n v="962.24"/>
    <d v="2025-12-12T00:00:00"/>
    <n v="1007850"/>
    <n v="3249"/>
    <n v="0"/>
    <n v="971.96"/>
    <d v="2025-12-02T00:00:00"/>
    <n v="971.96"/>
    <n v="0"/>
    <s v="NULL"/>
    <s v="PRO"/>
    <n v="9.7200000000000006"/>
    <n v="962.24"/>
    <s v="PAID"/>
    <n v="2"/>
    <n v="1841535894754"/>
    <d v="2025-12-12T00:00:00"/>
    <d v="2025-12-02T00:00:00"/>
    <m/>
    <d v="2025-12-12T00:00:00"/>
    <d v="2025-12-09T13:43:00"/>
    <n v="32491007850"/>
    <d v="2025-12-02T00:00:00"/>
    <s v="H80208"/>
    <s v="NET 01/10/26"/>
    <n v="206122"/>
    <d v="2025-12-02T00:00:00"/>
    <d v="2025-12-12T00:00:00"/>
    <m/>
    <x v="0"/>
  </r>
  <r>
    <x v="36"/>
    <n v="1007895"/>
    <n v="2932.3"/>
    <m/>
    <n v="2932.3"/>
    <n v="29.32"/>
    <n v="2902.98"/>
    <d v="2025-12-12T00:00:00"/>
    <n v="1007895"/>
    <n v="3249"/>
    <n v="0"/>
    <n v="2932.3"/>
    <d v="2025-12-03T00:00:00"/>
    <n v="2932.3"/>
    <n v="0"/>
    <s v="NULL"/>
    <s v="PRO"/>
    <n v="29.32"/>
    <n v="2902.98"/>
    <s v="PAID"/>
    <n v="2"/>
    <n v="1841535894754"/>
    <d v="2025-12-12T00:00:00"/>
    <d v="2025-12-03T00:00:00"/>
    <m/>
    <d v="2025-12-12T00:00:00"/>
    <d v="2025-12-09T13:43:00"/>
    <n v="32491007895"/>
    <d v="2025-12-03T00:00:00"/>
    <s v="H80411"/>
    <s v="NET 01/10/26"/>
    <n v="206490"/>
    <d v="2025-12-03T00:00:00"/>
    <d v="2025-12-12T00:00:00"/>
    <m/>
    <x v="0"/>
  </r>
  <r>
    <x v="36"/>
    <n v="1007899"/>
    <n v="566.96"/>
    <m/>
    <n v="566.96"/>
    <n v="5.67"/>
    <n v="561.29"/>
    <d v="2025-12-12T00:00:00"/>
    <n v="1007899"/>
    <n v="3249"/>
    <n v="0"/>
    <n v="566.96"/>
    <d v="2025-12-03T00:00:00"/>
    <n v="566.96"/>
    <n v="0"/>
    <s v="NULL"/>
    <s v="PRO"/>
    <n v="5.67"/>
    <n v="561.29"/>
    <s v="PAID"/>
    <n v="2"/>
    <n v="1841535894754"/>
    <d v="2025-12-12T00:00:00"/>
    <d v="2025-12-03T00:00:00"/>
    <m/>
    <d v="2025-12-12T00:00:00"/>
    <d v="2025-12-09T13:43:00"/>
    <n v="32491007899"/>
    <d v="2025-12-03T00:00:00"/>
    <s v="H78954"/>
    <s v="NET 01/10/26"/>
    <n v="206458"/>
    <d v="2025-12-03T00:00:00"/>
    <d v="2025-12-12T00:00:00"/>
    <m/>
    <x v="0"/>
  </r>
  <r>
    <x v="36"/>
    <n v="1007904"/>
    <n v="1943.92"/>
    <m/>
    <n v="1943.92"/>
    <n v="19.440000000000001"/>
    <n v="1924.48"/>
    <d v="2025-12-12T00:00:00"/>
    <n v="1007904"/>
    <n v="3249"/>
    <n v="0"/>
    <n v="1943.92"/>
    <d v="2025-12-03T00:00:00"/>
    <n v="1943.92"/>
    <n v="0"/>
    <s v="NULL"/>
    <s v="PRO"/>
    <n v="19.440000000000001"/>
    <n v="1924.48"/>
    <s v="PAID"/>
    <n v="2"/>
    <n v="1841535894754"/>
    <d v="2025-12-12T00:00:00"/>
    <d v="2025-12-03T00:00:00"/>
    <m/>
    <d v="2025-12-12T00:00:00"/>
    <d v="2025-12-09T13:43:00"/>
    <n v="32491007904"/>
    <d v="2025-12-03T00:00:00"/>
    <s v="H80275"/>
    <s v="NET 01/10/26"/>
    <n v="206459"/>
    <d v="2025-12-03T00:00:00"/>
    <d v="2025-12-12T00:00:00"/>
    <m/>
    <x v="0"/>
  </r>
  <r>
    <x v="36"/>
    <n v="1007917"/>
    <n v="1277.81"/>
    <n v="25.56"/>
    <n v="1252.25"/>
    <n v="12.78"/>
    <n v="1239.47"/>
    <d v="2025-12-12T00:00:00"/>
    <n v="1007917"/>
    <n v="3249"/>
    <n v="25.56"/>
    <n v="1277.81"/>
    <d v="2025-12-03T00:00:00"/>
    <n v="1252.25"/>
    <n v="25.56"/>
    <s v="NULL"/>
    <s v="PRO"/>
    <n v="12.78"/>
    <n v="1239.47"/>
    <s v="PAID"/>
    <n v="2"/>
    <n v="1841535894754"/>
    <d v="2025-12-12T00:00:00"/>
    <d v="2025-12-03T00:00:00"/>
    <m/>
    <d v="2025-12-12T00:00:00"/>
    <d v="2025-12-09T13:43:00"/>
    <n v="32491007917"/>
    <d v="2025-12-03T00:00:00"/>
    <s v="H80411"/>
    <s v="2% 01/10/26"/>
    <n v="206489"/>
    <d v="2025-12-03T00:00:00"/>
    <d v="2025-12-12T00:00:00"/>
    <n v="25.5562"/>
    <x v="0"/>
  </r>
  <r>
    <x v="36"/>
    <n v="1007919"/>
    <n v="194.04"/>
    <n v="3.88"/>
    <n v="190.16"/>
    <n v="1.94"/>
    <n v="188.22"/>
    <d v="2025-12-12T00:00:00"/>
    <n v="1007919"/>
    <n v="3249"/>
    <n v="3.88"/>
    <n v="194.04"/>
    <d v="2025-12-03T00:00:00"/>
    <n v="190.16"/>
    <n v="3.88"/>
    <s v="NULL"/>
    <s v="PRO"/>
    <n v="1.94"/>
    <n v="188.22"/>
    <s v="PAID"/>
    <n v="2"/>
    <n v="1841535894754"/>
    <d v="2025-12-12T00:00:00"/>
    <d v="2025-12-03T00:00:00"/>
    <m/>
    <d v="2025-12-12T00:00:00"/>
    <d v="2025-12-09T13:43:00"/>
    <n v="32491007919"/>
    <d v="2025-12-03T00:00:00"/>
    <s v="H80411"/>
    <s v="2% 01/10/26"/>
    <n v="206480"/>
    <d v="2025-12-03T00:00:00"/>
    <d v="2025-12-12T00:00:00"/>
    <n v="3.8807999999999998"/>
    <x v="0"/>
  </r>
  <r>
    <x v="36"/>
    <n v="1007933"/>
    <n v="2694.63"/>
    <m/>
    <n v="2694.63"/>
    <n v="26.95"/>
    <n v="2667.68"/>
    <d v="2025-12-12T00:00:00"/>
    <n v="1007933"/>
    <n v="3249"/>
    <n v="0"/>
    <n v="2694.63"/>
    <d v="2025-12-03T00:00:00"/>
    <n v="2694.63"/>
    <n v="0"/>
    <s v="NULL"/>
    <s v="PRO"/>
    <n v="26.95"/>
    <n v="2667.68"/>
    <s v="PAID"/>
    <n v="2"/>
    <n v="1841535894754"/>
    <d v="2025-12-12T00:00:00"/>
    <d v="2025-12-03T00:00:00"/>
    <m/>
    <d v="2025-12-12T00:00:00"/>
    <d v="2025-12-09T13:43:00"/>
    <n v="32491007933"/>
    <d v="2025-12-03T00:00:00"/>
    <s v="H80388"/>
    <s v="NET 01/10/26"/>
    <n v="206461"/>
    <d v="2025-12-03T00:00:00"/>
    <d v="2025-12-12T00:00:00"/>
    <m/>
    <x v="0"/>
  </r>
  <r>
    <x v="36"/>
    <n v="1007936"/>
    <n v="364.46"/>
    <m/>
    <n v="364.46"/>
    <n v="3.64"/>
    <n v="360.82"/>
    <d v="2025-12-12T00:00:00"/>
    <n v="1007936"/>
    <n v="3249"/>
    <n v="0"/>
    <n v="364.46"/>
    <d v="2025-12-03T00:00:00"/>
    <n v="364.46"/>
    <n v="0"/>
    <s v="NULL"/>
    <s v="PRO"/>
    <n v="3.64"/>
    <n v="360.82"/>
    <s v="PAID"/>
    <n v="2"/>
    <n v="1841535894754"/>
    <d v="2025-12-12T00:00:00"/>
    <d v="2025-12-03T00:00:00"/>
    <m/>
    <d v="2025-12-12T00:00:00"/>
    <d v="2025-12-09T13:43:00"/>
    <n v="32491007936"/>
    <d v="2025-12-03T00:00:00"/>
    <s v="H80330"/>
    <s v="NET 01/10/26"/>
    <n v="206460"/>
    <d v="2025-12-03T00:00:00"/>
    <d v="2025-12-12T00:00:00"/>
    <m/>
    <x v="0"/>
  </r>
  <r>
    <x v="36"/>
    <n v="1008007"/>
    <n v="18411.810000000001"/>
    <m/>
    <n v="18411.810000000001"/>
    <n v="184.12"/>
    <n v="18227.689999999999"/>
    <d v="2025-12-12T00:00:00"/>
    <n v="1008007"/>
    <n v="3249"/>
    <n v="0"/>
    <n v="18411.810000000001"/>
    <d v="2025-12-03T00:00:00"/>
    <n v="18411.810000000001"/>
    <n v="0"/>
    <s v="NULL"/>
    <s v="PRO"/>
    <n v="184.12"/>
    <n v="18227.689999999999"/>
    <s v="PAID"/>
    <n v="2"/>
    <n v="1841535894754"/>
    <d v="2025-12-12T00:00:00"/>
    <d v="2025-12-03T00:00:00"/>
    <m/>
    <d v="2025-12-12T00:00:00"/>
    <d v="2025-12-09T13:43:00"/>
    <n v="32491008007"/>
    <d v="2025-12-03T00:00:00"/>
    <s v="H80402"/>
    <s v="NET 01/10/26"/>
    <n v="206238"/>
    <d v="2025-12-03T00:00:00"/>
    <d v="2025-12-12T00:00:00"/>
    <m/>
    <x v="0"/>
  </r>
  <r>
    <x v="36"/>
    <n v="1008044"/>
    <n v="1345.86"/>
    <n v="26.92"/>
    <n v="1318.94"/>
    <n v="13.46"/>
    <n v="1305.48"/>
    <d v="2025-12-12T00:00:00"/>
    <n v="1008044"/>
    <n v="3249"/>
    <n v="26.92"/>
    <n v="1345.86"/>
    <d v="2025-12-03T00:00:00"/>
    <n v="1318.94"/>
    <n v="26.92"/>
    <s v="NULL"/>
    <s v="PRO"/>
    <n v="13.46"/>
    <n v="1305.48"/>
    <s v="PAID"/>
    <n v="2"/>
    <n v="1841535894754"/>
    <d v="2025-12-12T00:00:00"/>
    <d v="2025-12-03T00:00:00"/>
    <m/>
    <d v="2025-12-12T00:00:00"/>
    <d v="2025-12-09T13:43:00"/>
    <n v="32491008044"/>
    <d v="2025-12-03T00:00:00"/>
    <s v="H79558"/>
    <s v="2% 01/10/26"/>
    <n v="206072"/>
    <d v="2025-12-03T00:00:00"/>
    <d v="2025-12-12T00:00:00"/>
    <n v="26.917199999999998"/>
    <x v="0"/>
  </r>
  <r>
    <x v="36"/>
    <n v="1008054"/>
    <n v="1536.6"/>
    <n v="30.73"/>
    <n v="1505.87"/>
    <n v="15.37"/>
    <n v="1490.5"/>
    <d v="2025-12-12T00:00:00"/>
    <n v="1008054"/>
    <n v="3249"/>
    <n v="30.73"/>
    <n v="1536.6"/>
    <d v="2025-12-03T00:00:00"/>
    <n v="1505.87"/>
    <n v="30.73"/>
    <s v="NULL"/>
    <s v="PRO"/>
    <n v="15.37"/>
    <n v="1490.5"/>
    <s v="PAID"/>
    <n v="2"/>
    <n v="1841535894754"/>
    <d v="2025-12-12T00:00:00"/>
    <d v="2025-12-03T00:00:00"/>
    <m/>
    <d v="2025-12-12T00:00:00"/>
    <d v="2025-12-09T13:43:00"/>
    <n v="32491008054"/>
    <d v="2025-12-03T00:00:00"/>
    <s v="H80420"/>
    <s v="2% 01/10/26"/>
    <n v="206547"/>
    <d v="2025-12-03T00:00:00"/>
    <d v="2025-12-12T00:00:00"/>
    <n v="30.731999999999999"/>
    <x v="0"/>
  </r>
  <r>
    <x v="36"/>
    <n v="1008064"/>
    <n v="-8850"/>
    <m/>
    <n v="-8850"/>
    <m/>
    <n v="-8850"/>
    <d v="2025-12-12T00:00:00"/>
    <n v="1008064"/>
    <n v="3249"/>
    <n v="0"/>
    <n v="-8850"/>
    <d v="2025-12-04T00:00:00"/>
    <n v="-8850"/>
    <n v="0"/>
    <s v="NMCODS-11792025X"/>
    <s v="PRO"/>
    <n v="0"/>
    <n v="-8850"/>
    <s v="PAID"/>
    <n v="2"/>
    <n v="1841535894754"/>
    <d v="2025-12-12T00:00:00"/>
    <d v="2025-12-04T00:00:00"/>
    <m/>
    <d v="2025-12-12T00:00:00"/>
    <d v="2025-12-09T13:43:00"/>
    <n v="32491008064"/>
    <d v="2025-12-04T00:00:00"/>
    <s v="N/A"/>
    <s v="NET 01/10/26"/>
    <s v="NMCODS-11792025X"/>
    <d v="2025-12-04T00:00:00"/>
    <d v="2025-12-12T00:00:00"/>
    <m/>
    <x v="0"/>
  </r>
  <r>
    <x v="36"/>
    <n v="1008070"/>
    <n v="107.96"/>
    <n v="2.16"/>
    <n v="105.8"/>
    <n v="1.08"/>
    <n v="104.72"/>
    <d v="2025-12-12T00:00:00"/>
    <n v="1008070"/>
    <n v="3249"/>
    <n v="2.16"/>
    <n v="107.96"/>
    <d v="2025-12-04T00:00:00"/>
    <n v="105.8"/>
    <n v="2.16"/>
    <s v="NULL"/>
    <s v="PRO"/>
    <n v="1.08"/>
    <n v="104.72"/>
    <s v="PAID"/>
    <n v="2"/>
    <n v="1841535894754"/>
    <d v="2025-12-12T00:00:00"/>
    <d v="2025-12-04T00:00:00"/>
    <m/>
    <d v="2025-12-12T00:00:00"/>
    <d v="2025-12-09T13:43:00"/>
    <n v="32491008070"/>
    <d v="2025-12-04T00:00:00"/>
    <s v="H80333"/>
    <s v="2% 01/10/26"/>
    <n v="206414"/>
    <d v="2025-12-04T00:00:00"/>
    <d v="2025-12-12T00:00:00"/>
    <n v="2.1591999999999998"/>
    <x v="0"/>
  </r>
  <r>
    <x v="36"/>
    <n v="1008265"/>
    <n v="5954.15"/>
    <n v="19.079999999999998"/>
    <n v="5835.07"/>
    <n v="59.54"/>
    <n v="5775.53"/>
    <d v="2025-12-12T00:00:00"/>
    <n v="1008265"/>
    <n v="3249"/>
    <n v="119.08"/>
    <n v="5954.15"/>
    <d v="2025-12-04T00:00:00"/>
    <n v="5835.07"/>
    <n v="119.08"/>
    <s v="NULL"/>
    <s v="PRO"/>
    <n v="59.54"/>
    <n v="5775.53"/>
    <s v="PAID"/>
    <n v="2"/>
    <n v="1841535894754"/>
    <d v="2025-12-12T00:00:00"/>
    <d v="2025-12-04T00:00:00"/>
    <m/>
    <d v="2025-12-12T00:00:00"/>
    <d v="2025-12-09T13:43:00"/>
    <n v="32491008265"/>
    <d v="2025-12-04T00:00:00"/>
    <s v="H80420"/>
    <s v="2% 01/10/26"/>
    <n v="206558"/>
    <d v="2025-12-04T00:00:00"/>
    <d v="2025-12-12T00:00:00"/>
    <n v="119.083"/>
    <x v="0"/>
  </r>
  <r>
    <x v="36"/>
    <n v="1008272"/>
    <n v="-2700"/>
    <m/>
    <n v="-2700"/>
    <m/>
    <n v="-2700"/>
    <d v="2025-12-12T00:00:00"/>
    <n v="1008272"/>
    <n v="3249"/>
    <n v="0"/>
    <n v="-2700"/>
    <d v="2025-12-04T00:00:00"/>
    <n v="-2700"/>
    <n v="0"/>
    <s v="NMCNoINV"/>
    <s v="PRO"/>
    <n v="0"/>
    <n v="-2700"/>
    <s v="PAID"/>
    <n v="2"/>
    <n v="1841535894754"/>
    <d v="2025-12-12T00:00:00"/>
    <d v="2025-12-04T00:00:00"/>
    <m/>
    <d v="2025-12-12T00:00:00"/>
    <d v="2025-12-09T13:43:00"/>
    <n v="32491008272"/>
    <d v="2025-12-04T00:00:00"/>
    <s v="N/A"/>
    <s v="NET 01/10/26"/>
    <s v="NMCNoINV"/>
    <d v="2025-12-04T00:00:00"/>
    <d v="2025-12-12T00:00:00"/>
    <m/>
    <x v="0"/>
  </r>
  <r>
    <x v="36"/>
    <n v="1008328"/>
    <n v="-300"/>
    <m/>
    <n v="-300"/>
    <m/>
    <n v="-300"/>
    <d v="2025-12-12T00:00:00"/>
    <n v="1008328"/>
    <n v="3249"/>
    <n v="0"/>
    <n v="-300"/>
    <d v="2025-12-05T00:00:00"/>
    <n v="-300"/>
    <n v="0"/>
    <s v="NMCCM104643"/>
    <s v="DELKIN"/>
    <n v="0"/>
    <n v="-300"/>
    <s v="PAID"/>
    <n v="2"/>
    <n v="1841535894754"/>
    <d v="2025-12-12T00:00:00"/>
    <d v="2025-12-05T00:00:00"/>
    <m/>
    <d v="2025-12-12T00:00:00"/>
    <d v="2025-12-09T13:43:00"/>
    <n v="32491008328"/>
    <d v="2025-12-05T00:00:00"/>
    <s v="OCTSPIFF"/>
    <s v="NET 01/10/26"/>
    <s v="NMCCM104643"/>
    <d v="2025-12-05T00:00:00"/>
    <d v="2025-12-12T00:00:00"/>
    <m/>
    <x v="0"/>
  </r>
  <r>
    <x v="36"/>
    <n v="1008337"/>
    <n v="1584.6"/>
    <m/>
    <n v="1584.6"/>
    <n v="15.85"/>
    <n v="1568.75"/>
    <d v="2025-12-12T00:00:00"/>
    <n v="1008337"/>
    <n v="3249"/>
    <n v="0"/>
    <n v="1584.6"/>
    <d v="2025-12-05T00:00:00"/>
    <n v="1584.6"/>
    <n v="0"/>
    <n v="1043700"/>
    <s v="ELITE"/>
    <n v="15.85"/>
    <n v="1568.75"/>
    <s v="PAID"/>
    <n v="2"/>
    <n v="1841535894754"/>
    <d v="2025-12-12T00:00:00"/>
    <d v="2025-12-05T00:00:00"/>
    <m/>
    <d v="2025-12-12T00:00:00"/>
    <d v="2025-12-09T13:43:00"/>
    <n v="32491008337"/>
    <d v="2025-12-05T00:00:00"/>
    <n v="215359"/>
    <s v="NET 01/10/26"/>
    <n v="1043700"/>
    <d v="2025-12-05T00:00:00"/>
    <d v="2025-12-12T00:00:00"/>
    <m/>
    <x v="0"/>
  </r>
  <r>
    <x v="36"/>
    <n v="1008344"/>
    <n v="1133.73"/>
    <m/>
    <n v="1133.73"/>
    <n v="11.34"/>
    <n v="1122.3900000000001"/>
    <d v="2025-12-12T00:00:00"/>
    <n v="1008344"/>
    <n v="3249"/>
    <n v="0"/>
    <n v="1133.73"/>
    <d v="2025-12-05T00:00:00"/>
    <n v="1133.73"/>
    <n v="0"/>
    <s v="A112947"/>
    <s v="HAHNEMUHLE"/>
    <n v="11.34"/>
    <n v="1122.3900000000001"/>
    <s v="PAID"/>
    <n v="2"/>
    <n v="1841535894754"/>
    <d v="2025-12-12T00:00:00"/>
    <d v="2025-12-05T00:00:00"/>
    <m/>
    <d v="2025-12-12T00:00:00"/>
    <d v="2025-12-09T13:43:00"/>
    <n v="32491008344"/>
    <d v="2025-12-05T00:00:00"/>
    <s v="H80389"/>
    <s v="NET 01/10/26"/>
    <s v="A112947"/>
    <d v="2025-12-05T00:00:00"/>
    <d v="2025-12-12T00:00:00"/>
    <m/>
    <x v="0"/>
  </r>
  <r>
    <x v="36"/>
    <n v="1008440"/>
    <n v="1101.1600000000001"/>
    <n v="22.02"/>
    <n v="1079.1400000000001"/>
    <n v="11.01"/>
    <n v="1068.1300000000001"/>
    <d v="2025-12-12T00:00:00"/>
    <n v="1008440"/>
    <n v="3249"/>
    <n v="22.02"/>
    <n v="1101.1600000000001"/>
    <d v="2025-12-05T00:00:00"/>
    <n v="1079.1400000000001"/>
    <n v="22.02"/>
    <s v="NULL"/>
    <s v="PRO"/>
    <n v="11.01"/>
    <n v="1068.1300000000001"/>
    <s v="PAID"/>
    <n v="2"/>
    <n v="1841535894754"/>
    <d v="2025-12-12T00:00:00"/>
    <d v="2025-12-05T00:00:00"/>
    <m/>
    <d v="2025-12-12T00:00:00"/>
    <d v="2025-12-09T13:43:00"/>
    <n v="32491008440"/>
    <d v="2025-12-05T00:00:00"/>
    <s v="H79553"/>
    <s v="2% 01/10/26"/>
    <n v="206619"/>
    <d v="2025-12-05T00:00:00"/>
    <d v="2025-12-12T00:00:00"/>
    <n v="22.023200000000003"/>
    <x v="0"/>
  </r>
  <r>
    <x v="36"/>
    <n v="1008527"/>
    <n v="10621.72"/>
    <m/>
    <n v="10621.72"/>
    <n v="106.22"/>
    <n v="10515.5"/>
    <d v="2025-12-12T00:00:00"/>
    <n v="1008527"/>
    <n v="3249"/>
    <n v="0"/>
    <n v="10621.72"/>
    <d v="2025-12-05T00:00:00"/>
    <n v="10621.72"/>
    <n v="0"/>
    <s v="NULL"/>
    <s v="PRO"/>
    <n v="106.22"/>
    <n v="10515.5"/>
    <s v="PAID"/>
    <n v="2"/>
    <n v="1841535894754"/>
    <d v="2025-12-12T00:00:00"/>
    <d v="2025-12-05T00:00:00"/>
    <m/>
    <d v="2025-12-12T00:00:00"/>
    <d v="2025-12-09T13:43:00"/>
    <n v="32491008527"/>
    <d v="2025-12-05T00:00:00"/>
    <s v="H80411"/>
    <s v="NET 01/10/26"/>
    <n v="206809"/>
    <d v="2025-12-05T00:00:00"/>
    <d v="2025-12-12T00:00:00"/>
    <m/>
    <x v="0"/>
  </r>
  <r>
    <x v="37"/>
    <n v="1007218"/>
    <n v="20.57"/>
    <m/>
    <n v="20.57"/>
    <n v="0.21"/>
    <n v="20.57"/>
    <d v="2025-12-12T00:00:00"/>
    <n v="1007218"/>
    <n v="3305"/>
    <n v="0"/>
    <n v="20.57"/>
    <d v="2025-12-01T00:00:00"/>
    <n v="20.57"/>
    <n v="0"/>
    <s v="NULL"/>
    <s v="PRO"/>
    <n v="0.21"/>
    <n v="20.57"/>
    <s v="PAID"/>
    <n v="10"/>
    <s v="Auto387597044647121"/>
    <d v="2025-12-12T00:00:00"/>
    <d v="2025-12-01T00:00:00"/>
    <s v="NULL"/>
    <d v="2025-12-12T00:00:00"/>
    <d v="2025-12-12T13:45:00"/>
    <n v="33051007218"/>
    <d v="2025-12-01T00:00:00"/>
    <n v="92525"/>
    <s v="2% 01/10/26"/>
    <n v="205711"/>
    <d v="2025-12-01T00:00:00"/>
    <d v="2025-12-12T00:00:00"/>
    <n v="0.41139999999999999"/>
    <x v="1"/>
  </r>
  <r>
    <x v="37"/>
    <n v="1007222"/>
    <n v="18.920000000000002"/>
    <m/>
    <n v="18.920000000000002"/>
    <n v="0.19"/>
    <n v="18.920000000000002"/>
    <d v="2025-12-12T00:00:00"/>
    <n v="1007222"/>
    <n v="3305"/>
    <n v="0"/>
    <n v="18.920000000000002"/>
    <d v="2025-12-01T00:00:00"/>
    <n v="18.920000000000002"/>
    <n v="0"/>
    <s v="NULL"/>
    <s v="PRO"/>
    <n v="0.19"/>
    <n v="18.920000000000002"/>
    <s v="PAID"/>
    <n v="10"/>
    <s v="Auto387597044647121"/>
    <d v="2025-12-12T00:00:00"/>
    <d v="2025-12-01T00:00:00"/>
    <s v="NULL"/>
    <d v="2025-12-12T00:00:00"/>
    <d v="2025-12-12T13:45:00"/>
    <n v="33051007222"/>
    <d v="2025-12-01T00:00:00"/>
    <n v="112625"/>
    <s v="2% 01/10/26"/>
    <n v="205712"/>
    <d v="2025-12-01T00:00:00"/>
    <d v="2025-12-12T00:00:00"/>
    <n v="0.37840000000000007"/>
    <x v="1"/>
  </r>
  <r>
    <x v="37"/>
    <n v="1007608"/>
    <n v="3990"/>
    <m/>
    <n v="3990"/>
    <n v="39.9"/>
    <n v="3950.1"/>
    <d v="2025-12-12T00:00:00"/>
    <n v="1007608"/>
    <n v="3305"/>
    <n v="0"/>
    <n v="3990"/>
    <d v="2025-12-02T00:00:00"/>
    <n v="3990"/>
    <n v="0"/>
    <s v="NULL"/>
    <s v="PRO"/>
    <n v="39.9"/>
    <n v="3950.1"/>
    <s v="PAID"/>
    <n v="10"/>
    <s v="Auto387597044647121"/>
    <d v="2025-12-12T00:00:00"/>
    <d v="2025-12-02T00:00:00"/>
    <s v="NULL"/>
    <d v="2025-12-12T00:00:00"/>
    <d v="2025-12-12T13:45:00"/>
    <n v="33051007608"/>
    <d v="2025-12-02T00:00:00"/>
    <s v="NULL"/>
    <s v="NET 02/10/26"/>
    <s v="NULL"/>
    <d v="2025-12-02T00:00:00"/>
    <d v="2025-12-12T00:00:00"/>
    <m/>
    <x v="0"/>
  </r>
  <r>
    <x v="37"/>
    <n v="1008393"/>
    <n v="304.85000000000002"/>
    <m/>
    <n v="304.85000000000002"/>
    <n v="3.05"/>
    <n v="301.8"/>
    <d v="2025-12-12T00:00:00"/>
    <n v="1008393"/>
    <n v="3305"/>
    <n v="0"/>
    <n v="304.85000000000002"/>
    <d v="2025-12-05T00:00:00"/>
    <n v="304.85000000000002"/>
    <n v="0"/>
    <n v="3031924"/>
    <s v="PIONEER"/>
    <n v="3.05"/>
    <n v="301.8"/>
    <s v="PAID"/>
    <n v="10"/>
    <s v="Auto387597044647121"/>
    <d v="2025-12-12T00:00:00"/>
    <d v="2025-12-05T00:00:00"/>
    <s v="NULL"/>
    <d v="2025-12-12T00:00:00"/>
    <d v="2025-12-12T13:45:00"/>
    <n v="33051008393"/>
    <d v="2025-12-05T00:00:00"/>
    <n v="694"/>
    <s v="NET 01/10/26"/>
    <n v="3031924"/>
    <d v="2025-12-05T00:00:00"/>
    <d v="2025-12-12T00:00:00"/>
    <m/>
    <x v="0"/>
  </r>
  <r>
    <x v="38"/>
    <n v="1007297"/>
    <n v="199.08"/>
    <n v="3.98"/>
    <n v="195.1"/>
    <n v="1.99"/>
    <n v="193.11"/>
    <d v="2025-12-12T00:00:00"/>
    <n v="1007297"/>
    <n v="3312"/>
    <n v="3.98"/>
    <n v="199.08"/>
    <d v="2025-12-01T00:00:00"/>
    <n v="195.1"/>
    <n v="3.98"/>
    <s v="NULL"/>
    <s v="PRO"/>
    <n v="1.99"/>
    <n v="193.11"/>
    <s v="PAID"/>
    <n v="2"/>
    <n v="1757977392645"/>
    <d v="2025-12-12T00:00:00"/>
    <d v="2025-12-01T00:00:00"/>
    <m/>
    <d v="2025-12-12T00:00:00"/>
    <d v="2025-12-11T08:54:00"/>
    <n v="33121007297"/>
    <d v="2025-12-01T00:00:00"/>
    <s v="SELLEC"/>
    <s v="2% 01/10/26"/>
    <n v="205853"/>
    <d v="2025-12-01T00:00:00"/>
    <d v="2025-12-12T00:00:00"/>
    <n v="3.9816000000000003"/>
    <x v="0"/>
  </r>
  <r>
    <x v="38"/>
    <n v="1007302"/>
    <n v="41.14"/>
    <n v="0.82"/>
    <n v="40.32"/>
    <n v="0.41"/>
    <n v="39.909999999999997"/>
    <d v="2025-12-12T00:00:00"/>
    <n v="1007302"/>
    <n v="3312"/>
    <n v="0.82"/>
    <n v="41.14"/>
    <d v="2025-12-01T00:00:00"/>
    <n v="40.32"/>
    <n v="0.82"/>
    <s v="NULL"/>
    <s v="PRO"/>
    <n v="0.41"/>
    <n v="39.909999999999997"/>
    <s v="PAID"/>
    <n v="2"/>
    <n v="1757977392645"/>
    <d v="2025-12-12T00:00:00"/>
    <d v="2025-12-01T00:00:00"/>
    <m/>
    <d v="2025-12-12T00:00:00"/>
    <d v="2025-12-11T08:54:00"/>
    <n v="33121007302"/>
    <d v="2025-12-01T00:00:00"/>
    <s v="HOURS"/>
    <s v="2% 01/10/26"/>
    <n v="205854"/>
    <d v="2025-12-01T00:00:00"/>
    <d v="2025-12-12T00:00:00"/>
    <n v="0.82279999999999998"/>
    <x v="0"/>
  </r>
  <r>
    <x v="38"/>
    <n v="1007422"/>
    <n v="790.71"/>
    <n v="15.81"/>
    <n v="774.9"/>
    <n v="7.91"/>
    <n v="766.99"/>
    <d v="2025-12-12T00:00:00"/>
    <n v="1007422"/>
    <n v="3312"/>
    <n v="15.81"/>
    <n v="790.71"/>
    <d v="2025-12-01T00:00:00"/>
    <n v="774.9"/>
    <n v="15.81"/>
    <s v="NULL"/>
    <s v="PRO"/>
    <n v="7.91"/>
    <n v="766.99"/>
    <s v="PAID"/>
    <n v="2"/>
    <n v="1757977392645"/>
    <d v="2025-12-12T00:00:00"/>
    <d v="2025-12-01T00:00:00"/>
    <m/>
    <d v="2025-12-12T00:00:00"/>
    <d v="2025-12-11T08:54:00"/>
    <n v="33121007422"/>
    <d v="2025-12-01T00:00:00"/>
    <s v="ARMANDOSTHEMAN"/>
    <s v="2% 01/10/26"/>
    <n v="205678"/>
    <d v="2025-12-01T00:00:00"/>
    <d v="2025-12-12T00:00:00"/>
    <n v="15.814200000000001"/>
    <x v="0"/>
  </r>
  <r>
    <x v="38"/>
    <n v="1007423"/>
    <n v="1772.72"/>
    <m/>
    <n v="1772.72"/>
    <n v="17.73"/>
    <n v="1754.99"/>
    <d v="2025-12-12T00:00:00"/>
    <n v="1007423"/>
    <n v="3312"/>
    <n v="0"/>
    <n v="1772.72"/>
    <d v="2025-12-01T00:00:00"/>
    <n v="1772.72"/>
    <n v="0"/>
    <s v="NULL"/>
    <s v="PRO"/>
    <n v="17.73"/>
    <n v="1754.99"/>
    <s v="PAID"/>
    <n v="2"/>
    <n v="1757977392645"/>
    <d v="2025-12-12T00:00:00"/>
    <d v="2025-12-01T00:00:00"/>
    <m/>
    <d v="2025-12-12T00:00:00"/>
    <d v="2025-12-11T08:54:00"/>
    <n v="33121007423"/>
    <d v="2025-12-01T00:00:00"/>
    <s v="ARMANDOSTHEMAN"/>
    <s v="NET 01/10/26"/>
    <n v="205679"/>
    <d v="2025-12-01T00:00:00"/>
    <d v="2025-12-12T00:00:00"/>
    <m/>
    <x v="0"/>
  </r>
  <r>
    <x v="38"/>
    <n v="1007449"/>
    <n v="861.3"/>
    <n v="17.23"/>
    <n v="844.07"/>
    <n v="8.61"/>
    <n v="835.46"/>
    <d v="2025-12-12T00:00:00"/>
    <n v="1007449"/>
    <n v="3312"/>
    <n v="17.23"/>
    <n v="861.3"/>
    <d v="2025-12-01T00:00:00"/>
    <n v="844.07"/>
    <n v="17.23"/>
    <s v="NULL"/>
    <s v="PRO"/>
    <n v="8.61"/>
    <n v="835.46"/>
    <s v="PAID"/>
    <n v="2"/>
    <n v="1757977392645"/>
    <d v="2025-12-12T00:00:00"/>
    <d v="2025-12-01T00:00:00"/>
    <m/>
    <d v="2025-12-12T00:00:00"/>
    <d v="2025-12-11T08:54:00"/>
    <n v="33121007449"/>
    <d v="2025-12-01T00:00:00"/>
    <s v="HOCKYPUK"/>
    <s v="2% 01/10/26"/>
    <n v="205926"/>
    <d v="2025-12-01T00:00:00"/>
    <d v="2025-12-12T00:00:00"/>
    <n v="17.225999999999999"/>
    <x v="0"/>
  </r>
  <r>
    <x v="38"/>
    <n v="1007640"/>
    <n v="3990"/>
    <m/>
    <n v="3990"/>
    <n v="39.9"/>
    <n v="3950.1"/>
    <d v="2025-12-12T00:00:00"/>
    <n v="1007640"/>
    <n v="3312"/>
    <n v="0"/>
    <n v="3990"/>
    <d v="2025-12-02T00:00:00"/>
    <n v="3990"/>
    <n v="0"/>
    <s v="NULL"/>
    <s v="PRO"/>
    <n v="39.9"/>
    <n v="3950.1"/>
    <s v="PAID"/>
    <n v="2"/>
    <n v="1757977392645"/>
    <d v="2025-12-12T00:00:00"/>
    <d v="2025-12-02T00:00:00"/>
    <m/>
    <d v="2025-12-12T00:00:00"/>
    <d v="2025-12-11T08:54:00"/>
    <n v="33121007640"/>
    <d v="2025-12-02T00:00:00"/>
    <s v="NULL"/>
    <s v="NET 02/10/26"/>
    <s v="NULL"/>
    <d v="2025-12-02T00:00:00"/>
    <d v="2025-12-12T00:00:00"/>
    <m/>
    <x v="0"/>
  </r>
  <r>
    <x v="38"/>
    <n v="1007844"/>
    <n v="74.22"/>
    <m/>
    <n v="74.22"/>
    <n v="0.74"/>
    <n v="73.48"/>
    <d v="2025-12-12T00:00:00"/>
    <n v="1007844"/>
    <n v="3312"/>
    <n v="0"/>
    <n v="74.22"/>
    <d v="2025-12-02T00:00:00"/>
    <n v="74.22"/>
    <n v="0"/>
    <s v="NULL"/>
    <s v="PRO"/>
    <n v="0.74"/>
    <n v="73.48"/>
    <s v="PAID"/>
    <n v="2"/>
    <n v="1757977392645"/>
    <d v="2025-12-12T00:00:00"/>
    <d v="2025-12-02T00:00:00"/>
    <m/>
    <d v="2025-12-12T00:00:00"/>
    <d v="2025-12-11T08:54:00"/>
    <n v="33121007844"/>
    <d v="2025-12-02T00:00:00"/>
    <s v="HOURS"/>
    <s v="NET 01/10/26"/>
    <n v="206129"/>
    <d v="2025-12-02T00:00:00"/>
    <d v="2025-12-12T00:00:00"/>
    <m/>
    <x v="0"/>
  </r>
  <r>
    <x v="38"/>
    <n v="1007993"/>
    <n v="133.65"/>
    <m/>
    <n v="133.65"/>
    <n v="1.34"/>
    <n v="132.31"/>
    <d v="2025-12-12T00:00:00"/>
    <n v="1007993"/>
    <n v="3312"/>
    <n v="0"/>
    <n v="133.65"/>
    <d v="2025-12-03T00:00:00"/>
    <n v="133.65"/>
    <n v="0"/>
    <s v="NULL"/>
    <s v="PRO"/>
    <n v="1.34"/>
    <n v="132.31"/>
    <s v="PAID"/>
    <n v="2"/>
    <n v="1757977392645"/>
    <d v="2025-12-12T00:00:00"/>
    <d v="2025-12-03T00:00:00"/>
    <m/>
    <d v="2025-12-12T00:00:00"/>
    <d v="2025-12-11T08:54:00"/>
    <n v="33121007993"/>
    <d v="2025-12-03T00:00:00"/>
    <s v="75MM FOR MMEHANDRU"/>
    <s v="NET 01/10/26"/>
    <n v="206295"/>
    <d v="2025-12-03T00:00:00"/>
    <d v="2025-12-12T00:00:00"/>
    <m/>
    <x v="0"/>
  </r>
  <r>
    <x v="38"/>
    <n v="1007997"/>
    <n v="855.02"/>
    <n v="17.100000000000001"/>
    <n v="837.92"/>
    <n v="8.5500000000000007"/>
    <n v="829.37"/>
    <d v="2025-12-12T00:00:00"/>
    <n v="1007997"/>
    <n v="3312"/>
    <n v="17.100000000000001"/>
    <n v="855.02"/>
    <d v="2025-12-03T00:00:00"/>
    <n v="837.92"/>
    <n v="17.100000000000001"/>
    <s v="NULL"/>
    <s v="PRO"/>
    <n v="8.5500000000000007"/>
    <n v="829.37"/>
    <s v="PAID"/>
    <n v="2"/>
    <n v="1757977392645"/>
    <d v="2025-12-12T00:00:00"/>
    <d v="2025-12-03T00:00:00"/>
    <m/>
    <d v="2025-12-12T00:00:00"/>
    <d v="2025-12-11T08:54:00"/>
    <n v="33121007997"/>
    <d v="2025-12-03T00:00:00"/>
    <s v="75MM FOR MMEHANDRU"/>
    <s v="2% 01/10/26"/>
    <n v="206294"/>
    <d v="2025-12-03T00:00:00"/>
    <d v="2025-12-12T00:00:00"/>
    <n v="17.1004"/>
    <x v="0"/>
  </r>
  <r>
    <x v="38"/>
    <n v="1008202"/>
    <n v="299.52999999999997"/>
    <m/>
    <n v="299.52999999999997"/>
    <n v="3"/>
    <n v="296.52999999999997"/>
    <d v="2025-12-12T00:00:00"/>
    <n v="1008202"/>
    <n v="3312"/>
    <n v="0"/>
    <n v="299.52999999999997"/>
    <d v="2025-12-04T00:00:00"/>
    <n v="299.52999999999997"/>
    <n v="0"/>
    <s v="NULL"/>
    <s v="PRO"/>
    <n v="3"/>
    <n v="296.52999999999997"/>
    <s v="PAID"/>
    <n v="2"/>
    <n v="1757977392645"/>
    <d v="2025-12-12T00:00:00"/>
    <d v="2025-12-04T00:00:00"/>
    <m/>
    <d v="2025-12-12T00:00:00"/>
    <d v="2025-12-11T08:54:00"/>
    <n v="33121008202"/>
    <d v="2025-12-04T00:00:00"/>
    <s v="75MM FOR MMEHANDRU"/>
    <s v="NET 01/10/26"/>
    <n v="206664"/>
    <d v="2025-12-04T00:00:00"/>
    <d v="2025-12-12T00:00:00"/>
    <m/>
    <x v="0"/>
  </r>
  <r>
    <x v="38"/>
    <n v="1008297"/>
    <n v="-50"/>
    <m/>
    <n v="-50"/>
    <m/>
    <n v="-50"/>
    <d v="2025-12-12T00:00:00"/>
    <n v="1008297"/>
    <n v="3312"/>
    <n v="0"/>
    <n v="-50"/>
    <d v="2025-12-04T00:00:00"/>
    <n v="-50"/>
    <n v="0"/>
    <s v="NMCNoINV"/>
    <s v="PRO"/>
    <n v="0"/>
    <n v="-50"/>
    <s v="PAID"/>
    <n v="2"/>
    <n v="1757977392645"/>
    <d v="2025-12-12T00:00:00"/>
    <d v="2025-12-04T00:00:00"/>
    <m/>
    <d v="2025-12-12T00:00:00"/>
    <d v="2025-12-11T08:54:00"/>
    <n v="33121008297"/>
    <d v="2025-12-04T00:00:00"/>
    <s v="N/A"/>
    <s v="NET 01/10/26"/>
    <s v="NMCNoINV"/>
    <d v="2025-12-04T00:00:00"/>
    <d v="2025-12-12T00:00:00"/>
    <m/>
    <x v="0"/>
  </r>
  <r>
    <x v="38"/>
    <n v="1008472"/>
    <n v="199"/>
    <n v="3.98"/>
    <n v="195.02"/>
    <n v="1.99"/>
    <n v="193.03"/>
    <d v="2025-12-12T00:00:00"/>
    <n v="1008472"/>
    <n v="3312"/>
    <n v="3.98"/>
    <n v="199"/>
    <d v="2025-12-05T00:00:00"/>
    <n v="195.02"/>
    <n v="3.98"/>
    <s v="NULL"/>
    <s v="PRO"/>
    <n v="1.99"/>
    <n v="193.03"/>
    <s v="PAID"/>
    <n v="2"/>
    <n v="1757977392645"/>
    <d v="2025-12-12T00:00:00"/>
    <d v="2025-12-05T00:00:00"/>
    <m/>
    <d v="2025-12-12T00:00:00"/>
    <d v="2025-12-11T08:54:00"/>
    <n v="33121008472"/>
    <d v="2025-12-05T00:00:00"/>
    <s v="CHRISANN TICE"/>
    <s v="2% 01/10/26"/>
    <n v="206626"/>
    <d v="2025-12-05T00:00:00"/>
    <d v="2025-12-12T00:00:00"/>
    <n v="3.98"/>
    <x v="0"/>
  </r>
  <r>
    <x v="39"/>
    <n v="1007301"/>
    <n v="48.24"/>
    <m/>
    <n v="48.24"/>
    <n v="0.48"/>
    <n v="48.24"/>
    <d v="2025-12-12T00:00:00"/>
    <n v="1007301"/>
    <n v="3333"/>
    <n v="0"/>
    <n v="48.24"/>
    <d v="2025-12-01T00:00:00"/>
    <n v="48.24"/>
    <n v="0"/>
    <s v="NULL"/>
    <s v="PRO"/>
    <n v="0.48"/>
    <n v="48.24"/>
    <s v="PAID"/>
    <n v="10"/>
    <s v="Auto298619855293660"/>
    <d v="2025-12-12T00:00:00"/>
    <d v="2025-12-01T00:00:00"/>
    <s v="NULL"/>
    <d v="2025-12-12T00:00:00"/>
    <d v="2025-12-12T13:45:00"/>
    <n v="33331007301"/>
    <d v="2025-12-01T00:00:00"/>
    <s v="LGLGLGL"/>
    <s v="2% 01/10/26"/>
    <n v="205855"/>
    <d v="2025-12-01T00:00:00"/>
    <d v="2025-12-12T00:00:00"/>
    <n v="0.9648000000000001"/>
    <x v="1"/>
  </r>
  <r>
    <x v="39"/>
    <n v="1007565"/>
    <n v="350"/>
    <m/>
    <n v="350"/>
    <n v="3.5"/>
    <n v="346.5"/>
    <d v="2025-12-12T00:00:00"/>
    <n v="1007565"/>
    <n v="3333"/>
    <n v="0"/>
    <n v="350"/>
    <d v="2025-12-02T00:00:00"/>
    <n v="350"/>
    <n v="0"/>
    <s v="NULL"/>
    <s v="PRO"/>
    <n v="3.5"/>
    <n v="346.5"/>
    <s v="PAID"/>
    <n v="10"/>
    <s v="Auto298619855293660"/>
    <d v="2025-12-12T00:00:00"/>
    <d v="2025-12-02T00:00:00"/>
    <s v="NULL"/>
    <d v="2025-12-12T00:00:00"/>
    <d v="2025-12-12T13:45:00"/>
    <n v="33331007565"/>
    <d v="2025-12-02T00:00:00"/>
    <s v="NULL"/>
    <s v="NET DUE 10TH"/>
    <s v="NULL"/>
    <d v="2025-12-02T00:00:00"/>
    <d v="2025-12-12T00:00:00"/>
    <m/>
    <x v="0"/>
  </r>
  <r>
    <x v="39"/>
    <n v="1008392"/>
    <n v="1256.97"/>
    <m/>
    <n v="1256.97"/>
    <n v="12.57"/>
    <n v="1244.4000000000001"/>
    <d v="2025-12-12T00:00:00"/>
    <n v="1008392"/>
    <n v="3333"/>
    <n v="0"/>
    <n v="1256.97"/>
    <d v="2025-12-05T00:00:00"/>
    <n v="1256.97"/>
    <n v="0"/>
    <n v="3031925"/>
    <s v="PIONEER"/>
    <n v="12.57"/>
    <n v="1244.4000000000001"/>
    <s v="PAID"/>
    <n v="10"/>
    <s v="Auto298619855293660"/>
    <d v="2025-12-12T00:00:00"/>
    <d v="2025-12-05T00:00:00"/>
    <s v="NULL"/>
    <d v="2025-12-12T00:00:00"/>
    <d v="2025-12-12T13:45:00"/>
    <n v="33331008392"/>
    <d v="2025-12-05T00:00:00"/>
    <n v="2025"/>
    <s v="NET 01/10/26"/>
    <n v="3031925"/>
    <d v="2025-12-05T00:00:00"/>
    <d v="2025-12-12T00:00:00"/>
    <m/>
    <x v="0"/>
  </r>
  <r>
    <x v="40"/>
    <n v="1007282"/>
    <n v="149.63999999999999"/>
    <n v="2.99"/>
    <n v="146.65"/>
    <n v="1.5"/>
    <n v="145.15"/>
    <d v="2025-12-12T00:00:00"/>
    <n v="1007282"/>
    <n v="3347"/>
    <n v="2.99"/>
    <n v="149.63999999999999"/>
    <d v="2025-12-01T00:00:00"/>
    <n v="146.65"/>
    <n v="2.99"/>
    <s v="NULL"/>
    <s v="PRO"/>
    <n v="1.5"/>
    <n v="145.15"/>
    <s v="PAID"/>
    <n v="2"/>
    <n v="7157094758822"/>
    <d v="2025-12-12T00:00:00"/>
    <d v="2025-12-01T00:00:00"/>
    <m/>
    <d v="2025-12-12T00:00:00"/>
    <d v="2025-12-08T14:10:00"/>
    <n v="33471007282"/>
    <d v="2025-12-01T00:00:00"/>
    <n v="11589"/>
    <s v="2% 01/10/26"/>
    <n v="205814"/>
    <d v="2025-12-01T00:00:00"/>
    <d v="2025-12-12T00:00:00"/>
    <n v="2.9927999999999999"/>
    <x v="0"/>
  </r>
  <r>
    <x v="40"/>
    <n v="1007629"/>
    <n v="3990"/>
    <m/>
    <n v="3990"/>
    <n v="39.9"/>
    <n v="3950.1"/>
    <d v="2025-12-12T00:00:00"/>
    <n v="1007629"/>
    <n v="3347"/>
    <n v="0"/>
    <n v="3990"/>
    <d v="2025-12-02T00:00:00"/>
    <n v="3990"/>
    <n v="0"/>
    <s v="NULL"/>
    <s v="PRO"/>
    <n v="39.9"/>
    <n v="3950.1"/>
    <s v="PAID"/>
    <n v="2"/>
    <n v="7157094758822"/>
    <d v="2025-12-12T00:00:00"/>
    <d v="2025-12-02T00:00:00"/>
    <m/>
    <d v="2025-12-12T00:00:00"/>
    <d v="2025-12-08T14:10:00"/>
    <n v="33471007629"/>
    <d v="2025-12-02T00:00:00"/>
    <s v="NULL"/>
    <s v="NET 02/10/26"/>
    <s v="NULL"/>
    <d v="2025-12-02T00:00:00"/>
    <d v="2025-12-12T00:00:00"/>
    <m/>
    <x v="0"/>
  </r>
  <r>
    <x v="40"/>
    <n v="1008198"/>
    <n v="724.36"/>
    <n v="14.49"/>
    <n v="709.87"/>
    <n v="7.24"/>
    <n v="702.63"/>
    <d v="2025-12-12T00:00:00"/>
    <n v="1008198"/>
    <n v="3347"/>
    <n v="14.49"/>
    <n v="724.36"/>
    <d v="2025-12-04T00:00:00"/>
    <n v="709.87"/>
    <n v="14.49"/>
    <s v="NULL"/>
    <s v="PRO"/>
    <n v="7.24"/>
    <n v="702.63"/>
    <s v="PAID"/>
    <n v="2"/>
    <n v="7157094758822"/>
    <d v="2025-12-12T00:00:00"/>
    <d v="2025-12-04T00:00:00"/>
    <m/>
    <d v="2025-12-12T00:00:00"/>
    <d v="2025-12-08T14:10:00"/>
    <n v="33471008198"/>
    <d v="2025-12-04T00:00:00"/>
    <n v="11624"/>
    <s v="2% 01/10/26"/>
    <n v="206782"/>
    <d v="2025-12-04T00:00:00"/>
    <d v="2025-12-12T00:00:00"/>
    <n v="14.487200000000001"/>
    <x v="0"/>
  </r>
  <r>
    <x v="40"/>
    <n v="1008466"/>
    <n v="307"/>
    <n v="6.14"/>
    <n v="300.86"/>
    <n v="3.07"/>
    <n v="297.79000000000002"/>
    <d v="2025-12-12T00:00:00"/>
    <n v="1008466"/>
    <n v="3347"/>
    <n v="6.14"/>
    <n v="307"/>
    <d v="2025-12-05T00:00:00"/>
    <n v="300.86"/>
    <n v="6.14"/>
    <s v="NULL"/>
    <s v="PRO"/>
    <n v="3.07"/>
    <n v="297.79000000000002"/>
    <s v="PAID"/>
    <n v="2"/>
    <n v="7157094758822"/>
    <d v="2025-12-12T00:00:00"/>
    <d v="2025-12-05T00:00:00"/>
    <m/>
    <d v="2025-12-12T00:00:00"/>
    <d v="2025-12-08T14:10:00"/>
    <n v="33471008466"/>
    <d v="2025-12-05T00:00:00"/>
    <n v="11624"/>
    <s v="2% 01/10/26"/>
    <n v="206784"/>
    <d v="2025-12-05T00:00:00"/>
    <d v="2025-12-12T00:00:00"/>
    <n v="6.1400000000000006"/>
    <x v="0"/>
  </r>
  <r>
    <x v="41"/>
    <n v="1007524"/>
    <n v="3990"/>
    <m/>
    <n v="3990"/>
    <n v="39.9"/>
    <n v="3950.1"/>
    <d v="2025-12-12T00:00:00"/>
    <n v="1007524"/>
    <n v="3361"/>
    <n v="0"/>
    <n v="3990"/>
    <d v="2025-12-02T00:00:00"/>
    <n v="3990"/>
    <n v="0"/>
    <s v="NULL"/>
    <s v="PRO"/>
    <n v="39.9"/>
    <n v="3950.1"/>
    <s v="PAID"/>
    <n v="10"/>
    <s v="Auto1025294434148005"/>
    <d v="2025-12-12T00:00:00"/>
    <d v="2025-12-02T00:00:00"/>
    <s v="NULL"/>
    <d v="2025-12-12T00:00:00"/>
    <d v="2025-12-12T13:45:00"/>
    <n v="33611007524"/>
    <d v="2025-12-02T00:00:00"/>
    <s v="NULL"/>
    <s v="NET 02/10/26"/>
    <s v="NULL"/>
    <d v="2025-12-02T00:00:00"/>
    <d v="2025-12-12T00:00:00"/>
    <m/>
    <x v="0"/>
  </r>
  <r>
    <x v="41"/>
    <n v="1008052"/>
    <n v="2292.23"/>
    <m/>
    <n v="2292.23"/>
    <n v="22.92"/>
    <n v="2292.23"/>
    <d v="2025-12-12T00:00:00"/>
    <n v="1008052"/>
    <n v="3361"/>
    <n v="0"/>
    <n v="2292.23"/>
    <d v="2025-12-03T00:00:00"/>
    <n v="2292.23"/>
    <n v="0"/>
    <s v="NULL"/>
    <s v="PRO"/>
    <n v="22.92"/>
    <n v="2292.23"/>
    <s v="PAID"/>
    <n v="10"/>
    <s v="Auto1025294434148005"/>
    <d v="2025-12-12T00:00:00"/>
    <d v="2025-12-03T00:00:00"/>
    <s v="NULL"/>
    <d v="2025-12-12T00:00:00"/>
    <d v="2025-12-12T13:45:00"/>
    <n v="33611008052"/>
    <d v="2025-12-03T00:00:00"/>
    <n v="3008"/>
    <s v="2% 01/10/26"/>
    <n v="206545"/>
    <d v="2025-12-03T00:00:00"/>
    <d v="2025-12-12T00:00:00"/>
    <n v="45.8446"/>
    <x v="1"/>
  </r>
  <r>
    <x v="41"/>
    <n v="1008263"/>
    <n v="1985.82"/>
    <m/>
    <n v="1985.82"/>
    <n v="19.86"/>
    <n v="1985.82"/>
    <d v="2025-12-12T00:00:00"/>
    <n v="1008263"/>
    <n v="3361"/>
    <n v="0"/>
    <n v="1985.82"/>
    <d v="2025-12-04T00:00:00"/>
    <n v="1985.82"/>
    <n v="0"/>
    <s v="NULL"/>
    <s v="PRO"/>
    <n v="19.86"/>
    <n v="1985.82"/>
    <s v="PAID"/>
    <n v="10"/>
    <s v="Auto1025294434148005"/>
    <d v="2025-12-12T00:00:00"/>
    <d v="2025-12-04T00:00:00"/>
    <s v="NULL"/>
    <d v="2025-12-12T00:00:00"/>
    <d v="2025-12-12T13:45:00"/>
    <n v="33611008263"/>
    <d v="2025-12-04T00:00:00"/>
    <n v="3008"/>
    <s v="2% 01/10/26"/>
    <n v="206552"/>
    <d v="2025-12-04T00:00:00"/>
    <d v="2025-12-12T00:00:00"/>
    <n v="39.7164"/>
    <x v="1"/>
  </r>
  <r>
    <x v="41"/>
    <n v="1008269"/>
    <n v="1135.05"/>
    <m/>
    <n v="1135.05"/>
    <n v="11.35"/>
    <n v="1123.7"/>
    <d v="2025-12-12T00:00:00"/>
    <n v="1008269"/>
    <n v="3361"/>
    <n v="0"/>
    <n v="1135.05"/>
    <d v="2025-12-04T00:00:00"/>
    <n v="1135.05"/>
    <n v="0"/>
    <s v="NULL"/>
    <s v="PRO"/>
    <n v="11.35"/>
    <n v="1123.7"/>
    <s v="PAID"/>
    <n v="10"/>
    <s v="Auto1025294434148005"/>
    <d v="2025-12-12T00:00:00"/>
    <d v="2025-12-04T00:00:00"/>
    <s v="NULL"/>
    <d v="2025-12-12T00:00:00"/>
    <d v="2025-12-12T13:45:00"/>
    <n v="33611008269"/>
    <d v="2025-12-04T00:00:00"/>
    <n v="3008"/>
    <s v="NET 01/10/26"/>
    <n v="206553"/>
    <d v="2025-12-04T00:00:00"/>
    <d v="2025-12-12T00:00:00"/>
    <m/>
    <x v="0"/>
  </r>
  <r>
    <x v="42"/>
    <n v="999710"/>
    <n v="750.54"/>
    <m/>
    <n v="750.54"/>
    <m/>
    <n v="750.54"/>
    <d v="2025-12-12T00:00:00"/>
    <n v="999710"/>
    <n v="3368"/>
    <n v="0"/>
    <n v="750.54"/>
    <d v="2025-10-23T00:00:00"/>
    <n v="750.54"/>
    <n v="0"/>
    <s v="NULL"/>
    <s v="PRO"/>
    <n v="0"/>
    <n v="750.54"/>
    <s v="PAID"/>
    <n v="2"/>
    <n v="1771145575112"/>
    <d v="2025-12-12T00:00:00"/>
    <d v="2025-10-23T00:00:00"/>
    <m/>
    <d v="2025-12-12T00:00:00"/>
    <d v="2025-12-09T10:44:00"/>
    <n v="3368999710"/>
    <d v="2025-10-23T00:00:00"/>
    <s v="10222025AH1"/>
    <s v="NET 12/10/25"/>
    <n v="199856"/>
    <d v="2025-10-23T00:00:00"/>
    <d v="2025-12-12T00:00:00"/>
    <m/>
    <x v="0"/>
  </r>
  <r>
    <x v="42"/>
    <n v="999713"/>
    <n v="179.6"/>
    <n v="3.59"/>
    <n v="176.01"/>
    <m/>
    <n v="176.01"/>
    <d v="2025-12-12T00:00:00"/>
    <n v="999713"/>
    <n v="3368"/>
    <n v="3.59"/>
    <n v="179.6"/>
    <d v="2025-10-23T00:00:00"/>
    <n v="176.01"/>
    <n v="3.59"/>
    <s v="NULL"/>
    <s v="PRO"/>
    <n v="0"/>
    <n v="176.01"/>
    <s v="PAID"/>
    <n v="2"/>
    <n v="1771145575112"/>
    <d v="2025-12-12T00:00:00"/>
    <d v="2025-10-23T00:00:00"/>
    <m/>
    <d v="2025-12-12T00:00:00"/>
    <d v="2025-12-09T10:44:00"/>
    <n v="3368999713"/>
    <d v="2025-10-23T00:00:00"/>
    <s v="10222025AH1"/>
    <s v="2% 12/10/25"/>
    <n v="199855"/>
    <d v="2025-10-23T00:00:00"/>
    <d v="2025-12-12T00:00:00"/>
    <n v="3.5920000000000001"/>
    <x v="0"/>
  </r>
  <r>
    <x v="42"/>
    <n v="1002901"/>
    <n v="491.03"/>
    <n v="9.82"/>
    <n v="481.21"/>
    <m/>
    <n v="481.21"/>
    <d v="2025-12-12T00:00:00"/>
    <n v="1002901"/>
    <n v="3368"/>
    <n v="9.82"/>
    <n v="491.03"/>
    <d v="2025-11-10T00:00:00"/>
    <n v="481.21"/>
    <n v="9.82"/>
    <s v="NULL"/>
    <s v="PRO"/>
    <n v="0"/>
    <n v="481.21"/>
    <s v="PAID"/>
    <n v="2"/>
    <n v="1771145575112"/>
    <d v="2025-12-12T00:00:00"/>
    <d v="2025-11-10T00:00:00"/>
    <m/>
    <d v="2025-12-12T00:00:00"/>
    <d v="2025-12-09T10:44:00"/>
    <n v="33681002901"/>
    <d v="2025-11-10T00:00:00"/>
    <s v="11072025AH1"/>
    <s v="2% 12/10/25"/>
    <n v="202250"/>
    <d v="2025-11-10T00:00:00"/>
    <d v="2025-12-12T00:00:00"/>
    <n v="9.8205999999999989"/>
    <x v="0"/>
  </r>
  <r>
    <x v="42"/>
    <n v="1002903"/>
    <n v="401.16"/>
    <m/>
    <n v="401.16"/>
    <m/>
    <n v="401.16"/>
    <d v="2025-12-12T00:00:00"/>
    <n v="1002903"/>
    <n v="3368"/>
    <n v="0"/>
    <n v="401.16"/>
    <d v="2025-11-10T00:00:00"/>
    <n v="401.16"/>
    <n v="0"/>
    <s v="NULL"/>
    <s v="PRO"/>
    <n v="0"/>
    <n v="401.16"/>
    <s v="PAID"/>
    <n v="2"/>
    <n v="1771145575112"/>
    <d v="2025-12-12T00:00:00"/>
    <d v="2025-11-10T00:00:00"/>
    <m/>
    <d v="2025-12-12T00:00:00"/>
    <d v="2025-12-09T10:44:00"/>
    <n v="33681002903"/>
    <d v="2025-11-10T00:00:00"/>
    <s v="11072025AH1"/>
    <s v="NET 12/10/25"/>
    <n v="202251"/>
    <d v="2025-11-10T00:00:00"/>
    <d v="2025-12-12T00:00:00"/>
    <m/>
    <x v="0"/>
  </r>
  <r>
    <x v="42"/>
    <n v="1003486"/>
    <n v="812.88"/>
    <n v="16.260000000000002"/>
    <n v="796.62"/>
    <m/>
    <n v="796.62"/>
    <d v="2025-12-12T00:00:00"/>
    <n v="1003486"/>
    <n v="3368"/>
    <n v="16.260000000000002"/>
    <n v="812.88"/>
    <d v="2025-11-12T00:00:00"/>
    <n v="796.62"/>
    <n v="16.260000000000002"/>
    <n v="54118889"/>
    <s v="MCS"/>
    <n v="0"/>
    <n v="796.62"/>
    <s v="PAID"/>
    <n v="2"/>
    <n v="1771145575112"/>
    <d v="2025-12-12T00:00:00"/>
    <d v="2025-11-12T00:00:00"/>
    <m/>
    <d v="2025-12-12T00:00:00"/>
    <d v="2025-12-09T10:44:00"/>
    <n v="33681003486"/>
    <d v="2025-11-12T00:00:00"/>
    <n v="10312025"/>
    <s v="2% 12/10/25"/>
    <n v="54118889"/>
    <d v="2025-11-12T00:00:00"/>
    <d v="2025-12-12T00:00:00"/>
    <n v="16.2576"/>
    <x v="0"/>
  </r>
  <r>
    <x v="42"/>
    <n v="1004506"/>
    <n v="-262.45999999999998"/>
    <m/>
    <n v="-262.45999999999998"/>
    <m/>
    <n v="-262.45999999999998"/>
    <d v="2025-12-12T00:00:00"/>
    <n v="1004506"/>
    <n v="3368"/>
    <n v="0"/>
    <n v="-262.45999999999998"/>
    <d v="2025-11-18T00:00:00"/>
    <n v="-262.45999999999998"/>
    <n v="0"/>
    <n v="1004506"/>
    <s v="PRO"/>
    <n v="0"/>
    <n v="-262.45999999999998"/>
    <s v="PAID"/>
    <n v="2"/>
    <n v="1771145575112"/>
    <d v="2025-12-12T00:00:00"/>
    <d v="2025-11-18T00:00:00"/>
    <m/>
    <d v="2025-12-12T00:00:00"/>
    <d v="2025-12-09T10:44:00"/>
    <n v="33681004506"/>
    <d v="2025-11-18T00:00:00"/>
    <n v="142027"/>
    <s v="NET 12/10/25"/>
    <n v="53468"/>
    <d v="2025-11-18T00:00:00"/>
    <d v="2025-12-12T00:00:00"/>
    <m/>
    <x v="0"/>
  </r>
  <r>
    <x v="42"/>
    <n v="1005560"/>
    <n v="1257.57"/>
    <n v="25.15"/>
    <n v="1232.42"/>
    <m/>
    <n v="1232.42"/>
    <d v="2025-12-12T00:00:00"/>
    <n v="1005560"/>
    <n v="3368"/>
    <n v="25.15"/>
    <n v="1257.57"/>
    <d v="2025-11-20T00:00:00"/>
    <n v="1232.42"/>
    <n v="25.15"/>
    <n v="336550"/>
    <s v="MAC GROUP"/>
    <n v="0"/>
    <n v="1232.42"/>
    <s v="PAID"/>
    <n v="2"/>
    <n v="1771145575112"/>
    <d v="2025-12-12T00:00:00"/>
    <d v="2025-11-21T00:00:00"/>
    <m/>
    <d v="2025-12-12T00:00:00"/>
    <d v="2025-12-09T10:44:00"/>
    <n v="33681005560"/>
    <d v="2025-11-20T00:00:00"/>
    <s v="92025AH1"/>
    <s v="2% 12/10/25"/>
    <n v="336550"/>
    <d v="2025-11-21T00:00:00"/>
    <d v="2025-12-12T00:00:00"/>
    <n v="25.151399999999999"/>
    <x v="0"/>
  </r>
  <r>
    <x v="42"/>
    <n v="1007557"/>
    <n v="350"/>
    <m/>
    <n v="350"/>
    <n v="3.5"/>
    <n v="346.5"/>
    <d v="2025-12-12T00:00:00"/>
    <n v="1007557"/>
    <n v="3368"/>
    <n v="0"/>
    <n v="350"/>
    <d v="2025-12-02T00:00:00"/>
    <n v="350"/>
    <n v="0"/>
    <s v="NULL"/>
    <s v="PRO"/>
    <n v="3.5"/>
    <n v="346.5"/>
    <s v="PAID"/>
    <n v="2"/>
    <n v="1771145575112"/>
    <d v="2025-12-12T00:00:00"/>
    <d v="2025-12-02T00:00:00"/>
    <m/>
    <d v="2025-12-12T00:00:00"/>
    <d v="2025-12-09T10:44:00"/>
    <n v="33681007557"/>
    <d v="2025-12-02T00:00:00"/>
    <s v="NULL"/>
    <s v="NET DUE 10TH"/>
    <s v="NULL"/>
    <d v="2025-12-02T00:00:00"/>
    <d v="2025-12-12T00:00:00"/>
    <m/>
    <x v="0"/>
  </r>
  <r>
    <x v="42"/>
    <n v="1008287"/>
    <n v="-50"/>
    <m/>
    <n v="-50"/>
    <m/>
    <n v="-50"/>
    <d v="2025-12-12T00:00:00"/>
    <n v="1008287"/>
    <n v="3368"/>
    <n v="0"/>
    <n v="-50"/>
    <d v="2025-12-04T00:00:00"/>
    <n v="-50"/>
    <n v="0"/>
    <s v="NMCNoINV"/>
    <s v="PRO"/>
    <n v="0"/>
    <n v="-50"/>
    <s v="PAID"/>
    <n v="2"/>
    <n v="1771145575112"/>
    <d v="2025-12-12T00:00:00"/>
    <d v="2025-12-04T00:00:00"/>
    <m/>
    <d v="2025-12-12T00:00:00"/>
    <d v="2025-12-09T10:44:00"/>
    <n v="33681008287"/>
    <d v="2025-12-04T00:00:00"/>
    <s v="N/A"/>
    <s v="NET 01/10/26"/>
    <s v="NMCNoINV"/>
    <d v="2025-12-04T00:00:00"/>
    <d v="2025-12-12T00:00:00"/>
    <m/>
    <x v="0"/>
  </r>
  <r>
    <x v="42"/>
    <n v="1008309"/>
    <n v="-23.76"/>
    <m/>
    <n v="-23.76"/>
    <m/>
    <n v="-23.76"/>
    <d v="2025-12-12T00:00:00"/>
    <n v="1008309"/>
    <n v="3368"/>
    <n v="0"/>
    <n v="-23.76"/>
    <d v="2025-12-05T00:00:00"/>
    <n v="-23.76"/>
    <n v="0"/>
    <s v="CM583223388"/>
    <s v="TIFFEN"/>
    <n v="0"/>
    <n v="-23.76"/>
    <s v="PAID"/>
    <n v="2"/>
    <n v="1771145575112"/>
    <d v="2025-12-12T00:00:00"/>
    <d v="2025-12-05T00:00:00"/>
    <m/>
    <d v="2025-12-12T00:00:00"/>
    <d v="2025-12-09T10:44:00"/>
    <n v="33681008309"/>
    <d v="2025-12-05T00:00:00"/>
    <s v="NULL"/>
    <s v="2% 01/10/26"/>
    <s v="CM583223388"/>
    <d v="2025-12-05T00:00:00"/>
    <d v="2025-12-12T00:00:00"/>
    <m/>
    <x v="0"/>
  </r>
  <r>
    <x v="43"/>
    <n v="1007281"/>
    <n v="116.61"/>
    <n v="2.33"/>
    <n v="114.28"/>
    <n v="1.17"/>
    <n v="113.11"/>
    <d v="2025-12-12T00:00:00"/>
    <n v="1007281"/>
    <n v="3389"/>
    <n v="2.33"/>
    <n v="116.61"/>
    <d v="2025-12-01T00:00:00"/>
    <n v="114.28"/>
    <n v="2.33"/>
    <s v="NULL"/>
    <s v="PRO"/>
    <n v="1.17"/>
    <n v="113.11"/>
    <s v="PAID"/>
    <n v="2"/>
    <n v="7359515978720"/>
    <d v="2025-12-12T00:00:00"/>
    <d v="2025-12-01T00:00:00"/>
    <m/>
    <d v="2025-12-12T00:00:00"/>
    <d v="2025-12-10T18:32:00"/>
    <n v="33891007281"/>
    <d v="2025-12-01T00:00:00"/>
    <s v="7058K"/>
    <s v="2% 01/10/26"/>
    <n v="205815"/>
    <d v="2025-12-01T00:00:00"/>
    <d v="2025-12-12T00:00:00"/>
    <n v="2.3321999999999998"/>
    <x v="0"/>
  </r>
  <r>
    <x v="43"/>
    <n v="1007355"/>
    <n v="126.42"/>
    <n v="2.5299999999999998"/>
    <n v="123.89"/>
    <n v="1.26"/>
    <n v="122.63"/>
    <d v="2025-12-12T00:00:00"/>
    <n v="1007355"/>
    <n v="3389"/>
    <n v="2.5299999999999998"/>
    <n v="126.42"/>
    <d v="2025-12-01T00:00:00"/>
    <n v="123.89"/>
    <n v="2.5299999999999998"/>
    <s v="NULL"/>
    <s v="PRO"/>
    <n v="1.26"/>
    <n v="122.63"/>
    <s v="PAID"/>
    <n v="2"/>
    <n v="8539372917542"/>
    <d v="2025-12-12T00:00:00"/>
    <d v="2025-12-01T00:00:00"/>
    <m/>
    <d v="2025-12-12T00:00:00"/>
    <d v="2025-12-10T18:36:00"/>
    <n v="33891007355"/>
    <d v="2025-12-01T00:00:00"/>
    <s v="7064G"/>
    <s v="2% 01/10/26"/>
    <n v="205882"/>
    <d v="2025-12-01T00:00:00"/>
    <d v="2025-12-12T00:00:00"/>
    <n v="2.5284"/>
    <x v="0"/>
  </r>
  <r>
    <x v="43"/>
    <n v="1007361"/>
    <n v="948.14"/>
    <m/>
    <n v="948.14"/>
    <n v="9.48"/>
    <n v="938.66"/>
    <d v="2025-12-12T00:00:00"/>
    <n v="1007361"/>
    <n v="3389"/>
    <n v="0"/>
    <n v="948.14"/>
    <d v="2025-12-01T00:00:00"/>
    <n v="948.14"/>
    <n v="0"/>
    <s v="NULL"/>
    <s v="PRO"/>
    <n v="9.48"/>
    <n v="938.66"/>
    <s v="PAID"/>
    <n v="2"/>
    <n v="8539372917542"/>
    <d v="2025-12-12T00:00:00"/>
    <d v="2025-12-01T00:00:00"/>
    <m/>
    <d v="2025-12-12T00:00:00"/>
    <d v="2025-12-10T18:36:00"/>
    <n v="33891007361"/>
    <d v="2025-12-01T00:00:00"/>
    <s v="7064G"/>
    <s v="NET 01/10/26"/>
    <n v="205883"/>
    <d v="2025-12-01T00:00:00"/>
    <d v="2025-12-12T00:00:00"/>
    <m/>
    <x v="0"/>
  </r>
  <r>
    <x v="43"/>
    <n v="1007380"/>
    <n v="1554.86"/>
    <n v="31.1"/>
    <n v="1523.76"/>
    <n v="15.55"/>
    <n v="1508.21"/>
    <d v="2025-12-12T00:00:00"/>
    <n v="1007380"/>
    <n v="3389"/>
    <n v="31.1"/>
    <n v="1554.86"/>
    <d v="2025-12-01T00:00:00"/>
    <n v="1523.76"/>
    <n v="31.1"/>
    <s v="NULL"/>
    <s v="PRO"/>
    <n v="15.55"/>
    <n v="1508.21"/>
    <s v="PAID"/>
    <n v="2"/>
    <n v="8539372917542"/>
    <d v="2025-12-12T00:00:00"/>
    <d v="2025-12-01T00:00:00"/>
    <m/>
    <d v="2025-12-12T00:00:00"/>
    <d v="2025-12-10T18:36:00"/>
    <n v="33891007380"/>
    <d v="2025-12-01T00:00:00"/>
    <s v="7067G"/>
    <s v="2% 01/10/26"/>
    <n v="205932"/>
    <d v="2025-12-01T00:00:00"/>
    <d v="2025-12-12T00:00:00"/>
    <n v="31.097199999999997"/>
    <x v="0"/>
  </r>
  <r>
    <x v="43"/>
    <n v="1007426"/>
    <n v="1035.81"/>
    <m/>
    <n v="1035.81"/>
    <n v="10.36"/>
    <n v="1025.45"/>
    <d v="2025-12-12T00:00:00"/>
    <n v="1007426"/>
    <n v="3389"/>
    <n v="0"/>
    <n v="1035.81"/>
    <d v="2025-12-01T00:00:00"/>
    <n v="1035.81"/>
    <n v="0"/>
    <s v="NULL"/>
    <s v="PRO"/>
    <n v="10.36"/>
    <n v="1025.45"/>
    <s v="PAID"/>
    <n v="2"/>
    <n v="8539372917542"/>
    <d v="2025-12-12T00:00:00"/>
    <d v="2025-12-01T00:00:00"/>
    <m/>
    <d v="2025-12-12T00:00:00"/>
    <d v="2025-12-10T18:36:00"/>
    <n v="33891007426"/>
    <d v="2025-12-01T00:00:00"/>
    <s v="7067G"/>
    <s v="NET 01/10/26"/>
    <n v="205941"/>
    <d v="2025-12-01T00:00:00"/>
    <d v="2025-12-12T00:00:00"/>
    <m/>
    <x v="0"/>
  </r>
  <r>
    <x v="43"/>
    <n v="1007430"/>
    <n v="667.43"/>
    <n v="13.35"/>
    <n v="654.08000000000004"/>
    <n v="6.67"/>
    <n v="647.41"/>
    <d v="2025-12-12T00:00:00"/>
    <n v="1007430"/>
    <n v="3389"/>
    <n v="13.35"/>
    <n v="667.43"/>
    <d v="2025-12-01T00:00:00"/>
    <n v="654.08000000000004"/>
    <n v="13.35"/>
    <s v="NULL"/>
    <s v="PRO"/>
    <n v="6.67"/>
    <n v="647.41"/>
    <s v="PAID"/>
    <n v="2"/>
    <n v="8539372917542"/>
    <d v="2025-12-12T00:00:00"/>
    <d v="2025-12-01T00:00:00"/>
    <m/>
    <d v="2025-12-12T00:00:00"/>
    <d v="2025-12-10T18:36:00"/>
    <n v="33891007430"/>
    <d v="2025-12-01T00:00:00"/>
    <s v="7067G"/>
    <s v="2% 01/10/26"/>
    <n v="205940"/>
    <d v="2025-12-01T00:00:00"/>
    <d v="2025-12-12T00:00:00"/>
    <n v="13.348599999999999"/>
    <x v="0"/>
  </r>
  <r>
    <x v="43"/>
    <n v="1007651"/>
    <n v="3990"/>
    <m/>
    <n v="3990"/>
    <n v="39.9"/>
    <n v="3950.1"/>
    <d v="2025-12-12T00:00:00"/>
    <n v="1007651"/>
    <n v="3389"/>
    <n v="0"/>
    <n v="3990"/>
    <d v="2025-12-02T00:00:00"/>
    <n v="3990"/>
    <n v="0"/>
    <s v="NULL"/>
    <s v="PRO"/>
    <n v="39.9"/>
    <n v="3950.1"/>
    <s v="PAID"/>
    <n v="2"/>
    <n v="8539372917542"/>
    <d v="2025-12-12T00:00:00"/>
    <d v="2025-12-02T00:00:00"/>
    <m/>
    <d v="2025-12-12T00:00:00"/>
    <d v="2025-12-10T18:36:00"/>
    <n v="33891007651"/>
    <d v="2025-12-02T00:00:00"/>
    <s v="NULL"/>
    <s v="NET 02/10/26"/>
    <s v="NULL"/>
    <d v="2025-12-02T00:00:00"/>
    <d v="2025-12-12T00:00:00"/>
    <m/>
    <x v="0"/>
  </r>
  <r>
    <x v="43"/>
    <n v="1007739"/>
    <n v="276.97000000000003"/>
    <n v="5.54"/>
    <n v="271.43"/>
    <n v="2.77"/>
    <n v="268.66000000000003"/>
    <d v="2025-12-12T00:00:00"/>
    <n v="1007739"/>
    <n v="3389"/>
    <n v="5.54"/>
    <n v="276.97000000000003"/>
    <d v="2025-12-02T00:00:00"/>
    <n v="271.43"/>
    <n v="5.54"/>
    <s v="NULL"/>
    <s v="PRO"/>
    <n v="2.77"/>
    <n v="268.66000000000003"/>
    <s v="PAID"/>
    <n v="2"/>
    <n v="7359515978720"/>
    <d v="2025-12-12T00:00:00"/>
    <d v="2025-12-02T00:00:00"/>
    <m/>
    <d v="2025-12-12T00:00:00"/>
    <d v="2025-12-10T18:32:00"/>
    <n v="33891007739"/>
    <d v="2025-12-02T00:00:00"/>
    <s v="7068K"/>
    <s v="2% 01/10/26"/>
    <n v="206157"/>
    <d v="2025-12-02T00:00:00"/>
    <d v="2025-12-12T00:00:00"/>
    <n v="5.5394000000000005"/>
    <x v="0"/>
  </r>
  <r>
    <x v="43"/>
    <n v="1008002"/>
    <n v="923.78"/>
    <n v="18.48"/>
    <n v="905.3"/>
    <n v="9.24"/>
    <n v="896.06"/>
    <d v="2025-12-12T00:00:00"/>
    <n v="1008002"/>
    <n v="3389"/>
    <n v="18.48"/>
    <n v="923.78"/>
    <d v="2025-12-03T00:00:00"/>
    <n v="905.3"/>
    <n v="18.48"/>
    <s v="NULL"/>
    <s v="PRO"/>
    <n v="9.24"/>
    <n v="896.06"/>
    <s v="PAID"/>
    <n v="2"/>
    <n v="7359515978720"/>
    <d v="2025-12-12T00:00:00"/>
    <d v="2025-12-03T00:00:00"/>
    <m/>
    <d v="2025-12-12T00:00:00"/>
    <d v="2025-12-10T18:32:00"/>
    <n v="33891008002"/>
    <d v="2025-12-03T00:00:00"/>
    <s v="7068K"/>
    <s v="2% 01/10/26"/>
    <n v="206231"/>
    <d v="2025-12-03T00:00:00"/>
    <d v="2025-12-12T00:00:00"/>
    <n v="18.4756"/>
    <x v="0"/>
  </r>
  <r>
    <x v="43"/>
    <n v="1008008"/>
    <n v="597.1"/>
    <m/>
    <n v="597.1"/>
    <n v="5.97"/>
    <n v="591.13"/>
    <d v="2025-12-12T00:00:00"/>
    <n v="1008008"/>
    <n v="3389"/>
    <n v="0"/>
    <n v="597.1"/>
    <d v="2025-12-03T00:00:00"/>
    <n v="597.1"/>
    <n v="0"/>
    <s v="NULL"/>
    <s v="PRO"/>
    <n v="5.97"/>
    <n v="591.13"/>
    <s v="PAID"/>
    <n v="2"/>
    <n v="7359515978720"/>
    <d v="2025-12-12T00:00:00"/>
    <d v="2025-12-03T00:00:00"/>
    <m/>
    <d v="2025-12-12T00:00:00"/>
    <d v="2025-12-10T18:32:00"/>
    <n v="33891008008"/>
    <d v="2025-12-03T00:00:00"/>
    <s v="7068K"/>
    <s v="NET 01/10/26"/>
    <n v="206232"/>
    <d v="2025-12-03T00:00:00"/>
    <d v="2025-12-12T00:00:00"/>
    <m/>
    <x v="0"/>
  </r>
  <r>
    <x v="43"/>
    <n v="1008085"/>
    <n v="311"/>
    <n v="6.22"/>
    <n v="304.77999999999997"/>
    <n v="3.11"/>
    <n v="301.67"/>
    <d v="2025-12-12T00:00:00"/>
    <n v="1008085"/>
    <n v="3389"/>
    <n v="6.22"/>
    <n v="311"/>
    <d v="2025-12-04T00:00:00"/>
    <n v="304.77999999999997"/>
    <n v="6.22"/>
    <s v="NULL"/>
    <s v="PRO"/>
    <n v="3.11"/>
    <n v="301.67"/>
    <s v="PAID"/>
    <n v="2"/>
    <n v="8539372917542"/>
    <d v="2025-12-12T00:00:00"/>
    <d v="2025-12-04T00:00:00"/>
    <m/>
    <d v="2025-12-12T00:00:00"/>
    <d v="2025-12-10T18:36:00"/>
    <n v="33891008085"/>
    <d v="2025-12-04T00:00:00"/>
    <s v="7050G"/>
    <s v="2% 01/10/26"/>
    <n v="206404"/>
    <d v="2025-12-04T00:00:00"/>
    <d v="2025-12-12T00:00:00"/>
    <n v="6.22"/>
    <x v="0"/>
  </r>
  <r>
    <x v="43"/>
    <n v="1008088"/>
    <n v="359"/>
    <n v="7.18"/>
    <n v="351.82"/>
    <n v="3.59"/>
    <n v="348.23"/>
    <d v="2025-12-12T00:00:00"/>
    <n v="1008088"/>
    <n v="3389"/>
    <n v="7.18"/>
    <n v="359"/>
    <d v="2025-12-04T00:00:00"/>
    <n v="351.82"/>
    <n v="7.18"/>
    <s v="NULL"/>
    <s v="PRO"/>
    <n v="3.59"/>
    <n v="348.23"/>
    <s v="PAID"/>
    <n v="2"/>
    <n v="8539372917542"/>
    <d v="2025-12-12T00:00:00"/>
    <d v="2025-12-04T00:00:00"/>
    <m/>
    <d v="2025-12-12T00:00:00"/>
    <d v="2025-12-10T18:36:00"/>
    <n v="33891008088"/>
    <d v="2025-12-04T00:00:00"/>
    <s v="7067G"/>
    <s v="2% 01/10/26"/>
    <n v="206405"/>
    <d v="2025-12-04T00:00:00"/>
    <d v="2025-12-12T00:00:00"/>
    <n v="7.18"/>
    <x v="0"/>
  </r>
  <r>
    <x v="43"/>
    <n v="1008151"/>
    <n v="768.42"/>
    <m/>
    <n v="768.42"/>
    <n v="7.68"/>
    <n v="760.74"/>
    <d v="2025-12-12T00:00:00"/>
    <n v="1008151"/>
    <n v="3389"/>
    <n v="0"/>
    <n v="768.42"/>
    <d v="2025-12-04T00:00:00"/>
    <n v="768.42"/>
    <n v="0"/>
    <s v="NULL"/>
    <s v="PRO"/>
    <n v="7.68"/>
    <n v="760.74"/>
    <s v="PAID"/>
    <n v="2"/>
    <n v="7359515978720"/>
    <d v="2025-12-12T00:00:00"/>
    <d v="2025-12-04T00:00:00"/>
    <m/>
    <d v="2025-12-12T00:00:00"/>
    <d v="2025-12-10T18:32:00"/>
    <n v="33891008151"/>
    <d v="2025-12-04T00:00:00"/>
    <s v="7068K"/>
    <s v="NET 01/10/26"/>
    <n v="206658"/>
    <d v="2025-12-04T00:00:00"/>
    <d v="2025-12-12T00:00:00"/>
    <m/>
    <x v="0"/>
  </r>
  <r>
    <x v="43"/>
    <n v="1008444"/>
    <n v="83.37"/>
    <n v="1.67"/>
    <n v="81.7"/>
    <n v="0.83"/>
    <n v="80.87"/>
    <d v="2025-12-12T00:00:00"/>
    <n v="1008444"/>
    <n v="3389"/>
    <n v="1.67"/>
    <n v="83.37"/>
    <d v="2025-12-05T00:00:00"/>
    <n v="81.7"/>
    <n v="1.67"/>
    <s v="NULL"/>
    <s v="PRO"/>
    <n v="0.83"/>
    <n v="80.87"/>
    <s v="PAID"/>
    <n v="2"/>
    <n v="8539372917542"/>
    <d v="2025-12-12T00:00:00"/>
    <d v="2025-12-05T00:00:00"/>
    <m/>
    <d v="2025-12-12T00:00:00"/>
    <d v="2025-12-10T18:36:00"/>
    <n v="33891008444"/>
    <d v="2025-12-05T00:00:00"/>
    <s v="7024G"/>
    <s v="2% 01/10/26"/>
    <n v="206613"/>
    <d v="2025-12-05T00:00:00"/>
    <d v="2025-12-12T00:00:00"/>
    <n v="1.6674000000000002"/>
    <x v="0"/>
  </r>
  <r>
    <x v="43"/>
    <n v="1008511"/>
    <n v="519.99"/>
    <n v="10.4"/>
    <n v="509.59"/>
    <n v="5.2"/>
    <n v="504.39"/>
    <d v="2025-12-12T00:00:00"/>
    <n v="1008511"/>
    <n v="3389"/>
    <n v="10.4"/>
    <n v="519.99"/>
    <d v="2025-12-05T00:00:00"/>
    <n v="509.59"/>
    <n v="10.4"/>
    <s v="NULL"/>
    <s v="PRO"/>
    <n v="5.2"/>
    <n v="504.39"/>
    <s v="PAID"/>
    <n v="2"/>
    <n v="8539372917542"/>
    <d v="2025-12-12T00:00:00"/>
    <d v="2025-12-05T00:00:00"/>
    <m/>
    <d v="2025-12-12T00:00:00"/>
    <d v="2025-12-10T18:36:00"/>
    <n v="33891008511"/>
    <d v="2025-12-05T00:00:00"/>
    <s v="7075G"/>
    <s v="2% 01/10/26"/>
    <n v="206859"/>
    <d v="2025-12-05T00:00:00"/>
    <d v="2025-12-12T00:00:00"/>
    <n v="10.399800000000001"/>
    <x v="0"/>
  </r>
  <r>
    <x v="43"/>
    <n v="1008943"/>
    <n v="-161.38"/>
    <m/>
    <n v="-161.38"/>
    <m/>
    <n v="-161.38"/>
    <d v="2025-12-12T00:00:00"/>
    <n v="1008943"/>
    <n v="3389"/>
    <n v="0"/>
    <n v="-161.38"/>
    <d v="2025-12-09T00:00:00"/>
    <n v="-161.38"/>
    <n v="0"/>
    <n v="1008943"/>
    <s v="PRO"/>
    <n v="0"/>
    <n v="-161.38"/>
    <s v="PAID"/>
    <n v="2"/>
    <n v="7359515978720"/>
    <d v="2025-12-12T00:00:00"/>
    <d v="2025-12-09T00:00:00"/>
    <m/>
    <d v="2025-12-12T00:00:00"/>
    <d v="2025-12-10T18:32:00"/>
    <n v="33891008943"/>
    <d v="2025-12-09T00:00:00"/>
    <n v="142069"/>
    <s v="NET 01/10/26"/>
    <n v="53538"/>
    <d v="2025-12-09T00:00:00"/>
    <d v="2025-12-12T00:00:00"/>
    <m/>
    <x v="0"/>
  </r>
  <r>
    <x v="44"/>
    <n v="1007210"/>
    <n v="194.35"/>
    <m/>
    <n v="194.35"/>
    <n v="1.94"/>
    <n v="194.35"/>
    <d v="2025-12-12T00:00:00"/>
    <n v="1007210"/>
    <n v="3403"/>
    <n v="0"/>
    <n v="194.35"/>
    <d v="2025-12-01T00:00:00"/>
    <n v="194.35"/>
    <n v="0"/>
    <s v="NULL"/>
    <s v="PRO"/>
    <n v="1.94"/>
    <n v="194.35"/>
    <s v="PAID"/>
    <n v="10"/>
    <s v="Auto159536831867835"/>
    <d v="2025-12-12T00:00:00"/>
    <d v="2025-12-01T00:00:00"/>
    <s v="NULL"/>
    <d v="2025-12-12T00:00:00"/>
    <d v="2025-12-12T13:45:00"/>
    <n v="34031007210"/>
    <d v="2025-12-01T00:00:00"/>
    <s v="P4164974"/>
    <s v="2% 01/10/26"/>
    <n v="205792"/>
    <d v="2025-12-01T00:00:00"/>
    <d v="2025-12-12T00:00:00"/>
    <n v="3.887"/>
    <x v="1"/>
  </r>
  <r>
    <x v="44"/>
    <n v="1007213"/>
    <n v="66.36"/>
    <m/>
    <n v="66.36"/>
    <n v="0.66"/>
    <n v="66.36"/>
    <d v="2025-12-12T00:00:00"/>
    <n v="1007213"/>
    <n v="3403"/>
    <n v="0"/>
    <n v="66.36"/>
    <d v="2025-12-01T00:00:00"/>
    <n v="66.36"/>
    <n v="0"/>
    <s v="NULL"/>
    <s v="PRO"/>
    <n v="0.66"/>
    <n v="66.36"/>
    <s v="PAID"/>
    <n v="10"/>
    <s v="Auto159536831867835"/>
    <d v="2025-12-12T00:00:00"/>
    <d v="2025-12-01T00:00:00"/>
    <s v="NULL"/>
    <d v="2025-12-12T00:00:00"/>
    <d v="2025-12-12T13:45:00"/>
    <n v="34031007213"/>
    <d v="2025-12-01T00:00:00"/>
    <s v="P4164229"/>
    <s v="2% 01/10/26"/>
    <n v="205791"/>
    <d v="2025-12-01T00:00:00"/>
    <d v="2025-12-12T00:00:00"/>
    <n v="1.3271999999999999"/>
    <x v="1"/>
  </r>
  <r>
    <x v="44"/>
    <n v="1007544"/>
    <n v="3990"/>
    <m/>
    <n v="3990"/>
    <n v="39.9"/>
    <n v="3950.1"/>
    <d v="2025-12-12T00:00:00"/>
    <n v="1007544"/>
    <n v="3403"/>
    <n v="0"/>
    <n v="3990"/>
    <d v="2025-12-02T00:00:00"/>
    <n v="3990"/>
    <n v="0"/>
    <s v="NULL"/>
    <s v="PRO"/>
    <n v="39.9"/>
    <n v="3950.1"/>
    <s v="PAID"/>
    <n v="10"/>
    <s v="Auto159536831867835"/>
    <d v="2025-12-12T00:00:00"/>
    <d v="2025-12-02T00:00:00"/>
    <s v="NULL"/>
    <d v="2025-12-12T00:00:00"/>
    <d v="2025-12-12T13:45:00"/>
    <n v="34031007544"/>
    <d v="2025-12-02T00:00:00"/>
    <s v="NULL"/>
    <s v="NET 02/10/26"/>
    <s v="NULL"/>
    <d v="2025-12-02T00:00:00"/>
    <d v="2025-12-12T00:00:00"/>
    <m/>
    <x v="0"/>
  </r>
  <r>
    <x v="44"/>
    <n v="1007735"/>
    <n v="540.29999999999995"/>
    <m/>
    <n v="540.29999999999995"/>
    <n v="5.4"/>
    <n v="540.29999999999995"/>
    <d v="2025-12-12T00:00:00"/>
    <n v="1007735"/>
    <n v="3403"/>
    <n v="0"/>
    <n v="540.29999999999995"/>
    <d v="2025-12-02T00:00:00"/>
    <n v="540.29999999999995"/>
    <n v="0"/>
    <s v="NULL"/>
    <s v="PRO"/>
    <n v="5.4"/>
    <n v="540.29999999999995"/>
    <s v="PAID"/>
    <n v="10"/>
    <s v="Auto159536831867835"/>
    <d v="2025-12-12T00:00:00"/>
    <d v="2025-12-02T00:00:00"/>
    <s v="NULL"/>
    <d v="2025-12-12T00:00:00"/>
    <d v="2025-12-12T13:45:00"/>
    <n v="34031007735"/>
    <d v="2025-12-02T00:00:00"/>
    <s v="P4165116"/>
    <s v="2% 01/10/26"/>
    <n v="206155"/>
    <d v="2025-12-02T00:00:00"/>
    <d v="2025-12-12T00:00:00"/>
    <n v="10.805999999999999"/>
    <x v="1"/>
  </r>
  <r>
    <x v="44"/>
    <n v="1007973"/>
    <n v="2173.48"/>
    <m/>
    <n v="2173.48"/>
    <n v="21.73"/>
    <n v="2173.48"/>
    <d v="2025-12-12T00:00:00"/>
    <n v="1007973"/>
    <n v="3403"/>
    <n v="0"/>
    <n v="2173.48"/>
    <d v="2025-12-03T00:00:00"/>
    <n v="2173.48"/>
    <n v="0"/>
    <s v="NULL"/>
    <s v="PRO"/>
    <n v="21.73"/>
    <n v="2173.48"/>
    <s v="PAID"/>
    <n v="10"/>
    <s v="Auto159536831867835"/>
    <d v="2025-12-12T00:00:00"/>
    <d v="2025-12-03T00:00:00"/>
    <s v="NULL"/>
    <d v="2025-12-12T00:00:00"/>
    <d v="2025-12-12T13:45:00"/>
    <n v="34031007973"/>
    <d v="2025-12-03T00:00:00"/>
    <s v="P4165116"/>
    <s v="2% 01/10/26"/>
    <n v="206223"/>
    <d v="2025-12-03T00:00:00"/>
    <d v="2025-12-12T00:00:00"/>
    <n v="43.4696"/>
    <x v="1"/>
  </r>
  <r>
    <x v="44"/>
    <n v="1007977"/>
    <n v="686.4"/>
    <m/>
    <n v="686.4"/>
    <n v="6.86"/>
    <n v="679.54"/>
    <d v="2025-12-12T00:00:00"/>
    <n v="1007977"/>
    <n v="3403"/>
    <n v="0"/>
    <n v="686.4"/>
    <d v="2025-12-03T00:00:00"/>
    <n v="686.4"/>
    <n v="0"/>
    <s v="NULL"/>
    <s v="PRO"/>
    <n v="6.86"/>
    <n v="679.54"/>
    <s v="PAID"/>
    <n v="10"/>
    <s v="Auto159536831867835"/>
    <d v="2025-12-12T00:00:00"/>
    <d v="2025-12-03T00:00:00"/>
    <s v="NULL"/>
    <d v="2025-12-12T00:00:00"/>
    <d v="2025-12-12T13:45:00"/>
    <n v="34031007977"/>
    <d v="2025-12-03T00:00:00"/>
    <s v="P4165116"/>
    <s v="NET 01/10/26"/>
    <n v="206224"/>
    <d v="2025-12-03T00:00:00"/>
    <d v="2025-12-12T00:00:00"/>
    <m/>
    <x v="0"/>
  </r>
  <r>
    <x v="44"/>
    <n v="1008055"/>
    <n v="160.87"/>
    <m/>
    <n v="160.87"/>
    <n v="1.61"/>
    <n v="160.87"/>
    <d v="2025-12-12T00:00:00"/>
    <n v="1008055"/>
    <n v="3403"/>
    <n v="0"/>
    <n v="160.87"/>
    <d v="2025-12-03T00:00:00"/>
    <n v="160.87"/>
    <n v="0"/>
    <s v="NULL"/>
    <s v="PRO"/>
    <n v="1.61"/>
    <n v="160.87"/>
    <s v="PAID"/>
    <n v="10"/>
    <s v="Auto159536831867835"/>
    <d v="2025-12-12T00:00:00"/>
    <d v="2025-12-03T00:00:00"/>
    <s v="NULL"/>
    <d v="2025-12-12T00:00:00"/>
    <d v="2025-12-12T13:45:00"/>
    <n v="34031008055"/>
    <d v="2025-12-03T00:00:00"/>
    <s v="P4165150"/>
    <s v="2% 01/10/26"/>
    <n v="206501"/>
    <d v="2025-12-03T00:00:00"/>
    <d v="2025-12-12T00:00:00"/>
    <n v="3.2174"/>
    <x v="1"/>
  </r>
  <r>
    <x v="44"/>
    <n v="1008149"/>
    <n v="371.22"/>
    <m/>
    <n v="371.22"/>
    <n v="3.71"/>
    <n v="367.51"/>
    <d v="2025-12-12T00:00:00"/>
    <n v="1008149"/>
    <n v="3403"/>
    <n v="0"/>
    <n v="371.22"/>
    <d v="2025-12-04T00:00:00"/>
    <n v="371.22"/>
    <n v="0"/>
    <s v="NULL"/>
    <s v="PRO"/>
    <n v="3.71"/>
    <n v="367.51"/>
    <s v="PAID"/>
    <n v="10"/>
    <s v="Auto159536831867835"/>
    <d v="2025-12-12T00:00:00"/>
    <d v="2025-12-04T00:00:00"/>
    <s v="NULL"/>
    <d v="2025-12-12T00:00:00"/>
    <d v="2025-12-12T13:45:00"/>
    <n v="34031008149"/>
    <d v="2025-12-04T00:00:00"/>
    <s v="P4165106"/>
    <s v="NET 01/10/26"/>
    <n v="206654"/>
    <d v="2025-12-04T00:00:00"/>
    <d v="2025-12-12T00:00:00"/>
    <m/>
    <x v="0"/>
  </r>
  <r>
    <x v="44"/>
    <n v="1008156"/>
    <n v="92.39"/>
    <m/>
    <n v="92.39"/>
    <n v="0.92"/>
    <n v="91.47"/>
    <d v="2025-12-12T00:00:00"/>
    <n v="1008156"/>
    <n v="3403"/>
    <n v="0"/>
    <n v="92.39"/>
    <d v="2025-12-04T00:00:00"/>
    <n v="92.39"/>
    <n v="0"/>
    <s v="NULL"/>
    <s v="PRO"/>
    <n v="0.92"/>
    <n v="91.47"/>
    <s v="PAID"/>
    <n v="10"/>
    <s v="Auto159536831867835"/>
    <d v="2025-12-12T00:00:00"/>
    <d v="2025-12-04T00:00:00"/>
    <s v="NULL"/>
    <d v="2025-12-12T00:00:00"/>
    <d v="2025-12-12T13:45:00"/>
    <n v="34031008156"/>
    <d v="2025-12-04T00:00:00"/>
    <s v="P4165116"/>
    <s v="NET 01/10/26"/>
    <n v="206655"/>
    <d v="2025-12-04T00:00:00"/>
    <d v="2025-12-12T00:00:00"/>
    <m/>
    <x v="0"/>
  </r>
  <r>
    <x v="44"/>
    <n v="1008220"/>
    <n v="169.4"/>
    <m/>
    <n v="169.4"/>
    <n v="1.69"/>
    <n v="169.4"/>
    <d v="2025-12-12T00:00:00"/>
    <n v="1008220"/>
    <n v="3403"/>
    <n v="0"/>
    <n v="169.4"/>
    <d v="2025-12-04T00:00:00"/>
    <n v="169.4"/>
    <n v="0"/>
    <s v="NULL"/>
    <s v="PRO"/>
    <n v="1.69"/>
    <n v="169.4"/>
    <s v="PAID"/>
    <n v="10"/>
    <s v="Auto159536831867835"/>
    <d v="2025-12-12T00:00:00"/>
    <d v="2025-12-04T00:00:00"/>
    <s v="NULL"/>
    <d v="2025-12-12T00:00:00"/>
    <d v="2025-12-12T13:45:00"/>
    <n v="34031008220"/>
    <d v="2025-12-04T00:00:00"/>
    <s v="P4165000"/>
    <s v="2% 01/10/26"/>
    <n v="206569"/>
    <d v="2025-12-04T00:00:00"/>
    <d v="2025-12-12T00:00:00"/>
    <n v="3.3880000000000003"/>
    <x v="1"/>
  </r>
  <r>
    <x v="44"/>
    <n v="1008237"/>
    <n v="171.52"/>
    <m/>
    <n v="171.52"/>
    <n v="1.72"/>
    <n v="169.8"/>
    <d v="2025-12-12T00:00:00"/>
    <n v="1008237"/>
    <n v="3403"/>
    <n v="0"/>
    <n v="171.52"/>
    <d v="2025-12-04T00:00:00"/>
    <n v="171.52"/>
    <n v="0"/>
    <s v="NULL"/>
    <s v="PRO"/>
    <n v="1.72"/>
    <n v="169.8"/>
    <s v="PAID"/>
    <n v="10"/>
    <s v="Auto159536831867835"/>
    <d v="2025-12-12T00:00:00"/>
    <d v="2025-12-04T00:00:00"/>
    <s v="NULL"/>
    <d v="2025-12-12T00:00:00"/>
    <d v="2025-12-12T13:45:00"/>
    <n v="34031008237"/>
    <d v="2025-12-04T00:00:00"/>
    <s v="P4165150"/>
    <s v="NET 01/10/26"/>
    <n v="206509"/>
    <d v="2025-12-04T00:00:00"/>
    <d v="2025-12-12T00:00:00"/>
    <m/>
    <x v="0"/>
  </r>
  <r>
    <x v="44"/>
    <n v="1008240"/>
    <n v="1140.32"/>
    <m/>
    <n v="1140.32"/>
    <n v="11.4"/>
    <n v="1140.32"/>
    <d v="2025-12-12T00:00:00"/>
    <n v="1008240"/>
    <n v="3403"/>
    <n v="0"/>
    <n v="1140.32"/>
    <d v="2025-12-04T00:00:00"/>
    <n v="1140.32"/>
    <n v="0"/>
    <s v="NULL"/>
    <s v="PRO"/>
    <n v="11.4"/>
    <n v="1140.32"/>
    <s v="PAID"/>
    <n v="10"/>
    <s v="Auto159536831867835"/>
    <d v="2025-12-12T00:00:00"/>
    <d v="2025-12-04T00:00:00"/>
    <s v="NULL"/>
    <d v="2025-12-12T00:00:00"/>
    <d v="2025-12-12T13:45:00"/>
    <n v="34031008240"/>
    <d v="2025-12-04T00:00:00"/>
    <s v="P4165150"/>
    <s v="2% 01/10/26"/>
    <n v="206508"/>
    <d v="2025-12-04T00:00:00"/>
    <d v="2025-12-12T00:00:00"/>
    <n v="22.8064"/>
    <x v="1"/>
  </r>
  <r>
    <x v="44"/>
    <n v="1008293"/>
    <n v="-50"/>
    <m/>
    <n v="-50"/>
    <m/>
    <n v="-50"/>
    <d v="2025-12-12T00:00:00"/>
    <n v="1008293"/>
    <n v="3403"/>
    <n v="0"/>
    <n v="-50"/>
    <d v="2025-12-04T00:00:00"/>
    <n v="-50"/>
    <n v="0"/>
    <s v="NMCNoINV"/>
    <s v="PRO"/>
    <n v="0"/>
    <n v="-50"/>
    <s v="PAID"/>
    <n v="10"/>
    <s v="Auto159536831867835"/>
    <d v="2025-12-12T00:00:00"/>
    <d v="2025-12-04T00:00:00"/>
    <s v="NULL"/>
    <d v="2025-12-12T00:00:00"/>
    <d v="2025-12-12T13:45:00"/>
    <n v="34031008293"/>
    <d v="2025-12-04T00:00:00"/>
    <s v="N/A"/>
    <s v="NET 01/10/26"/>
    <s v="NMCNoINV"/>
    <d v="2025-12-04T00:00:00"/>
    <d v="2025-12-12T00:00:00"/>
    <m/>
    <x v="0"/>
  </r>
  <r>
    <x v="44"/>
    <n v="1008400"/>
    <n v="1150.31"/>
    <m/>
    <n v="1150.31"/>
    <n v="11.5"/>
    <n v="1138.81"/>
    <d v="2025-12-12T00:00:00"/>
    <n v="1008400"/>
    <n v="3403"/>
    <n v="0"/>
    <n v="1150.31"/>
    <d v="2025-12-05T00:00:00"/>
    <n v="1150.31"/>
    <n v="0"/>
    <n v="162436"/>
    <s v="TYNDELL"/>
    <n v="11.5"/>
    <n v="1138.81"/>
    <s v="PAID"/>
    <n v="10"/>
    <s v="Auto159536831867835"/>
    <d v="2025-12-12T00:00:00"/>
    <d v="2025-12-05T00:00:00"/>
    <s v="NULL"/>
    <d v="2025-12-12T00:00:00"/>
    <d v="2025-12-12T13:45:00"/>
    <n v="34031008400"/>
    <d v="2025-12-05T00:00:00"/>
    <s v="P4165114"/>
    <s v="NET 01/10/26"/>
    <n v="162436"/>
    <d v="2025-12-05T00:00:00"/>
    <d v="2025-12-12T00:00:00"/>
    <m/>
    <x v="0"/>
  </r>
  <r>
    <x v="44"/>
    <n v="1008529"/>
    <n v="74.22"/>
    <m/>
    <n v="74.22"/>
    <n v="0.74"/>
    <n v="73.48"/>
    <d v="2025-12-12T00:00:00"/>
    <n v="1008529"/>
    <n v="3403"/>
    <n v="0"/>
    <n v="74.22"/>
    <d v="2025-12-05T00:00:00"/>
    <n v="74.22"/>
    <n v="0"/>
    <s v="NULL"/>
    <s v="PRO"/>
    <n v="0.74"/>
    <n v="73.48"/>
    <s v="PAID"/>
    <n v="10"/>
    <s v="Auto159536831867835"/>
    <d v="2025-12-12T00:00:00"/>
    <d v="2025-12-05T00:00:00"/>
    <s v="NULL"/>
    <d v="2025-12-12T00:00:00"/>
    <d v="2025-12-12T13:45:00"/>
    <n v="34031008529"/>
    <d v="2025-12-05T00:00:00"/>
    <s v="P4165150"/>
    <s v="NET 01/10/26"/>
    <n v="206807"/>
    <d v="2025-12-05T00:00:00"/>
    <d v="2025-12-12T00:00:00"/>
    <m/>
    <x v="0"/>
  </r>
  <r>
    <x v="44"/>
    <n v="1009004"/>
    <n v="-688.5"/>
    <m/>
    <n v="-688.5"/>
    <m/>
    <n v="-688.5"/>
    <d v="2025-12-12T00:00:00"/>
    <n v="1009004"/>
    <n v="3403"/>
    <n v="0"/>
    <n v="-688.5"/>
    <d v="2025-12-09T00:00:00"/>
    <n v="-688.5"/>
    <n v="0"/>
    <n v="1009004"/>
    <s v="PRO"/>
    <n v="0"/>
    <n v="-688.5"/>
    <s v="PAID"/>
    <n v="10"/>
    <s v="Auto159536831867835"/>
    <d v="2025-12-12T00:00:00"/>
    <d v="2025-12-09T00:00:00"/>
    <s v="NULL"/>
    <d v="2025-12-12T00:00:00"/>
    <d v="2025-12-12T13:45:00"/>
    <n v="34031009004"/>
    <d v="2025-12-09T00:00:00"/>
    <s v="OM1025-A"/>
    <s v="NET 01/10/26"/>
    <s v="OLYM112473"/>
    <d v="2025-12-09T00:00:00"/>
    <d v="2025-12-12T00:00:00"/>
    <m/>
    <x v="0"/>
  </r>
  <r>
    <x v="45"/>
    <n v="1007278"/>
    <n v="100.92"/>
    <n v="2.02"/>
    <n v="98.9"/>
    <n v="1.01"/>
    <n v="97.89"/>
    <d v="2025-12-12T00:00:00"/>
    <n v="1007278"/>
    <n v="3410"/>
    <n v="2.02"/>
    <n v="100.92"/>
    <d v="2025-12-01T00:00:00"/>
    <n v="98.9"/>
    <n v="2.02"/>
    <s v="NULL"/>
    <s v="PRO"/>
    <n v="1.01"/>
    <n v="97.89"/>
    <s v="PAID"/>
    <n v="2"/>
    <n v="2173276257753"/>
    <d v="2025-12-12T00:00:00"/>
    <d v="2025-12-01T00:00:00"/>
    <m/>
    <d v="2025-12-12T00:00:00"/>
    <d v="2025-12-11T16:05:00"/>
    <n v="34101007278"/>
    <d v="2025-12-01T00:00:00"/>
    <s v="1-75903"/>
    <s v="2% 01/10/26"/>
    <n v="205817"/>
    <d v="2025-12-01T00:00:00"/>
    <d v="2025-12-12T00:00:00"/>
    <n v="2.0184000000000002"/>
    <x v="0"/>
  </r>
  <r>
    <x v="45"/>
    <n v="1007286"/>
    <n v="765.12"/>
    <n v="15.3"/>
    <n v="749.82"/>
    <n v="7.65"/>
    <n v="742.17"/>
    <d v="2025-12-12T00:00:00"/>
    <n v="1007286"/>
    <n v="3410"/>
    <n v="15.3"/>
    <n v="765.12"/>
    <d v="2025-12-01T00:00:00"/>
    <n v="749.82"/>
    <n v="15.3"/>
    <s v="NULL"/>
    <s v="PRO"/>
    <n v="7.65"/>
    <n v="742.17"/>
    <s v="PAID"/>
    <n v="2"/>
    <n v="2173276257753"/>
    <d v="2025-12-12T00:00:00"/>
    <d v="2025-12-01T00:00:00"/>
    <m/>
    <d v="2025-12-12T00:00:00"/>
    <d v="2025-12-11T16:05:00"/>
    <n v="34101007286"/>
    <d v="2025-12-01T00:00:00"/>
    <s v="1-75777"/>
    <s v="2% 01/10/26"/>
    <n v="205816"/>
    <d v="2025-12-01T00:00:00"/>
    <d v="2025-12-12T00:00:00"/>
    <n v="15.3024"/>
    <x v="0"/>
  </r>
  <r>
    <x v="45"/>
    <n v="1007718"/>
    <n v="3478.42"/>
    <m/>
    <n v="3478.42"/>
    <n v="34.78"/>
    <n v="3443.64"/>
    <d v="2025-12-12T00:00:00"/>
    <n v="1007718"/>
    <n v="3410"/>
    <n v="0"/>
    <n v="3478.42"/>
    <d v="2025-12-02T00:00:00"/>
    <n v="3478.42"/>
    <n v="0"/>
    <s v="NULL"/>
    <s v="PRO"/>
    <n v="34.78"/>
    <n v="3443.64"/>
    <s v="PAID"/>
    <n v="2"/>
    <n v="2173276257753"/>
    <d v="2025-12-12T00:00:00"/>
    <d v="2025-12-02T00:00:00"/>
    <m/>
    <d v="2025-12-12T00:00:00"/>
    <d v="2025-12-11T16:05:00"/>
    <n v="34101007718"/>
    <d v="2025-12-02T00:00:00"/>
    <s v="1-76147"/>
    <s v="NET 01/10/26"/>
    <n v="206113"/>
    <d v="2025-12-02T00:00:00"/>
    <d v="2025-12-12T00:00:00"/>
    <m/>
    <x v="0"/>
  </r>
  <r>
    <x v="45"/>
    <n v="1007722"/>
    <n v="222.66"/>
    <m/>
    <n v="222.66"/>
    <n v="2.23"/>
    <n v="220.43"/>
    <d v="2025-12-12T00:00:00"/>
    <n v="1007722"/>
    <n v="3410"/>
    <n v="0"/>
    <n v="222.66"/>
    <d v="2025-12-02T00:00:00"/>
    <n v="222.66"/>
    <n v="0"/>
    <s v="NULL"/>
    <s v="PRO"/>
    <n v="2.23"/>
    <n v="220.43"/>
    <s v="PAID"/>
    <n v="2"/>
    <n v="2173276257753"/>
    <d v="2025-12-12T00:00:00"/>
    <d v="2025-12-02T00:00:00"/>
    <m/>
    <d v="2025-12-12T00:00:00"/>
    <d v="2025-12-11T16:05:00"/>
    <n v="34101007722"/>
    <d v="2025-12-02T00:00:00"/>
    <s v="1-76543"/>
    <s v="NET 01/10/26"/>
    <n v="206114"/>
    <d v="2025-12-02T00:00:00"/>
    <d v="2025-12-12T00:00:00"/>
    <m/>
    <x v="0"/>
  </r>
  <r>
    <x v="45"/>
    <n v="1007942"/>
    <n v="900.03"/>
    <n v="18"/>
    <n v="882.03"/>
    <n v="9"/>
    <n v="873.03"/>
    <d v="2025-12-12T00:00:00"/>
    <n v="1007942"/>
    <n v="3410"/>
    <n v="18"/>
    <n v="900.03"/>
    <d v="2025-12-03T00:00:00"/>
    <n v="882.03"/>
    <n v="18"/>
    <s v="NULL"/>
    <s v="PRO"/>
    <n v="9"/>
    <n v="873.03"/>
    <s v="PAID"/>
    <n v="2"/>
    <n v="2173276257753"/>
    <d v="2025-12-12T00:00:00"/>
    <d v="2025-12-03T00:00:00"/>
    <m/>
    <d v="2025-12-12T00:00:00"/>
    <d v="2025-12-11T16:05:00"/>
    <n v="34101007942"/>
    <d v="2025-12-03T00:00:00"/>
    <s v="1-76614"/>
    <s v="2% 01/10/26"/>
    <n v="206286"/>
    <d v="2025-12-03T00:00:00"/>
    <d v="2025-12-12T00:00:00"/>
    <n v="18.000599999999999"/>
    <x v="0"/>
  </r>
  <r>
    <x v="45"/>
    <n v="1007944"/>
    <n v="27.87"/>
    <n v="0.56000000000000005"/>
    <n v="27.31"/>
    <n v="0.28000000000000003"/>
    <n v="27.03"/>
    <d v="2025-12-12T00:00:00"/>
    <n v="1007944"/>
    <n v="3410"/>
    <n v="0.56000000000000005"/>
    <n v="27.87"/>
    <d v="2025-12-03T00:00:00"/>
    <n v="27.31"/>
    <n v="0.56000000000000005"/>
    <s v="NULL"/>
    <s v="PRO"/>
    <n v="0.28000000000000003"/>
    <n v="27.03"/>
    <s v="PAID"/>
    <n v="2"/>
    <n v="2173276257753"/>
    <d v="2025-12-12T00:00:00"/>
    <d v="2025-12-03T00:00:00"/>
    <m/>
    <d v="2025-12-12T00:00:00"/>
    <d v="2025-12-11T16:05:00"/>
    <n v="34101007944"/>
    <d v="2025-12-03T00:00:00"/>
    <s v="21103969PROMA"/>
    <s v="2% 01/10/26"/>
    <n v="206285"/>
    <d v="2025-12-03T00:00:00"/>
    <d v="2025-12-12T00:00:00"/>
    <n v="0.55740000000000001"/>
    <x v="0"/>
  </r>
  <r>
    <x v="45"/>
    <n v="1007948"/>
    <n v="976.74"/>
    <m/>
    <n v="976.74"/>
    <n v="9.77"/>
    <n v="966.97"/>
    <d v="2025-12-12T00:00:00"/>
    <n v="1007948"/>
    <n v="3410"/>
    <n v="0"/>
    <n v="976.74"/>
    <d v="2025-12-03T00:00:00"/>
    <n v="976.74"/>
    <n v="0"/>
    <s v="NULL"/>
    <s v="PRO"/>
    <n v="9.77"/>
    <n v="966.97"/>
    <s v="PAID"/>
    <n v="2"/>
    <n v="2173276257753"/>
    <d v="2025-12-12T00:00:00"/>
    <d v="2025-12-03T00:00:00"/>
    <m/>
    <d v="2025-12-12T00:00:00"/>
    <d v="2025-12-11T16:05:00"/>
    <n v="34101007948"/>
    <d v="2025-12-03T00:00:00"/>
    <s v="1-76614"/>
    <s v="NET 01/10/26"/>
    <n v="206287"/>
    <d v="2025-12-03T00:00:00"/>
    <d v="2025-12-12T00:00:00"/>
    <m/>
    <x v="0"/>
  </r>
  <r>
    <x v="45"/>
    <n v="1007968"/>
    <n v="523.53"/>
    <n v="10.47"/>
    <n v="513.05999999999995"/>
    <n v="5.24"/>
    <n v="507.82"/>
    <d v="2025-12-12T00:00:00"/>
    <n v="1007968"/>
    <n v="3410"/>
    <n v="10.47"/>
    <n v="523.53"/>
    <d v="2025-12-03T00:00:00"/>
    <n v="513.05999999999995"/>
    <n v="10.47"/>
    <s v="NULL"/>
    <s v="PRO"/>
    <n v="5.24"/>
    <n v="507.82"/>
    <s v="PAID"/>
    <n v="2"/>
    <n v="2173276257753"/>
    <d v="2025-12-12T00:00:00"/>
    <d v="2025-12-03T00:00:00"/>
    <m/>
    <d v="2025-12-12T00:00:00"/>
    <d v="2025-12-11T16:05:00"/>
    <n v="34101007968"/>
    <d v="2025-12-03T00:00:00"/>
    <s v="1-76614"/>
    <s v="2% 01/10/26"/>
    <n v="206268"/>
    <d v="2025-12-03T00:00:00"/>
    <d v="2025-12-12T00:00:00"/>
    <n v="10.470599999999999"/>
    <x v="0"/>
  </r>
  <r>
    <x v="45"/>
    <n v="1008026"/>
    <n v="1345.86"/>
    <n v="26.92"/>
    <n v="1318.94"/>
    <n v="13.46"/>
    <n v="1305.48"/>
    <d v="2025-12-12T00:00:00"/>
    <n v="1008026"/>
    <n v="3410"/>
    <n v="26.92"/>
    <n v="1345.86"/>
    <d v="2025-12-03T00:00:00"/>
    <n v="1318.94"/>
    <n v="26.92"/>
    <s v="NULL"/>
    <s v="PRO"/>
    <n v="13.46"/>
    <n v="1305.48"/>
    <s v="PAID"/>
    <n v="2"/>
    <n v="2173276257753"/>
    <d v="2025-12-12T00:00:00"/>
    <d v="2025-12-03T00:00:00"/>
    <m/>
    <d v="2025-12-12T00:00:00"/>
    <d v="2025-12-11T16:05:00"/>
    <n v="34101008026"/>
    <d v="2025-12-03T00:00:00"/>
    <s v="1-75427"/>
    <s v="2% 01/10/26"/>
    <n v="206068"/>
    <d v="2025-12-03T00:00:00"/>
    <d v="2025-12-12T00:00:00"/>
    <n v="26.917199999999998"/>
    <x v="0"/>
  </r>
  <r>
    <x v="45"/>
    <n v="1008086"/>
    <n v="227.69"/>
    <n v="4.55"/>
    <n v="223.14"/>
    <n v="2.2799999999999998"/>
    <n v="220.86"/>
    <d v="2025-12-12T00:00:00"/>
    <n v="1008086"/>
    <n v="3410"/>
    <n v="4.55"/>
    <n v="227.69"/>
    <d v="2025-12-04T00:00:00"/>
    <n v="223.14"/>
    <n v="4.55"/>
    <s v="NULL"/>
    <s v="PRO"/>
    <n v="2.2799999999999998"/>
    <n v="220.86"/>
    <s v="PAID"/>
    <n v="2"/>
    <n v="2173276257753"/>
    <d v="2025-12-12T00:00:00"/>
    <d v="2025-12-04T00:00:00"/>
    <m/>
    <d v="2025-12-12T00:00:00"/>
    <d v="2025-12-11T16:05:00"/>
    <n v="34101008086"/>
    <d v="2025-12-04T00:00:00"/>
    <s v="1-76492"/>
    <s v="2% 01/10/26"/>
    <n v="206406"/>
    <d v="2025-12-04T00:00:00"/>
    <d v="2025-12-12T00:00:00"/>
    <n v="4.5537999999999998"/>
    <x v="0"/>
  </r>
  <r>
    <x v="45"/>
    <n v="1008092"/>
    <n v="434.15"/>
    <n v="8.68"/>
    <n v="425.47"/>
    <n v="4.34"/>
    <n v="421.13"/>
    <d v="2025-12-12T00:00:00"/>
    <n v="1008092"/>
    <n v="3410"/>
    <n v="8.68"/>
    <n v="434.15"/>
    <d v="2025-12-04T00:00:00"/>
    <n v="425.47"/>
    <n v="8.68"/>
    <s v="NULL"/>
    <s v="PRO"/>
    <n v="4.34"/>
    <n v="421.13"/>
    <s v="PAID"/>
    <n v="2"/>
    <n v="2173276257753"/>
    <d v="2025-12-12T00:00:00"/>
    <d v="2025-12-04T00:00:00"/>
    <m/>
    <d v="2025-12-12T00:00:00"/>
    <d v="2025-12-11T16:05:00"/>
    <n v="34101008092"/>
    <d v="2025-12-04T00:00:00"/>
    <s v="1-76505"/>
    <s v="2% 01/10/26"/>
    <n v="206407"/>
    <d v="2025-12-04T00:00:00"/>
    <d v="2025-12-12T00:00:00"/>
    <n v="8.6829999999999998"/>
    <x v="0"/>
  </r>
  <r>
    <x v="45"/>
    <n v="1008155"/>
    <n v="170.04"/>
    <m/>
    <n v="170.04"/>
    <n v="1.7"/>
    <n v="168.34"/>
    <d v="2025-12-12T00:00:00"/>
    <n v="1008155"/>
    <n v="3410"/>
    <n v="0"/>
    <n v="170.04"/>
    <d v="2025-12-04T00:00:00"/>
    <n v="170.04"/>
    <n v="0"/>
    <s v="NULL"/>
    <s v="PRO"/>
    <n v="1.7"/>
    <n v="168.34"/>
    <s v="PAID"/>
    <n v="2"/>
    <n v="2173276257753"/>
    <d v="2025-12-12T00:00:00"/>
    <d v="2025-12-04T00:00:00"/>
    <m/>
    <d v="2025-12-12T00:00:00"/>
    <d v="2025-12-11T16:05:00"/>
    <n v="34101008155"/>
    <d v="2025-12-04T00:00:00"/>
    <s v="1-76614"/>
    <s v="NET 01/10/26"/>
    <n v="206659"/>
    <d v="2025-12-04T00:00:00"/>
    <d v="2025-12-12T00:00:00"/>
    <m/>
    <x v="0"/>
  </r>
  <r>
    <x v="45"/>
    <n v="1008227"/>
    <n v="7404.85"/>
    <m/>
    <n v="7404.85"/>
    <n v="74.05"/>
    <n v="7330.8"/>
    <d v="2025-12-12T00:00:00"/>
    <n v="1008227"/>
    <n v="3410"/>
    <n v="0"/>
    <n v="7404.85"/>
    <d v="2025-12-04T00:00:00"/>
    <n v="7404.85"/>
    <n v="0"/>
    <s v="NULL"/>
    <s v="PRO"/>
    <n v="74.05"/>
    <n v="7330.8"/>
    <s v="PAID"/>
    <n v="2"/>
    <n v="2173276257753"/>
    <d v="2025-12-12T00:00:00"/>
    <d v="2025-12-04T00:00:00"/>
    <m/>
    <d v="2025-12-12T00:00:00"/>
    <d v="2025-12-11T16:05:00"/>
    <n v="34101008227"/>
    <d v="2025-12-04T00:00:00"/>
    <s v="1-76633"/>
    <s v="NET 01/10/26"/>
    <n v="206529"/>
    <d v="2025-12-04T00:00:00"/>
    <d v="2025-12-12T00:00:00"/>
    <m/>
    <x v="0"/>
  </r>
  <r>
    <x v="45"/>
    <n v="1008314"/>
    <n v="230.72"/>
    <n v="2.31"/>
    <n v="228.41"/>
    <n v="2.31"/>
    <n v="226.1"/>
    <d v="2025-12-12T00:00:00"/>
    <n v="1008314"/>
    <n v="3410"/>
    <n v="2.31"/>
    <n v="230.72"/>
    <d v="2025-12-05T00:00:00"/>
    <n v="228.41"/>
    <n v="2.31"/>
    <n v="1067798"/>
    <s v="SKB"/>
    <n v="2.31"/>
    <n v="226.1"/>
    <s v="PAID"/>
    <n v="2"/>
    <n v="2173276257753"/>
    <d v="2025-12-12T00:00:00"/>
    <d v="2025-12-05T00:00:00"/>
    <m/>
    <d v="2025-12-12T00:00:00"/>
    <d v="2025-12-11T16:05:00"/>
    <n v="34101008314"/>
    <d v="2025-12-05T00:00:00"/>
    <n v="21103904"/>
    <s v="1% 01/10/26"/>
    <n v="1067798"/>
    <d v="2025-12-05T00:00:00"/>
    <d v="2025-12-12T00:00:00"/>
    <n v="2.3071999999999999"/>
    <x v="0"/>
  </r>
  <r>
    <x v="45"/>
    <n v="1008361"/>
    <n v="-82.5"/>
    <m/>
    <n v="-82.5"/>
    <m/>
    <n v="-82.5"/>
    <d v="2025-12-12T00:00:00"/>
    <n v="1008361"/>
    <n v="3410"/>
    <n v="0"/>
    <n v="-82.5"/>
    <d v="2025-12-05T00:00:00"/>
    <n v="-82.5"/>
    <n v="0"/>
    <s v="NMC333688"/>
    <s v="MAC GROUP"/>
    <n v="0"/>
    <n v="-82.5"/>
    <s v="PAID"/>
    <n v="2"/>
    <n v="2173276257753"/>
    <d v="2025-12-12T00:00:00"/>
    <d v="2025-12-05T00:00:00"/>
    <m/>
    <d v="2025-12-12T00:00:00"/>
    <d v="2025-12-11T16:05:00"/>
    <n v="34101008361"/>
    <d v="2025-12-05T00:00:00"/>
    <s v="C102025"/>
    <s v="NET 01/10/26"/>
    <s v="NMC333688"/>
    <d v="2025-12-05T00:00:00"/>
    <d v="2025-12-12T00:00:00"/>
    <m/>
    <x v="0"/>
  </r>
  <r>
    <x v="45"/>
    <n v="1008375"/>
    <n v="1207.8"/>
    <m/>
    <n v="1207.8"/>
    <n v="12.08"/>
    <n v="1195.72"/>
    <d v="2025-12-12T00:00:00"/>
    <n v="1008375"/>
    <n v="3410"/>
    <n v="0"/>
    <n v="1207.8"/>
    <d v="2025-12-05T00:00:00"/>
    <n v="1207.8"/>
    <n v="0"/>
    <s v="USW811979"/>
    <s v="NISI"/>
    <n v="12.08"/>
    <n v="1195.72"/>
    <s v="PAID"/>
    <n v="2"/>
    <n v="2173276257753"/>
    <d v="2025-12-12T00:00:00"/>
    <d v="2025-12-05T00:00:00"/>
    <m/>
    <d v="2025-12-12T00:00:00"/>
    <d v="2025-12-11T16:05:00"/>
    <n v="34101008375"/>
    <d v="2025-12-05T00:00:00"/>
    <s v="NULL"/>
    <s v="NET 01/10/26"/>
    <s v="USW811979"/>
    <d v="2025-12-05T00:00:00"/>
    <d v="2025-12-12T00:00:00"/>
    <m/>
    <x v="0"/>
  </r>
  <r>
    <x v="45"/>
    <n v="1008384"/>
    <n v="36.630000000000003"/>
    <m/>
    <n v="36.630000000000003"/>
    <n v="0.37"/>
    <n v="36.26"/>
    <d v="2025-12-12T00:00:00"/>
    <n v="1008384"/>
    <n v="3410"/>
    <n v="0"/>
    <n v="36.630000000000003"/>
    <d v="2025-12-05T00:00:00"/>
    <n v="36.630000000000003"/>
    <n v="0"/>
    <s v="USW812004"/>
    <s v="NISI"/>
    <n v="0.37"/>
    <n v="36.26"/>
    <s v="PAID"/>
    <n v="2"/>
    <n v="2173276257753"/>
    <d v="2025-12-12T00:00:00"/>
    <d v="2025-12-05T00:00:00"/>
    <m/>
    <d v="2025-12-12T00:00:00"/>
    <d v="2025-12-11T16:05:00"/>
    <n v="34101008384"/>
    <d v="2025-12-05T00:00:00"/>
    <s v="NULL"/>
    <s v="NET 01/10/26"/>
    <s v="USW812004"/>
    <d v="2025-12-05T00:00:00"/>
    <d v="2025-12-12T00:00:00"/>
    <m/>
    <x v="0"/>
  </r>
  <r>
    <x v="45"/>
    <n v="1008428"/>
    <n v="76.69"/>
    <n v="1.53"/>
    <n v="75.16"/>
    <n v="0.77"/>
    <n v="74.39"/>
    <d v="2025-12-12T00:00:00"/>
    <n v="1008428"/>
    <n v="3410"/>
    <n v="1.53"/>
    <n v="76.69"/>
    <d v="2025-12-05T00:00:00"/>
    <n v="75.16"/>
    <n v="1.53"/>
    <s v="NULL"/>
    <s v="PRO"/>
    <n v="0.77"/>
    <n v="74.39"/>
    <s v="PAID"/>
    <n v="2"/>
    <n v="2173276257753"/>
    <d v="2025-12-12T00:00:00"/>
    <d v="2025-12-05T00:00:00"/>
    <m/>
    <d v="2025-12-12T00:00:00"/>
    <d v="2025-12-11T16:05:00"/>
    <n v="34101008428"/>
    <d v="2025-12-05T00:00:00"/>
    <s v="21103951PRO"/>
    <s v="2% 01/10/26"/>
    <n v="206779"/>
    <d v="2025-12-05T00:00:00"/>
    <d v="2025-12-12T00:00:00"/>
    <n v="1.5338000000000001"/>
    <x v="0"/>
  </r>
  <r>
    <x v="45"/>
    <n v="1008449"/>
    <n v="597"/>
    <n v="11.94"/>
    <n v="585.05999999999995"/>
    <n v="5.97"/>
    <n v="579.09"/>
    <d v="2025-12-12T00:00:00"/>
    <n v="1008449"/>
    <n v="3410"/>
    <n v="11.94"/>
    <n v="597"/>
    <d v="2025-12-05T00:00:00"/>
    <n v="585.05999999999995"/>
    <n v="11.94"/>
    <s v="NULL"/>
    <s v="PRO"/>
    <n v="5.97"/>
    <n v="579.09"/>
    <s v="PAID"/>
    <n v="2"/>
    <n v="2173276257753"/>
    <d v="2025-12-12T00:00:00"/>
    <d v="2025-12-05T00:00:00"/>
    <m/>
    <d v="2025-12-12T00:00:00"/>
    <d v="2025-12-11T16:05:00"/>
    <n v="34101008449"/>
    <d v="2025-12-05T00:00:00"/>
    <s v="1-76532"/>
    <s v="2% 01/10/26"/>
    <n v="206614"/>
    <d v="2025-12-05T00:00:00"/>
    <d v="2025-12-12T00:00:00"/>
    <n v="11.94"/>
    <x v="0"/>
  </r>
  <r>
    <x v="45"/>
    <n v="1009043"/>
    <n v="-1401.3"/>
    <m/>
    <n v="-1401.3"/>
    <m/>
    <n v="-1401.3"/>
    <d v="2025-12-12T00:00:00"/>
    <n v="1009043"/>
    <n v="3410"/>
    <n v="0"/>
    <n v="-1401.3"/>
    <d v="2025-12-09T00:00:00"/>
    <n v="-1401.3"/>
    <n v="0"/>
    <n v="1009043"/>
    <s v="PRO"/>
    <n v="0"/>
    <n v="-1401.3"/>
    <s v="PAID"/>
    <n v="2"/>
    <n v="2173276257753"/>
    <d v="2025-12-12T00:00:00"/>
    <d v="2025-12-09T00:00:00"/>
    <m/>
    <d v="2025-12-12T00:00:00"/>
    <d v="2025-12-11T16:05:00"/>
    <n v="34101009043"/>
    <d v="2025-12-09T00:00:00"/>
    <s v="OM System "/>
    <s v="NET 01/10/26"/>
    <s v="OLYM112520"/>
    <d v="2025-12-09T00:00:00"/>
    <d v="2025-12-12T00:00:00"/>
    <m/>
    <x v="0"/>
  </r>
  <r>
    <x v="46"/>
    <n v="1007284"/>
    <n v="33.18"/>
    <n v="0.66"/>
    <n v="32.520000000000003"/>
    <n v="0.33"/>
    <n v="32.19"/>
    <d v="2025-12-12T00:00:00"/>
    <n v="1007284"/>
    <n v="3424"/>
    <n v="0.66"/>
    <n v="33.18"/>
    <d v="2025-12-01T00:00:00"/>
    <n v="32.520000000000003"/>
    <n v="0.66"/>
    <s v="NULL"/>
    <s v="PRO"/>
    <n v="0.33"/>
    <n v="32.19"/>
    <s v="PAID"/>
    <n v="2"/>
    <n v="3156998572096"/>
    <d v="2025-12-12T00:00:00"/>
    <d v="2025-12-01T00:00:00"/>
    <m/>
    <d v="2025-12-12T00:00:00"/>
    <d v="2025-12-11T09:26:00"/>
    <n v="34241007284"/>
    <d v="2025-12-01T00:00:00"/>
    <s v="KC12225"/>
    <s v="2% 01/10/26"/>
    <n v="205818"/>
    <d v="2025-12-01T00:00:00"/>
    <d v="2025-12-12T00:00:00"/>
    <n v="0.66359999999999997"/>
    <x v="0"/>
  </r>
  <r>
    <x v="46"/>
    <n v="1007644"/>
    <n v="3990"/>
    <m/>
    <n v="3990"/>
    <n v="39.9"/>
    <n v="3950.1"/>
    <d v="2025-12-12T00:00:00"/>
    <n v="1007644"/>
    <n v="3424"/>
    <n v="0"/>
    <n v="3990"/>
    <d v="2025-12-02T00:00:00"/>
    <n v="3990"/>
    <n v="0"/>
    <s v="NULL"/>
    <s v="PRO"/>
    <n v="39.9"/>
    <n v="3950.1"/>
    <s v="PAID"/>
    <n v="2"/>
    <n v="3156998572096"/>
    <d v="2025-12-12T00:00:00"/>
    <d v="2025-12-02T00:00:00"/>
    <m/>
    <d v="2025-12-12T00:00:00"/>
    <d v="2025-12-11T09:26:00"/>
    <n v="34241007644"/>
    <d v="2025-12-02T00:00:00"/>
    <s v="NULL"/>
    <s v="NET 02/10/26"/>
    <s v="NULL"/>
    <d v="2025-12-02T00:00:00"/>
    <d v="2025-12-12T00:00:00"/>
    <m/>
    <x v="0"/>
  </r>
  <r>
    <x v="46"/>
    <n v="1008950"/>
    <n v="-40.5"/>
    <m/>
    <n v="-40.5"/>
    <m/>
    <n v="-40.5"/>
    <d v="2025-12-12T00:00:00"/>
    <n v="1008950"/>
    <n v="3424"/>
    <n v="0"/>
    <n v="-40.5"/>
    <d v="2025-12-09T00:00:00"/>
    <n v="-40.5"/>
    <n v="0"/>
    <n v="1008950"/>
    <s v="PRO"/>
    <n v="0"/>
    <n v="-40.5"/>
    <s v="PAID"/>
    <n v="2"/>
    <n v="3156998572096"/>
    <d v="2025-12-12T00:00:00"/>
    <d v="2025-12-09T00:00:00"/>
    <m/>
    <d v="2025-12-12T00:00:00"/>
    <d v="2025-12-11T09:26:00"/>
    <n v="34241008950"/>
    <d v="2025-12-09T00:00:00"/>
    <s v="10-27-25o"/>
    <s v="NET 01/10/26"/>
    <s v="OLYM112413"/>
    <d v="2025-12-09T00:00:00"/>
    <d v="2025-12-12T00:00:00"/>
    <m/>
    <x v="0"/>
  </r>
  <r>
    <x v="46"/>
    <n v="1009029"/>
    <n v="-40.5"/>
    <m/>
    <n v="-40.5"/>
    <m/>
    <n v="-40.5"/>
    <d v="2025-12-12T00:00:00"/>
    <n v="1009029"/>
    <n v="3424"/>
    <n v="0"/>
    <n v="-40.5"/>
    <d v="2025-12-09T00:00:00"/>
    <n v="-40.5"/>
    <n v="0"/>
    <n v="1009029"/>
    <s v="PRO"/>
    <n v="0"/>
    <n v="-40.5"/>
    <s v="PAID"/>
    <n v="2"/>
    <n v="3156998572096"/>
    <d v="2025-12-12T00:00:00"/>
    <d v="2025-12-09T00:00:00"/>
    <m/>
    <d v="2025-12-12T00:00:00"/>
    <d v="2025-12-11T09:26:00"/>
    <n v="34241009029"/>
    <d v="2025-12-09T00:00:00"/>
    <n v="112025"/>
    <s v="NET 01/10/26"/>
    <s v="OLYM112504"/>
    <d v="2025-12-09T00:00:00"/>
    <d v="2025-12-12T00:00:00"/>
    <m/>
    <x v="0"/>
  </r>
  <r>
    <x v="47"/>
    <n v="1007306"/>
    <n v="85.65"/>
    <n v="1.71"/>
    <n v="83.94"/>
    <n v="0.86"/>
    <n v="83.08"/>
    <d v="2025-12-12T00:00:00"/>
    <n v="1007306"/>
    <n v="3431"/>
    <n v="1.71"/>
    <n v="85.65"/>
    <d v="2025-12-01T00:00:00"/>
    <n v="83.94"/>
    <n v="1.71"/>
    <s v="NULL"/>
    <s v="PRO"/>
    <n v="0.86"/>
    <n v="83.08"/>
    <s v="PAID"/>
    <n v="2"/>
    <n v="5228842238606"/>
    <d v="2025-12-12T00:00:00"/>
    <d v="2025-12-01T00:00:00"/>
    <m/>
    <d v="2025-12-12T00:00:00"/>
    <d v="2025-12-09T10:46:00"/>
    <n v="34311007306"/>
    <d v="2025-12-01T00:00:00"/>
    <n v="511206"/>
    <s v="2% 01/10/26"/>
    <n v="205856"/>
    <d v="2025-12-01T00:00:00"/>
    <d v="2025-12-12T00:00:00"/>
    <n v="1.7130000000000001"/>
    <x v="0"/>
  </r>
  <r>
    <x v="47"/>
    <n v="1007386"/>
    <n v="145.31"/>
    <n v="2.91"/>
    <n v="142.4"/>
    <n v="1.45"/>
    <n v="140.94999999999999"/>
    <d v="2025-12-12T00:00:00"/>
    <n v="1007386"/>
    <n v="3431"/>
    <n v="2.91"/>
    <n v="145.31"/>
    <d v="2025-12-01T00:00:00"/>
    <n v="142.4"/>
    <n v="2.91"/>
    <s v="NULL"/>
    <s v="PRO"/>
    <n v="1.45"/>
    <n v="140.94999999999999"/>
    <s v="PAID"/>
    <n v="2"/>
    <n v="5228842238606"/>
    <d v="2025-12-12T00:00:00"/>
    <d v="2025-12-01T00:00:00"/>
    <m/>
    <d v="2025-12-12T00:00:00"/>
    <d v="2025-12-09T10:46:00"/>
    <n v="34311007386"/>
    <d v="2025-12-01T00:00:00"/>
    <s v="G10311"/>
    <s v="2% 01/10/26"/>
    <n v="205978"/>
    <d v="2025-12-01T00:00:00"/>
    <d v="2025-12-12T00:00:00"/>
    <n v="2.9062000000000001"/>
    <x v="0"/>
  </r>
  <r>
    <x v="47"/>
    <n v="1007494"/>
    <n v="27.28"/>
    <n v="0.55000000000000004"/>
    <n v="26.73"/>
    <n v="0.27"/>
    <n v="26.46"/>
    <d v="2025-12-12T00:00:00"/>
    <n v="1007494"/>
    <n v="3431"/>
    <n v="0.55000000000000004"/>
    <n v="27.28"/>
    <d v="2025-12-01T00:00:00"/>
    <n v="26.73"/>
    <n v="0.55000000000000004"/>
    <s v="NULL"/>
    <s v="PRO"/>
    <n v="0.27"/>
    <n v="26.46"/>
    <s v="PAID"/>
    <n v="2"/>
    <n v="5228842238606"/>
    <d v="2025-12-12T00:00:00"/>
    <d v="2025-12-01T00:00:00"/>
    <m/>
    <d v="2025-12-12T00:00:00"/>
    <d v="2025-12-09T10:46:00"/>
    <n v="34311007494"/>
    <d v="2025-12-01T00:00:00"/>
    <n v="511121"/>
    <s v="2% 01/10/26"/>
    <n v="206018"/>
    <d v="2025-12-01T00:00:00"/>
    <d v="2025-12-12T00:00:00"/>
    <n v="0.54560000000000008"/>
    <x v="0"/>
  </r>
  <r>
    <x v="47"/>
    <n v="1007504"/>
    <n v="3990"/>
    <m/>
    <n v="3990"/>
    <n v="39.9"/>
    <n v="3950.1"/>
    <d v="2025-12-12T00:00:00"/>
    <n v="1007504"/>
    <n v="3431"/>
    <n v="0"/>
    <n v="3990"/>
    <d v="2025-12-02T00:00:00"/>
    <n v="3990"/>
    <n v="0"/>
    <s v="NULL"/>
    <s v="PRO"/>
    <n v="39.9"/>
    <n v="3950.1"/>
    <s v="PAID"/>
    <n v="2"/>
    <n v="5228842238606"/>
    <d v="2025-12-12T00:00:00"/>
    <d v="2025-12-02T00:00:00"/>
    <m/>
    <d v="2025-12-12T00:00:00"/>
    <d v="2025-12-09T10:46:00"/>
    <n v="34311007504"/>
    <d v="2025-12-02T00:00:00"/>
    <s v="NULL"/>
    <s v="NET 02/10/26"/>
    <s v="NULL"/>
    <d v="2025-12-02T00:00:00"/>
    <d v="2025-12-12T00:00:00"/>
    <m/>
    <x v="0"/>
  </r>
  <r>
    <x v="47"/>
    <n v="1007838"/>
    <n v="711.76"/>
    <n v="14.24"/>
    <n v="697.52"/>
    <n v="7.12"/>
    <n v="690.4"/>
    <d v="2025-12-12T00:00:00"/>
    <n v="1007838"/>
    <n v="3431"/>
    <n v="14.24"/>
    <n v="711.76"/>
    <d v="2025-12-02T00:00:00"/>
    <n v="697.52"/>
    <n v="14.24"/>
    <s v="NULL"/>
    <s v="PRO"/>
    <n v="7.12"/>
    <n v="690.4"/>
    <s v="PAID"/>
    <n v="2"/>
    <n v="5228842238606"/>
    <d v="2025-12-12T00:00:00"/>
    <d v="2025-12-02T00:00:00"/>
    <m/>
    <d v="2025-12-12T00:00:00"/>
    <d v="2025-12-09T10:46:00"/>
    <n v="34311007838"/>
    <d v="2025-12-02T00:00:00"/>
    <n v="511309"/>
    <s v="2% 01/10/26"/>
    <n v="206164"/>
    <d v="2025-12-02T00:00:00"/>
    <d v="2025-12-12T00:00:00"/>
    <n v="14.235200000000001"/>
    <x v="0"/>
  </r>
  <r>
    <x v="47"/>
    <n v="1007886"/>
    <n v="547.36"/>
    <m/>
    <n v="547.36"/>
    <n v="5.47"/>
    <n v="541.89"/>
    <d v="2025-12-12T00:00:00"/>
    <n v="1007886"/>
    <n v="3431"/>
    <n v="0"/>
    <n v="547.36"/>
    <d v="2025-12-03T00:00:00"/>
    <n v="547.36"/>
    <n v="0"/>
    <s v="NULL"/>
    <s v="PRO"/>
    <n v="5.47"/>
    <n v="541.89"/>
    <s v="PAID"/>
    <n v="2"/>
    <n v="5228842238606"/>
    <d v="2025-12-12T00:00:00"/>
    <d v="2025-12-03T00:00:00"/>
    <m/>
    <d v="2025-12-12T00:00:00"/>
    <d v="2025-12-09T10:46:00"/>
    <n v="34311007886"/>
    <d v="2025-12-03T00:00:00"/>
    <n v="511262"/>
    <s v="NET 01/10/26"/>
    <n v="206471"/>
    <d v="2025-12-03T00:00:00"/>
    <d v="2025-12-12T00:00:00"/>
    <m/>
    <x v="0"/>
  </r>
  <r>
    <x v="47"/>
    <n v="1007893"/>
    <n v="971.96"/>
    <m/>
    <n v="971.96"/>
    <n v="9.7200000000000006"/>
    <n v="962.24"/>
    <d v="2025-12-12T00:00:00"/>
    <n v="1007893"/>
    <n v="3431"/>
    <n v="0"/>
    <n v="971.96"/>
    <d v="2025-12-03T00:00:00"/>
    <n v="971.96"/>
    <n v="0"/>
    <s v="NULL"/>
    <s v="PRO"/>
    <n v="9.7200000000000006"/>
    <n v="962.24"/>
    <s v="PAID"/>
    <n v="2"/>
    <n v="5228842238606"/>
    <d v="2025-12-12T00:00:00"/>
    <d v="2025-12-03T00:00:00"/>
    <m/>
    <d v="2025-12-12T00:00:00"/>
    <d v="2025-12-09T10:46:00"/>
    <n v="34311007893"/>
    <d v="2025-12-03T00:00:00"/>
    <n v="511206"/>
    <s v="NET 01/10/26"/>
    <n v="206470"/>
    <d v="2025-12-03T00:00:00"/>
    <d v="2025-12-12T00:00:00"/>
    <m/>
    <x v="0"/>
  </r>
  <r>
    <x v="47"/>
    <n v="1007982"/>
    <n v="699.66"/>
    <n v="13.99"/>
    <n v="685.67"/>
    <n v="7"/>
    <n v="678.67"/>
    <d v="2025-12-12T00:00:00"/>
    <n v="1007982"/>
    <n v="3431"/>
    <n v="13.99"/>
    <n v="699.66"/>
    <d v="2025-12-03T00:00:00"/>
    <n v="685.67"/>
    <n v="13.99"/>
    <s v="NULL"/>
    <s v="PRO"/>
    <n v="7"/>
    <n v="678.67"/>
    <s v="PAID"/>
    <n v="2"/>
    <n v="5228842238606"/>
    <d v="2025-12-12T00:00:00"/>
    <d v="2025-12-03T00:00:00"/>
    <m/>
    <d v="2025-12-12T00:00:00"/>
    <d v="2025-12-09T10:46:00"/>
    <n v="34311007982"/>
    <d v="2025-12-03T00:00:00"/>
    <n v="511309"/>
    <s v="2% 01/10/26"/>
    <n v="206251"/>
    <d v="2025-12-03T00:00:00"/>
    <d v="2025-12-12T00:00:00"/>
    <n v="13.9932"/>
    <x v="0"/>
  </r>
  <r>
    <x v="47"/>
    <n v="1007987"/>
    <n v="94.53"/>
    <m/>
    <n v="94.53"/>
    <n v="0.95"/>
    <n v="93.58"/>
    <d v="2025-12-12T00:00:00"/>
    <n v="1007987"/>
    <n v="3431"/>
    <n v="0"/>
    <n v="94.53"/>
    <d v="2025-12-03T00:00:00"/>
    <n v="94.53"/>
    <n v="0"/>
    <s v="NULL"/>
    <s v="PRO"/>
    <n v="0.95"/>
    <n v="93.58"/>
    <s v="PAID"/>
    <n v="2"/>
    <n v="5228842238606"/>
    <d v="2025-12-12T00:00:00"/>
    <d v="2025-12-03T00:00:00"/>
    <m/>
    <d v="2025-12-12T00:00:00"/>
    <d v="2025-12-09T10:46:00"/>
    <n v="34311007987"/>
    <d v="2025-12-03T00:00:00"/>
    <n v="511309"/>
    <s v="NET 01/10/26"/>
    <n v="206252"/>
    <d v="2025-12-03T00:00:00"/>
    <d v="2025-12-12T00:00:00"/>
    <m/>
    <x v="0"/>
  </r>
  <r>
    <x v="47"/>
    <n v="1007998"/>
    <n v="257.87"/>
    <n v="5.16"/>
    <n v="252.71"/>
    <n v="2.58"/>
    <n v="250.13"/>
    <d v="2025-12-12T00:00:00"/>
    <n v="1007998"/>
    <n v="3431"/>
    <n v="5.16"/>
    <n v="257.87"/>
    <d v="2025-12-03T00:00:00"/>
    <n v="252.71"/>
    <n v="5.16"/>
    <s v="NULL"/>
    <s v="PRO"/>
    <n v="2.58"/>
    <n v="250.13"/>
    <s v="PAID"/>
    <n v="2"/>
    <n v="5228842238606"/>
    <d v="2025-12-12T00:00:00"/>
    <d v="2025-12-03T00:00:00"/>
    <m/>
    <d v="2025-12-12T00:00:00"/>
    <d v="2025-12-09T10:46:00"/>
    <n v="34311007998"/>
    <d v="2025-12-03T00:00:00"/>
    <n v="512021"/>
    <s v="2% 01/10/26"/>
    <n v="206296"/>
    <d v="2025-12-03T00:00:00"/>
    <d v="2025-12-12T00:00:00"/>
    <n v="5.1574"/>
    <x v="0"/>
  </r>
  <r>
    <x v="47"/>
    <n v="1008046"/>
    <n v="41.5"/>
    <n v="0.83"/>
    <n v="40.67"/>
    <n v="0.42"/>
    <n v="40.25"/>
    <d v="2025-12-12T00:00:00"/>
    <n v="1008046"/>
    <n v="3431"/>
    <n v="0.83"/>
    <n v="41.5"/>
    <d v="2025-12-03T00:00:00"/>
    <n v="40.67"/>
    <n v="0.83"/>
    <s v="NULL"/>
    <s v="PRO"/>
    <n v="0.42"/>
    <n v="40.25"/>
    <s v="PAID"/>
    <n v="2"/>
    <n v="5228842238606"/>
    <d v="2025-12-12T00:00:00"/>
    <d v="2025-12-03T00:00:00"/>
    <m/>
    <d v="2025-12-12T00:00:00"/>
    <d v="2025-12-09T10:46:00"/>
    <n v="34311008046"/>
    <d v="2025-12-03T00:00:00"/>
    <n v="511262"/>
    <s v="2% 01/10/26"/>
    <n v="206073"/>
    <d v="2025-12-03T00:00:00"/>
    <d v="2025-12-12T00:00:00"/>
    <n v="0.83000000000000007"/>
    <x v="0"/>
  </r>
  <r>
    <x v="47"/>
    <n v="1008082"/>
    <n v="1842"/>
    <n v="36.840000000000003"/>
    <n v="1805.16"/>
    <n v="18.420000000000002"/>
    <n v="1786.74"/>
    <d v="2025-12-12T00:00:00"/>
    <n v="1008082"/>
    <n v="3431"/>
    <n v="36.840000000000003"/>
    <n v="1842"/>
    <d v="2025-12-04T00:00:00"/>
    <n v="1805.16"/>
    <n v="36.840000000000003"/>
    <s v="NULL"/>
    <s v="PRO"/>
    <n v="18.420000000000002"/>
    <n v="1786.74"/>
    <s v="PAID"/>
    <n v="2"/>
    <n v="5228842238606"/>
    <d v="2025-12-12T00:00:00"/>
    <d v="2025-12-04T00:00:00"/>
    <m/>
    <d v="2025-12-12T00:00:00"/>
    <d v="2025-12-09T10:46:00"/>
    <n v="34311008082"/>
    <d v="2025-12-04T00:00:00"/>
    <n v="512028"/>
    <s v="2% 01/10/26"/>
    <n v="206494"/>
    <d v="2025-12-04T00:00:00"/>
    <d v="2025-12-12T00:00:00"/>
    <n v="36.840000000000003"/>
    <x v="0"/>
  </r>
  <r>
    <x v="47"/>
    <n v="1008208"/>
    <n v="228.42"/>
    <m/>
    <n v="228.42"/>
    <n v="2.2799999999999998"/>
    <n v="226.14"/>
    <d v="2025-12-12T00:00:00"/>
    <n v="1008208"/>
    <n v="3431"/>
    <n v="0"/>
    <n v="228.42"/>
    <d v="2025-12-04T00:00:00"/>
    <n v="228.42"/>
    <n v="0"/>
    <s v="NULL"/>
    <s v="PRO"/>
    <n v="2.2799999999999998"/>
    <n v="226.14"/>
    <s v="PAID"/>
    <n v="2"/>
    <n v="5228842238606"/>
    <d v="2025-12-12T00:00:00"/>
    <d v="2025-12-04T00:00:00"/>
    <m/>
    <d v="2025-12-12T00:00:00"/>
    <d v="2025-12-09T10:46:00"/>
    <n v="34311008208"/>
    <d v="2025-12-04T00:00:00"/>
    <n v="511309"/>
    <s v="NET 01/10/26"/>
    <n v="206665"/>
    <d v="2025-12-04T00:00:00"/>
    <d v="2025-12-12T00:00:00"/>
    <m/>
    <x v="0"/>
  </r>
  <r>
    <x v="47"/>
    <n v="1008294"/>
    <n v="-50"/>
    <m/>
    <n v="-50"/>
    <m/>
    <n v="-50"/>
    <d v="2025-12-12T00:00:00"/>
    <n v="1008294"/>
    <n v="3431"/>
    <n v="0"/>
    <n v="-50"/>
    <d v="2025-12-04T00:00:00"/>
    <n v="-50"/>
    <n v="0"/>
    <s v="NMCNoINV"/>
    <s v="PRO"/>
    <n v="0"/>
    <n v="-50"/>
    <s v="PAID"/>
    <n v="2"/>
    <n v="5228842238606"/>
    <d v="2025-12-12T00:00:00"/>
    <d v="2025-12-04T00:00:00"/>
    <m/>
    <d v="2025-12-12T00:00:00"/>
    <d v="2025-12-09T10:46:00"/>
    <n v="34311008294"/>
    <d v="2025-12-04T00:00:00"/>
    <s v="N/A"/>
    <s v="NET 01/10/26"/>
    <s v="NMCNoINV"/>
    <d v="2025-12-04T00:00:00"/>
    <d v="2025-12-12T00:00:00"/>
    <m/>
    <x v="0"/>
  </r>
  <r>
    <x v="47"/>
    <n v="1008319"/>
    <n v="1384.36"/>
    <n v="13.84"/>
    <n v="1370.52"/>
    <n v="13.84"/>
    <n v="1356.68"/>
    <d v="2025-12-12T00:00:00"/>
    <n v="1008319"/>
    <n v="3431"/>
    <n v="13.84"/>
    <n v="1384.36"/>
    <d v="2025-12-05T00:00:00"/>
    <n v="1370.52"/>
    <n v="13.84"/>
    <n v="1068218"/>
    <s v="SKB"/>
    <n v="13.84"/>
    <n v="1356.68"/>
    <s v="PAID"/>
    <n v="2"/>
    <n v="5228842238606"/>
    <d v="2025-12-12T00:00:00"/>
    <d v="2025-12-05T00:00:00"/>
    <m/>
    <d v="2025-12-12T00:00:00"/>
    <d v="2025-12-09T10:46:00"/>
    <n v="34311008319"/>
    <d v="2025-12-05T00:00:00"/>
    <n v="511243"/>
    <s v="1% 01/10/26"/>
    <n v="1068218"/>
    <d v="2025-12-05T00:00:00"/>
    <d v="2025-12-12T00:00:00"/>
    <n v="13.843599999999999"/>
    <x v="0"/>
  </r>
  <r>
    <x v="47"/>
    <n v="1008476"/>
    <n v="398"/>
    <n v="7.96"/>
    <n v="390.04"/>
    <n v="3.98"/>
    <n v="386.06"/>
    <d v="2025-12-12T00:00:00"/>
    <n v="1008476"/>
    <n v="3431"/>
    <n v="7.96"/>
    <n v="398"/>
    <d v="2025-12-05T00:00:00"/>
    <n v="390.04"/>
    <n v="7.96"/>
    <s v="NULL"/>
    <s v="PRO"/>
    <n v="3.98"/>
    <n v="386.06"/>
    <s v="PAID"/>
    <n v="2"/>
    <n v="5228842238606"/>
    <d v="2025-12-12T00:00:00"/>
    <d v="2025-12-05T00:00:00"/>
    <m/>
    <d v="2025-12-12T00:00:00"/>
    <d v="2025-12-09T10:46:00"/>
    <n v="34311008476"/>
    <d v="2025-12-05T00:00:00"/>
    <n v="510226"/>
    <s v="2% 01/10/26"/>
    <n v="206627"/>
    <d v="2025-12-05T00:00:00"/>
    <d v="2025-12-12T00:00:00"/>
    <n v="7.96"/>
    <x v="0"/>
  </r>
  <r>
    <x v="47"/>
    <n v="1008482"/>
    <n v="2348.73"/>
    <n v="46.97"/>
    <n v="2301.7600000000002"/>
    <n v="23.49"/>
    <n v="2278.27"/>
    <d v="2025-12-12T00:00:00"/>
    <n v="1008482"/>
    <n v="3431"/>
    <n v="46.97"/>
    <n v="2348.73"/>
    <d v="2025-12-05T00:00:00"/>
    <n v="2301.7600000000002"/>
    <n v="46.97"/>
    <s v="NULL"/>
    <s v="PRO"/>
    <n v="23.49"/>
    <n v="2278.27"/>
    <s v="PAID"/>
    <n v="2"/>
    <n v="5228842238606"/>
    <d v="2025-12-12T00:00:00"/>
    <d v="2025-12-05T00:00:00"/>
    <m/>
    <d v="2025-12-12T00:00:00"/>
    <d v="2025-12-09T10:46:00"/>
    <n v="34311008482"/>
    <d v="2025-12-05T00:00:00"/>
    <n v="512041"/>
    <s v="2% 01/10/26"/>
    <n v="206745"/>
    <d v="2025-12-05T00:00:00"/>
    <d v="2025-12-12T00:00:00"/>
    <n v="46.974600000000002"/>
    <x v="0"/>
  </r>
  <r>
    <x v="47"/>
    <n v="1008525"/>
    <n v="1339.74"/>
    <n v="26.79"/>
    <n v="1312.95"/>
    <n v="13.4"/>
    <n v="1299.55"/>
    <d v="2025-12-12T00:00:00"/>
    <n v="1008525"/>
    <n v="3431"/>
    <n v="26.79"/>
    <n v="1339.74"/>
    <d v="2025-12-05T00:00:00"/>
    <n v="1312.95"/>
    <n v="26.79"/>
    <s v="NULL"/>
    <s v="PRO"/>
    <n v="13.4"/>
    <n v="1299.55"/>
    <s v="PAID"/>
    <n v="2"/>
    <n v="5228842238606"/>
    <d v="2025-12-12T00:00:00"/>
    <d v="2025-12-05T00:00:00"/>
    <m/>
    <d v="2025-12-12T00:00:00"/>
    <d v="2025-12-09T10:46:00"/>
    <n v="34311008525"/>
    <d v="2025-12-05T00:00:00"/>
    <n v="512052"/>
    <s v="2% 01/10/26"/>
    <n v="206887"/>
    <d v="2025-12-05T00:00:00"/>
    <d v="2025-12-12T00:00:00"/>
    <n v="26.794800000000002"/>
    <x v="0"/>
  </r>
  <r>
    <x v="47"/>
    <n v="1008566"/>
    <n v="-228.42"/>
    <m/>
    <n v="-228.42"/>
    <m/>
    <n v="-228.42"/>
    <d v="2025-12-12T00:00:00"/>
    <n v="1008566"/>
    <n v="3431"/>
    <n v="0"/>
    <n v="-228.42"/>
    <d v="2025-12-06T00:00:00"/>
    <n v="-228.42"/>
    <n v="0"/>
    <n v="1008566"/>
    <s v="PRO"/>
    <n v="0"/>
    <n v="-228.42"/>
    <s v="PAID"/>
    <n v="2"/>
    <n v="5228842238606"/>
    <d v="2025-12-12T00:00:00"/>
    <d v="2025-12-06T00:00:00"/>
    <m/>
    <d v="2025-12-12T00:00:00"/>
    <d v="2025-12-09T10:46:00"/>
    <n v="34311008566"/>
    <d v="2025-12-06T00:00:00"/>
    <s v="NULL"/>
    <s v="NET 01/10/26"/>
    <s v="NULL"/>
    <d v="2025-12-06T00:00:00"/>
    <d v="2025-12-12T00:00:00"/>
    <m/>
    <x v="0"/>
  </r>
  <r>
    <x v="47"/>
    <n v="1008567"/>
    <n v="-28.48"/>
    <m/>
    <n v="-28.48"/>
    <m/>
    <n v="-28.48"/>
    <d v="2025-12-12T00:00:00"/>
    <n v="1008567"/>
    <n v="3431"/>
    <n v="0"/>
    <n v="-28.48"/>
    <d v="2025-12-06T00:00:00"/>
    <n v="-28.48"/>
    <n v="0"/>
    <n v="1008567"/>
    <s v="PRO"/>
    <n v="0"/>
    <n v="-28.48"/>
    <s v="PAID"/>
    <n v="2"/>
    <n v="5228842238606"/>
    <d v="2025-12-12T00:00:00"/>
    <d v="2025-12-06T00:00:00"/>
    <m/>
    <d v="2025-12-12T00:00:00"/>
    <d v="2025-12-09T10:46:00"/>
    <n v="34311008567"/>
    <d v="2025-12-06T00:00:00"/>
    <s v="NULL"/>
    <s v="NET 01/10/26"/>
    <s v="NULL"/>
    <d v="2025-12-06T00:00:00"/>
    <d v="2025-12-12T00:00:00"/>
    <m/>
    <x v="0"/>
  </r>
  <r>
    <x v="48"/>
    <n v="1007534"/>
    <n v="350"/>
    <m/>
    <n v="350"/>
    <n v="3.5"/>
    <n v="346.5"/>
    <d v="2025-12-12T00:00:00"/>
    <n v="1007534"/>
    <n v="3438"/>
    <n v="0"/>
    <n v="350"/>
    <d v="2025-12-02T00:00:00"/>
    <n v="350"/>
    <n v="0"/>
    <s v="NULL"/>
    <s v="PRO"/>
    <n v="3.5"/>
    <n v="346.5"/>
    <s v="PAID"/>
    <n v="2"/>
    <n v="3217977155410"/>
    <d v="2025-12-12T00:00:00"/>
    <d v="2025-12-02T00:00:00"/>
    <m/>
    <d v="2025-12-12T00:00:00"/>
    <d v="2025-12-11T10:22:00"/>
    <n v="34381007534"/>
    <d v="2025-12-02T00:00:00"/>
    <s v="NULL"/>
    <s v="NET DUE 10TH"/>
    <s v="NULL"/>
    <d v="2025-12-02T00:00:00"/>
    <d v="2025-12-12T00:00:00"/>
    <m/>
    <x v="0"/>
  </r>
  <r>
    <x v="48"/>
    <n v="1008357"/>
    <n v="2209.66"/>
    <m/>
    <n v="2209.66"/>
    <n v="22.1"/>
    <n v="2187.56"/>
    <d v="2025-12-12T00:00:00"/>
    <n v="1008357"/>
    <n v="3438"/>
    <n v="0"/>
    <n v="2209.66"/>
    <d v="2025-12-05T00:00:00"/>
    <n v="2209.66"/>
    <n v="0"/>
    <n v="834861"/>
    <s v="LAWRENCE"/>
    <n v="22.1"/>
    <n v="2187.56"/>
    <s v="PAID"/>
    <n v="2"/>
    <n v="3217977155410"/>
    <d v="2025-12-12T00:00:00"/>
    <d v="2025-12-05T00:00:00"/>
    <m/>
    <d v="2025-12-12T00:00:00"/>
    <d v="2025-12-11T10:22:00"/>
    <n v="34381008357"/>
    <d v="2025-12-05T00:00:00"/>
    <s v="NULL"/>
    <s v="NET 01/10/26"/>
    <n v="834861"/>
    <d v="2025-12-05T00:00:00"/>
    <d v="2025-12-12T00:00:00"/>
    <m/>
    <x v="0"/>
  </r>
  <r>
    <x v="48"/>
    <n v="1008358"/>
    <n v="86.7"/>
    <m/>
    <n v="86.7"/>
    <n v="0.87"/>
    <n v="85.83"/>
    <d v="2025-12-12T00:00:00"/>
    <n v="1008358"/>
    <n v="3438"/>
    <n v="0"/>
    <n v="86.7"/>
    <d v="2025-12-05T00:00:00"/>
    <n v="86.7"/>
    <n v="0"/>
    <n v="834870"/>
    <s v="LAWRENCE"/>
    <n v="0.87"/>
    <n v="85.83"/>
    <s v="PAID"/>
    <n v="2"/>
    <n v="3217977155410"/>
    <d v="2025-12-12T00:00:00"/>
    <d v="2025-12-05T00:00:00"/>
    <m/>
    <d v="2025-12-12T00:00:00"/>
    <d v="2025-12-11T10:22:00"/>
    <n v="34381008358"/>
    <d v="2025-12-05T00:00:00"/>
    <s v="NULL"/>
    <s v="NET 01/10/26"/>
    <n v="834870"/>
    <d v="2025-12-05T00:00:00"/>
    <d v="2025-12-12T00:00:00"/>
    <m/>
    <x v="0"/>
  </r>
  <r>
    <x v="49"/>
    <n v="1007569"/>
    <n v="3990"/>
    <m/>
    <n v="3990"/>
    <n v="39.9"/>
    <n v="3950.1"/>
    <d v="2025-12-12T00:00:00"/>
    <n v="1007569"/>
    <n v="3445"/>
    <n v="0"/>
    <n v="3990"/>
    <d v="2025-12-02T00:00:00"/>
    <n v="3990"/>
    <n v="0"/>
    <s v="NULL"/>
    <s v="PRO"/>
    <n v="39.9"/>
    <n v="3950.1"/>
    <s v="PAID"/>
    <n v="2"/>
    <n v="7105816235028"/>
    <d v="2025-12-12T00:00:00"/>
    <d v="2025-12-02T00:00:00"/>
    <m/>
    <d v="2025-12-12T00:00:00"/>
    <d v="2025-12-10T14:22:00"/>
    <n v="34451007569"/>
    <d v="2025-12-02T00:00:00"/>
    <s v="NULL"/>
    <s v="NET 02/10/26"/>
    <s v="NULL"/>
    <d v="2025-12-02T00:00:00"/>
    <d v="2025-12-12T00:00:00"/>
    <m/>
    <x v="0"/>
  </r>
  <r>
    <x v="49"/>
    <n v="1007950"/>
    <n v="69.11"/>
    <n v="1.38"/>
    <n v="67.73"/>
    <n v="0.69"/>
    <n v="67.040000000000006"/>
    <d v="2025-12-12T00:00:00"/>
    <n v="1007950"/>
    <n v="3445"/>
    <n v="1.38"/>
    <n v="69.11"/>
    <d v="2025-12-03T00:00:00"/>
    <n v="67.73"/>
    <n v="1.38"/>
    <s v="NULL"/>
    <s v="PRO"/>
    <n v="0.69"/>
    <n v="67.040000000000006"/>
    <s v="PAID"/>
    <n v="2"/>
    <n v="7105816235028"/>
    <d v="2025-12-12T00:00:00"/>
    <d v="2025-12-03T00:00:00"/>
    <m/>
    <d v="2025-12-12T00:00:00"/>
    <d v="2025-12-10T14:22:00"/>
    <n v="34451007950"/>
    <d v="2025-12-03T00:00:00"/>
    <n v="22090"/>
    <s v="2% 01/10/26"/>
    <n v="206362"/>
    <d v="2025-12-03T00:00:00"/>
    <d v="2025-12-12T00:00:00"/>
    <n v="1.3822000000000001"/>
    <x v="0"/>
  </r>
  <r>
    <x v="50"/>
    <n v="1007397"/>
    <n v="1332.46"/>
    <n v="26.65"/>
    <n v="1305.81"/>
    <n v="13.32"/>
    <n v="1292.49"/>
    <d v="2025-12-12T00:00:00"/>
    <n v="1007397"/>
    <n v="3452"/>
    <n v="26.65"/>
    <n v="1332.46"/>
    <d v="2025-12-01T00:00:00"/>
    <n v="1305.81"/>
    <n v="26.65"/>
    <s v="NULL"/>
    <s v="PRO"/>
    <n v="13.32"/>
    <n v="1292.49"/>
    <s v="PAID"/>
    <n v="2"/>
    <n v="6557212570580"/>
    <d v="2025-12-12T00:00:00"/>
    <d v="2025-12-01T00:00:00"/>
    <m/>
    <d v="2025-12-12T00:00:00"/>
    <d v="2025-12-09T18:15:00"/>
    <n v="34521007397"/>
    <d v="2025-12-01T00:00:00"/>
    <n v="180382"/>
    <s v="2% 01/10/26"/>
    <n v="205995"/>
    <d v="2025-12-01T00:00:00"/>
    <d v="2025-12-12T00:00:00"/>
    <n v="26.6492"/>
    <x v="0"/>
  </r>
  <r>
    <x v="50"/>
    <n v="1007418"/>
    <n v="802.42"/>
    <n v="16.05"/>
    <n v="786.37"/>
    <n v="8.02"/>
    <n v="778.35"/>
    <d v="2025-12-12T00:00:00"/>
    <n v="1007418"/>
    <n v="3452"/>
    <n v="16.05"/>
    <n v="802.42"/>
    <d v="2025-12-01T00:00:00"/>
    <n v="786.37"/>
    <n v="16.05"/>
    <s v="NULL"/>
    <s v="PRO"/>
    <n v="8.02"/>
    <n v="778.35"/>
    <s v="PAID"/>
    <n v="2"/>
    <n v="6557212570580"/>
    <d v="2025-12-12T00:00:00"/>
    <d v="2025-12-01T00:00:00"/>
    <m/>
    <d v="2025-12-12T00:00:00"/>
    <d v="2025-12-09T18:15:00"/>
    <n v="34521007418"/>
    <d v="2025-12-01T00:00:00"/>
    <n v="180072"/>
    <s v="2% 01/10/26"/>
    <n v="205950"/>
    <d v="2025-12-01T00:00:00"/>
    <d v="2025-12-12T00:00:00"/>
    <n v="16.048400000000001"/>
    <x v="0"/>
  </r>
  <r>
    <x v="50"/>
    <n v="1007601"/>
    <n v="3990"/>
    <m/>
    <n v="3990"/>
    <n v="39.9"/>
    <n v="3950.1"/>
    <d v="2025-12-12T00:00:00"/>
    <n v="1007601"/>
    <n v="3452"/>
    <n v="0"/>
    <n v="3990"/>
    <d v="2025-12-02T00:00:00"/>
    <n v="3990"/>
    <n v="0"/>
    <s v="NULL"/>
    <s v="PRO"/>
    <n v="39.9"/>
    <n v="3950.1"/>
    <s v="PAID"/>
    <n v="2"/>
    <n v="6557212570580"/>
    <d v="2025-12-12T00:00:00"/>
    <d v="2025-12-02T00:00:00"/>
    <m/>
    <d v="2025-12-12T00:00:00"/>
    <d v="2025-12-09T18:15:00"/>
    <n v="34521007601"/>
    <d v="2025-12-02T00:00:00"/>
    <s v="NULL"/>
    <s v="NET 02/10/26"/>
    <s v="NULL"/>
    <d v="2025-12-02T00:00:00"/>
    <d v="2025-12-12T00:00:00"/>
    <m/>
    <x v="0"/>
  </r>
  <r>
    <x v="50"/>
    <n v="1007669"/>
    <n v="950"/>
    <m/>
    <n v="950"/>
    <n v="9.5"/>
    <n v="940.5"/>
    <d v="2025-12-12T00:00:00"/>
    <n v="1007669"/>
    <n v="3452"/>
    <n v="0"/>
    <n v="950"/>
    <d v="2025-12-02T00:00:00"/>
    <n v="950"/>
    <n v="0"/>
    <s v="NMC70057160x"/>
    <s v="PRO"/>
    <n v="9.5"/>
    <n v="940.5"/>
    <s v="PAID"/>
    <n v="2"/>
    <n v="6557212570580"/>
    <d v="2025-12-12T00:00:00"/>
    <d v="2025-12-02T00:00:00"/>
    <m/>
    <d v="2025-12-12T00:00:00"/>
    <d v="2025-12-09T18:15:00"/>
    <n v="34521007669"/>
    <d v="2025-12-02T00:00:00"/>
    <s v="N/A"/>
    <s v="NET 01/10/26"/>
    <s v="NMC70057160x"/>
    <d v="2025-12-02T00:00:00"/>
    <d v="2025-12-12T00:00:00"/>
    <m/>
    <x v="0"/>
  </r>
  <r>
    <x v="50"/>
    <n v="1007670"/>
    <n v="1375"/>
    <m/>
    <n v="1375"/>
    <n v="13.75"/>
    <n v="1361.25"/>
    <d v="2025-12-12T00:00:00"/>
    <n v="1007670"/>
    <n v="3452"/>
    <n v="0"/>
    <n v="1375"/>
    <d v="2025-12-02T00:00:00"/>
    <n v="1375"/>
    <n v="0"/>
    <s v="NMC70057161x"/>
    <s v="PRO"/>
    <n v="13.75"/>
    <n v="1361.25"/>
    <s v="PAID"/>
    <n v="2"/>
    <n v="6557212570580"/>
    <d v="2025-12-12T00:00:00"/>
    <d v="2025-12-02T00:00:00"/>
    <m/>
    <d v="2025-12-12T00:00:00"/>
    <d v="2025-12-09T18:15:00"/>
    <n v="34521007670"/>
    <d v="2025-12-02T00:00:00"/>
    <s v="N/A"/>
    <s v="NET 01/10/26"/>
    <s v="NMC70057161x"/>
    <d v="2025-12-02T00:00:00"/>
    <d v="2025-12-12T00:00:00"/>
    <m/>
    <x v="0"/>
  </r>
  <r>
    <x v="50"/>
    <n v="1007671"/>
    <n v="1375"/>
    <m/>
    <n v="1375"/>
    <n v="13.75"/>
    <n v="1361.25"/>
    <d v="2025-12-12T00:00:00"/>
    <n v="1007671"/>
    <n v="3452"/>
    <n v="0"/>
    <n v="1375"/>
    <d v="2025-12-02T00:00:00"/>
    <n v="1375"/>
    <n v="0"/>
    <s v="NMC70057162x"/>
    <s v="PRO"/>
    <n v="13.75"/>
    <n v="1361.25"/>
    <s v="PAID"/>
    <n v="2"/>
    <n v="6557212570580"/>
    <d v="2025-12-12T00:00:00"/>
    <d v="2025-12-02T00:00:00"/>
    <m/>
    <d v="2025-12-12T00:00:00"/>
    <d v="2025-12-09T18:15:00"/>
    <n v="34521007671"/>
    <d v="2025-12-02T00:00:00"/>
    <s v="N/A"/>
    <s v="NET 01/10/26"/>
    <s v="NMC70057162x"/>
    <d v="2025-12-02T00:00:00"/>
    <d v="2025-12-12T00:00:00"/>
    <m/>
    <x v="0"/>
  </r>
  <r>
    <x v="50"/>
    <n v="1007689"/>
    <n v="3821.81"/>
    <n v="76.44"/>
    <n v="3745.37"/>
    <n v="38.22"/>
    <n v="3707.15"/>
    <d v="2025-12-12T00:00:00"/>
    <n v="1007689"/>
    <n v="3452"/>
    <n v="76.44"/>
    <n v="3821.81"/>
    <d v="2025-12-02T00:00:00"/>
    <n v="3745.37"/>
    <n v="76.44"/>
    <s v="NULL"/>
    <s v="PRO"/>
    <n v="38.22"/>
    <n v="3707.15"/>
    <s v="PAID"/>
    <n v="2"/>
    <n v="6557212570580"/>
    <d v="2025-12-12T00:00:00"/>
    <d v="2025-12-02T00:00:00"/>
    <m/>
    <d v="2025-12-12T00:00:00"/>
    <d v="2025-12-09T18:15:00"/>
    <n v="34521007689"/>
    <d v="2025-12-02T00:00:00"/>
    <s v="A036425"/>
    <s v="2% 01/10/26"/>
    <n v="206185"/>
    <d v="2025-12-02T00:00:00"/>
    <d v="2025-12-12T00:00:00"/>
    <n v="76.436199999999999"/>
    <x v="0"/>
  </r>
  <r>
    <x v="50"/>
    <n v="1007690"/>
    <n v="1719.2"/>
    <n v="34.380000000000003"/>
    <n v="1684.82"/>
    <n v="17.190000000000001"/>
    <n v="1667.63"/>
    <d v="2025-12-12T00:00:00"/>
    <n v="1007690"/>
    <n v="3452"/>
    <n v="34.380000000000003"/>
    <n v="1719.2"/>
    <d v="2025-12-02T00:00:00"/>
    <n v="1684.82"/>
    <n v="34.380000000000003"/>
    <s v="NULL"/>
    <s v="PRO"/>
    <n v="17.190000000000001"/>
    <n v="1667.63"/>
    <s v="PAID"/>
    <n v="2"/>
    <n v="6557212570580"/>
    <d v="2025-12-12T00:00:00"/>
    <d v="2025-12-02T00:00:00"/>
    <m/>
    <d v="2025-12-12T00:00:00"/>
    <d v="2025-12-09T18:15:00"/>
    <n v="34521007690"/>
    <d v="2025-12-02T00:00:00"/>
    <s v="172911S"/>
    <s v="2% 01/10/26"/>
    <n v="206184"/>
    <d v="2025-12-02T00:00:00"/>
    <d v="2025-12-12T00:00:00"/>
    <n v="34.384"/>
    <x v="0"/>
  </r>
  <r>
    <x v="50"/>
    <n v="1007805"/>
    <n v="6956.84"/>
    <m/>
    <n v="6956.84"/>
    <n v="69.569999999999993"/>
    <n v="6887.27"/>
    <d v="2025-12-12T00:00:00"/>
    <n v="1007805"/>
    <n v="3452"/>
    <n v="0"/>
    <n v="6956.84"/>
    <d v="2025-12-02T00:00:00"/>
    <n v="6956.84"/>
    <n v="0"/>
    <s v="NULL"/>
    <s v="PRO"/>
    <n v="69.569999999999993"/>
    <n v="6887.27"/>
    <s v="PAID"/>
    <n v="2"/>
    <n v="6557212570580"/>
    <d v="2025-12-12T00:00:00"/>
    <d v="2025-12-02T00:00:00"/>
    <m/>
    <d v="2025-12-12T00:00:00"/>
    <d v="2025-12-09T18:15:00"/>
    <n v="34521007805"/>
    <d v="2025-12-02T00:00:00"/>
    <n v="179856"/>
    <s v="NET 01/10/26"/>
    <n v="206080"/>
    <d v="2025-12-02T00:00:00"/>
    <d v="2025-12-12T00:00:00"/>
    <m/>
    <x v="0"/>
  </r>
  <r>
    <x v="50"/>
    <n v="1007851"/>
    <n v="63.6"/>
    <n v="1.27"/>
    <n v="62.33"/>
    <n v="0.64"/>
    <n v="61.69"/>
    <d v="2025-12-12T00:00:00"/>
    <n v="1007851"/>
    <n v="3452"/>
    <n v="1.27"/>
    <n v="63.6"/>
    <d v="2025-12-02T00:00:00"/>
    <n v="62.33"/>
    <n v="1.27"/>
    <s v="NULL"/>
    <s v="PRO"/>
    <n v="0.64"/>
    <n v="61.69"/>
    <s v="PAID"/>
    <n v="2"/>
    <n v="6557212570580"/>
    <d v="2025-12-12T00:00:00"/>
    <d v="2025-12-02T00:00:00"/>
    <m/>
    <d v="2025-12-12T00:00:00"/>
    <d v="2025-12-09T18:15:00"/>
    <n v="34521007851"/>
    <d v="2025-12-02T00:00:00"/>
    <s v="A036425"/>
    <s v="2% 01/10/26"/>
    <n v="206143"/>
    <d v="2025-12-02T00:00:00"/>
    <d v="2025-12-12T00:00:00"/>
    <n v="1.272"/>
    <x v="0"/>
  </r>
  <r>
    <x v="50"/>
    <n v="1008036"/>
    <n v="504.7"/>
    <n v="10.09"/>
    <n v="494.61"/>
    <n v="5.05"/>
    <n v="489.56"/>
    <d v="2025-12-12T00:00:00"/>
    <n v="1008036"/>
    <n v="3452"/>
    <n v="10.09"/>
    <n v="504.7"/>
    <d v="2025-12-03T00:00:00"/>
    <n v="494.61"/>
    <n v="10.09"/>
    <s v="NULL"/>
    <s v="PRO"/>
    <n v="5.05"/>
    <n v="489.56"/>
    <s v="PAID"/>
    <n v="2"/>
    <n v="6557212570580"/>
    <d v="2025-12-12T00:00:00"/>
    <d v="2025-12-03T00:00:00"/>
    <m/>
    <d v="2025-12-12T00:00:00"/>
    <d v="2025-12-09T18:15:00"/>
    <n v="34521008036"/>
    <d v="2025-12-03T00:00:00"/>
    <s v="172726S"/>
    <s v="2% 01/10/26"/>
    <n v="206052"/>
    <d v="2025-12-03T00:00:00"/>
    <d v="2025-12-12T00:00:00"/>
    <n v="10.093999999999999"/>
    <x v="0"/>
  </r>
  <r>
    <x v="50"/>
    <n v="1008040"/>
    <n v="124.5"/>
    <n v="2.4900000000000002"/>
    <n v="122.01"/>
    <n v="1.25"/>
    <n v="120.76"/>
    <d v="2025-12-12T00:00:00"/>
    <n v="1008040"/>
    <n v="3452"/>
    <n v="2.4900000000000002"/>
    <n v="124.5"/>
    <d v="2025-12-03T00:00:00"/>
    <n v="122.01"/>
    <n v="2.4900000000000002"/>
    <s v="NULL"/>
    <s v="PRO"/>
    <n v="1.25"/>
    <n v="120.76"/>
    <s v="PAID"/>
    <n v="2"/>
    <n v="6557212570580"/>
    <d v="2025-12-12T00:00:00"/>
    <d v="2025-12-03T00:00:00"/>
    <m/>
    <d v="2025-12-12T00:00:00"/>
    <d v="2025-12-09T18:15:00"/>
    <n v="34521008040"/>
    <d v="2025-12-03T00:00:00"/>
    <s v="A036395"/>
    <s v="2% 01/10/26"/>
    <n v="206053"/>
    <d v="2025-12-03T00:00:00"/>
    <d v="2025-12-12T00:00:00"/>
    <n v="2.4900000000000002"/>
    <x v="0"/>
  </r>
  <r>
    <x v="50"/>
    <n v="1008065"/>
    <n v="-390"/>
    <m/>
    <n v="-390"/>
    <m/>
    <n v="-390"/>
    <d v="2025-12-12T00:00:00"/>
    <n v="1008065"/>
    <n v="3452"/>
    <n v="0"/>
    <n v="-390"/>
    <d v="2025-12-04T00:00:00"/>
    <n v="-390"/>
    <n v="0"/>
    <s v="NMCT203959x"/>
    <s v="PRO"/>
    <n v="0"/>
    <n v="-390"/>
    <s v="PAID"/>
    <n v="2"/>
    <n v="6557212570580"/>
    <d v="2025-12-12T00:00:00"/>
    <d v="2025-12-04T00:00:00"/>
    <m/>
    <d v="2025-12-12T00:00:00"/>
    <d v="2025-12-09T18:15:00"/>
    <n v="34521008065"/>
    <d v="2025-12-04T00:00:00"/>
    <s v="N/A"/>
    <s v="NET 01/10/26"/>
    <s v="NMCT203959x"/>
    <d v="2025-12-04T00:00:00"/>
    <d v="2025-12-12T00:00:00"/>
    <m/>
    <x v="0"/>
  </r>
  <r>
    <x v="50"/>
    <n v="1008292"/>
    <n v="-50"/>
    <m/>
    <n v="-50"/>
    <m/>
    <n v="-50"/>
    <d v="2025-12-12T00:00:00"/>
    <n v="1008292"/>
    <n v="3452"/>
    <n v="0"/>
    <n v="-50"/>
    <d v="2025-12-04T00:00:00"/>
    <n v="-50"/>
    <n v="0"/>
    <s v="NMCNoINV"/>
    <s v="PRO"/>
    <n v="0"/>
    <n v="-50"/>
    <s v="PAID"/>
    <n v="2"/>
    <n v="6557212570580"/>
    <d v="2025-12-12T00:00:00"/>
    <d v="2025-12-04T00:00:00"/>
    <m/>
    <d v="2025-12-12T00:00:00"/>
    <d v="2025-12-09T18:15:00"/>
    <n v="34521008292"/>
    <d v="2025-12-04T00:00:00"/>
    <s v="N/A"/>
    <s v="NET 01/10/26"/>
    <s v="NMCNoINV"/>
    <d v="2025-12-04T00:00:00"/>
    <d v="2025-12-12T00:00:00"/>
    <m/>
    <x v="0"/>
  </r>
  <r>
    <x v="50"/>
    <n v="1008546"/>
    <n v="1393"/>
    <n v="27.86"/>
    <n v="1365.14"/>
    <n v="13.93"/>
    <n v="1351.21"/>
    <d v="2025-12-12T00:00:00"/>
    <n v="1008546"/>
    <n v="3452"/>
    <n v="27.86"/>
    <n v="1393"/>
    <d v="2025-12-05T00:00:00"/>
    <n v="1365.14"/>
    <n v="27.86"/>
    <s v="NULL"/>
    <s v="PRO"/>
    <n v="13.93"/>
    <n v="1351.21"/>
    <s v="PAID"/>
    <n v="2"/>
    <n v="6557212570580"/>
    <d v="2025-12-12T00:00:00"/>
    <d v="2025-12-05T00:00:00"/>
    <m/>
    <d v="2025-12-12T00:00:00"/>
    <d v="2025-12-09T18:15:00"/>
    <n v="34521008546"/>
    <d v="2025-12-05T00:00:00"/>
    <n v="180105"/>
    <s v="2% 01/10/26"/>
    <n v="206588"/>
    <d v="2025-12-05T00:00:00"/>
    <d v="2025-12-12T00:00:00"/>
    <n v="27.86"/>
    <x v="0"/>
  </r>
  <r>
    <x v="50"/>
    <n v="1008552"/>
    <n v="43.86"/>
    <n v="0.88"/>
    <n v="42.98"/>
    <n v="0.44"/>
    <n v="42.54"/>
    <d v="2025-12-12T00:00:00"/>
    <n v="1008552"/>
    <n v="3452"/>
    <n v="0.88"/>
    <n v="43.86"/>
    <d v="2025-12-05T00:00:00"/>
    <n v="42.98"/>
    <n v="0.88"/>
    <s v="NULL"/>
    <s v="PRO"/>
    <n v="0.44"/>
    <n v="42.54"/>
    <s v="PAID"/>
    <n v="2"/>
    <n v="6557212570580"/>
    <d v="2025-12-12T00:00:00"/>
    <d v="2025-12-05T00:00:00"/>
    <m/>
    <d v="2025-12-12T00:00:00"/>
    <d v="2025-12-09T18:15:00"/>
    <n v="34521008552"/>
    <d v="2025-12-05T00:00:00"/>
    <s v="A036425"/>
    <s v="2% 01/10/26"/>
    <n v="206589"/>
    <d v="2025-12-05T00:00:00"/>
    <d v="2025-12-12T00:00:00"/>
    <n v="0.87719999999999998"/>
    <x v="0"/>
  </r>
  <r>
    <x v="50"/>
    <n v="1008554"/>
    <n v="1101.1600000000001"/>
    <n v="22.02"/>
    <n v="1079.1400000000001"/>
    <n v="11.01"/>
    <n v="1068.1300000000001"/>
    <d v="2025-12-12T00:00:00"/>
    <n v="1008554"/>
    <n v="3452"/>
    <n v="22.02"/>
    <n v="1101.1600000000001"/>
    <d v="2025-12-05T00:00:00"/>
    <n v="1079.1400000000001"/>
    <n v="22.02"/>
    <s v="NULL"/>
    <s v="PRO"/>
    <n v="11.01"/>
    <n v="1068.1300000000001"/>
    <s v="PAID"/>
    <n v="2"/>
    <n v="6557212570580"/>
    <d v="2025-12-12T00:00:00"/>
    <d v="2025-12-05T00:00:00"/>
    <m/>
    <d v="2025-12-12T00:00:00"/>
    <d v="2025-12-09T18:15:00"/>
    <n v="34521008554"/>
    <d v="2025-12-05T00:00:00"/>
    <n v="179000"/>
    <s v="2% 01/10/26"/>
    <n v="206587"/>
    <d v="2025-12-05T00:00:00"/>
    <d v="2025-12-12T00:00:00"/>
    <n v="22.023200000000003"/>
    <x v="0"/>
  </r>
  <r>
    <x v="50"/>
    <n v="1009005"/>
    <n v="-769.5"/>
    <m/>
    <n v="-769.5"/>
    <m/>
    <n v="-769.5"/>
    <d v="2025-12-12T00:00:00"/>
    <n v="1009005"/>
    <n v="3452"/>
    <n v="0"/>
    <n v="-769.5"/>
    <d v="2025-12-09T00:00:00"/>
    <n v="-769.5"/>
    <n v="0"/>
    <n v="1009005"/>
    <s v="PRO"/>
    <n v="0"/>
    <n v="-769.5"/>
    <s v="PAID"/>
    <n v="2"/>
    <n v="6557212570580"/>
    <d v="2025-12-12T00:00:00"/>
    <d v="2025-12-09T00:00:00"/>
    <m/>
    <d v="2025-12-12T00:00:00"/>
    <d v="2025-12-09T18:15:00"/>
    <n v="34521009005"/>
    <d v="2025-12-09T00:00:00"/>
    <s v="T203903"/>
    <s v="NET 01/10/26"/>
    <s v="OLYM112474"/>
    <d v="2025-12-09T00:00:00"/>
    <d v="2025-12-12T00:00:00"/>
    <m/>
    <x v="0"/>
  </r>
  <r>
    <x v="50"/>
    <n v="1009006"/>
    <n v="-364.5"/>
    <m/>
    <n v="-364.5"/>
    <m/>
    <n v="-364.5"/>
    <d v="2025-12-12T00:00:00"/>
    <n v="1009006"/>
    <n v="3452"/>
    <n v="0"/>
    <n v="-364.5"/>
    <d v="2025-12-09T00:00:00"/>
    <n v="-364.5"/>
    <n v="0"/>
    <n v="1009006"/>
    <s v="PRO"/>
    <n v="0"/>
    <n v="-364.5"/>
    <s v="PAID"/>
    <n v="2"/>
    <n v="6557212570580"/>
    <d v="2025-12-12T00:00:00"/>
    <d v="2025-12-09T00:00:00"/>
    <m/>
    <d v="2025-12-12T00:00:00"/>
    <d v="2025-12-09T18:15:00"/>
    <n v="34521009006"/>
    <d v="2025-12-09T00:00:00"/>
    <s v="T203904"/>
    <s v="NET 01/10/26"/>
    <s v="OLYM112475"/>
    <d v="2025-12-09T00:00:00"/>
    <d v="2025-12-12T00:00:00"/>
    <m/>
    <x v="0"/>
  </r>
  <r>
    <x v="51"/>
    <n v="1007298"/>
    <n v="33.18"/>
    <m/>
    <n v="33.18"/>
    <n v="0.33"/>
    <n v="33.18"/>
    <d v="2025-12-12T00:00:00"/>
    <n v="1007298"/>
    <n v="3459"/>
    <n v="0"/>
    <n v="33.18"/>
    <d v="2025-12-01T00:00:00"/>
    <n v="33.18"/>
    <n v="0"/>
    <s v="NULL"/>
    <s v="PRO"/>
    <n v="0.33"/>
    <n v="33.18"/>
    <s v="PAID"/>
    <n v="10"/>
    <s v="Auto901030304908014"/>
    <d v="2025-12-12T00:00:00"/>
    <d v="2025-12-01T00:00:00"/>
    <s v="NULL"/>
    <d v="2025-12-12T00:00:00"/>
    <d v="2025-12-12T13:45:00"/>
    <n v="34591007298"/>
    <d v="2025-12-01T00:00:00"/>
    <s v="080125PRO-DC"/>
    <s v="2% 01/10/26"/>
    <n v="205857"/>
    <d v="2025-12-01T00:00:00"/>
    <d v="2025-12-12T00:00:00"/>
    <n v="0.66359999999999997"/>
    <x v="1"/>
  </r>
  <r>
    <x v="51"/>
    <n v="1007303"/>
    <n v="41.14"/>
    <m/>
    <n v="41.14"/>
    <n v="0.41"/>
    <n v="41.14"/>
    <d v="2025-12-12T00:00:00"/>
    <n v="1007303"/>
    <n v="3459"/>
    <n v="0"/>
    <n v="41.14"/>
    <d v="2025-12-01T00:00:00"/>
    <n v="41.14"/>
    <n v="0"/>
    <s v="NULL"/>
    <s v="PRO"/>
    <n v="0.41"/>
    <n v="41.14"/>
    <s v="PAID"/>
    <n v="10"/>
    <s v="Auto901030304908014"/>
    <d v="2025-12-12T00:00:00"/>
    <d v="2025-12-01T00:00:00"/>
    <s v="NULL"/>
    <d v="2025-12-12T00:00:00"/>
    <d v="2025-12-12T13:45:00"/>
    <n v="34591007303"/>
    <d v="2025-12-01T00:00:00"/>
    <s v="112425PRO-DC"/>
    <s v="2% 01/10/26"/>
    <n v="205858"/>
    <d v="2025-12-01T00:00:00"/>
    <d v="2025-12-12T00:00:00"/>
    <n v="0.82279999999999998"/>
    <x v="1"/>
  </r>
  <r>
    <x v="51"/>
    <n v="1007314"/>
    <n v="74.680000000000007"/>
    <m/>
    <n v="74.680000000000007"/>
    <n v="0.75"/>
    <n v="74.680000000000007"/>
    <d v="2025-12-12T00:00:00"/>
    <n v="1007314"/>
    <n v="3459"/>
    <n v="0"/>
    <n v="74.680000000000007"/>
    <d v="2025-12-01T00:00:00"/>
    <n v="74.680000000000007"/>
    <n v="0"/>
    <s v="NULL"/>
    <s v="PRO"/>
    <n v="0.75"/>
    <n v="74.680000000000007"/>
    <s v="PAID"/>
    <n v="10"/>
    <s v="Auto901030304908014"/>
    <d v="2025-12-12T00:00:00"/>
    <d v="2025-12-01T00:00:00"/>
    <s v="NULL"/>
    <d v="2025-12-12T00:00:00"/>
    <d v="2025-12-12T13:45:00"/>
    <n v="34591007314"/>
    <d v="2025-12-01T00:00:00"/>
    <s v="112825PRO-B"/>
    <s v="2% 01/10/26"/>
    <n v="205875"/>
    <d v="2025-12-01T00:00:00"/>
    <d v="2025-12-12T00:00:00"/>
    <n v="1.4936000000000003"/>
    <x v="1"/>
  </r>
  <r>
    <x v="51"/>
    <n v="1007359"/>
    <n v="156.66"/>
    <m/>
    <n v="156.66"/>
    <n v="1.57"/>
    <n v="156.66"/>
    <d v="2025-12-12T00:00:00"/>
    <n v="1007359"/>
    <n v="3459"/>
    <n v="0"/>
    <n v="156.66"/>
    <d v="2025-12-01T00:00:00"/>
    <n v="156.66"/>
    <n v="0"/>
    <s v="NULL"/>
    <s v="PRO"/>
    <n v="1.57"/>
    <n v="156.66"/>
    <s v="PAID"/>
    <n v="10"/>
    <s v="Auto901030304908014"/>
    <d v="2025-12-12T00:00:00"/>
    <d v="2025-12-01T00:00:00"/>
    <s v="NULL"/>
    <d v="2025-12-12T00:00:00"/>
    <d v="2025-12-12T13:45:00"/>
    <n v="34591007359"/>
    <d v="2025-12-01T00:00:00"/>
    <s v="112825PRO-B"/>
    <s v="2% 01/10/26"/>
    <n v="205885"/>
    <d v="2025-12-01T00:00:00"/>
    <d v="2025-12-12T00:00:00"/>
    <n v="3.1332"/>
    <x v="1"/>
  </r>
  <r>
    <x v="51"/>
    <n v="1007634"/>
    <n v="3990"/>
    <m/>
    <n v="3990"/>
    <n v="39.9"/>
    <n v="3950.1"/>
    <d v="2025-12-12T00:00:00"/>
    <n v="1007634"/>
    <n v="3459"/>
    <n v="0"/>
    <n v="3990"/>
    <d v="2025-12-02T00:00:00"/>
    <n v="3990"/>
    <n v="0"/>
    <s v="NULL"/>
    <s v="PRO"/>
    <n v="39.9"/>
    <n v="3950.1"/>
    <s v="PAID"/>
    <n v="10"/>
    <s v="Auto901030304908014"/>
    <d v="2025-12-12T00:00:00"/>
    <d v="2025-12-02T00:00:00"/>
    <s v="NULL"/>
    <d v="2025-12-12T00:00:00"/>
    <d v="2025-12-12T13:45:00"/>
    <n v="34591007634"/>
    <d v="2025-12-02T00:00:00"/>
    <s v="NULL"/>
    <s v="NET 02/10/26"/>
    <s v="NULL"/>
    <d v="2025-12-02T00:00:00"/>
    <d v="2025-12-12T00:00:00"/>
    <m/>
    <x v="0"/>
  </r>
  <r>
    <x v="51"/>
    <n v="1007833"/>
    <n v="250.68"/>
    <m/>
    <n v="250.68"/>
    <n v="2.5099999999999998"/>
    <n v="250.68"/>
    <d v="2025-12-12T00:00:00"/>
    <n v="1007833"/>
    <n v="3459"/>
    <n v="0"/>
    <n v="250.68"/>
    <d v="2025-12-02T00:00:00"/>
    <n v="250.68"/>
    <n v="0"/>
    <s v="NULL"/>
    <s v="PRO"/>
    <n v="2.5099999999999998"/>
    <n v="250.68"/>
    <s v="PAID"/>
    <n v="10"/>
    <s v="Auto901030304908014"/>
    <d v="2025-12-12T00:00:00"/>
    <d v="2025-12-02T00:00:00"/>
    <s v="NULL"/>
    <d v="2025-12-12T00:00:00"/>
    <d v="2025-12-12T13:45:00"/>
    <n v="34591007833"/>
    <d v="2025-12-02T00:00:00"/>
    <s v="120125PRO-DC"/>
    <s v="2% 01/10/26"/>
    <n v="206165"/>
    <d v="2025-12-02T00:00:00"/>
    <d v="2025-12-12T00:00:00"/>
    <n v="5.0136000000000003"/>
    <x v="1"/>
  </r>
  <r>
    <x v="51"/>
    <n v="1007890"/>
    <n v="299.68"/>
    <m/>
    <n v="299.68"/>
    <n v="3"/>
    <n v="296.68"/>
    <d v="2025-12-12T00:00:00"/>
    <n v="1007890"/>
    <n v="3459"/>
    <n v="0"/>
    <n v="299.68"/>
    <d v="2025-12-03T00:00:00"/>
    <n v="299.68"/>
    <n v="0"/>
    <s v="NULL"/>
    <s v="PRO"/>
    <n v="3"/>
    <n v="296.68"/>
    <s v="PAID"/>
    <n v="10"/>
    <s v="Auto901030304908014"/>
    <d v="2025-12-12T00:00:00"/>
    <d v="2025-12-03T00:00:00"/>
    <s v="NULL"/>
    <d v="2025-12-12T00:00:00"/>
    <d v="2025-12-12T13:45:00"/>
    <n v="34591007890"/>
    <d v="2025-12-03T00:00:00"/>
    <s v="112725PRO-B"/>
    <s v="NET 01/10/26"/>
    <n v="206472"/>
    <d v="2025-12-03T00:00:00"/>
    <d v="2025-12-12T00:00:00"/>
    <m/>
    <x v="0"/>
  </r>
  <r>
    <x v="51"/>
    <n v="1007979"/>
    <n v="568.1"/>
    <m/>
    <n v="568.1"/>
    <n v="5.68"/>
    <n v="568.1"/>
    <d v="2025-12-12T00:00:00"/>
    <n v="1007979"/>
    <n v="3459"/>
    <n v="0"/>
    <n v="568.1"/>
    <d v="2025-12-03T00:00:00"/>
    <n v="568.1"/>
    <n v="0"/>
    <s v="NULL"/>
    <s v="PRO"/>
    <n v="5.68"/>
    <n v="568.1"/>
    <s v="PAID"/>
    <n v="10"/>
    <s v="Auto901030304908014"/>
    <d v="2025-12-12T00:00:00"/>
    <d v="2025-12-03T00:00:00"/>
    <s v="NULL"/>
    <d v="2025-12-12T00:00:00"/>
    <d v="2025-12-12T13:45:00"/>
    <n v="34591007979"/>
    <d v="2025-12-03T00:00:00"/>
    <s v="112925PRO-DC"/>
    <s v="2% 01/10/26"/>
    <n v="206253"/>
    <d v="2025-12-03T00:00:00"/>
    <d v="2025-12-12T00:00:00"/>
    <n v="11.362"/>
    <x v="1"/>
  </r>
  <r>
    <x v="51"/>
    <n v="1007980"/>
    <n v="77.75"/>
    <m/>
    <n v="77.75"/>
    <n v="0.78"/>
    <n v="76.97"/>
    <d v="2025-12-12T00:00:00"/>
    <n v="1007980"/>
    <n v="3459"/>
    <n v="0"/>
    <n v="77.75"/>
    <d v="2025-12-03T00:00:00"/>
    <n v="77.75"/>
    <n v="0"/>
    <s v="NULL"/>
    <s v="PRO"/>
    <n v="0.78"/>
    <n v="76.97"/>
    <s v="PAID"/>
    <n v="10"/>
    <s v="Auto901030304908014"/>
    <d v="2025-12-12T00:00:00"/>
    <d v="2025-12-03T00:00:00"/>
    <s v="NULL"/>
    <d v="2025-12-12T00:00:00"/>
    <d v="2025-12-12T13:45:00"/>
    <n v="34591007980"/>
    <d v="2025-12-03T00:00:00"/>
    <s v="120125PRO-DC"/>
    <s v="NET 01/10/26"/>
    <n v="206255"/>
    <d v="2025-12-03T00:00:00"/>
    <d v="2025-12-12T00:00:00"/>
    <m/>
    <x v="0"/>
  </r>
  <r>
    <x v="51"/>
    <n v="1007985"/>
    <n v="3614.27"/>
    <m/>
    <n v="3614.27"/>
    <n v="36.14"/>
    <n v="3614.27"/>
    <d v="2025-12-12T00:00:00"/>
    <n v="1007985"/>
    <n v="3459"/>
    <n v="0"/>
    <n v="3614.27"/>
    <d v="2025-12-03T00:00:00"/>
    <n v="3614.27"/>
    <n v="0"/>
    <s v="NULL"/>
    <s v="PRO"/>
    <n v="36.14"/>
    <n v="3614.27"/>
    <s v="PAID"/>
    <n v="10"/>
    <s v="Auto901030304908014"/>
    <d v="2025-12-12T00:00:00"/>
    <d v="2025-12-03T00:00:00"/>
    <s v="NULL"/>
    <d v="2025-12-12T00:00:00"/>
    <d v="2025-12-12T13:45:00"/>
    <n v="34591007985"/>
    <d v="2025-12-03T00:00:00"/>
    <s v="120125PRO-DC"/>
    <s v="2% 01/10/26"/>
    <n v="206254"/>
    <d v="2025-12-03T00:00:00"/>
    <d v="2025-12-12T00:00:00"/>
    <n v="72.285399999999996"/>
    <x v="1"/>
  </r>
  <r>
    <x v="51"/>
    <n v="1008068"/>
    <n v="144.9"/>
    <m/>
    <n v="144.9"/>
    <n v="1.45"/>
    <n v="144.9"/>
    <d v="2025-12-12T00:00:00"/>
    <n v="1008068"/>
    <n v="3459"/>
    <n v="0"/>
    <n v="144.9"/>
    <d v="2025-12-04T00:00:00"/>
    <n v="144.9"/>
    <n v="0"/>
    <s v="NULL"/>
    <s v="PRO"/>
    <n v="1.45"/>
    <n v="144.9"/>
    <s v="PAID"/>
    <n v="10"/>
    <s v="Auto901030304908014"/>
    <d v="2025-12-12T00:00:00"/>
    <d v="2025-12-04T00:00:00"/>
    <s v="NULL"/>
    <d v="2025-12-12T00:00:00"/>
    <d v="2025-12-12T13:45:00"/>
    <n v="34591008068"/>
    <d v="2025-12-04T00:00:00"/>
    <s v="111525PRO-DC"/>
    <s v="2% 01/10/26"/>
    <n v="206418"/>
    <d v="2025-12-04T00:00:00"/>
    <d v="2025-12-12T00:00:00"/>
    <n v="2.8980000000000001"/>
    <x v="1"/>
  </r>
  <r>
    <x v="51"/>
    <n v="1008383"/>
    <n v="-500"/>
    <m/>
    <n v="-500"/>
    <m/>
    <n v="-500"/>
    <d v="2025-12-12T00:00:00"/>
    <n v="1008383"/>
    <n v="3459"/>
    <n v="0"/>
    <n v="-500"/>
    <d v="2025-12-05T00:00:00"/>
    <n v="-500"/>
    <n v="0"/>
    <s v="NMCCN1071"/>
    <s v="NISI"/>
    <n v="0"/>
    <n v="-500"/>
    <s v="PAID"/>
    <n v="10"/>
    <s v="Auto901030304908014"/>
    <d v="2025-12-12T00:00:00"/>
    <d v="2025-12-05T00:00:00"/>
    <s v="NULL"/>
    <d v="2025-12-12T00:00:00"/>
    <d v="2025-12-12T13:45:00"/>
    <n v="34591008383"/>
    <d v="2025-12-05T00:00:00"/>
    <s v="NULL"/>
    <s v="NET 01/10/26"/>
    <s v="NMCCN1071"/>
    <d v="2025-12-05T00:00:00"/>
    <d v="2025-12-12T00:00:00"/>
    <m/>
    <x v="0"/>
  </r>
  <r>
    <x v="51"/>
    <n v="1008477"/>
    <n v="550.58000000000004"/>
    <m/>
    <n v="550.58000000000004"/>
    <n v="5.51"/>
    <n v="550.58000000000004"/>
    <d v="2025-12-12T00:00:00"/>
    <n v="1008477"/>
    <n v="3459"/>
    <n v="0"/>
    <n v="550.58000000000004"/>
    <d v="2025-12-05T00:00:00"/>
    <n v="550.58000000000004"/>
    <n v="0"/>
    <s v="NULL"/>
    <s v="PRO"/>
    <n v="5.51"/>
    <n v="550.58000000000004"/>
    <s v="PAID"/>
    <n v="10"/>
    <s v="Auto901030304908014"/>
    <d v="2025-12-12T00:00:00"/>
    <d v="2025-12-05T00:00:00"/>
    <s v="NULL"/>
    <d v="2025-12-12T00:00:00"/>
    <d v="2025-12-12T13:45:00"/>
    <n v="34591008477"/>
    <d v="2025-12-05T00:00:00"/>
    <s v="080125PRO-ARL"/>
    <s v="2% 01/10/26"/>
    <n v="206629"/>
    <d v="2025-12-05T00:00:00"/>
    <d v="2025-12-12T00:00:00"/>
    <n v="11.011600000000001"/>
    <x v="1"/>
  </r>
  <r>
    <x v="51"/>
    <n v="1008574"/>
    <n v="-2850"/>
    <m/>
    <n v="-2850"/>
    <m/>
    <n v="-2850"/>
    <d v="2025-12-12T00:00:00"/>
    <n v="1008574"/>
    <n v="3459"/>
    <n v="0"/>
    <n v="-2850"/>
    <d v="2025-12-08T00:00:00"/>
    <n v="-2850"/>
    <n v="0"/>
    <n v="1008574"/>
    <s v="PRO"/>
    <n v="0"/>
    <n v="-2850"/>
    <s v="PAID"/>
    <n v="10"/>
    <s v="Auto901030304908014"/>
    <d v="2025-12-12T00:00:00"/>
    <d v="2025-12-08T00:00:00"/>
    <s v="NULL"/>
    <d v="2025-12-12T00:00:00"/>
    <d v="2025-12-12T13:45:00"/>
    <n v="34591008574"/>
    <d v="2025-12-08T00:00:00"/>
    <s v="N/A"/>
    <s v="NET 01/10/26"/>
    <s v="NMC103702054x"/>
    <d v="2025-12-08T00:00:00"/>
    <d v="2025-12-12T00:00:00"/>
    <m/>
    <x v="0"/>
  </r>
  <r>
    <x v="52"/>
    <n v="1001833"/>
    <n v="350"/>
    <m/>
    <n v="350"/>
    <m/>
    <n v="350"/>
    <d v="2025-12-12T00:00:00"/>
    <n v="1001833"/>
    <n v="3508"/>
    <n v="0"/>
    <n v="350"/>
    <d v="2025-11-03T00:00:00"/>
    <n v="350"/>
    <n v="0"/>
    <s v="NULL"/>
    <s v="PRO"/>
    <n v="0"/>
    <n v="350"/>
    <s v="PAID"/>
    <n v="2"/>
    <n v="752520419433"/>
    <d v="2025-12-12T00:00:00"/>
    <d v="2025-11-03T00:00:00"/>
    <m/>
    <d v="2025-12-12T00:00:00"/>
    <d v="2025-12-08T11:56:00"/>
    <n v="35081001833"/>
    <d v="2025-11-03T00:00:00"/>
    <s v="NULL"/>
    <s v="NET DUE 10TH"/>
    <s v="NULL"/>
    <d v="2025-11-03T00:00:00"/>
    <d v="2025-12-12T00:00:00"/>
    <m/>
    <x v="0"/>
  </r>
  <r>
    <x v="53"/>
    <n v="1007221"/>
    <n v="24.12"/>
    <n v="0.48"/>
    <n v="23.64"/>
    <n v="0.24"/>
    <n v="23.4"/>
    <d v="2025-12-12T00:00:00"/>
    <n v="1007221"/>
    <n v="3529"/>
    <n v="0.48"/>
    <n v="24.12"/>
    <d v="2025-12-01T00:00:00"/>
    <n v="23.64"/>
    <n v="0.48"/>
    <s v="NULL"/>
    <s v="PRO"/>
    <n v="0.24"/>
    <n v="23.4"/>
    <s v="PAID"/>
    <n v="2"/>
    <n v="8403823193994"/>
    <d v="2025-12-12T00:00:00"/>
    <d v="2025-12-01T00:00:00"/>
    <m/>
    <d v="2025-12-12T00:00:00"/>
    <d v="2025-12-11T16:56:00"/>
    <n v="35291007221"/>
    <d v="2025-12-01T00:00:00"/>
    <n v="47569"/>
    <s v="2% 01/10/26"/>
    <n v="205713"/>
    <d v="2025-12-01T00:00:00"/>
    <d v="2025-12-12T00:00:00"/>
    <n v="0.48240000000000005"/>
    <x v="0"/>
  </r>
  <r>
    <x v="53"/>
    <n v="1007226"/>
    <n v="24.12"/>
    <n v="0.48"/>
    <n v="23.64"/>
    <n v="0.24"/>
    <n v="23.4"/>
    <d v="2025-12-12T00:00:00"/>
    <n v="1007226"/>
    <n v="3529"/>
    <n v="0.48"/>
    <n v="24.12"/>
    <d v="2025-12-01T00:00:00"/>
    <n v="23.64"/>
    <n v="0.48"/>
    <s v="NULL"/>
    <s v="PRO"/>
    <n v="0.24"/>
    <n v="23.4"/>
    <s v="PAID"/>
    <n v="2"/>
    <n v="8403823193994"/>
    <d v="2025-12-12T00:00:00"/>
    <d v="2025-12-01T00:00:00"/>
    <m/>
    <d v="2025-12-12T00:00:00"/>
    <d v="2025-12-11T16:56:00"/>
    <n v="35291007226"/>
    <d v="2025-12-01T00:00:00"/>
    <n v="47576"/>
    <s v="2% 01/10/26"/>
    <n v="205714"/>
    <d v="2025-12-01T00:00:00"/>
    <d v="2025-12-12T00:00:00"/>
    <n v="0.48240000000000005"/>
    <x v="0"/>
  </r>
  <r>
    <x v="53"/>
    <n v="1007402"/>
    <n v="41.26"/>
    <n v="0.83"/>
    <n v="40.43"/>
    <n v="0.41"/>
    <n v="40.020000000000003"/>
    <d v="2025-12-12T00:00:00"/>
    <n v="1007402"/>
    <n v="3529"/>
    <n v="0.83"/>
    <n v="41.26"/>
    <d v="2025-12-01T00:00:00"/>
    <n v="40.43"/>
    <n v="0.83"/>
    <s v="NULL"/>
    <s v="PRO"/>
    <n v="0.41"/>
    <n v="40.020000000000003"/>
    <s v="PAID"/>
    <n v="2"/>
    <n v="8403823193994"/>
    <d v="2025-12-12T00:00:00"/>
    <d v="2025-12-01T00:00:00"/>
    <m/>
    <d v="2025-12-12T00:00:00"/>
    <d v="2025-12-11T16:56:00"/>
    <n v="35291007402"/>
    <d v="2025-12-01T00:00:00"/>
    <n v="47586"/>
    <s v="2% 01/10/26"/>
    <n v="205996"/>
    <d v="2025-12-01T00:00:00"/>
    <d v="2025-12-12T00:00:00"/>
    <n v="0.82519999999999993"/>
    <x v="0"/>
  </r>
  <r>
    <x v="53"/>
    <n v="1007415"/>
    <n v="127.73"/>
    <n v="2.5499999999999998"/>
    <n v="125.18"/>
    <n v="1.28"/>
    <n v="123.9"/>
    <d v="2025-12-12T00:00:00"/>
    <n v="1007415"/>
    <n v="3529"/>
    <n v="2.5499999999999998"/>
    <n v="127.73"/>
    <d v="2025-12-01T00:00:00"/>
    <n v="125.18"/>
    <n v="2.5499999999999998"/>
    <s v="NULL"/>
    <s v="PRO"/>
    <n v="1.28"/>
    <n v="123.9"/>
    <s v="PAID"/>
    <n v="2"/>
    <n v="8403823193994"/>
    <d v="2025-12-12T00:00:00"/>
    <d v="2025-12-01T00:00:00"/>
    <m/>
    <d v="2025-12-12T00:00:00"/>
    <d v="2025-12-11T16:56:00"/>
    <n v="35291007415"/>
    <d v="2025-12-01T00:00:00"/>
    <n v="47551"/>
    <s v="2% 01/10/26"/>
    <n v="205951"/>
    <d v="2025-12-01T00:00:00"/>
    <d v="2025-12-12T00:00:00"/>
    <n v="2.5546000000000002"/>
    <x v="0"/>
  </r>
  <r>
    <x v="53"/>
    <n v="1007615"/>
    <n v="350"/>
    <m/>
    <n v="350"/>
    <n v="3.5"/>
    <n v="346.5"/>
    <d v="2025-12-12T00:00:00"/>
    <n v="1007615"/>
    <n v="3529"/>
    <n v="0"/>
    <n v="350"/>
    <d v="2025-12-02T00:00:00"/>
    <n v="350"/>
    <n v="0"/>
    <s v="NULL"/>
    <s v="PRO"/>
    <n v="3.5"/>
    <n v="346.5"/>
    <s v="PAID"/>
    <n v="2"/>
    <n v="8403823193994"/>
    <d v="2025-12-12T00:00:00"/>
    <d v="2025-12-02T00:00:00"/>
    <m/>
    <d v="2025-12-12T00:00:00"/>
    <d v="2025-12-11T16:56:00"/>
    <n v="35291007615"/>
    <d v="2025-12-02T00:00:00"/>
    <s v="NULL"/>
    <s v="NET DUE 10TH"/>
    <s v="NULL"/>
    <d v="2025-12-02T00:00:00"/>
    <d v="2025-12-12T00:00:00"/>
    <m/>
    <x v="0"/>
  </r>
  <r>
    <x v="53"/>
    <n v="1007925"/>
    <n v="283.45999999999998"/>
    <m/>
    <n v="283.45999999999998"/>
    <n v="2.83"/>
    <n v="280.63"/>
    <d v="2025-12-12T00:00:00"/>
    <n v="1007925"/>
    <n v="3529"/>
    <n v="0"/>
    <n v="283.45999999999998"/>
    <d v="2025-12-03T00:00:00"/>
    <n v="283.45999999999998"/>
    <n v="0"/>
    <s v="NULL"/>
    <s v="PRO"/>
    <n v="2.83"/>
    <n v="280.63"/>
    <s v="PAID"/>
    <n v="2"/>
    <n v="8403823193994"/>
    <d v="2025-12-12T00:00:00"/>
    <d v="2025-12-03T00:00:00"/>
    <m/>
    <d v="2025-12-12T00:00:00"/>
    <d v="2025-12-11T16:56:00"/>
    <n v="35291007925"/>
    <d v="2025-12-03T00:00:00"/>
    <n v="47576"/>
    <s v="NET 01/10/26"/>
    <n v="206426"/>
    <d v="2025-12-03T00:00:00"/>
    <d v="2025-12-12T00:00:00"/>
    <m/>
    <x v="0"/>
  </r>
  <r>
    <x v="53"/>
    <n v="1008136"/>
    <n v="420.42"/>
    <n v="8.41"/>
    <n v="412.01"/>
    <n v="4.2"/>
    <n v="407.81"/>
    <d v="2025-12-12T00:00:00"/>
    <n v="1008136"/>
    <n v="3529"/>
    <n v="8.41"/>
    <n v="420.42"/>
    <d v="2025-12-04T00:00:00"/>
    <n v="412.01"/>
    <n v="8.41"/>
    <s v="NULL"/>
    <s v="PRO"/>
    <n v="4.2"/>
    <n v="407.81"/>
    <s v="PAID"/>
    <n v="2"/>
    <n v="8403823193994"/>
    <d v="2025-12-12T00:00:00"/>
    <d v="2025-12-04T00:00:00"/>
    <m/>
    <d v="2025-12-12T00:00:00"/>
    <d v="2025-12-11T16:56:00"/>
    <n v="35291008136"/>
    <d v="2025-12-04T00:00:00"/>
    <n v="47609"/>
    <s v="2% 01/10/26"/>
    <n v="206671"/>
    <d v="2025-12-04T00:00:00"/>
    <d v="2025-12-12T00:00:00"/>
    <n v="8.4084000000000003"/>
    <x v="0"/>
  </r>
  <r>
    <x v="53"/>
    <n v="1008177"/>
    <n v="512.99"/>
    <n v="10.26"/>
    <n v="502.73"/>
    <n v="5.13"/>
    <n v="497.6"/>
    <d v="2025-12-12T00:00:00"/>
    <n v="1008177"/>
    <n v="3529"/>
    <n v="10.26"/>
    <n v="512.99"/>
    <d v="2025-12-04T00:00:00"/>
    <n v="502.73"/>
    <n v="10.26"/>
    <s v="NULL"/>
    <s v="PRO"/>
    <n v="5.13"/>
    <n v="497.6"/>
    <s v="PAID"/>
    <n v="2"/>
    <n v="8403823193994"/>
    <d v="2025-12-12T00:00:00"/>
    <d v="2025-12-04T00:00:00"/>
    <m/>
    <d v="2025-12-12T00:00:00"/>
    <d v="2025-12-11T16:56:00"/>
    <n v="35291008177"/>
    <d v="2025-12-04T00:00:00"/>
    <n v="47609"/>
    <s v="2% 01/10/26"/>
    <n v="206684"/>
    <d v="2025-12-04T00:00:00"/>
    <d v="2025-12-12T00:00:00"/>
    <n v="10.2598"/>
    <x v="0"/>
  </r>
  <r>
    <x v="53"/>
    <n v="1008180"/>
    <n v="1190.77"/>
    <m/>
    <n v="1190.77"/>
    <n v="11.91"/>
    <n v="1178.8599999999999"/>
    <d v="2025-12-12T00:00:00"/>
    <n v="1008180"/>
    <n v="3529"/>
    <n v="0"/>
    <n v="1190.77"/>
    <d v="2025-12-04T00:00:00"/>
    <n v="1190.77"/>
    <n v="0"/>
    <s v="NULL"/>
    <s v="PRO"/>
    <n v="11.91"/>
    <n v="1178.8599999999999"/>
    <s v="PAID"/>
    <n v="2"/>
    <n v="8403823193994"/>
    <d v="2025-12-12T00:00:00"/>
    <d v="2025-12-04T00:00:00"/>
    <m/>
    <d v="2025-12-12T00:00:00"/>
    <d v="2025-12-11T16:56:00"/>
    <n v="35291008180"/>
    <d v="2025-12-04T00:00:00"/>
    <n v="47609"/>
    <s v="NET 01/10/26"/>
    <n v="206685"/>
    <d v="2025-12-04T00:00:00"/>
    <d v="2025-12-12T00:00:00"/>
    <m/>
    <x v="0"/>
  </r>
  <r>
    <x v="53"/>
    <n v="1008351"/>
    <n v="1222.3399999999999"/>
    <m/>
    <n v="1222.3399999999999"/>
    <n v="12.22"/>
    <n v="1210.1199999999999"/>
    <d v="2025-12-12T00:00:00"/>
    <n v="1008351"/>
    <n v="3529"/>
    <n v="0"/>
    <n v="1222.3399999999999"/>
    <d v="2025-12-05T00:00:00"/>
    <n v="1222.3399999999999"/>
    <n v="0"/>
    <s v="A112999"/>
    <s v="HAHNEMUHLE"/>
    <n v="12.22"/>
    <n v="1210.1199999999999"/>
    <s v="PAID"/>
    <n v="2"/>
    <n v="8403823193994"/>
    <d v="2025-12-12T00:00:00"/>
    <d v="2025-12-05T00:00:00"/>
    <m/>
    <d v="2025-12-12T00:00:00"/>
    <d v="2025-12-11T16:56:00"/>
    <n v="35291008351"/>
    <d v="2025-12-05T00:00:00"/>
    <n v="8292"/>
    <s v="NET 01/10/26"/>
    <s v="A112999"/>
    <d v="2025-12-05T00:00:00"/>
    <d v="2025-12-12T00:00:00"/>
    <m/>
    <x v="0"/>
  </r>
  <r>
    <x v="53"/>
    <n v="1008942"/>
    <n v="-116.22"/>
    <m/>
    <n v="-116.22"/>
    <m/>
    <n v="-116.22"/>
    <d v="2025-12-12T00:00:00"/>
    <n v="1008942"/>
    <n v="3529"/>
    <n v="0"/>
    <n v="-116.22"/>
    <d v="2025-12-09T00:00:00"/>
    <n v="-116.22"/>
    <n v="0"/>
    <n v="1008942"/>
    <s v="PRO"/>
    <n v="0"/>
    <n v="-116.22"/>
    <s v="PAID"/>
    <n v="2"/>
    <n v="8403823193994"/>
    <d v="2025-12-12T00:00:00"/>
    <d v="2025-12-09T00:00:00"/>
    <m/>
    <d v="2025-12-12T00:00:00"/>
    <d v="2025-12-11T16:56:00"/>
    <n v="35291008942"/>
    <d v="2025-12-09T00:00:00"/>
    <n v="142090"/>
    <s v="NET 01/10/26"/>
    <n v="53537"/>
    <d v="2025-12-09T00:00:00"/>
    <d v="2025-12-12T00:00:00"/>
    <m/>
    <x v="0"/>
  </r>
  <r>
    <x v="53"/>
    <n v="1009039"/>
    <n v="-648"/>
    <m/>
    <n v="-648"/>
    <m/>
    <n v="-648"/>
    <d v="2025-12-12T00:00:00"/>
    <n v="1009039"/>
    <n v="3529"/>
    <n v="0"/>
    <n v="-648"/>
    <d v="2025-12-09T00:00:00"/>
    <n v="-648"/>
    <n v="0"/>
    <n v="1009039"/>
    <s v="PRO"/>
    <n v="0"/>
    <n v="-648"/>
    <s v="PAID"/>
    <n v="2"/>
    <n v="8403823193994"/>
    <d v="2025-12-12T00:00:00"/>
    <d v="2025-12-09T00:00:00"/>
    <m/>
    <d v="2025-12-12T00:00:00"/>
    <d v="2025-12-11T16:56:00"/>
    <n v="35291009039"/>
    <d v="2025-12-09T00:00:00"/>
    <n v="13331"/>
    <s v="NET 01/10/26"/>
    <s v="OLYM112514"/>
    <d v="2025-12-09T00:00:00"/>
    <d v="2025-12-12T00:00:00"/>
    <m/>
    <x v="0"/>
  </r>
  <r>
    <x v="54"/>
    <n v="1007367"/>
    <n v="165.9"/>
    <n v="3.32"/>
    <n v="162.58000000000001"/>
    <n v="1.66"/>
    <n v="160.91999999999999"/>
    <d v="2025-12-12T00:00:00"/>
    <n v="1007367"/>
    <n v="3543"/>
    <n v="3.32"/>
    <n v="165.9"/>
    <d v="2025-12-01T00:00:00"/>
    <n v="162.58000000000001"/>
    <n v="3.32"/>
    <s v="NULL"/>
    <s v="PRO"/>
    <n v="1.66"/>
    <n v="160.91999999999999"/>
    <s v="PAID"/>
    <n v="2"/>
    <n v="3526452430609"/>
    <d v="2025-12-12T00:00:00"/>
    <d v="2025-12-01T00:00:00"/>
    <m/>
    <d v="2025-12-12T00:00:00"/>
    <d v="2025-12-11T10:03:00"/>
    <n v="35431007367"/>
    <d v="2025-12-01T00:00:00"/>
    <d v="2025-09-16T00:00:00"/>
    <s v="2% 01/10/26"/>
    <n v="205842"/>
    <d v="2025-12-01T00:00:00"/>
    <d v="2025-12-12T00:00:00"/>
    <n v="3.3180000000000001"/>
    <x v="0"/>
  </r>
  <r>
    <x v="54"/>
    <n v="1007511"/>
    <n v="3990"/>
    <m/>
    <n v="3990"/>
    <n v="39.9"/>
    <n v="3950.1"/>
    <d v="2025-12-12T00:00:00"/>
    <n v="1007511"/>
    <n v="3543"/>
    <n v="0"/>
    <n v="3990"/>
    <d v="2025-12-02T00:00:00"/>
    <n v="3990"/>
    <n v="0"/>
    <s v="NULL"/>
    <s v="PRO"/>
    <n v="39.9"/>
    <n v="3950.1"/>
    <s v="PAID"/>
    <n v="2"/>
    <n v="3526452430609"/>
    <d v="2025-12-12T00:00:00"/>
    <d v="2025-12-02T00:00:00"/>
    <m/>
    <d v="2025-12-12T00:00:00"/>
    <d v="2025-12-11T10:03:00"/>
    <n v="35431007511"/>
    <d v="2025-12-02T00:00:00"/>
    <s v="NULL"/>
    <s v="NET 02/10/26"/>
    <s v="NULL"/>
    <d v="2025-12-02T00:00:00"/>
    <d v="2025-12-12T00:00:00"/>
    <m/>
    <x v="0"/>
  </r>
  <r>
    <x v="54"/>
    <n v="1007918"/>
    <n v="766.24"/>
    <n v="15.32"/>
    <n v="750.92"/>
    <n v="7.66"/>
    <n v="743.26"/>
    <d v="2025-12-12T00:00:00"/>
    <n v="1007918"/>
    <n v="3543"/>
    <n v="15.32"/>
    <n v="766.24"/>
    <d v="2025-12-03T00:00:00"/>
    <n v="750.92"/>
    <n v="15.32"/>
    <s v="NULL"/>
    <s v="PRO"/>
    <n v="7.66"/>
    <n v="743.26"/>
    <s v="PAID"/>
    <n v="2"/>
    <n v="3526452430609"/>
    <d v="2025-12-12T00:00:00"/>
    <d v="2025-12-03T00:00:00"/>
    <m/>
    <d v="2025-12-12T00:00:00"/>
    <d v="2025-12-11T10:03:00"/>
    <n v="35431007918"/>
    <d v="2025-12-03T00:00:00"/>
    <d v="2025-12-02T00:00:00"/>
    <s v="2% 01/10/26"/>
    <n v="206481"/>
    <d v="2025-12-03T00:00:00"/>
    <d v="2025-12-12T00:00:00"/>
    <n v="15.3248"/>
    <x v="0"/>
  </r>
  <r>
    <x v="54"/>
    <n v="1008003"/>
    <n v="298.17"/>
    <n v="5.96"/>
    <n v="292.20999999999998"/>
    <n v="2.98"/>
    <n v="289.23"/>
    <d v="2025-12-12T00:00:00"/>
    <n v="1008003"/>
    <n v="3543"/>
    <n v="5.96"/>
    <n v="298.17"/>
    <d v="2025-12-03T00:00:00"/>
    <n v="292.20999999999998"/>
    <n v="5.96"/>
    <s v="NULL"/>
    <s v="PRO"/>
    <n v="2.98"/>
    <n v="289.23"/>
    <s v="PAID"/>
    <n v="2"/>
    <n v="3526452430609"/>
    <d v="2025-12-12T00:00:00"/>
    <d v="2025-12-03T00:00:00"/>
    <m/>
    <d v="2025-12-12T00:00:00"/>
    <d v="2025-12-11T10:03:00"/>
    <n v="35431008003"/>
    <d v="2025-12-03T00:00:00"/>
    <d v="2025-12-01T00:00:00"/>
    <s v="2% 01/10/26"/>
    <n v="206239"/>
    <d v="2025-12-03T00:00:00"/>
    <d v="2025-12-12T00:00:00"/>
    <n v="5.9634"/>
    <x v="0"/>
  </r>
  <r>
    <x v="55"/>
    <n v="1007263"/>
    <n v="165.9"/>
    <n v="3.32"/>
    <n v="162.58000000000001"/>
    <n v="1.66"/>
    <n v="160.91999999999999"/>
    <d v="2025-12-12T00:00:00"/>
    <n v="1007263"/>
    <n v="3550"/>
    <n v="3.32"/>
    <n v="165.9"/>
    <d v="2025-12-01T00:00:00"/>
    <n v="162.58000000000001"/>
    <n v="3.32"/>
    <s v="NULL"/>
    <s v="PRO"/>
    <n v="1.66"/>
    <n v="160.91999999999999"/>
    <s v="PAID"/>
    <n v="2"/>
    <n v="1429461150137"/>
    <d v="2025-12-12T00:00:00"/>
    <d v="2025-12-01T00:00:00"/>
    <m/>
    <d v="2025-12-12T00:00:00"/>
    <d v="2025-12-09T12:07:00"/>
    <n v="35501007263"/>
    <d v="2025-12-01T00:00:00"/>
    <n v="43854"/>
    <s v="2% 01/10/26"/>
    <n v="205767"/>
    <d v="2025-12-01T00:00:00"/>
    <d v="2025-12-12T00:00:00"/>
    <n v="3.3180000000000001"/>
    <x v="0"/>
  </r>
  <r>
    <x v="55"/>
    <n v="1007462"/>
    <n v="532.20000000000005"/>
    <n v="10.64"/>
    <n v="521.55999999999995"/>
    <n v="5.32"/>
    <n v="516.24"/>
    <d v="2025-12-12T00:00:00"/>
    <n v="1007462"/>
    <n v="3550"/>
    <n v="10.64"/>
    <n v="532.20000000000005"/>
    <d v="2025-12-01T00:00:00"/>
    <n v="521.55999999999995"/>
    <n v="10.64"/>
    <s v="NULL"/>
    <s v="PRO"/>
    <n v="5.32"/>
    <n v="516.24"/>
    <s v="PAID"/>
    <n v="2"/>
    <n v="1429461150137"/>
    <d v="2025-12-12T00:00:00"/>
    <d v="2025-12-01T00:00:00"/>
    <m/>
    <d v="2025-12-12T00:00:00"/>
    <d v="2025-12-09T12:07:00"/>
    <n v="35501007462"/>
    <d v="2025-12-01T00:00:00"/>
    <n v="43993"/>
    <s v="2% 01/10/26"/>
    <n v="205960"/>
    <d v="2025-12-01T00:00:00"/>
    <d v="2025-12-12T00:00:00"/>
    <n v="10.644000000000002"/>
    <x v="0"/>
  </r>
  <r>
    <x v="55"/>
    <n v="1007539"/>
    <n v="3990"/>
    <m/>
    <n v="3990"/>
    <n v="39.9"/>
    <n v="3950.1"/>
    <d v="2025-12-12T00:00:00"/>
    <n v="1007539"/>
    <n v="3550"/>
    <n v="0"/>
    <n v="3990"/>
    <d v="2025-12-02T00:00:00"/>
    <n v="3990"/>
    <n v="0"/>
    <s v="NULL"/>
    <s v="PRO"/>
    <n v="39.9"/>
    <n v="3950.1"/>
    <s v="PAID"/>
    <n v="2"/>
    <n v="1429461150137"/>
    <d v="2025-12-12T00:00:00"/>
    <d v="2025-12-02T00:00:00"/>
    <m/>
    <d v="2025-12-12T00:00:00"/>
    <d v="2025-12-09T12:07:00"/>
    <n v="35501007539"/>
    <d v="2025-12-02T00:00:00"/>
    <s v="NULL"/>
    <s v="NET 02/10/26"/>
    <s v="NULL"/>
    <d v="2025-12-02T00:00:00"/>
    <d v="2025-12-12T00:00:00"/>
    <m/>
    <x v="0"/>
  </r>
  <r>
    <x v="55"/>
    <n v="1007749"/>
    <n v="685.17"/>
    <n v="13.7"/>
    <n v="671.47"/>
    <n v="6.85"/>
    <n v="664.62"/>
    <d v="2025-12-12T00:00:00"/>
    <n v="1007749"/>
    <n v="3550"/>
    <n v="13.7"/>
    <n v="685.17"/>
    <d v="2025-12-02T00:00:00"/>
    <n v="671.47"/>
    <n v="13.7"/>
    <s v="NULL"/>
    <s v="PRO"/>
    <n v="6.85"/>
    <n v="664.62"/>
    <s v="PAID"/>
    <n v="2"/>
    <n v="1429461150137"/>
    <d v="2025-12-12T00:00:00"/>
    <d v="2025-12-02T00:00:00"/>
    <m/>
    <d v="2025-12-12T00:00:00"/>
    <d v="2025-12-09T12:07:00"/>
    <n v="35501007749"/>
    <d v="2025-12-02T00:00:00"/>
    <n v="44025"/>
    <s v="2% 01/10/26"/>
    <n v="206207"/>
    <d v="2025-12-02T00:00:00"/>
    <d v="2025-12-12T00:00:00"/>
    <n v="13.7034"/>
    <x v="0"/>
  </r>
  <r>
    <x v="55"/>
    <n v="1007753"/>
    <n v="644.95000000000005"/>
    <m/>
    <n v="644.95000000000005"/>
    <n v="6.45"/>
    <n v="638.5"/>
    <d v="2025-12-12T00:00:00"/>
    <n v="1007753"/>
    <n v="3550"/>
    <n v="0"/>
    <n v="644.95000000000005"/>
    <d v="2025-12-02T00:00:00"/>
    <n v="644.95000000000005"/>
    <n v="0"/>
    <s v="NULL"/>
    <s v="PRO"/>
    <n v="6.45"/>
    <n v="638.5"/>
    <s v="PAID"/>
    <n v="2"/>
    <n v="1429461150137"/>
    <d v="2025-12-12T00:00:00"/>
    <d v="2025-12-02T00:00:00"/>
    <m/>
    <d v="2025-12-12T00:00:00"/>
    <d v="2025-12-09T12:07:00"/>
    <n v="35501007753"/>
    <d v="2025-12-02T00:00:00"/>
    <n v="44025"/>
    <s v="NET 01/10/26"/>
    <n v="206208"/>
    <d v="2025-12-02T00:00:00"/>
    <d v="2025-12-12T00:00:00"/>
    <m/>
    <x v="0"/>
  </r>
  <r>
    <x v="55"/>
    <n v="1007852"/>
    <n v="1179.7"/>
    <n v="23.59"/>
    <n v="1156.1099999999999"/>
    <n v="11.8"/>
    <n v="1144.31"/>
    <d v="2025-12-12T00:00:00"/>
    <n v="1007852"/>
    <n v="3550"/>
    <n v="23.59"/>
    <n v="1179.7"/>
    <d v="2025-12-02T00:00:00"/>
    <n v="1156.1099999999999"/>
    <n v="23.59"/>
    <s v="NULL"/>
    <s v="PRO"/>
    <n v="11.8"/>
    <n v="1144.31"/>
    <s v="PAID"/>
    <n v="2"/>
    <n v="1429461150137"/>
    <d v="2025-12-12T00:00:00"/>
    <d v="2025-12-02T00:00:00"/>
    <m/>
    <d v="2025-12-12T00:00:00"/>
    <d v="2025-12-09T12:07:00"/>
    <n v="35501007852"/>
    <d v="2025-12-02T00:00:00"/>
    <n v="44025"/>
    <s v="2% 01/10/26"/>
    <n v="206147"/>
    <d v="2025-12-02T00:00:00"/>
    <d v="2025-12-12T00:00:00"/>
    <n v="23.594000000000001"/>
    <x v="0"/>
  </r>
  <r>
    <x v="55"/>
    <n v="1007878"/>
    <n v="427.2"/>
    <m/>
    <n v="427.2"/>
    <n v="4.2699999999999996"/>
    <n v="422.93"/>
    <d v="2025-12-12T00:00:00"/>
    <n v="1007878"/>
    <n v="3550"/>
    <n v="0"/>
    <n v="427.2"/>
    <d v="2025-12-03T00:00:00"/>
    <n v="427.2"/>
    <n v="0"/>
    <s v="NULL"/>
    <s v="PRO"/>
    <n v="4.2699999999999996"/>
    <n v="422.93"/>
    <s v="PAID"/>
    <n v="2"/>
    <n v="1429461150137"/>
    <d v="2025-12-12T00:00:00"/>
    <d v="2025-12-03T00:00:00"/>
    <m/>
    <d v="2025-12-12T00:00:00"/>
    <d v="2025-12-09T12:07:00"/>
    <n v="35501007878"/>
    <d v="2025-12-03T00:00:00"/>
    <n v="44024"/>
    <s v="NET 01/10/26"/>
    <n v="206438"/>
    <d v="2025-12-03T00:00:00"/>
    <d v="2025-12-12T00:00:00"/>
    <m/>
    <x v="0"/>
  </r>
  <r>
    <x v="55"/>
    <n v="1007880"/>
    <n v="566.96"/>
    <m/>
    <n v="566.96"/>
    <n v="5.67"/>
    <n v="561.29"/>
    <d v="2025-12-12T00:00:00"/>
    <n v="1007880"/>
    <n v="3550"/>
    <n v="0"/>
    <n v="566.96"/>
    <d v="2025-12-03T00:00:00"/>
    <n v="566.96"/>
    <n v="0"/>
    <s v="NULL"/>
    <s v="PRO"/>
    <n v="5.67"/>
    <n v="561.29"/>
    <s v="PAID"/>
    <n v="2"/>
    <n v="1429461150137"/>
    <d v="2025-12-12T00:00:00"/>
    <d v="2025-12-03T00:00:00"/>
    <m/>
    <d v="2025-12-12T00:00:00"/>
    <d v="2025-12-09T12:07:00"/>
    <n v="35501007880"/>
    <d v="2025-12-03T00:00:00"/>
    <n v="43629"/>
    <s v="NET 01/10/26"/>
    <n v="206437"/>
    <d v="2025-12-03T00:00:00"/>
    <d v="2025-12-12T00:00:00"/>
    <m/>
    <x v="0"/>
  </r>
  <r>
    <x v="55"/>
    <n v="1008185"/>
    <n v="371.22"/>
    <m/>
    <n v="371.22"/>
    <n v="3.71"/>
    <n v="367.51"/>
    <d v="2025-12-12T00:00:00"/>
    <n v="1008185"/>
    <n v="3550"/>
    <n v="0"/>
    <n v="371.22"/>
    <d v="2025-12-04T00:00:00"/>
    <n v="371.22"/>
    <n v="0"/>
    <s v="NULL"/>
    <s v="PRO"/>
    <n v="3.71"/>
    <n v="367.51"/>
    <s v="PAID"/>
    <n v="2"/>
    <n v="1429461150137"/>
    <d v="2025-12-12T00:00:00"/>
    <d v="2025-12-04T00:00:00"/>
    <m/>
    <d v="2025-12-12T00:00:00"/>
    <d v="2025-12-09T12:07:00"/>
    <n v="35501008185"/>
    <d v="2025-12-04T00:00:00"/>
    <n v="44024"/>
    <s v="NET 01/10/26"/>
    <n v="206648"/>
    <d v="2025-12-04T00:00:00"/>
    <d v="2025-12-12T00:00:00"/>
    <m/>
    <x v="0"/>
  </r>
  <r>
    <x v="55"/>
    <n v="1008192"/>
    <n v="148.44"/>
    <m/>
    <n v="148.44"/>
    <n v="1.48"/>
    <n v="146.96"/>
    <d v="2025-12-12T00:00:00"/>
    <n v="1008192"/>
    <n v="3550"/>
    <n v="0"/>
    <n v="148.44"/>
    <d v="2025-12-04T00:00:00"/>
    <n v="148.44"/>
    <n v="0"/>
    <s v="NULL"/>
    <s v="PRO"/>
    <n v="1.48"/>
    <n v="146.96"/>
    <s v="PAID"/>
    <n v="2"/>
    <n v="1429461150137"/>
    <d v="2025-12-12T00:00:00"/>
    <d v="2025-12-04T00:00:00"/>
    <m/>
    <d v="2025-12-12T00:00:00"/>
    <d v="2025-12-09T12:07:00"/>
    <n v="35501008192"/>
    <d v="2025-12-04T00:00:00"/>
    <n v="44025"/>
    <s v="NET 01/10/26"/>
    <n v="206649"/>
    <d v="2025-12-04T00:00:00"/>
    <d v="2025-12-12T00:00:00"/>
    <m/>
    <x v="0"/>
  </r>
  <r>
    <x v="55"/>
    <n v="1008402"/>
    <n v="2215.2199999999998"/>
    <n v="44.3"/>
    <n v="2170.92"/>
    <n v="22.15"/>
    <n v="2148.77"/>
    <d v="2025-12-12T00:00:00"/>
    <n v="1008402"/>
    <n v="3550"/>
    <n v="44.3"/>
    <n v="2215.2199999999998"/>
    <d v="2025-12-05T00:00:00"/>
    <n v="2170.92"/>
    <n v="44.3"/>
    <s v="NULL"/>
    <s v="PRO"/>
    <n v="22.15"/>
    <n v="2148.77"/>
    <s v="PAID"/>
    <n v="2"/>
    <n v="1429461150137"/>
    <d v="2025-12-12T00:00:00"/>
    <d v="2025-12-05T00:00:00"/>
    <m/>
    <d v="2025-12-12T00:00:00"/>
    <d v="2025-12-09T12:07:00"/>
    <n v="35501008402"/>
    <d v="2025-12-05T00:00:00"/>
    <n v="44037"/>
    <s v="2% 01/10/26"/>
    <n v="206900"/>
    <d v="2025-12-05T00:00:00"/>
    <d v="2025-12-12T00:00:00"/>
    <n v="44.304399999999994"/>
    <x v="0"/>
  </r>
  <r>
    <x v="55"/>
    <n v="1008498"/>
    <n v="1875.78"/>
    <n v="37.520000000000003"/>
    <n v="1838.26"/>
    <n v="18.760000000000002"/>
    <n v="1819.5"/>
    <d v="2025-12-12T00:00:00"/>
    <n v="1008498"/>
    <n v="3550"/>
    <n v="37.520000000000003"/>
    <n v="1875.78"/>
    <d v="2025-12-05T00:00:00"/>
    <n v="1838.26"/>
    <n v="37.520000000000003"/>
    <s v="NULL"/>
    <s v="PRO"/>
    <n v="18.760000000000002"/>
    <n v="1819.5"/>
    <s v="PAID"/>
    <n v="2"/>
    <n v="1429461150137"/>
    <d v="2025-12-12T00:00:00"/>
    <d v="2025-12-05T00:00:00"/>
    <m/>
    <d v="2025-12-12T00:00:00"/>
    <d v="2025-12-09T12:07:00"/>
    <n v="35501008498"/>
    <d v="2025-12-05T00:00:00"/>
    <n v="44036"/>
    <s v="2% 01/10/26"/>
    <n v="206899"/>
    <d v="2025-12-05T00:00:00"/>
    <d v="2025-12-12T00:00:00"/>
    <n v="37.515599999999999"/>
    <x v="0"/>
  </r>
  <r>
    <x v="55"/>
    <n v="1008531"/>
    <n v="2003.92"/>
    <m/>
    <n v="2003.92"/>
    <n v="20.04"/>
    <n v="1983.88"/>
    <d v="2025-12-12T00:00:00"/>
    <n v="1008531"/>
    <n v="3550"/>
    <n v="0"/>
    <n v="2003.92"/>
    <d v="2025-12-05T00:00:00"/>
    <n v="2003.92"/>
    <n v="0"/>
    <s v="NULL"/>
    <s v="PRO"/>
    <n v="20.04"/>
    <n v="1983.88"/>
    <s v="PAID"/>
    <n v="2"/>
    <n v="1429461150137"/>
    <d v="2025-12-12T00:00:00"/>
    <d v="2025-12-05T00:00:00"/>
    <m/>
    <d v="2025-12-12T00:00:00"/>
    <d v="2025-12-09T12:07:00"/>
    <n v="35501008531"/>
    <d v="2025-12-05T00:00:00"/>
    <n v="44029"/>
    <s v="NET 01/10/26"/>
    <n v="206806"/>
    <d v="2025-12-05T00:00:00"/>
    <d v="2025-12-12T00:00:00"/>
    <m/>
    <x v="0"/>
  </r>
  <r>
    <x v="56"/>
    <n v="1007394"/>
    <n v="272.8"/>
    <n v="5.46"/>
    <n v="267.33999999999997"/>
    <n v="2.73"/>
    <n v="264.61"/>
    <d v="2025-12-12T00:00:00"/>
    <n v="1007394"/>
    <n v="3564"/>
    <n v="5.46"/>
    <n v="272.8"/>
    <d v="2025-12-01T00:00:00"/>
    <n v="267.33999999999997"/>
    <n v="5.46"/>
    <s v="NULL"/>
    <s v="PRO"/>
    <n v="2.73"/>
    <n v="264.61"/>
    <s v="PAID"/>
    <n v="2"/>
    <n v="3526136767226"/>
    <d v="2025-12-12T00:00:00"/>
    <d v="2025-12-01T00:00:00"/>
    <m/>
    <d v="2025-12-12T00:00:00"/>
    <d v="2025-12-11T13:31:00"/>
    <n v="35641007394"/>
    <d v="2025-12-01T00:00:00"/>
    <n v="17540"/>
    <s v="2% 01/10/26"/>
    <n v="205997"/>
    <d v="2025-12-01T00:00:00"/>
    <d v="2025-12-12T00:00:00"/>
    <n v="5.4560000000000004"/>
    <x v="0"/>
  </r>
  <r>
    <x v="56"/>
    <n v="1007607"/>
    <n v="3990"/>
    <m/>
    <n v="3990"/>
    <n v="39.9"/>
    <n v="3950.1"/>
    <d v="2025-12-12T00:00:00"/>
    <n v="1007607"/>
    <n v="3564"/>
    <n v="0"/>
    <n v="3990"/>
    <d v="2025-12-02T00:00:00"/>
    <n v="3990"/>
    <n v="0"/>
    <s v="NULL"/>
    <s v="PRO"/>
    <n v="39.9"/>
    <n v="3950.1"/>
    <s v="PAID"/>
    <n v="2"/>
    <n v="3526136767226"/>
    <d v="2025-12-12T00:00:00"/>
    <d v="2025-12-02T00:00:00"/>
    <m/>
    <d v="2025-12-12T00:00:00"/>
    <d v="2025-12-11T13:31:00"/>
    <n v="35641007607"/>
    <d v="2025-12-02T00:00:00"/>
    <s v="NULL"/>
    <s v="NET 02/10/26"/>
    <s v="NULL"/>
    <d v="2025-12-02T00:00:00"/>
    <d v="2025-12-12T00:00:00"/>
    <m/>
    <x v="0"/>
  </r>
  <r>
    <x v="56"/>
    <n v="1007802"/>
    <n v="1739.21"/>
    <m/>
    <n v="1739.21"/>
    <n v="17.39"/>
    <n v="1721.82"/>
    <d v="2025-12-12T00:00:00"/>
    <n v="1007802"/>
    <n v="3564"/>
    <n v="0"/>
    <n v="1739.21"/>
    <d v="2025-12-02T00:00:00"/>
    <n v="1739.21"/>
    <n v="0"/>
    <s v="NULL"/>
    <s v="PRO"/>
    <n v="17.39"/>
    <n v="1721.82"/>
    <s v="PAID"/>
    <n v="2"/>
    <n v="3526136767226"/>
    <d v="2025-12-12T00:00:00"/>
    <d v="2025-12-02T00:00:00"/>
    <m/>
    <d v="2025-12-12T00:00:00"/>
    <d v="2025-12-11T13:31:00"/>
    <n v="35641007802"/>
    <d v="2025-12-02T00:00:00"/>
    <n v="17567"/>
    <s v="NET 01/10/26"/>
    <n v="206082"/>
    <d v="2025-12-02T00:00:00"/>
    <d v="2025-12-12T00:00:00"/>
    <m/>
    <x v="0"/>
  </r>
  <r>
    <x v="56"/>
    <n v="1007809"/>
    <n v="828.19"/>
    <m/>
    <n v="828.19"/>
    <n v="8.2799999999999994"/>
    <n v="819.91"/>
    <d v="2025-12-12T00:00:00"/>
    <n v="1007809"/>
    <n v="3564"/>
    <n v="0"/>
    <n v="828.19"/>
    <d v="2025-12-02T00:00:00"/>
    <n v="828.19"/>
    <n v="0"/>
    <s v="NULL"/>
    <s v="PRO"/>
    <n v="8.2799999999999994"/>
    <n v="819.91"/>
    <s v="PAID"/>
    <n v="2"/>
    <n v="3526136767226"/>
    <d v="2025-12-12T00:00:00"/>
    <d v="2025-12-02T00:00:00"/>
    <m/>
    <d v="2025-12-12T00:00:00"/>
    <d v="2025-12-11T13:31:00"/>
    <n v="35641007809"/>
    <d v="2025-12-02T00:00:00"/>
    <s v="17445  PRO SHOW"/>
    <s v="NET 01/10/26"/>
    <n v="206081"/>
    <d v="2025-12-02T00:00:00"/>
    <d v="2025-12-12T00:00:00"/>
    <m/>
    <x v="0"/>
  </r>
  <r>
    <x v="56"/>
    <n v="1007894"/>
    <n v="1127.52"/>
    <n v="22.55"/>
    <n v="1104.97"/>
    <n v="11.28"/>
    <n v="1093.69"/>
    <d v="2025-12-12T00:00:00"/>
    <n v="1007894"/>
    <n v="3564"/>
    <n v="22.55"/>
    <n v="1127.52"/>
    <d v="2025-12-03T00:00:00"/>
    <n v="1104.97"/>
    <n v="22.55"/>
    <s v="NULL"/>
    <s v="PRO"/>
    <n v="11.28"/>
    <n v="1093.69"/>
    <s v="PAID"/>
    <n v="2"/>
    <n v="3526136767226"/>
    <d v="2025-12-12T00:00:00"/>
    <d v="2025-12-03T00:00:00"/>
    <m/>
    <d v="2025-12-12T00:00:00"/>
    <d v="2025-12-11T13:31:00"/>
    <n v="35641007894"/>
    <d v="2025-12-03T00:00:00"/>
    <n v="17559"/>
    <s v="2% 01/10/26"/>
    <n v="206499"/>
    <d v="2025-12-03T00:00:00"/>
    <d v="2025-12-12T00:00:00"/>
    <n v="22.5504"/>
    <x v="0"/>
  </r>
  <r>
    <x v="56"/>
    <n v="1008034"/>
    <n v="1345.86"/>
    <n v="26.92"/>
    <n v="1318.94"/>
    <n v="13.46"/>
    <n v="1305.48"/>
    <d v="2025-12-12T00:00:00"/>
    <n v="1008034"/>
    <n v="3564"/>
    <n v="26.92"/>
    <n v="1345.86"/>
    <d v="2025-12-03T00:00:00"/>
    <n v="1318.94"/>
    <n v="26.92"/>
    <s v="NULL"/>
    <s v="PRO"/>
    <n v="13.46"/>
    <n v="1305.48"/>
    <s v="PAID"/>
    <n v="2"/>
    <n v="3526136767226"/>
    <d v="2025-12-12T00:00:00"/>
    <d v="2025-12-03T00:00:00"/>
    <m/>
    <d v="2025-12-12T00:00:00"/>
    <d v="2025-12-11T13:31:00"/>
    <n v="35641008034"/>
    <d v="2025-12-03T00:00:00"/>
    <n v="17540"/>
    <s v="2% 01/10/26"/>
    <n v="206054"/>
    <d v="2025-12-03T00:00:00"/>
    <d v="2025-12-12T00:00:00"/>
    <n v="26.917199999999998"/>
    <x v="0"/>
  </r>
  <r>
    <x v="56"/>
    <n v="1008236"/>
    <n v="799.9"/>
    <m/>
    <n v="799.9"/>
    <n v="8"/>
    <n v="791.9"/>
    <d v="2025-12-12T00:00:00"/>
    <n v="1008236"/>
    <n v="3564"/>
    <n v="0"/>
    <n v="799.9"/>
    <d v="2025-12-04T00:00:00"/>
    <n v="799.9"/>
    <n v="0"/>
    <s v="NULL"/>
    <s v="PRO"/>
    <n v="8"/>
    <n v="791.9"/>
    <s v="PAID"/>
    <n v="2"/>
    <n v="3526136767226"/>
    <d v="2025-12-12T00:00:00"/>
    <d v="2025-12-04T00:00:00"/>
    <m/>
    <d v="2025-12-12T00:00:00"/>
    <d v="2025-12-11T13:31:00"/>
    <n v="35641008236"/>
    <d v="2025-12-04T00:00:00"/>
    <n v="17559"/>
    <s v="NET 01/10/26"/>
    <n v="206505"/>
    <d v="2025-12-04T00:00:00"/>
    <d v="2025-12-12T00:00:00"/>
    <m/>
    <x v="0"/>
  </r>
  <r>
    <x v="57"/>
    <n v="1007828"/>
    <n v="134.97"/>
    <m/>
    <n v="134.97"/>
    <n v="1.35"/>
    <n v="133.62"/>
    <d v="2025-12-12T00:00:00"/>
    <n v="1007828"/>
    <n v="3571"/>
    <n v="0"/>
    <n v="134.97"/>
    <d v="2025-12-02T00:00:00"/>
    <n v="134.97"/>
    <n v="0"/>
    <s v="NULL"/>
    <s v="PRO"/>
    <n v="1.35"/>
    <n v="133.62"/>
    <s v="PAID"/>
    <n v="2"/>
    <n v="4913749881737"/>
    <d v="2025-12-12T00:00:00"/>
    <d v="2025-12-02T00:00:00"/>
    <m/>
    <d v="2025-12-12T00:00:00"/>
    <d v="2025-12-12T09:08:00"/>
    <n v="35711007828"/>
    <d v="2025-12-02T00:00:00"/>
    <s v="PO-25-01130"/>
    <s v="2% 01/10/26"/>
    <n v="206036"/>
    <d v="2025-12-02T00:00:00"/>
    <d v="2025-12-12T00:00:00"/>
    <n v="2.6994000000000002"/>
    <x v="1"/>
  </r>
  <r>
    <x v="57"/>
    <n v="1008135"/>
    <n v="1133.27"/>
    <m/>
    <n v="1133.27"/>
    <n v="11.33"/>
    <n v="1121.94"/>
    <d v="2025-12-12T00:00:00"/>
    <n v="1008135"/>
    <n v="3571"/>
    <n v="0"/>
    <n v="1133.27"/>
    <d v="2025-12-04T00:00:00"/>
    <n v="1133.27"/>
    <n v="0"/>
    <s v="NULL"/>
    <s v="PRO"/>
    <n v="11.33"/>
    <n v="1121.94"/>
    <s v="PAID"/>
    <n v="2"/>
    <n v="4913749881737"/>
    <d v="2025-12-12T00:00:00"/>
    <d v="2025-12-04T00:00:00"/>
    <m/>
    <d v="2025-12-12T00:00:00"/>
    <d v="2025-12-12T09:08:00"/>
    <n v="35711008135"/>
    <d v="2025-12-04T00:00:00"/>
    <s v="PO-25-01636"/>
    <s v="2% 01/10/26"/>
    <n v="206679"/>
    <d v="2025-12-04T00:00:00"/>
    <d v="2025-12-12T00:00:00"/>
    <n v="22.665400000000002"/>
    <x v="1"/>
  </r>
  <r>
    <x v="57"/>
    <n v="1008247"/>
    <n v="92.29"/>
    <m/>
    <n v="92.29"/>
    <n v="0.92"/>
    <n v="91.37"/>
    <d v="2025-12-12T00:00:00"/>
    <n v="1008247"/>
    <n v="3571"/>
    <n v="0"/>
    <n v="92.29"/>
    <d v="2025-12-04T00:00:00"/>
    <n v="92.29"/>
    <n v="0"/>
    <s v="NULL"/>
    <s v="PRO"/>
    <n v="0.92"/>
    <n v="91.37"/>
    <s v="PAID"/>
    <n v="2"/>
    <n v="4913749881737"/>
    <d v="2025-12-12T00:00:00"/>
    <d v="2025-12-04T00:00:00"/>
    <m/>
    <d v="2025-12-12T00:00:00"/>
    <d v="2025-12-12T09:08:00"/>
    <n v="35711008247"/>
    <d v="2025-12-04T00:00:00"/>
    <s v="PO-25-01592"/>
    <s v="2% 01/10/26"/>
    <n v="206574"/>
    <d v="2025-12-04T00:00:00"/>
    <d v="2025-12-12T00:00:00"/>
    <n v="1.8458000000000001"/>
    <x v="1"/>
  </r>
  <r>
    <x v="57"/>
    <n v="1008250"/>
    <n v="727.16"/>
    <m/>
    <n v="727.16"/>
    <n v="7.27"/>
    <n v="719.89"/>
    <d v="2025-12-12T00:00:00"/>
    <n v="1008250"/>
    <n v="3571"/>
    <n v="0"/>
    <n v="727.16"/>
    <d v="2025-12-04T00:00:00"/>
    <n v="727.16"/>
    <n v="0"/>
    <s v="NULL"/>
    <s v="PRO"/>
    <n v="7.27"/>
    <n v="719.89"/>
    <s v="PAID"/>
    <n v="2"/>
    <n v="4913749881737"/>
    <d v="2025-12-12T00:00:00"/>
    <d v="2025-12-04T00:00:00"/>
    <m/>
    <d v="2025-12-12T00:00:00"/>
    <d v="2025-12-12T09:08:00"/>
    <n v="35711008250"/>
    <d v="2025-12-04T00:00:00"/>
    <s v="PO-25-01522"/>
    <s v="2% 01/10/26"/>
    <n v="206573"/>
    <d v="2025-12-04T00:00:00"/>
    <d v="2025-12-12T00:00:00"/>
    <n v="14.543199999999999"/>
    <x v="1"/>
  </r>
  <r>
    <x v="57"/>
    <n v="1009355"/>
    <n v="-190.87"/>
    <m/>
    <n v="-190.87"/>
    <m/>
    <n v="-190.87"/>
    <d v="2025-12-12T00:00:00"/>
    <n v="1009355"/>
    <n v="3571"/>
    <n v="0"/>
    <n v="-190.87"/>
    <d v="2025-12-10T00:00:00"/>
    <n v="-190.87"/>
    <n v="0"/>
    <n v="1009355"/>
    <s v="PRO"/>
    <n v="0"/>
    <n v="-190.87"/>
    <s v="PAID"/>
    <n v="2"/>
    <n v="4913749881737"/>
    <d v="2025-12-12T00:00:00"/>
    <d v="2025-12-10T00:00:00"/>
    <m/>
    <d v="2025-12-12T00:00:00"/>
    <d v="2025-12-12T09:08:00"/>
    <n v="35711009355"/>
    <d v="2025-12-10T00:00:00"/>
    <s v="N/A"/>
    <s v="NET 01/10/26"/>
    <s v="NMCNoINV"/>
    <d v="2025-12-10T00:00:00"/>
    <d v="2025-12-12T00:00:00"/>
    <m/>
    <x v="0"/>
  </r>
  <r>
    <x v="58"/>
    <n v="1007280"/>
    <n v="66.36"/>
    <n v="1.33"/>
    <n v="65.03"/>
    <n v="0.66"/>
    <n v="64.37"/>
    <d v="2025-12-12T00:00:00"/>
    <n v="1007280"/>
    <n v="3578"/>
    <n v="1.33"/>
    <n v="66.36"/>
    <d v="2025-12-01T00:00:00"/>
    <n v="65.03"/>
    <n v="1.33"/>
    <s v="NULL"/>
    <s v="PRO"/>
    <n v="0.66"/>
    <n v="64.37"/>
    <s v="PAID"/>
    <n v="2"/>
    <n v="5302428888767"/>
    <d v="2025-12-12T00:00:00"/>
    <d v="2025-12-01T00:00:00"/>
    <m/>
    <d v="2025-12-12T00:00:00"/>
    <d v="2025-12-11T10:57:00"/>
    <n v="35781007280"/>
    <d v="2025-12-01T00:00:00"/>
    <n v="152756"/>
    <s v="2% 01/10/26"/>
    <n v="205819"/>
    <d v="2025-12-01T00:00:00"/>
    <d v="2025-12-12T00:00:00"/>
    <n v="1.3271999999999999"/>
    <x v="0"/>
  </r>
  <r>
    <x v="58"/>
    <n v="1007327"/>
    <n v="99.54"/>
    <n v="1.99"/>
    <n v="97.55"/>
    <n v="1"/>
    <n v="96.55"/>
    <d v="2025-12-12T00:00:00"/>
    <n v="1007327"/>
    <n v="3578"/>
    <n v="1.99"/>
    <n v="99.54"/>
    <d v="2025-12-01T00:00:00"/>
    <n v="97.55"/>
    <n v="1.99"/>
    <s v="NULL"/>
    <s v="PRO"/>
    <n v="1"/>
    <n v="96.55"/>
    <s v="PAID"/>
    <n v="2"/>
    <n v="5302428888767"/>
    <d v="2025-12-12T00:00:00"/>
    <d v="2025-12-01T00:00:00"/>
    <m/>
    <d v="2025-12-12T00:00:00"/>
    <d v="2025-12-11T10:57:00"/>
    <n v="35781007327"/>
    <d v="2025-12-01T00:00:00"/>
    <n v="153187"/>
    <s v="2% 01/10/26"/>
    <n v="205821"/>
    <d v="2025-12-01T00:00:00"/>
    <d v="2025-12-12T00:00:00"/>
    <n v="1.9908000000000001"/>
    <x v="0"/>
  </r>
  <r>
    <x v="58"/>
    <n v="1007334"/>
    <n v="232.26"/>
    <n v="4.6500000000000004"/>
    <n v="227.61"/>
    <n v="2.3199999999999998"/>
    <n v="225.29"/>
    <d v="2025-12-12T00:00:00"/>
    <n v="1007334"/>
    <n v="3578"/>
    <n v="4.6500000000000004"/>
    <n v="232.26"/>
    <d v="2025-12-01T00:00:00"/>
    <n v="227.61"/>
    <n v="4.6500000000000004"/>
    <s v="NULL"/>
    <s v="PRO"/>
    <n v="2.3199999999999998"/>
    <n v="225.29"/>
    <s v="PAID"/>
    <n v="2"/>
    <n v="5302428888767"/>
    <d v="2025-12-12T00:00:00"/>
    <d v="2025-12-01T00:00:00"/>
    <m/>
    <d v="2025-12-12T00:00:00"/>
    <d v="2025-12-11T10:57:00"/>
    <n v="35781007334"/>
    <d v="2025-12-01T00:00:00"/>
    <n v="152972"/>
    <s v="2% 01/10/26"/>
    <n v="205820"/>
    <d v="2025-12-01T00:00:00"/>
    <d v="2025-12-12T00:00:00"/>
    <n v="4.6452"/>
    <x v="0"/>
  </r>
  <r>
    <x v="58"/>
    <n v="1007502"/>
    <n v="3990"/>
    <m/>
    <n v="3990"/>
    <n v="39.9"/>
    <n v="3950.1"/>
    <d v="2025-12-12T00:00:00"/>
    <n v="1007502"/>
    <n v="3578"/>
    <n v="0"/>
    <n v="3990"/>
    <d v="2025-12-02T00:00:00"/>
    <n v="3990"/>
    <n v="0"/>
    <s v="NULL"/>
    <s v="PRO"/>
    <n v="39.9"/>
    <n v="3950.1"/>
    <s v="PAID"/>
    <n v="2"/>
    <n v="5302428888767"/>
    <d v="2025-12-12T00:00:00"/>
    <d v="2025-12-02T00:00:00"/>
    <m/>
    <d v="2025-12-12T00:00:00"/>
    <d v="2025-12-11T10:57:00"/>
    <n v="35781007502"/>
    <d v="2025-12-02T00:00:00"/>
    <s v="NULL"/>
    <s v="NET 02/10/26"/>
    <s v="NULL"/>
    <d v="2025-12-02T00:00:00"/>
    <d v="2025-12-12T00:00:00"/>
    <m/>
    <x v="0"/>
  </r>
  <r>
    <x v="58"/>
    <n v="1007744"/>
    <n v="45.61"/>
    <n v="0.91"/>
    <n v="44.7"/>
    <n v="0.46"/>
    <n v="44.24"/>
    <d v="2025-12-12T00:00:00"/>
    <n v="1007744"/>
    <n v="3578"/>
    <n v="0.91"/>
    <n v="45.61"/>
    <d v="2025-12-02T00:00:00"/>
    <n v="44.7"/>
    <n v="0.91"/>
    <s v="NULL"/>
    <s v="PRO"/>
    <n v="0.46"/>
    <n v="44.24"/>
    <s v="PAID"/>
    <n v="2"/>
    <n v="5302428888767"/>
    <d v="2025-12-12T00:00:00"/>
    <d v="2025-12-02T00:00:00"/>
    <m/>
    <d v="2025-12-12T00:00:00"/>
    <d v="2025-12-11T10:57:00"/>
    <n v="35781007744"/>
    <d v="2025-12-02T00:00:00"/>
    <n v="153508"/>
    <s v="2% 01/10/26"/>
    <n v="206158"/>
    <d v="2025-12-02T00:00:00"/>
    <d v="2025-12-12T00:00:00"/>
    <n v="0.91220000000000001"/>
    <x v="0"/>
  </r>
  <r>
    <x v="58"/>
    <n v="1008000"/>
    <n v="984.04"/>
    <n v="19.68"/>
    <n v="964.36"/>
    <n v="9.84"/>
    <n v="954.52"/>
    <d v="2025-12-12T00:00:00"/>
    <n v="1008000"/>
    <n v="3578"/>
    <n v="19.68"/>
    <n v="984.04"/>
    <d v="2025-12-03T00:00:00"/>
    <n v="964.36"/>
    <n v="19.68"/>
    <s v="NULL"/>
    <s v="PRO"/>
    <n v="9.84"/>
    <n v="954.52"/>
    <s v="PAID"/>
    <n v="2"/>
    <n v="5302428888767"/>
    <d v="2025-12-12T00:00:00"/>
    <d v="2025-12-03T00:00:00"/>
    <m/>
    <d v="2025-12-12T00:00:00"/>
    <d v="2025-12-11T10:57:00"/>
    <n v="35781008000"/>
    <d v="2025-12-03T00:00:00"/>
    <n v="153508"/>
    <s v="2% 01/10/26"/>
    <n v="206233"/>
    <d v="2025-12-03T00:00:00"/>
    <d v="2025-12-12T00:00:00"/>
    <n v="19.680800000000001"/>
    <x v="0"/>
  </r>
  <r>
    <x v="58"/>
    <n v="1008084"/>
    <n v="35.1"/>
    <n v="0.7"/>
    <n v="34.4"/>
    <n v="0.35"/>
    <n v="34.049999999999997"/>
    <d v="2025-12-12T00:00:00"/>
    <n v="1008084"/>
    <n v="3578"/>
    <n v="0.7"/>
    <n v="35.1"/>
    <d v="2025-12-04T00:00:00"/>
    <n v="34.4"/>
    <n v="0.7"/>
    <s v="NULL"/>
    <s v="PRO"/>
    <n v="0.35"/>
    <n v="34.049999999999997"/>
    <s v="PAID"/>
    <n v="2"/>
    <n v="5302428888767"/>
    <d v="2025-12-12T00:00:00"/>
    <d v="2025-12-04T00:00:00"/>
    <m/>
    <d v="2025-12-12T00:00:00"/>
    <d v="2025-12-11T10:57:00"/>
    <n v="35781008084"/>
    <d v="2025-12-04T00:00:00"/>
    <n v="153425"/>
    <s v="2% 01/10/26"/>
    <n v="206408"/>
    <d v="2025-12-04T00:00:00"/>
    <d v="2025-12-12T00:00:00"/>
    <n v="0.70200000000000007"/>
    <x v="0"/>
  </r>
  <r>
    <x v="58"/>
    <n v="1008089"/>
    <n v="35.1"/>
    <n v="0.7"/>
    <n v="34.4"/>
    <n v="0.35"/>
    <n v="34.049999999999997"/>
    <d v="2025-12-12T00:00:00"/>
    <n v="1008089"/>
    <n v="3578"/>
    <n v="0.7"/>
    <n v="35.1"/>
    <d v="2025-12-04T00:00:00"/>
    <n v="34.4"/>
    <n v="0.7"/>
    <s v="NULL"/>
    <s v="PRO"/>
    <n v="0.35"/>
    <n v="34.049999999999997"/>
    <s v="PAID"/>
    <n v="2"/>
    <n v="5302428888767"/>
    <d v="2025-12-12T00:00:00"/>
    <d v="2025-12-04T00:00:00"/>
    <m/>
    <d v="2025-12-12T00:00:00"/>
    <d v="2025-12-11T10:57:00"/>
    <n v="35781008089"/>
    <d v="2025-12-04T00:00:00"/>
    <n v="153486"/>
    <s v="2% 01/10/26"/>
    <n v="206409"/>
    <d v="2025-12-04T00:00:00"/>
    <d v="2025-12-12T00:00:00"/>
    <n v="0.70200000000000007"/>
    <x v="0"/>
  </r>
  <r>
    <x v="58"/>
    <n v="1008169"/>
    <n v="363.78"/>
    <n v="7.28"/>
    <n v="356.5"/>
    <n v="3.64"/>
    <n v="352.86"/>
    <d v="2025-12-12T00:00:00"/>
    <n v="1008169"/>
    <n v="3578"/>
    <n v="7.28"/>
    <n v="363.78"/>
    <d v="2025-12-04T00:00:00"/>
    <n v="356.5"/>
    <n v="7.28"/>
    <s v="NULL"/>
    <s v="PRO"/>
    <n v="3.64"/>
    <n v="352.86"/>
    <s v="PAID"/>
    <n v="2"/>
    <n v="5302428888767"/>
    <d v="2025-12-12T00:00:00"/>
    <d v="2025-12-04T00:00:00"/>
    <m/>
    <d v="2025-12-12T00:00:00"/>
    <d v="2025-12-11T10:57:00"/>
    <n v="35781008169"/>
    <d v="2025-12-04T00:00:00"/>
    <n v="153553"/>
    <s v="2% 01/10/26"/>
    <n v="206730"/>
    <d v="2025-12-04T00:00:00"/>
    <d v="2025-12-12T00:00:00"/>
    <n v="7.2755999999999998"/>
    <x v="0"/>
  </r>
  <r>
    <x v="58"/>
    <n v="1008288"/>
    <n v="-50"/>
    <m/>
    <n v="-50"/>
    <m/>
    <n v="-50"/>
    <d v="2025-12-12T00:00:00"/>
    <n v="1008288"/>
    <n v="3578"/>
    <n v="0"/>
    <n v="-50"/>
    <d v="2025-12-04T00:00:00"/>
    <n v="-50"/>
    <n v="0"/>
    <s v="NMCNoINV"/>
    <s v="PRO"/>
    <n v="0"/>
    <n v="-50"/>
    <s v="PAID"/>
    <n v="2"/>
    <n v="5302428888767"/>
    <d v="2025-12-12T00:00:00"/>
    <d v="2025-12-04T00:00:00"/>
    <m/>
    <d v="2025-12-12T00:00:00"/>
    <d v="2025-12-11T10:57:00"/>
    <n v="35781008288"/>
    <d v="2025-12-04T00:00:00"/>
    <s v="N/A"/>
    <s v="NET 01/10/26"/>
    <s v="NMCNoINV"/>
    <d v="2025-12-04T00:00:00"/>
    <d v="2025-12-12T00:00:00"/>
    <m/>
    <x v="0"/>
  </r>
  <r>
    <x v="58"/>
    <n v="1008350"/>
    <n v="353.32"/>
    <m/>
    <n v="353.32"/>
    <n v="3.53"/>
    <n v="349.79"/>
    <d v="2025-12-12T00:00:00"/>
    <n v="1008350"/>
    <n v="3578"/>
    <n v="0"/>
    <n v="353.32"/>
    <d v="2025-12-05T00:00:00"/>
    <n v="353.32"/>
    <n v="0"/>
    <s v="A112946"/>
    <s v="HAHNEMUHLE"/>
    <n v="3.53"/>
    <n v="349.79"/>
    <s v="PAID"/>
    <n v="2"/>
    <n v="5302428888767"/>
    <d v="2025-12-12T00:00:00"/>
    <d v="2025-12-05T00:00:00"/>
    <m/>
    <d v="2025-12-12T00:00:00"/>
    <d v="2025-12-11T10:57:00"/>
    <n v="35781008350"/>
    <d v="2025-12-05T00:00:00"/>
    <n v="153515"/>
    <s v="NET 01/10/26"/>
    <s v="A112946"/>
    <d v="2025-12-05T00:00:00"/>
    <d v="2025-12-12T00:00:00"/>
    <m/>
    <x v="0"/>
  </r>
  <r>
    <x v="58"/>
    <n v="1008377"/>
    <n v="96.52"/>
    <m/>
    <n v="96.52"/>
    <n v="0.97"/>
    <n v="95.55"/>
    <d v="2025-12-12T00:00:00"/>
    <n v="1008377"/>
    <n v="3578"/>
    <n v="0"/>
    <n v="96.52"/>
    <d v="2025-12-05T00:00:00"/>
    <n v="96.52"/>
    <n v="0"/>
    <s v="USW811720"/>
    <s v="NISI"/>
    <n v="0.97"/>
    <n v="95.55"/>
    <s v="PAID"/>
    <n v="2"/>
    <n v="5302428888767"/>
    <d v="2025-12-12T00:00:00"/>
    <d v="2025-12-05T00:00:00"/>
    <m/>
    <d v="2025-12-12T00:00:00"/>
    <d v="2025-12-11T10:57:00"/>
    <n v="35781008377"/>
    <d v="2025-12-05T00:00:00"/>
    <s v="NULL"/>
    <s v="NET 01/10/26"/>
    <s v="USW811720"/>
    <d v="2025-12-05T00:00:00"/>
    <d v="2025-12-12T00:00:00"/>
    <m/>
    <x v="0"/>
  </r>
  <r>
    <x v="58"/>
    <n v="1008442"/>
    <n v="63.85"/>
    <n v="1.28"/>
    <n v="62.57"/>
    <n v="0.64"/>
    <n v="61.93"/>
    <d v="2025-12-12T00:00:00"/>
    <n v="1008442"/>
    <n v="3578"/>
    <n v="1.28"/>
    <n v="63.85"/>
    <d v="2025-12-05T00:00:00"/>
    <n v="62.57"/>
    <n v="1.28"/>
    <s v="NULL"/>
    <s v="PRO"/>
    <n v="0.64"/>
    <n v="61.93"/>
    <s v="PAID"/>
    <n v="2"/>
    <n v="5302428888767"/>
    <d v="2025-12-12T00:00:00"/>
    <d v="2025-12-05T00:00:00"/>
    <m/>
    <d v="2025-12-12T00:00:00"/>
    <d v="2025-12-11T10:57:00"/>
    <n v="35781008442"/>
    <d v="2025-12-05T00:00:00"/>
    <n v="153508"/>
    <s v="2% 01/10/26"/>
    <n v="206615"/>
    <d v="2025-12-05T00:00:00"/>
    <d v="2025-12-12T00:00:00"/>
    <n v="1.2770000000000001"/>
    <x v="0"/>
  </r>
  <r>
    <x v="58"/>
    <n v="1008484"/>
    <n v="1251.3399999999999"/>
    <n v="25.03"/>
    <n v="1226.31"/>
    <n v="12.51"/>
    <n v="1213.8"/>
    <d v="2025-12-12T00:00:00"/>
    <n v="1008484"/>
    <n v="3578"/>
    <n v="25.03"/>
    <n v="1251.3399999999999"/>
    <d v="2025-12-05T00:00:00"/>
    <n v="1226.31"/>
    <n v="25.03"/>
    <s v="NULL"/>
    <s v="PRO"/>
    <n v="12.51"/>
    <n v="1213.8"/>
    <s v="PAID"/>
    <n v="2"/>
    <n v="5302428888767"/>
    <d v="2025-12-12T00:00:00"/>
    <d v="2025-12-05T00:00:00"/>
    <m/>
    <d v="2025-12-12T00:00:00"/>
    <d v="2025-12-11T10:57:00"/>
    <n v="35781008484"/>
    <d v="2025-12-05T00:00:00"/>
    <n v="153553"/>
    <s v="2% 01/10/26"/>
    <n v="206741"/>
    <d v="2025-12-05T00:00:00"/>
    <d v="2025-12-12T00:00:00"/>
    <n v="25.026799999999998"/>
    <x v="0"/>
  </r>
  <r>
    <x v="58"/>
    <n v="1008488"/>
    <n v="327.86"/>
    <m/>
    <n v="327.86"/>
    <n v="3.28"/>
    <n v="324.58"/>
    <d v="2025-12-12T00:00:00"/>
    <n v="1008488"/>
    <n v="3578"/>
    <n v="0"/>
    <n v="327.86"/>
    <d v="2025-12-05T00:00:00"/>
    <n v="327.86"/>
    <n v="0"/>
    <s v="NULL"/>
    <s v="PRO"/>
    <n v="3.28"/>
    <n v="324.58"/>
    <s v="PAID"/>
    <n v="2"/>
    <n v="5302428888767"/>
    <d v="2025-12-12T00:00:00"/>
    <d v="2025-12-05T00:00:00"/>
    <m/>
    <d v="2025-12-12T00:00:00"/>
    <d v="2025-12-11T10:57:00"/>
    <n v="35781008488"/>
    <d v="2025-12-05T00:00:00"/>
    <n v="153553"/>
    <s v="NET 01/10/26"/>
    <n v="206742"/>
    <d v="2025-12-05T00:00:00"/>
    <d v="2025-12-12T00:00:00"/>
    <m/>
    <x v="0"/>
  </r>
  <r>
    <x v="59"/>
    <n v="1007532"/>
    <n v="3990"/>
    <m/>
    <n v="3990"/>
    <n v="39.9"/>
    <n v="3950.1"/>
    <d v="2025-12-12T00:00:00"/>
    <n v="1007532"/>
    <n v="3585"/>
    <n v="0"/>
    <n v="3990"/>
    <d v="2025-12-02T00:00:00"/>
    <n v="3990"/>
    <n v="0"/>
    <s v="NULL"/>
    <s v="PRO"/>
    <n v="39.9"/>
    <n v="3950.1"/>
    <s v="PAID"/>
    <n v="2"/>
    <n v="9388292588439"/>
    <d v="2025-12-12T00:00:00"/>
    <d v="2025-12-02T00:00:00"/>
    <m/>
    <d v="2025-12-12T00:00:00"/>
    <d v="2025-12-08T16:33:00"/>
    <n v="35851007532"/>
    <d v="2025-12-02T00:00:00"/>
    <s v="NULL"/>
    <s v="NET 02/10/26"/>
    <s v="NULL"/>
    <d v="2025-12-02T00:00:00"/>
    <d v="2025-12-12T00:00:00"/>
    <m/>
    <x v="0"/>
  </r>
  <r>
    <x v="59"/>
    <n v="1007688"/>
    <n v="2767.45"/>
    <m/>
    <n v="2767.45"/>
    <n v="27.67"/>
    <n v="2739.78"/>
    <d v="2025-12-12T00:00:00"/>
    <n v="1007688"/>
    <n v="3585"/>
    <n v="0"/>
    <n v="2767.45"/>
    <d v="2025-12-02T00:00:00"/>
    <n v="2767.45"/>
    <n v="0"/>
    <s v="NULL"/>
    <s v="PRO"/>
    <n v="27.67"/>
    <n v="2739.78"/>
    <s v="PAID"/>
    <n v="2"/>
    <n v="9388292588439"/>
    <d v="2025-12-12T00:00:00"/>
    <d v="2025-12-02T00:00:00"/>
    <m/>
    <d v="2025-12-12T00:00:00"/>
    <d v="2025-12-08T16:33:00"/>
    <n v="35851007688"/>
    <d v="2025-12-02T00:00:00"/>
    <n v="1313"/>
    <s v="NET 01/10/26"/>
    <n v="206189"/>
    <d v="2025-12-02T00:00:00"/>
    <d v="2025-12-12T00:00:00"/>
    <m/>
    <x v="0"/>
  </r>
  <r>
    <x v="59"/>
    <n v="1007692"/>
    <n v="62.42"/>
    <n v="1.25"/>
    <n v="61.17"/>
    <n v="0.62"/>
    <n v="60.55"/>
    <d v="2025-12-12T00:00:00"/>
    <n v="1007692"/>
    <n v="3585"/>
    <n v="1.25"/>
    <n v="62.42"/>
    <d v="2025-12-02T00:00:00"/>
    <n v="61.17"/>
    <n v="1.25"/>
    <s v="NULL"/>
    <s v="PRO"/>
    <n v="0.62"/>
    <n v="60.55"/>
    <s v="PAID"/>
    <n v="2"/>
    <n v="9388292588439"/>
    <d v="2025-12-12T00:00:00"/>
    <d v="2025-12-02T00:00:00"/>
    <m/>
    <d v="2025-12-12T00:00:00"/>
    <d v="2025-12-08T16:33:00"/>
    <n v="35851007692"/>
    <d v="2025-12-02T00:00:00"/>
    <n v="1313"/>
    <s v="2% 01/10/26"/>
    <n v="206188"/>
    <d v="2025-12-02T00:00:00"/>
    <d v="2025-12-12T00:00:00"/>
    <n v="1.2484"/>
    <x v="0"/>
  </r>
  <r>
    <x v="59"/>
    <n v="1008114"/>
    <n v="161.91999999999999"/>
    <n v="3.24"/>
    <n v="158.68"/>
    <n v="1.62"/>
    <n v="157.06"/>
    <d v="2025-12-12T00:00:00"/>
    <n v="1008114"/>
    <n v="3585"/>
    <n v="3.24"/>
    <n v="161.91999999999999"/>
    <d v="2025-12-04T00:00:00"/>
    <n v="158.68"/>
    <n v="3.24"/>
    <s v="NULL"/>
    <s v="PRO"/>
    <n v="1.62"/>
    <n v="157.06"/>
    <s v="PAID"/>
    <n v="2"/>
    <n v="9388292588439"/>
    <d v="2025-12-12T00:00:00"/>
    <d v="2025-12-04T00:00:00"/>
    <m/>
    <d v="2025-12-12T00:00:00"/>
    <d v="2025-12-08T16:33:00"/>
    <n v="35851008114"/>
    <d v="2025-12-04T00:00:00"/>
    <n v="1297"/>
    <s v="2% 01/10/26"/>
    <n v="206375"/>
    <d v="2025-12-04T00:00:00"/>
    <d v="2025-12-12T00:00:00"/>
    <n v="3.2383999999999999"/>
    <x v="0"/>
  </r>
  <r>
    <x v="59"/>
    <n v="1008555"/>
    <n v="194.33"/>
    <n v="3.89"/>
    <n v="190.44"/>
    <n v="1.94"/>
    <n v="188.5"/>
    <d v="2025-12-12T00:00:00"/>
    <n v="1008555"/>
    <n v="3585"/>
    <n v="3.89"/>
    <n v="194.33"/>
    <d v="2025-12-05T00:00:00"/>
    <n v="190.44"/>
    <n v="3.89"/>
    <s v="NULL"/>
    <s v="PRO"/>
    <n v="1.94"/>
    <n v="188.5"/>
    <s v="PAID"/>
    <n v="2"/>
    <n v="9388292588439"/>
    <d v="2025-12-12T00:00:00"/>
    <d v="2025-12-05T00:00:00"/>
    <m/>
    <d v="2025-12-12T00:00:00"/>
    <d v="2025-12-08T16:33:00"/>
    <n v="35851008555"/>
    <d v="2025-12-05T00:00:00"/>
    <n v="1313"/>
    <s v="2% 01/10/26"/>
    <n v="206592"/>
    <d v="2025-12-05T00:00:00"/>
    <d v="2025-12-12T00:00:00"/>
    <n v="3.8866000000000005"/>
    <x v="0"/>
  </r>
  <r>
    <x v="59"/>
    <n v="1008564"/>
    <n v="73.75"/>
    <n v="1.48"/>
    <n v="72.27"/>
    <n v="0.74"/>
    <n v="71.53"/>
    <d v="2025-12-12T00:00:00"/>
    <n v="1008564"/>
    <n v="3585"/>
    <n v="1.48"/>
    <n v="73.75"/>
    <d v="2025-12-05T00:00:00"/>
    <n v="72.27"/>
    <n v="1.48"/>
    <s v="NULL"/>
    <s v="PRO"/>
    <n v="0.74"/>
    <n v="71.53"/>
    <s v="PAID"/>
    <n v="2"/>
    <n v="9388292588439"/>
    <d v="2025-12-12T00:00:00"/>
    <d v="2025-12-05T00:00:00"/>
    <m/>
    <d v="2025-12-12T00:00:00"/>
    <d v="2025-12-08T16:33:00"/>
    <n v="35851008564"/>
    <d v="2025-12-05T00:00:00"/>
    <n v="1294"/>
    <s v="2% 01/10/26"/>
    <n v="206591"/>
    <d v="2025-12-05T00:00:00"/>
    <d v="2025-12-12T00:00:00"/>
    <n v="1.4750000000000001"/>
    <x v="0"/>
  </r>
  <r>
    <x v="60"/>
    <n v="1006015"/>
    <n v="18095.52"/>
    <m/>
    <n v="18095.52"/>
    <m/>
    <n v="18095.52"/>
    <d v="2025-12-12T00:00:00"/>
    <n v="1006015"/>
    <n v="3592"/>
    <n v="0"/>
    <n v="18095.52"/>
    <d v="2025-11-24T00:00:00"/>
    <n v="18095.52"/>
    <n v="0"/>
    <s v="NULL"/>
    <s v="PRO"/>
    <n v="0"/>
    <n v="18095.52"/>
    <s v="PAID"/>
    <n v="2"/>
    <n v="2081360442678"/>
    <d v="2025-12-12T00:00:00"/>
    <d v="2025-11-24T00:00:00"/>
    <m/>
    <d v="2025-12-12T00:00:00"/>
    <d v="2025-12-08T16:23:00"/>
    <n v="35921006015"/>
    <d v="2025-11-24T00:00:00"/>
    <s v="LVXE5"/>
    <s v="NET 01/10/26"/>
    <n v="204725"/>
    <d v="2025-11-24T00:00:00"/>
    <d v="2025-12-12T00:00:00"/>
    <m/>
    <x v="0"/>
  </r>
  <r>
    <x v="60"/>
    <n v="1007217"/>
    <n v="25.23"/>
    <n v="0.5"/>
    <n v="24.73"/>
    <n v="0.25"/>
    <n v="24.48"/>
    <d v="2025-12-12T00:00:00"/>
    <n v="1007217"/>
    <n v="3592"/>
    <n v="0.5"/>
    <n v="25.23"/>
    <d v="2025-12-01T00:00:00"/>
    <n v="24.73"/>
    <n v="0.5"/>
    <s v="NULL"/>
    <s v="PRO"/>
    <n v="0.25"/>
    <n v="24.48"/>
    <s v="PAID"/>
    <n v="2"/>
    <n v="2081360442678"/>
    <d v="2025-12-12T00:00:00"/>
    <d v="2025-12-01T00:00:00"/>
    <m/>
    <d v="2025-12-12T00:00:00"/>
    <d v="2025-12-08T16:23:00"/>
    <n v="35921007217"/>
    <d v="2025-12-01T00:00:00"/>
    <s v="LV10PROM2425"/>
    <s v="2% 01/10/26"/>
    <n v="205719"/>
    <d v="2025-12-01T00:00:00"/>
    <d v="2025-12-12T00:00:00"/>
    <n v="0.50460000000000005"/>
    <x v="0"/>
  </r>
  <r>
    <x v="60"/>
    <n v="1007219"/>
    <n v="100.92"/>
    <n v="2.02"/>
    <n v="98.9"/>
    <n v="1.01"/>
    <n v="97.89"/>
    <d v="2025-12-12T00:00:00"/>
    <n v="1007219"/>
    <n v="3592"/>
    <n v="2.02"/>
    <n v="100.92"/>
    <d v="2025-12-01T00:00:00"/>
    <n v="98.9"/>
    <n v="2.02"/>
    <s v="NULL"/>
    <s v="PRO"/>
    <n v="1.01"/>
    <n v="97.89"/>
    <s v="PAID"/>
    <n v="2"/>
    <n v="2081360442678"/>
    <d v="2025-12-12T00:00:00"/>
    <d v="2025-12-01T00:00:00"/>
    <m/>
    <d v="2025-12-12T00:00:00"/>
    <d v="2025-12-08T16:23:00"/>
    <n v="35921007219"/>
    <d v="2025-12-01T00:00:00"/>
    <s v="LV9125"/>
    <s v="2% 01/10/26"/>
    <n v="205715"/>
    <d v="2025-12-01T00:00:00"/>
    <d v="2025-12-12T00:00:00"/>
    <n v="2.0184000000000002"/>
    <x v="0"/>
  </r>
  <r>
    <x v="60"/>
    <n v="1007220"/>
    <n v="41.14"/>
    <n v="0.82"/>
    <n v="40.32"/>
    <n v="0.41"/>
    <n v="39.909999999999997"/>
    <d v="2025-12-12T00:00:00"/>
    <n v="1007220"/>
    <n v="3592"/>
    <n v="0.82"/>
    <n v="41.14"/>
    <d v="2025-12-01T00:00:00"/>
    <n v="40.32"/>
    <n v="0.82"/>
    <s v="NULL"/>
    <s v="PRO"/>
    <n v="0.41"/>
    <n v="39.909999999999997"/>
    <s v="PAID"/>
    <n v="2"/>
    <n v="2081360442678"/>
    <d v="2025-12-12T00:00:00"/>
    <d v="2025-12-01T00:00:00"/>
    <m/>
    <d v="2025-12-12T00:00:00"/>
    <d v="2025-12-08T16:23:00"/>
    <n v="35921007220"/>
    <d v="2025-12-01T00:00:00"/>
    <s v="LVPORODALLAS"/>
    <s v="2% 01/10/26"/>
    <n v="205717"/>
    <d v="2025-12-01T00:00:00"/>
    <d v="2025-12-12T00:00:00"/>
    <n v="0.82279999999999998"/>
    <x v="0"/>
  </r>
  <r>
    <x v="60"/>
    <n v="1007223"/>
    <n v="25.23"/>
    <n v="0.5"/>
    <n v="24.73"/>
    <n v="0.25"/>
    <n v="24.48"/>
    <d v="2025-12-12T00:00:00"/>
    <n v="1007223"/>
    <n v="3592"/>
    <n v="0.5"/>
    <n v="25.23"/>
    <d v="2025-12-01T00:00:00"/>
    <n v="24.73"/>
    <n v="0.5"/>
    <s v="NULL"/>
    <s v="PRO"/>
    <n v="0.25"/>
    <n v="24.48"/>
    <s v="PAID"/>
    <n v="2"/>
    <n v="2081360442678"/>
    <d v="2025-12-12T00:00:00"/>
    <d v="2025-12-01T00:00:00"/>
    <m/>
    <d v="2025-12-12T00:00:00"/>
    <d v="2025-12-08T16:23:00"/>
    <n v="35921007223"/>
    <d v="2025-12-01T00:00:00"/>
    <s v="LVVTHATA"/>
    <s v="2% 01/10/26"/>
    <n v="205716"/>
    <d v="2025-12-01T00:00:00"/>
    <d v="2025-12-12T00:00:00"/>
    <n v="0.50460000000000005"/>
    <x v="0"/>
  </r>
  <r>
    <x v="60"/>
    <n v="1007224"/>
    <n v="25.23"/>
    <n v="0.5"/>
    <n v="24.73"/>
    <n v="0.25"/>
    <n v="24.48"/>
    <d v="2025-12-12T00:00:00"/>
    <n v="1007224"/>
    <n v="3592"/>
    <n v="0.5"/>
    <n v="25.23"/>
    <d v="2025-12-01T00:00:00"/>
    <n v="24.73"/>
    <n v="0.5"/>
    <s v="NULL"/>
    <s v="PRO"/>
    <n v="0.25"/>
    <n v="24.48"/>
    <s v="PAID"/>
    <n v="2"/>
    <n v="2081360442678"/>
    <d v="2025-12-12T00:00:00"/>
    <d v="2025-12-01T00:00:00"/>
    <m/>
    <d v="2025-12-12T00:00:00"/>
    <d v="2025-12-08T16:23:00"/>
    <n v="35921007224"/>
    <d v="2025-12-01T00:00:00"/>
    <s v="LV10725"/>
    <s v="2% 01/10/26"/>
    <n v="205718"/>
    <d v="2025-12-01T00:00:00"/>
    <d v="2025-12-12T00:00:00"/>
    <n v="0.50460000000000005"/>
    <x v="0"/>
  </r>
  <r>
    <x v="60"/>
    <n v="1007267"/>
    <n v="41.14"/>
    <n v="0.82"/>
    <n v="40.32"/>
    <n v="0.41"/>
    <n v="39.909999999999997"/>
    <d v="2025-12-12T00:00:00"/>
    <n v="1007267"/>
    <n v="3592"/>
    <n v="0.82"/>
    <n v="41.14"/>
    <d v="2025-12-01T00:00:00"/>
    <n v="40.32"/>
    <n v="0.82"/>
    <s v="NULL"/>
    <s v="PRO"/>
    <n v="0.41"/>
    <n v="39.909999999999997"/>
    <s v="PAID"/>
    <n v="2"/>
    <n v="2081360442678"/>
    <d v="2025-12-12T00:00:00"/>
    <d v="2025-12-01T00:00:00"/>
    <m/>
    <d v="2025-12-12T00:00:00"/>
    <d v="2025-12-08T16:23:00"/>
    <n v="35921007267"/>
    <d v="2025-12-01T00:00:00"/>
    <s v="SDPROMAS92125"/>
    <s v="2% 01/10/26"/>
    <n v="205723"/>
    <d v="2025-12-01T00:00:00"/>
    <d v="2025-12-12T00:00:00"/>
    <n v="0.82279999999999998"/>
    <x v="0"/>
  </r>
  <r>
    <x v="60"/>
    <n v="1007270"/>
    <n v="11.42"/>
    <n v="0.23"/>
    <n v="11.19"/>
    <n v="0.11"/>
    <n v="11.08"/>
    <d v="2025-12-12T00:00:00"/>
    <n v="1007270"/>
    <n v="3592"/>
    <n v="0.23"/>
    <n v="11.42"/>
    <d v="2025-12-01T00:00:00"/>
    <n v="11.19"/>
    <n v="0.23"/>
    <s v="NULL"/>
    <s v="PRO"/>
    <n v="0.11"/>
    <n v="11.08"/>
    <s v="PAID"/>
    <n v="2"/>
    <n v="2081360442678"/>
    <d v="2025-12-12T00:00:00"/>
    <d v="2025-12-01T00:00:00"/>
    <m/>
    <d v="2025-12-12T00:00:00"/>
    <d v="2025-12-08T16:23:00"/>
    <n v="35921007270"/>
    <d v="2025-12-01T00:00:00"/>
    <s v="LVOMS111025"/>
    <s v="2% 01/10/26"/>
    <n v="205721"/>
    <d v="2025-12-01T00:00:00"/>
    <d v="2025-12-12T00:00:00"/>
    <n v="0.22839999999999999"/>
    <x v="0"/>
  </r>
  <r>
    <x v="60"/>
    <n v="1007271"/>
    <n v="19.23"/>
    <n v="0.38"/>
    <n v="18.850000000000001"/>
    <n v="0.19"/>
    <n v="18.66"/>
    <d v="2025-12-12T00:00:00"/>
    <n v="1007271"/>
    <n v="3592"/>
    <n v="0.38"/>
    <n v="19.23"/>
    <d v="2025-12-01T00:00:00"/>
    <n v="18.850000000000001"/>
    <n v="0.38"/>
    <s v="NULL"/>
    <s v="PRO"/>
    <n v="0.19"/>
    <n v="18.66"/>
    <s v="PAID"/>
    <n v="2"/>
    <n v="2081360442678"/>
    <d v="2025-12-12T00:00:00"/>
    <d v="2025-12-01T00:00:00"/>
    <m/>
    <d v="2025-12-12T00:00:00"/>
    <d v="2025-12-08T16:23:00"/>
    <n v="35921007271"/>
    <d v="2025-12-01T00:00:00"/>
    <s v="SD11PRO202515"/>
    <s v="2% 01/10/26"/>
    <n v="205725"/>
    <d v="2025-12-01T00:00:00"/>
    <d v="2025-12-12T00:00:00"/>
    <n v="0.3846"/>
    <x v="0"/>
  </r>
  <r>
    <x v="60"/>
    <n v="1007272"/>
    <n v="20.57"/>
    <n v="0.41"/>
    <n v="20.16"/>
    <n v="0.21"/>
    <n v="19.95"/>
    <d v="2025-12-12T00:00:00"/>
    <n v="1007272"/>
    <n v="3592"/>
    <n v="0.41"/>
    <n v="20.57"/>
    <d v="2025-12-01T00:00:00"/>
    <n v="20.16"/>
    <n v="0.41"/>
    <s v="NULL"/>
    <s v="PRO"/>
    <n v="0.21"/>
    <n v="19.95"/>
    <s v="PAID"/>
    <n v="2"/>
    <n v="2081360442678"/>
    <d v="2025-12-12T00:00:00"/>
    <d v="2025-12-01T00:00:00"/>
    <m/>
    <d v="2025-12-12T00:00:00"/>
    <d v="2025-12-08T16:23:00"/>
    <n v="35921007272"/>
    <d v="2025-12-01T00:00:00"/>
    <s v="SDSECOP10132025"/>
    <s v="2% 01/10/26"/>
    <n v="205724"/>
    <d v="2025-12-01T00:00:00"/>
    <d v="2025-12-12T00:00:00"/>
    <n v="0.41139999999999999"/>
    <x v="0"/>
  </r>
  <r>
    <x v="60"/>
    <n v="1007274"/>
    <n v="138.33000000000001"/>
    <n v="2.77"/>
    <n v="135.56"/>
    <n v="1.38"/>
    <n v="134.18"/>
    <d v="2025-12-12T00:00:00"/>
    <n v="1007274"/>
    <n v="3592"/>
    <n v="2.77"/>
    <n v="138.33000000000001"/>
    <d v="2025-12-01T00:00:00"/>
    <n v="135.56"/>
    <n v="2.77"/>
    <s v="NULL"/>
    <s v="PRO"/>
    <n v="1.38"/>
    <n v="134.18"/>
    <s v="PAID"/>
    <n v="2"/>
    <n v="2081360442678"/>
    <d v="2025-12-12T00:00:00"/>
    <d v="2025-12-01T00:00:00"/>
    <m/>
    <d v="2025-12-12T00:00:00"/>
    <d v="2025-12-08T16:23:00"/>
    <n v="35921007274"/>
    <d v="2025-12-01T00:00:00"/>
    <s v="LV1192025"/>
    <s v="2% 01/10/26"/>
    <n v="205720"/>
    <d v="2025-12-01T00:00:00"/>
    <d v="2025-12-12T00:00:00"/>
    <n v="2.7666000000000004"/>
    <x v="0"/>
  </r>
  <r>
    <x v="60"/>
    <n v="1007275"/>
    <n v="20.57"/>
    <n v="0.41"/>
    <n v="20.16"/>
    <n v="0.21"/>
    <n v="19.95"/>
    <d v="2025-12-12T00:00:00"/>
    <n v="1007275"/>
    <n v="3592"/>
    <n v="0.41"/>
    <n v="20.57"/>
    <d v="2025-12-01T00:00:00"/>
    <n v="20.16"/>
    <n v="0.41"/>
    <s v="NULL"/>
    <s v="PRO"/>
    <n v="0.21"/>
    <n v="19.95"/>
    <s v="PAID"/>
    <n v="2"/>
    <n v="2081360442678"/>
    <d v="2025-12-12T00:00:00"/>
    <d v="2025-12-01T00:00:00"/>
    <m/>
    <d v="2025-12-12T00:00:00"/>
    <d v="2025-12-08T16:23:00"/>
    <n v="35921007275"/>
    <d v="2025-12-01T00:00:00"/>
    <s v="SD915252025"/>
    <s v="2% 01/10/26"/>
    <n v="205722"/>
    <d v="2025-12-01T00:00:00"/>
    <d v="2025-12-12T00:00:00"/>
    <n v="0.41139999999999999"/>
    <x v="0"/>
  </r>
  <r>
    <x v="60"/>
    <n v="1007438"/>
    <n v="5962.99"/>
    <m/>
    <n v="5962.99"/>
    <n v="59.63"/>
    <n v="5903.36"/>
    <d v="2025-12-12T00:00:00"/>
    <n v="1007438"/>
    <n v="3592"/>
    <n v="0"/>
    <n v="5962.99"/>
    <d v="2025-12-01T00:00:00"/>
    <n v="5962.99"/>
    <n v="0"/>
    <s v="NULL"/>
    <s v="PRO"/>
    <n v="59.63"/>
    <n v="5903.36"/>
    <s v="PAID"/>
    <n v="2"/>
    <n v="2081360442678"/>
    <d v="2025-12-12T00:00:00"/>
    <d v="2025-12-01T00:00:00"/>
    <m/>
    <d v="2025-12-12T00:00:00"/>
    <d v="2025-12-08T16:23:00"/>
    <n v="35921007438"/>
    <d v="2025-12-01T00:00:00"/>
    <s v="LV112925"/>
    <s v="NET 01/10/26"/>
    <n v="205902"/>
    <d v="2025-12-01T00:00:00"/>
    <d v="2025-12-12T00:00:00"/>
    <m/>
    <x v="0"/>
  </r>
  <r>
    <x v="60"/>
    <n v="1007442"/>
    <n v="84.78"/>
    <m/>
    <n v="84.78"/>
    <n v="0.85"/>
    <n v="83.93"/>
    <d v="2025-12-12T00:00:00"/>
    <n v="1007442"/>
    <n v="3592"/>
    <n v="0"/>
    <n v="84.78"/>
    <d v="2025-12-01T00:00:00"/>
    <n v="84.78"/>
    <n v="0"/>
    <s v="NULL"/>
    <s v="PRO"/>
    <n v="0.85"/>
    <n v="83.93"/>
    <s v="PAID"/>
    <n v="2"/>
    <n v="2081360442678"/>
    <d v="2025-12-12T00:00:00"/>
    <d v="2025-12-01T00:00:00"/>
    <m/>
    <d v="2025-12-12T00:00:00"/>
    <d v="2025-12-08T16:23:00"/>
    <n v="35921007442"/>
    <d v="2025-12-01T00:00:00"/>
    <s v="SDPANA112925"/>
    <s v="NET 01/10/26"/>
    <n v="205903"/>
    <d v="2025-12-01T00:00:00"/>
    <d v="2025-12-12T00:00:00"/>
    <m/>
    <x v="0"/>
  </r>
  <r>
    <x v="60"/>
    <n v="1007803"/>
    <n v="828.19"/>
    <m/>
    <n v="828.19"/>
    <n v="8.2799999999999994"/>
    <n v="819.91"/>
    <d v="2025-12-12T00:00:00"/>
    <n v="1007803"/>
    <n v="3592"/>
    <n v="0"/>
    <n v="828.19"/>
    <d v="2025-12-02T00:00:00"/>
    <n v="828.19"/>
    <n v="0"/>
    <s v="NULL"/>
    <s v="PRO"/>
    <n v="8.2799999999999994"/>
    <n v="819.91"/>
    <s v="PAID"/>
    <n v="2"/>
    <n v="2081360442678"/>
    <d v="2025-12-12T00:00:00"/>
    <d v="2025-12-02T00:00:00"/>
    <m/>
    <d v="2025-12-12T00:00:00"/>
    <d v="2025-12-08T16:23:00"/>
    <n v="35921007803"/>
    <d v="2025-12-02T00:00:00"/>
    <s v="PRO SHOW DALLAS N"/>
    <s v="NET 01/10/26"/>
    <n v="206084"/>
    <d v="2025-12-02T00:00:00"/>
    <d v="2025-12-12T00:00:00"/>
    <m/>
    <x v="0"/>
  </r>
  <r>
    <x v="60"/>
    <n v="1007806"/>
    <n v="1739.21"/>
    <m/>
    <n v="1739.21"/>
    <n v="17.39"/>
    <n v="1721.82"/>
    <d v="2025-12-12T00:00:00"/>
    <n v="1007806"/>
    <n v="3592"/>
    <n v="0"/>
    <n v="1739.21"/>
    <d v="2025-12-02T00:00:00"/>
    <n v="1739.21"/>
    <n v="0"/>
    <s v="NULL"/>
    <s v="PRO"/>
    <n v="17.39"/>
    <n v="1721.82"/>
    <s v="PAID"/>
    <n v="2"/>
    <n v="2081360442678"/>
    <d v="2025-12-12T00:00:00"/>
    <d v="2025-12-02T00:00:00"/>
    <m/>
    <d v="2025-12-12T00:00:00"/>
    <d v="2025-12-08T16:23:00"/>
    <n v="35921007806"/>
    <d v="2025-12-02T00:00:00"/>
    <s v="LV92425"/>
    <s v="NET 01/10/26"/>
    <n v="206083"/>
    <d v="2025-12-02T00:00:00"/>
    <d v="2025-12-12T00:00:00"/>
    <m/>
    <x v="0"/>
  </r>
  <r>
    <x v="60"/>
    <n v="1007810"/>
    <n v="1739.21"/>
    <m/>
    <n v="1739.21"/>
    <n v="17.39"/>
    <n v="1721.82"/>
    <d v="2025-12-12T00:00:00"/>
    <n v="1007810"/>
    <n v="3592"/>
    <n v="0"/>
    <n v="1739.21"/>
    <d v="2025-12-02T00:00:00"/>
    <n v="1739.21"/>
    <n v="0"/>
    <s v="NULL"/>
    <s v="PRO"/>
    <n v="17.39"/>
    <n v="1721.82"/>
    <s v="PAID"/>
    <n v="2"/>
    <n v="2081360442678"/>
    <d v="2025-12-12T00:00:00"/>
    <d v="2025-12-02T00:00:00"/>
    <m/>
    <d v="2025-12-12T00:00:00"/>
    <d v="2025-12-08T16:23:00"/>
    <n v="35921007810"/>
    <d v="2025-12-02T00:00:00"/>
    <s v="SD92425"/>
    <s v="NET 01/10/26"/>
    <n v="206085"/>
    <d v="2025-12-02T00:00:00"/>
    <d v="2025-12-12T00:00:00"/>
    <m/>
    <x v="0"/>
  </r>
  <r>
    <x v="60"/>
    <n v="1007966"/>
    <n v="2906.01"/>
    <n v="58.12"/>
    <n v="2847.89"/>
    <n v="29.06"/>
    <n v="2818.83"/>
    <d v="2025-12-12T00:00:00"/>
    <n v="1007966"/>
    <n v="3592"/>
    <n v="58.12"/>
    <n v="2906.01"/>
    <d v="2025-12-03T00:00:00"/>
    <n v="2847.89"/>
    <n v="58.12"/>
    <s v="NULL"/>
    <s v="PRO"/>
    <n v="29.06"/>
    <n v="2818.83"/>
    <s v="PAID"/>
    <n v="2"/>
    <n v="2081360442678"/>
    <d v="2025-12-12T00:00:00"/>
    <d v="2025-12-03T00:00:00"/>
    <m/>
    <d v="2025-12-12T00:00:00"/>
    <d v="2025-12-08T16:23:00"/>
    <n v="35921007966"/>
    <d v="2025-12-03T00:00:00"/>
    <s v="LV113025"/>
    <s v="2% 01/10/26"/>
    <n v="206263"/>
    <d v="2025-12-03T00:00:00"/>
    <d v="2025-12-12T00:00:00"/>
    <n v="58.120200000000004"/>
    <x v="0"/>
  </r>
  <r>
    <x v="60"/>
    <n v="1008018"/>
    <n v="4507.5"/>
    <m/>
    <n v="4507.5"/>
    <n v="45.08"/>
    <n v="4462.42"/>
    <d v="2025-12-12T00:00:00"/>
    <n v="1008018"/>
    <n v="3592"/>
    <n v="0"/>
    <n v="4507.5"/>
    <d v="2025-12-03T00:00:00"/>
    <n v="4507.5"/>
    <n v="0"/>
    <s v="NULL"/>
    <s v="PRO"/>
    <n v="45.08"/>
    <n v="4462.42"/>
    <s v="PAID"/>
    <n v="2"/>
    <n v="2081360442678"/>
    <d v="2025-12-12T00:00:00"/>
    <d v="2025-12-03T00:00:00"/>
    <m/>
    <d v="2025-12-12T00:00:00"/>
    <d v="2025-12-08T16:23:00"/>
    <n v="35921008018"/>
    <d v="2025-12-03T00:00:00"/>
    <s v="LV113025"/>
    <s v="NET 01/10/26"/>
    <n v="206275"/>
    <d v="2025-12-03T00:00:00"/>
    <d v="2025-12-12T00:00:00"/>
    <m/>
    <x v="0"/>
  </r>
  <r>
    <x v="60"/>
    <n v="1008019"/>
    <n v="3143.84"/>
    <n v="62.88"/>
    <n v="3080.96"/>
    <n v="31.44"/>
    <n v="3049.52"/>
    <d v="2025-12-12T00:00:00"/>
    <n v="1008019"/>
    <n v="3592"/>
    <n v="62.88"/>
    <n v="3143.84"/>
    <d v="2025-12-03T00:00:00"/>
    <n v="3080.96"/>
    <n v="62.88"/>
    <s v="NULL"/>
    <s v="PRO"/>
    <n v="31.44"/>
    <n v="3049.52"/>
    <s v="PAID"/>
    <n v="2"/>
    <n v="2081360442678"/>
    <d v="2025-12-12T00:00:00"/>
    <d v="2025-12-03T00:00:00"/>
    <m/>
    <d v="2025-12-12T00:00:00"/>
    <d v="2025-12-08T16:23:00"/>
    <n v="35921008019"/>
    <d v="2025-12-03T00:00:00"/>
    <s v="LV113025"/>
    <s v="2% 01/10/26"/>
    <n v="206274"/>
    <d v="2025-12-03T00:00:00"/>
    <d v="2025-12-12T00:00:00"/>
    <n v="62.876800000000003"/>
    <x v="0"/>
  </r>
  <r>
    <x v="60"/>
    <n v="1008140"/>
    <n v="605.46"/>
    <n v="12.11"/>
    <n v="593.35"/>
    <n v="6.05"/>
    <n v="587.29999999999995"/>
    <d v="2025-12-12T00:00:00"/>
    <n v="1008140"/>
    <n v="3592"/>
    <n v="12.11"/>
    <n v="605.46"/>
    <d v="2025-12-04T00:00:00"/>
    <n v="593.35"/>
    <n v="12.11"/>
    <s v="NULL"/>
    <s v="PRO"/>
    <n v="6.05"/>
    <n v="587.29999999999995"/>
    <s v="PAID"/>
    <n v="2"/>
    <n v="2081360442678"/>
    <d v="2025-12-12T00:00:00"/>
    <d v="2025-12-04T00:00:00"/>
    <m/>
    <d v="2025-12-12T00:00:00"/>
    <d v="2025-12-08T16:23:00"/>
    <n v="35921008140"/>
    <d v="2025-12-04T00:00:00"/>
    <s v="SD12325"/>
    <s v="2% 01/10/26"/>
    <n v="206710"/>
    <d v="2025-12-04T00:00:00"/>
    <d v="2025-12-12T00:00:00"/>
    <n v="12.109200000000001"/>
    <x v="0"/>
  </r>
  <r>
    <x v="60"/>
    <n v="1008142"/>
    <n v="364.46"/>
    <m/>
    <n v="364.46"/>
    <n v="3.64"/>
    <n v="360.82"/>
    <d v="2025-12-12T00:00:00"/>
    <n v="1008142"/>
    <n v="3592"/>
    <n v="0"/>
    <n v="364.46"/>
    <d v="2025-12-04T00:00:00"/>
    <n v="364.46"/>
    <n v="0"/>
    <s v="NULL"/>
    <s v="PRO"/>
    <n v="3.64"/>
    <n v="360.82"/>
    <s v="PAID"/>
    <n v="2"/>
    <n v="2081360442678"/>
    <d v="2025-12-12T00:00:00"/>
    <d v="2025-12-04T00:00:00"/>
    <m/>
    <d v="2025-12-12T00:00:00"/>
    <d v="2025-12-08T16:23:00"/>
    <n v="35921008142"/>
    <d v="2025-12-04T00:00:00"/>
    <s v="LVFUJI111525"/>
    <s v="NET 01/10/26"/>
    <n v="206639"/>
    <d v="2025-12-04T00:00:00"/>
    <d v="2025-12-12T00:00:00"/>
    <m/>
    <x v="0"/>
  </r>
  <r>
    <x v="60"/>
    <n v="1008183"/>
    <n v="1343.96"/>
    <m/>
    <n v="1343.96"/>
    <n v="13.44"/>
    <n v="1330.52"/>
    <d v="2025-12-12T00:00:00"/>
    <n v="1008183"/>
    <n v="3592"/>
    <n v="0"/>
    <n v="1343.96"/>
    <d v="2025-12-04T00:00:00"/>
    <n v="1343.96"/>
    <n v="0"/>
    <s v="NULL"/>
    <s v="PRO"/>
    <n v="13.44"/>
    <n v="1330.52"/>
    <s v="PAID"/>
    <n v="2"/>
    <n v="2081360442678"/>
    <d v="2025-12-12T00:00:00"/>
    <d v="2025-12-04T00:00:00"/>
    <m/>
    <d v="2025-12-12T00:00:00"/>
    <d v="2025-12-08T16:23:00"/>
    <n v="35921008183"/>
    <d v="2025-12-04T00:00:00"/>
    <s v="SDPANA112925"/>
    <s v="NET 01/10/26"/>
    <n v="206642"/>
    <d v="2025-12-04T00:00:00"/>
    <d v="2025-12-12T00:00:00"/>
    <m/>
    <x v="0"/>
  </r>
  <r>
    <x v="60"/>
    <n v="1008186"/>
    <n v="1343.96"/>
    <m/>
    <n v="1343.96"/>
    <n v="13.44"/>
    <n v="1330.52"/>
    <d v="2025-12-12T00:00:00"/>
    <n v="1008186"/>
    <n v="3592"/>
    <n v="0"/>
    <n v="1343.96"/>
    <d v="2025-12-04T00:00:00"/>
    <n v="1343.96"/>
    <n v="0"/>
    <s v="NULL"/>
    <s v="PRO"/>
    <n v="13.44"/>
    <n v="1330.52"/>
    <s v="PAID"/>
    <n v="2"/>
    <n v="2081360442678"/>
    <d v="2025-12-12T00:00:00"/>
    <d v="2025-12-04T00:00:00"/>
    <m/>
    <d v="2025-12-12T00:00:00"/>
    <d v="2025-12-08T16:23:00"/>
    <n v="35921008186"/>
    <d v="2025-12-04T00:00:00"/>
    <s v="LV112925FUJI"/>
    <s v="NET 01/10/26"/>
    <n v="206640"/>
    <d v="2025-12-04T00:00:00"/>
    <d v="2025-12-12T00:00:00"/>
    <m/>
    <x v="0"/>
  </r>
  <r>
    <x v="60"/>
    <n v="1008191"/>
    <n v="1739.92"/>
    <m/>
    <n v="1739.92"/>
    <n v="17.399999999999999"/>
    <n v="1722.52"/>
    <d v="2025-12-12T00:00:00"/>
    <n v="1008191"/>
    <n v="3592"/>
    <n v="0"/>
    <n v="1739.92"/>
    <d v="2025-12-04T00:00:00"/>
    <n v="1739.92"/>
    <n v="0"/>
    <s v="NULL"/>
    <s v="PRO"/>
    <n v="17.399999999999999"/>
    <n v="1722.52"/>
    <s v="PAID"/>
    <n v="2"/>
    <n v="2081360442678"/>
    <d v="2025-12-12T00:00:00"/>
    <d v="2025-12-04T00:00:00"/>
    <m/>
    <d v="2025-12-12T00:00:00"/>
    <d v="2025-12-08T16:23:00"/>
    <n v="35921008191"/>
    <d v="2025-12-04T00:00:00"/>
    <s v="SD1123FUJ30"/>
    <s v="NET 01/10/26"/>
    <n v="206641"/>
    <d v="2025-12-04T00:00:00"/>
    <d v="2025-12-12T00:00:00"/>
    <m/>
    <x v="0"/>
  </r>
  <r>
    <x v="60"/>
    <n v="1008230"/>
    <n v="2070.4899999999998"/>
    <m/>
    <n v="2070.4899999999998"/>
    <n v="20.7"/>
    <n v="2049.79"/>
    <d v="2025-12-12T00:00:00"/>
    <n v="1008230"/>
    <n v="3592"/>
    <n v="0"/>
    <n v="2070.4899999999998"/>
    <d v="2025-12-04T00:00:00"/>
    <n v="2070.4899999999998"/>
    <n v="0"/>
    <s v="NULL"/>
    <s v="PRO"/>
    <n v="20.7"/>
    <n v="2049.79"/>
    <s v="PAID"/>
    <n v="2"/>
    <n v="2081360442678"/>
    <d v="2025-12-12T00:00:00"/>
    <d v="2025-12-04T00:00:00"/>
    <m/>
    <d v="2025-12-12T00:00:00"/>
    <d v="2025-12-08T16:23:00"/>
    <n v="35921008230"/>
    <d v="2025-12-04T00:00:00"/>
    <s v="LV12225"/>
    <s v="NET 01/10/26"/>
    <n v="206523"/>
    <d v="2025-12-04T00:00:00"/>
    <d v="2025-12-12T00:00:00"/>
    <m/>
    <x v="0"/>
  </r>
  <r>
    <x v="60"/>
    <n v="1008275"/>
    <n v="-250"/>
    <m/>
    <n v="-250"/>
    <m/>
    <n v="-250"/>
    <d v="2025-12-12T00:00:00"/>
    <n v="1008275"/>
    <n v="3592"/>
    <n v="0"/>
    <n v="-250"/>
    <d v="2025-12-04T00:00:00"/>
    <n v="-250"/>
    <n v="0"/>
    <s v="NMCNoINV"/>
    <s v="PRO"/>
    <n v="0"/>
    <n v="-250"/>
    <s v="PAID"/>
    <n v="2"/>
    <n v="2081360442678"/>
    <d v="2025-12-12T00:00:00"/>
    <d v="2025-12-04T00:00:00"/>
    <m/>
    <d v="2025-12-12T00:00:00"/>
    <d v="2025-12-08T16:23:00"/>
    <n v="35921008275"/>
    <d v="2025-12-04T00:00:00"/>
    <s v="N/A"/>
    <s v="NET 01/10/26"/>
    <s v="NMCNoINV"/>
    <d v="2025-12-04T00:00:00"/>
    <d v="2025-12-12T00:00:00"/>
    <m/>
    <x v="0"/>
  </r>
  <r>
    <x v="60"/>
    <n v="1008303"/>
    <n v="153.9"/>
    <n v="3.08"/>
    <n v="150.82"/>
    <n v="1.54"/>
    <n v="149.28"/>
    <d v="2025-12-12T00:00:00"/>
    <n v="1008303"/>
    <n v="3592"/>
    <n v="3.08"/>
    <n v="153.9"/>
    <d v="2025-12-05T00:00:00"/>
    <n v="150.82"/>
    <n v="3.08"/>
    <s v="INV404084"/>
    <s v="TIFFEN"/>
    <n v="1.54"/>
    <n v="149.28"/>
    <s v="PAID"/>
    <n v="2"/>
    <n v="2081360442678"/>
    <d v="2025-12-12T00:00:00"/>
    <d v="2025-12-05T00:00:00"/>
    <m/>
    <d v="2025-12-12T00:00:00"/>
    <d v="2025-12-08T16:23:00"/>
    <n v="35921008303"/>
    <d v="2025-12-05T00:00:00"/>
    <n v="207506"/>
    <s v="2% 01/10/26"/>
    <s v="INV404084"/>
    <d v="2025-12-05T00:00:00"/>
    <d v="2025-12-12T00:00:00"/>
    <n v="3.0780000000000003"/>
    <x v="0"/>
  </r>
  <r>
    <x v="60"/>
    <n v="1008316"/>
    <n v="49.38"/>
    <n v="0.49"/>
    <n v="48.89"/>
    <n v="0.49"/>
    <n v="48.4"/>
    <d v="2025-12-12T00:00:00"/>
    <n v="1008316"/>
    <n v="3592"/>
    <n v="0.49"/>
    <n v="49.38"/>
    <d v="2025-12-05T00:00:00"/>
    <n v="48.89"/>
    <n v="0.49"/>
    <n v="1067942"/>
    <s v="SKB"/>
    <n v="0.49"/>
    <n v="48.4"/>
    <s v="PAID"/>
    <n v="2"/>
    <n v="2081360442678"/>
    <d v="2025-12-12T00:00:00"/>
    <d v="2025-12-05T00:00:00"/>
    <m/>
    <d v="2025-12-12T00:00:00"/>
    <d v="2025-12-08T16:23:00"/>
    <n v="35921008316"/>
    <d v="2025-12-05T00:00:00"/>
    <n v="11525"/>
    <s v="1% 01/10/26"/>
    <n v="1067942"/>
    <d v="2025-12-05T00:00:00"/>
    <d v="2025-12-12T00:00:00"/>
    <n v="0.49380000000000002"/>
    <x v="0"/>
  </r>
  <r>
    <x v="60"/>
    <n v="1008390"/>
    <n v="756"/>
    <m/>
    <n v="756"/>
    <n v="7.56"/>
    <n v="748.44"/>
    <d v="2025-12-12T00:00:00"/>
    <n v="1008390"/>
    <n v="3592"/>
    <n v="0"/>
    <n v="756"/>
    <d v="2025-12-05T00:00:00"/>
    <n v="756"/>
    <n v="0"/>
    <s v="P25F03FIN"/>
    <s v="PHOTOGENIC"/>
    <n v="7.56"/>
    <n v="748.44"/>
    <s v="PAID"/>
    <n v="2"/>
    <n v="2081360442678"/>
    <d v="2025-12-12T00:00:00"/>
    <d v="2025-12-05T00:00:00"/>
    <m/>
    <d v="2025-12-12T00:00:00"/>
    <d v="2025-12-08T16:23:00"/>
    <n v="35921008390"/>
    <d v="2025-12-05T00:00:00"/>
    <s v="NULL"/>
    <s v="NET 01/10/26"/>
    <s v="P25F03FIN"/>
    <d v="2025-12-05T00:00:00"/>
    <d v="2025-12-12T00:00:00"/>
    <m/>
    <x v="0"/>
  </r>
  <r>
    <x v="60"/>
    <n v="1008391"/>
    <n v="1069.2"/>
    <m/>
    <n v="1069.2"/>
    <n v="10.69"/>
    <n v="1058.51"/>
    <d v="2025-12-12T00:00:00"/>
    <n v="1008391"/>
    <n v="3592"/>
    <n v="0"/>
    <n v="1069.2"/>
    <d v="2025-12-05T00:00:00"/>
    <n v="1069.2"/>
    <n v="0"/>
    <s v="P25F04FIN"/>
    <s v="PHOTOGENIC"/>
    <n v="10.69"/>
    <n v="1058.51"/>
    <s v="PAID"/>
    <n v="2"/>
    <n v="2081360442678"/>
    <d v="2025-12-12T00:00:00"/>
    <d v="2025-12-05T00:00:00"/>
    <m/>
    <d v="2025-12-12T00:00:00"/>
    <d v="2025-12-08T16:23:00"/>
    <n v="35921008391"/>
    <d v="2025-12-05T00:00:00"/>
    <s v="NULL"/>
    <s v="NET 01/10/26"/>
    <s v="P25F04FIN"/>
    <d v="2025-12-05T00:00:00"/>
    <d v="2025-12-12T00:00:00"/>
    <m/>
    <x v="0"/>
  </r>
  <r>
    <x v="60"/>
    <n v="1008413"/>
    <n v="2458.35"/>
    <n v="49.17"/>
    <n v="2409.1799999999998"/>
    <n v="24.58"/>
    <n v="2384.6"/>
    <d v="2025-12-12T00:00:00"/>
    <n v="1008413"/>
    <n v="3592"/>
    <n v="49.17"/>
    <n v="2458.35"/>
    <d v="2025-12-05T00:00:00"/>
    <n v="2409.1799999999998"/>
    <n v="49.17"/>
    <s v="NULL"/>
    <s v="PRO"/>
    <n v="24.58"/>
    <n v="2384.6"/>
    <s v="PAID"/>
    <n v="2"/>
    <n v="2081360442678"/>
    <d v="2025-12-12T00:00:00"/>
    <d v="2025-12-05T00:00:00"/>
    <m/>
    <d v="2025-12-12T00:00:00"/>
    <d v="2025-12-08T16:23:00"/>
    <n v="35921008413"/>
    <d v="2025-12-05T00:00:00"/>
    <s v="SD12325"/>
    <s v="2% 01/10/26"/>
    <n v="206715"/>
    <d v="2025-12-05T00:00:00"/>
    <d v="2025-12-12T00:00:00"/>
    <n v="49.167000000000002"/>
    <x v="0"/>
  </r>
  <r>
    <x v="60"/>
    <n v="1008416"/>
    <n v="5689.6"/>
    <m/>
    <n v="5689.6"/>
    <n v="56.9"/>
    <n v="5632.7"/>
    <d v="2025-12-12T00:00:00"/>
    <n v="1008416"/>
    <n v="3592"/>
    <n v="0"/>
    <n v="5689.6"/>
    <d v="2025-12-05T00:00:00"/>
    <n v="5689.6"/>
    <n v="0"/>
    <s v="NULL"/>
    <s v="PRO"/>
    <n v="56.9"/>
    <n v="5632.7"/>
    <s v="PAID"/>
    <n v="2"/>
    <n v="2081360442678"/>
    <d v="2025-12-12T00:00:00"/>
    <d v="2025-12-05T00:00:00"/>
    <m/>
    <d v="2025-12-12T00:00:00"/>
    <d v="2025-12-08T16:23:00"/>
    <n v="35921008416"/>
    <d v="2025-12-05T00:00:00"/>
    <s v="SD12325"/>
    <s v="NET 01/10/26"/>
    <n v="206716"/>
    <d v="2025-12-05T00:00:00"/>
    <d v="2025-12-12T00:00:00"/>
    <m/>
    <x v="0"/>
  </r>
  <r>
    <x v="60"/>
    <n v="1008424"/>
    <n v="515.69000000000005"/>
    <m/>
    <n v="515.69000000000005"/>
    <n v="5.16"/>
    <n v="510.53"/>
    <d v="2025-12-12T00:00:00"/>
    <n v="1008424"/>
    <n v="3592"/>
    <n v="0"/>
    <n v="515.69000000000005"/>
    <d v="2025-12-05T00:00:00"/>
    <n v="515.69000000000005"/>
    <n v="0"/>
    <s v="NULL"/>
    <s v="PRO"/>
    <n v="5.16"/>
    <n v="510.53"/>
    <s v="PAID"/>
    <n v="2"/>
    <n v="2081360442678"/>
    <d v="2025-12-12T00:00:00"/>
    <d v="2025-12-05T00:00:00"/>
    <m/>
    <d v="2025-12-12T00:00:00"/>
    <d v="2025-12-08T16:23:00"/>
    <n v="35921008424"/>
    <d v="2025-12-05T00:00:00"/>
    <s v="LV12325"/>
    <s v="NET 01/10/26"/>
    <n v="206750"/>
    <d v="2025-12-05T00:00:00"/>
    <d v="2025-12-12T00:00:00"/>
    <m/>
    <x v="0"/>
  </r>
  <r>
    <x v="60"/>
    <n v="1008483"/>
    <n v="4942.46"/>
    <m/>
    <n v="4942.46"/>
    <n v="49.42"/>
    <n v="4893.04"/>
    <d v="2025-12-12T00:00:00"/>
    <n v="1008483"/>
    <n v="3592"/>
    <n v="0"/>
    <n v="4942.46"/>
    <d v="2025-12-05T00:00:00"/>
    <n v="4942.46"/>
    <n v="0"/>
    <s v="NULL"/>
    <s v="PRO"/>
    <n v="49.42"/>
    <n v="4893.04"/>
    <s v="PAID"/>
    <n v="2"/>
    <n v="2081360442678"/>
    <d v="2025-12-12T00:00:00"/>
    <d v="2025-12-05T00:00:00"/>
    <m/>
    <d v="2025-12-12T00:00:00"/>
    <d v="2025-12-08T16:23:00"/>
    <n v="35921008483"/>
    <d v="2025-12-05T00:00:00"/>
    <s v="SD122325OMS"/>
    <s v="NET 01/10/26"/>
    <n v="206749"/>
    <d v="2025-12-05T00:00:00"/>
    <d v="2025-12-12T00:00:00"/>
    <m/>
    <x v="0"/>
  </r>
  <r>
    <x v="60"/>
    <n v="1008486"/>
    <n v="89"/>
    <n v="1.78"/>
    <n v="87.22"/>
    <n v="0.89"/>
    <n v="86.33"/>
    <d v="2025-12-12T00:00:00"/>
    <n v="1008486"/>
    <n v="3592"/>
    <n v="1.78"/>
    <n v="89"/>
    <d v="2025-12-05T00:00:00"/>
    <n v="87.22"/>
    <n v="1.78"/>
    <s v="NULL"/>
    <s v="PRO"/>
    <n v="0.89"/>
    <n v="86.33"/>
    <s v="PAID"/>
    <n v="2"/>
    <n v="2081360442678"/>
    <d v="2025-12-12T00:00:00"/>
    <d v="2025-12-05T00:00:00"/>
    <m/>
    <d v="2025-12-12T00:00:00"/>
    <d v="2025-12-08T16:23:00"/>
    <n v="35921008486"/>
    <d v="2025-12-05T00:00:00"/>
    <s v="LV12325"/>
    <s v="2% 01/10/26"/>
    <n v="206748"/>
    <d v="2025-12-05T00:00:00"/>
    <d v="2025-12-12T00:00:00"/>
    <n v="1.78"/>
    <x v="0"/>
  </r>
  <r>
    <x v="60"/>
    <n v="1008591"/>
    <n v="-18095.52"/>
    <m/>
    <n v="-18095.52"/>
    <m/>
    <n v="-18095.52"/>
    <d v="2025-12-12T00:00:00"/>
    <n v="1008591"/>
    <n v="3592"/>
    <n v="0"/>
    <n v="-18095.52"/>
    <d v="2025-12-08T00:00:00"/>
    <n v="-18095.52"/>
    <n v="0"/>
    <n v="1008591"/>
    <s v="PRO"/>
    <n v="0"/>
    <n v="-18095.52"/>
    <s v="PAID"/>
    <n v="2"/>
    <n v="2081360442678"/>
    <d v="2025-12-12T00:00:00"/>
    <d v="2025-12-08T00:00:00"/>
    <m/>
    <d v="2025-12-12T00:00:00"/>
    <d v="2025-12-08T16:23:00"/>
    <n v="35921008591"/>
    <d v="2025-12-08T00:00:00"/>
    <n v="204725"/>
    <s v="NET 01/10/26"/>
    <n v="53510"/>
    <d v="2025-12-08T00:00:00"/>
    <d v="2025-12-12T00:00:00"/>
    <m/>
    <x v="0"/>
  </r>
  <r>
    <x v="60"/>
    <n v="1008594"/>
    <n v="-364.46"/>
    <m/>
    <n v="-364.46"/>
    <m/>
    <n v="-364.46"/>
    <d v="2025-12-12T00:00:00"/>
    <n v="1008594"/>
    <n v="3592"/>
    <n v="0"/>
    <n v="-364.46"/>
    <d v="2025-12-08T00:00:00"/>
    <n v="-364.46"/>
    <n v="0"/>
    <n v="1008594"/>
    <s v="PRO"/>
    <n v="0"/>
    <n v="-364.46"/>
    <s v="PAID"/>
    <n v="2"/>
    <n v="2081360442678"/>
    <d v="2025-12-12T00:00:00"/>
    <d v="2025-12-08T00:00:00"/>
    <m/>
    <d v="2025-12-12T00:00:00"/>
    <d v="2025-12-08T16:23:00"/>
    <n v="35921008594"/>
    <d v="2025-12-08T00:00:00"/>
    <s v="204724A"/>
    <s v="NET 01/10/26"/>
    <n v="53512"/>
    <d v="2025-12-08T00:00:00"/>
    <d v="2025-12-12T00:00:00"/>
    <m/>
    <x v="0"/>
  </r>
  <r>
    <x v="60"/>
    <n v="1008596"/>
    <n v="-364.46"/>
    <m/>
    <n v="-364.46"/>
    <m/>
    <n v="-364.46"/>
    <d v="2025-12-12T00:00:00"/>
    <n v="1008596"/>
    <n v="3592"/>
    <n v="0"/>
    <n v="-364.46"/>
    <d v="2025-12-08T00:00:00"/>
    <n v="-364.46"/>
    <n v="0"/>
    <n v="1008596"/>
    <s v="PRO"/>
    <n v="0"/>
    <n v="-364.46"/>
    <s v="PAID"/>
    <n v="2"/>
    <n v="2081360442678"/>
    <d v="2025-12-12T00:00:00"/>
    <d v="2025-12-08T00:00:00"/>
    <m/>
    <d v="2025-12-12T00:00:00"/>
    <d v="2025-12-08T16:23:00"/>
    <n v="35921008596"/>
    <d v="2025-12-08T00:00:00"/>
    <n v="204724"/>
    <s v="NET 01/10/26"/>
    <n v="53511"/>
    <d v="2025-12-08T00:00:00"/>
    <d v="2025-12-12T00:00:00"/>
    <m/>
    <x v="0"/>
  </r>
  <r>
    <x v="61"/>
    <n v="1007600"/>
    <n v="350"/>
    <m/>
    <n v="350"/>
    <n v="3.5"/>
    <n v="346.5"/>
    <d v="2025-12-12T00:00:00"/>
    <n v="1007600"/>
    <n v="3599"/>
    <n v="0"/>
    <n v="350"/>
    <d v="2025-12-02T00:00:00"/>
    <n v="350"/>
    <n v="0"/>
    <s v="NULL"/>
    <s v="PRO"/>
    <n v="3.5"/>
    <n v="346.5"/>
    <s v="PAID"/>
    <n v="2"/>
    <n v="5036690729009"/>
    <d v="2025-12-12T00:00:00"/>
    <d v="2025-12-02T00:00:00"/>
    <m/>
    <d v="2025-12-12T00:00:00"/>
    <d v="2025-12-11T17:36:00"/>
    <n v="35991007600"/>
    <d v="2025-12-02T00:00:00"/>
    <s v="NULL"/>
    <s v="NET DUE 10TH"/>
    <s v="NULL"/>
    <d v="2025-12-02T00:00:00"/>
    <d v="2025-12-12T00:00:00"/>
    <m/>
    <x v="0"/>
  </r>
  <r>
    <x v="62"/>
    <n v="1007276"/>
    <n v="398.16"/>
    <n v="7.96"/>
    <n v="390.2"/>
    <n v="3.98"/>
    <n v="386.22"/>
    <d v="2025-12-12T00:00:00"/>
    <n v="1007276"/>
    <n v="3606"/>
    <n v="7.96"/>
    <n v="398.16"/>
    <d v="2025-12-01T00:00:00"/>
    <n v="390.2"/>
    <n v="7.96"/>
    <s v="NULL"/>
    <s v="PRO"/>
    <n v="3.98"/>
    <n v="386.22"/>
    <s v="PAID"/>
    <n v="2"/>
    <n v="5697788801057"/>
    <d v="2025-12-12T00:00:00"/>
    <d v="2025-12-01T00:00:00"/>
    <m/>
    <d v="2025-12-12T00:00:00"/>
    <d v="2025-12-08T16:26:00"/>
    <n v="36061007276"/>
    <d v="2025-12-01T00:00:00"/>
    <s v="10-31-25 CC"/>
    <s v="2% 01/10/26"/>
    <n v="205726"/>
    <d v="2025-12-01T00:00:00"/>
    <d v="2025-12-12T00:00:00"/>
    <n v="7.9632000000000005"/>
    <x v="0"/>
  </r>
  <r>
    <x v="62"/>
    <n v="1007628"/>
    <n v="3990"/>
    <m/>
    <n v="3990"/>
    <n v="39.9"/>
    <n v="3950.1"/>
    <d v="2025-12-12T00:00:00"/>
    <n v="1007628"/>
    <n v="3606"/>
    <n v="0"/>
    <n v="3990"/>
    <d v="2025-12-02T00:00:00"/>
    <n v="3990"/>
    <n v="0"/>
    <s v="NULL"/>
    <s v="PRO"/>
    <n v="39.9"/>
    <n v="3950.1"/>
    <s v="PAID"/>
    <n v="2"/>
    <n v="5697788801057"/>
    <d v="2025-12-12T00:00:00"/>
    <d v="2025-12-02T00:00:00"/>
    <m/>
    <d v="2025-12-12T00:00:00"/>
    <d v="2025-12-08T16:26:00"/>
    <n v="36061007628"/>
    <d v="2025-12-02T00:00:00"/>
    <s v="NULL"/>
    <s v="NET 02/10/26"/>
    <s v="NULL"/>
    <d v="2025-12-02T00:00:00"/>
    <d v="2025-12-12T00:00:00"/>
    <m/>
    <x v="0"/>
  </r>
  <r>
    <x v="62"/>
    <n v="1007929"/>
    <n v="566.96"/>
    <m/>
    <n v="566.96"/>
    <n v="5.67"/>
    <n v="561.29"/>
    <d v="2025-12-12T00:00:00"/>
    <n v="1007929"/>
    <n v="3606"/>
    <n v="0"/>
    <n v="566.96"/>
    <d v="2025-12-03T00:00:00"/>
    <n v="566.96"/>
    <n v="0"/>
    <s v="NULL"/>
    <s v="PRO"/>
    <n v="5.67"/>
    <n v="561.29"/>
    <s v="PAID"/>
    <n v="2"/>
    <n v="5697788801057"/>
    <d v="2025-12-12T00:00:00"/>
    <d v="2025-12-03T00:00:00"/>
    <m/>
    <d v="2025-12-12T00:00:00"/>
    <d v="2025-12-08T16:26:00"/>
    <n v="36061007929"/>
    <d v="2025-12-03T00:00:00"/>
    <s v="1-28-25 CC"/>
    <s v="NET 01/10/26"/>
    <n v="206427"/>
    <d v="2025-12-03T00:00:00"/>
    <d v="2025-12-12T00:00:00"/>
    <m/>
    <x v="0"/>
  </r>
  <r>
    <x v="62"/>
    <n v="1008093"/>
    <n v="77.52"/>
    <n v="1.55"/>
    <n v="75.97"/>
    <n v="0.78"/>
    <n v="75.19"/>
    <d v="2025-12-12T00:00:00"/>
    <n v="1008093"/>
    <n v="3606"/>
    <n v="1.55"/>
    <n v="77.52"/>
    <d v="2025-12-04T00:00:00"/>
    <n v="75.97"/>
    <n v="1.55"/>
    <s v="NULL"/>
    <s v="PRO"/>
    <n v="0.78"/>
    <n v="75.19"/>
    <s v="PAID"/>
    <n v="2"/>
    <n v="5697788801057"/>
    <d v="2025-12-12T00:00:00"/>
    <d v="2025-12-04T00:00:00"/>
    <m/>
    <d v="2025-12-12T00:00:00"/>
    <d v="2025-12-08T16:26:00"/>
    <n v="36061008093"/>
    <d v="2025-12-04T00:00:00"/>
    <s v="12-2-25 CC"/>
    <s v="2% 01/10/26"/>
    <n v="206483"/>
    <d v="2025-12-04T00:00:00"/>
    <d v="2025-12-12T00:00:00"/>
    <n v="1.5504"/>
    <x v="0"/>
  </r>
  <r>
    <x v="62"/>
    <n v="1008095"/>
    <n v="1999.95"/>
    <m/>
    <n v="1999.95"/>
    <n v="20"/>
    <n v="1979.95"/>
    <d v="2025-12-12T00:00:00"/>
    <n v="1008095"/>
    <n v="3606"/>
    <n v="0"/>
    <n v="1999.95"/>
    <d v="2025-12-04T00:00:00"/>
    <n v="1999.95"/>
    <n v="0"/>
    <s v="NULL"/>
    <s v="PRO"/>
    <n v="20"/>
    <n v="1979.95"/>
    <s v="PAID"/>
    <n v="2"/>
    <n v="5697788801057"/>
    <d v="2025-12-12T00:00:00"/>
    <d v="2025-12-04T00:00:00"/>
    <m/>
    <d v="2025-12-12T00:00:00"/>
    <d v="2025-12-08T16:26:00"/>
    <n v="36061008095"/>
    <d v="2025-12-04T00:00:00"/>
    <s v="12-2-25 CC"/>
    <s v="NET 01/10/26"/>
    <n v="206484"/>
    <d v="2025-12-04T00:00:00"/>
    <d v="2025-12-12T00:00:00"/>
    <m/>
    <x v="0"/>
  </r>
  <r>
    <x v="62"/>
    <n v="1008518"/>
    <n v="544.11"/>
    <n v="10.88"/>
    <n v="533.23"/>
    <n v="5.44"/>
    <n v="527.79"/>
    <d v="2025-12-12T00:00:00"/>
    <n v="1008518"/>
    <n v="3606"/>
    <n v="10.88"/>
    <n v="544.11"/>
    <d v="2025-12-05T00:00:00"/>
    <n v="533.23"/>
    <n v="10.88"/>
    <s v="NULL"/>
    <s v="PRO"/>
    <n v="5.44"/>
    <n v="527.79"/>
    <s v="PAID"/>
    <n v="2"/>
    <n v="5697788801057"/>
    <d v="2025-12-12T00:00:00"/>
    <d v="2025-12-05T00:00:00"/>
    <m/>
    <d v="2025-12-12T00:00:00"/>
    <d v="2025-12-08T16:26:00"/>
    <n v="36061008518"/>
    <d v="2025-12-05T00:00:00"/>
    <s v="12-4-25 CC"/>
    <s v="2% 01/10/26"/>
    <n v="206841"/>
    <d v="2025-12-05T00:00:00"/>
    <d v="2025-12-12T00:00:00"/>
    <n v="10.882200000000001"/>
    <x v="0"/>
  </r>
  <r>
    <x v="62"/>
    <n v="1008519"/>
    <n v="2486.58"/>
    <n v="49.73"/>
    <n v="2436.85"/>
    <n v="24.87"/>
    <n v="2411.98"/>
    <d v="2025-12-12T00:00:00"/>
    <n v="1008519"/>
    <n v="3606"/>
    <n v="49.73"/>
    <n v="2486.58"/>
    <d v="2025-12-05T00:00:00"/>
    <n v="2436.85"/>
    <n v="49.73"/>
    <s v="NULL"/>
    <s v="PRO"/>
    <n v="24.87"/>
    <n v="2411.98"/>
    <s v="PAID"/>
    <n v="2"/>
    <n v="5697788801057"/>
    <d v="2025-12-12T00:00:00"/>
    <d v="2025-12-05T00:00:00"/>
    <m/>
    <d v="2025-12-12T00:00:00"/>
    <d v="2025-12-08T16:26:00"/>
    <n v="36061008519"/>
    <d v="2025-12-05T00:00:00"/>
    <s v="12-4-25 CC"/>
    <s v="2% 01/10/26"/>
    <n v="206845"/>
    <d v="2025-12-05T00:00:00"/>
    <d v="2025-12-12T00:00:00"/>
    <n v="49.7316"/>
    <x v="0"/>
  </r>
  <r>
    <x v="62"/>
    <n v="1008533"/>
    <n v="2813.92"/>
    <m/>
    <n v="2813.92"/>
    <n v="28.14"/>
    <n v="2785.78"/>
    <d v="2025-12-12T00:00:00"/>
    <n v="1008533"/>
    <n v="3606"/>
    <n v="0"/>
    <n v="2813.92"/>
    <d v="2025-12-05T00:00:00"/>
    <n v="2813.92"/>
    <n v="0"/>
    <s v="NULL"/>
    <s v="PRO"/>
    <n v="28.14"/>
    <n v="2785.78"/>
    <s v="PAID"/>
    <n v="2"/>
    <n v="5697788801057"/>
    <d v="2025-12-12T00:00:00"/>
    <d v="2025-12-05T00:00:00"/>
    <m/>
    <d v="2025-12-12T00:00:00"/>
    <d v="2025-12-08T16:26:00"/>
    <n v="36061008533"/>
    <d v="2025-12-05T00:00:00"/>
    <s v="12-2-25 CC"/>
    <s v="NET 01/10/26"/>
    <n v="206804"/>
    <d v="2025-12-05T00:00:00"/>
    <d v="2025-12-12T00:00:00"/>
    <m/>
    <x v="0"/>
  </r>
  <r>
    <x v="63"/>
    <n v="999533"/>
    <n v="1343.96"/>
    <m/>
    <n v="1343.96"/>
    <m/>
    <n v="1343.96"/>
    <d v="2025-12-12T00:00:00"/>
    <n v="999533"/>
    <n v="3613"/>
    <n v="0"/>
    <n v="1343.96"/>
    <d v="2025-10-22T00:00:00"/>
    <n v="1343.96"/>
    <n v="0"/>
    <s v="NULL"/>
    <s v="PRO"/>
    <n v="0"/>
    <n v="1343.96"/>
    <s v="PAID"/>
    <n v="2"/>
    <n v="1752388488939"/>
    <d v="2025-12-12T00:00:00"/>
    <d v="2025-10-22T00:00:00"/>
    <m/>
    <d v="2025-12-12T00:00:00"/>
    <d v="2025-12-12T01:32:00"/>
    <n v="3613999533"/>
    <d v="2025-10-22T00:00:00"/>
    <s v="RFJ101525"/>
    <s v="NET 12/10/25"/>
    <n v="199370"/>
    <d v="2025-10-22T00:00:00"/>
    <d v="2025-12-12T00:00:00"/>
    <m/>
    <x v="0"/>
  </r>
  <r>
    <x v="63"/>
    <n v="999548"/>
    <n v="839.96"/>
    <m/>
    <n v="839.96"/>
    <m/>
    <n v="839.96"/>
    <d v="2025-12-12T00:00:00"/>
    <n v="999548"/>
    <n v="3613"/>
    <n v="0"/>
    <n v="839.96"/>
    <d v="2025-10-22T00:00:00"/>
    <n v="839.96"/>
    <n v="0"/>
    <s v="NULL"/>
    <s v="PRO"/>
    <n v="0"/>
    <n v="839.96"/>
    <s v="PAID"/>
    <n v="2"/>
    <n v="1752388488939"/>
    <d v="2025-12-12T00:00:00"/>
    <d v="2025-10-22T00:00:00"/>
    <m/>
    <d v="2025-12-12T00:00:00"/>
    <d v="2025-12-12T01:32:00"/>
    <n v="3613999548"/>
    <d v="2025-10-22T00:00:00"/>
    <s v="FJ100625"/>
    <s v="NET 12/10/25"/>
    <n v="199369"/>
    <d v="2025-10-22T00:00:00"/>
    <d v="2025-12-12T00:00:00"/>
    <m/>
    <x v="0"/>
  </r>
  <r>
    <x v="63"/>
    <n v="999882"/>
    <n v="1679.96"/>
    <m/>
    <n v="1679.96"/>
    <m/>
    <n v="1679.96"/>
    <d v="2025-12-12T00:00:00"/>
    <n v="999882"/>
    <n v="3613"/>
    <n v="0"/>
    <n v="1679.96"/>
    <d v="2025-10-23T00:00:00"/>
    <n v="1679.96"/>
    <n v="0"/>
    <s v="NULL"/>
    <s v="PRO"/>
    <n v="0"/>
    <n v="1679.96"/>
    <s v="PAID"/>
    <n v="2"/>
    <n v="1752388488939"/>
    <d v="2025-12-12T00:00:00"/>
    <d v="2025-10-23T00:00:00"/>
    <m/>
    <d v="2025-12-12T00:00:00"/>
    <d v="2025-12-12T01:32:00"/>
    <n v="3613999882"/>
    <d v="2025-10-23T00:00:00"/>
    <s v="FJ082125"/>
    <s v="NET 12/10/25"/>
    <n v="199631"/>
    <d v="2025-10-23T00:00:00"/>
    <d v="2025-12-12T00:00:00"/>
    <m/>
    <x v="0"/>
  </r>
  <r>
    <x v="63"/>
    <n v="999885"/>
    <n v="2957.92"/>
    <m/>
    <n v="2957.92"/>
    <m/>
    <n v="2957.92"/>
    <d v="2025-12-12T00:00:00"/>
    <n v="999885"/>
    <n v="3613"/>
    <n v="0"/>
    <n v="2957.92"/>
    <d v="2025-10-23T00:00:00"/>
    <n v="2957.92"/>
    <n v="0"/>
    <s v="NULL"/>
    <s v="PRO"/>
    <n v="0"/>
    <n v="2957.92"/>
    <s v="PAID"/>
    <n v="2"/>
    <n v="1752388488939"/>
    <d v="2025-12-12T00:00:00"/>
    <d v="2025-10-23T00:00:00"/>
    <m/>
    <d v="2025-12-12T00:00:00"/>
    <d v="2025-12-12T01:32:00"/>
    <n v="3613999885"/>
    <d v="2025-10-23T00:00:00"/>
    <s v="NEWFJ0625"/>
    <s v="NET 12/10/25"/>
    <n v="199630"/>
    <d v="2025-10-23T00:00:00"/>
    <d v="2025-12-12T00:00:00"/>
    <m/>
    <x v="0"/>
  </r>
  <r>
    <x v="63"/>
    <n v="999887"/>
    <n v="2051.1799999999998"/>
    <m/>
    <n v="2051.1799999999998"/>
    <m/>
    <n v="2051.1799999999998"/>
    <d v="2025-12-12T00:00:00"/>
    <n v="999887"/>
    <n v="3613"/>
    <n v="0"/>
    <n v="2051.1799999999998"/>
    <d v="2025-10-23T00:00:00"/>
    <n v="2051.1799999999998"/>
    <n v="0"/>
    <s v="NULL"/>
    <s v="PRO"/>
    <n v="0"/>
    <n v="2051.1799999999998"/>
    <s v="PAID"/>
    <n v="2"/>
    <n v="1752388488939"/>
    <d v="2025-12-12T00:00:00"/>
    <d v="2025-10-23T00:00:00"/>
    <m/>
    <d v="2025-12-12T00:00:00"/>
    <d v="2025-12-12T01:32:00"/>
    <n v="3613999887"/>
    <d v="2025-10-23T00:00:00"/>
    <s v="RFJ100625"/>
    <s v="NET 12/10/25"/>
    <n v="199636"/>
    <d v="2025-10-23T00:00:00"/>
    <d v="2025-12-12T00:00:00"/>
    <m/>
    <x v="0"/>
  </r>
  <r>
    <x v="63"/>
    <n v="999888"/>
    <n v="1679.96"/>
    <m/>
    <n v="1679.96"/>
    <m/>
    <n v="1679.96"/>
    <d v="2025-12-12T00:00:00"/>
    <n v="999888"/>
    <n v="3613"/>
    <n v="0"/>
    <n v="1679.96"/>
    <d v="2025-10-23T00:00:00"/>
    <n v="1679.96"/>
    <n v="0"/>
    <s v="NULL"/>
    <s v="PRO"/>
    <n v="0"/>
    <n v="1679.96"/>
    <s v="PAID"/>
    <n v="2"/>
    <n v="1752388488939"/>
    <d v="2025-12-12T00:00:00"/>
    <d v="2025-10-23T00:00:00"/>
    <m/>
    <d v="2025-12-12T00:00:00"/>
    <d v="2025-12-12T01:32:00"/>
    <n v="3613999888"/>
    <d v="2025-10-23T00:00:00"/>
    <s v="FJ100625"/>
    <s v="NET 12/10/25"/>
    <n v="199632"/>
    <d v="2025-10-23T00:00:00"/>
    <d v="2025-12-12T00:00:00"/>
    <m/>
    <x v="0"/>
  </r>
  <r>
    <x v="63"/>
    <n v="1000140"/>
    <n v="769.46"/>
    <m/>
    <n v="769.46"/>
    <m/>
    <n v="769.46"/>
    <d v="2025-12-12T00:00:00"/>
    <n v="1000140"/>
    <n v="3613"/>
    <n v="0"/>
    <n v="769.46"/>
    <d v="2025-10-24T00:00:00"/>
    <n v="769.46"/>
    <n v="0"/>
    <s v="NULL"/>
    <s v="PRO"/>
    <n v="0"/>
    <n v="769.46"/>
    <s v="PAID"/>
    <n v="2"/>
    <n v="1752388488939"/>
    <d v="2025-12-12T00:00:00"/>
    <d v="2025-10-24T00:00:00"/>
    <m/>
    <d v="2025-12-12T00:00:00"/>
    <d v="2025-12-12T01:32:00"/>
    <n v="36131000140"/>
    <d v="2025-10-24T00:00:00"/>
    <s v="RFJ100625"/>
    <s v="NET 12/10/25"/>
    <n v="199937"/>
    <d v="2025-10-24T00:00:00"/>
    <d v="2025-12-12T00:00:00"/>
    <m/>
    <x v="0"/>
  </r>
  <r>
    <x v="63"/>
    <n v="1004343"/>
    <n v="543.99"/>
    <m/>
    <n v="543.99"/>
    <m/>
    <n v="543.99"/>
    <d v="2025-12-12T00:00:00"/>
    <n v="1004343"/>
    <n v="3613"/>
    <n v="0"/>
    <n v="543.99"/>
    <d v="2025-11-17T00:00:00"/>
    <n v="543.99"/>
    <n v="0"/>
    <s v="NULL"/>
    <s v="PRO"/>
    <n v="0"/>
    <n v="543.99"/>
    <s v="PAID"/>
    <n v="2"/>
    <n v="1752388488939"/>
    <d v="2025-12-12T00:00:00"/>
    <d v="2025-11-17T00:00:00"/>
    <m/>
    <d v="2025-12-12T00:00:00"/>
    <d v="2025-12-12T01:32:00"/>
    <n v="36131004343"/>
    <d v="2025-11-17T00:00:00"/>
    <n v="111225"/>
    <s v="NET 12/10/25"/>
    <n v="203407"/>
    <d v="2025-11-17T00:00:00"/>
    <d v="2025-12-12T00:00:00"/>
    <m/>
    <x v="0"/>
  </r>
  <r>
    <x v="63"/>
    <n v="1004544"/>
    <n v="139.65"/>
    <m/>
    <n v="139.65"/>
    <m/>
    <n v="139.65"/>
    <d v="2025-12-12T00:00:00"/>
    <n v="1004544"/>
    <n v="3613"/>
    <n v="0"/>
    <n v="139.65"/>
    <d v="2025-11-18T00:00:00"/>
    <n v="139.65"/>
    <n v="0"/>
    <s v="NULL"/>
    <s v="PRO"/>
    <n v="0"/>
    <n v="139.65"/>
    <s v="PAID"/>
    <n v="2"/>
    <n v="1752388488939"/>
    <d v="2025-12-12T00:00:00"/>
    <d v="2025-11-18T00:00:00"/>
    <m/>
    <d v="2025-12-12T00:00:00"/>
    <d v="2025-12-12T01:32:00"/>
    <n v="36131004544"/>
    <d v="2025-11-18T00:00:00"/>
    <s v="R110625"/>
    <s v="NET 12/10/25"/>
    <n v="203637"/>
    <d v="2025-11-18T00:00:00"/>
    <d v="2025-12-12T00:00:00"/>
    <m/>
    <x v="0"/>
  </r>
  <r>
    <x v="63"/>
    <n v="1004730"/>
    <n v="1423.74"/>
    <m/>
    <n v="1423.74"/>
    <m/>
    <n v="1423.74"/>
    <d v="2025-12-12T00:00:00"/>
    <n v="1004730"/>
    <n v="3613"/>
    <n v="0"/>
    <n v="1423.74"/>
    <d v="2025-11-18T00:00:00"/>
    <n v="1423.74"/>
    <n v="0"/>
    <s v="NULL"/>
    <s v="PRO"/>
    <n v="0"/>
    <n v="1423.74"/>
    <s v="PAID"/>
    <n v="2"/>
    <n v="1752388488939"/>
    <d v="2025-12-12T00:00:00"/>
    <d v="2025-11-18T00:00:00"/>
    <m/>
    <d v="2025-12-12T00:00:00"/>
    <d v="2025-12-12T01:32:00"/>
    <n v="36131004730"/>
    <d v="2025-11-18T00:00:00"/>
    <s v="SO111725"/>
    <s v="NET 12/10/25"/>
    <n v="203812"/>
    <d v="2025-11-18T00:00:00"/>
    <d v="2025-12-12T00:00:00"/>
    <m/>
    <x v="0"/>
  </r>
  <r>
    <x v="63"/>
    <n v="1005192"/>
    <n v="395.2"/>
    <m/>
    <n v="395.2"/>
    <m/>
    <n v="395.2"/>
    <d v="2025-12-12T00:00:00"/>
    <n v="1005192"/>
    <n v="3613"/>
    <n v="0"/>
    <n v="395.2"/>
    <d v="2025-11-19T00:00:00"/>
    <n v="395.2"/>
    <n v="0"/>
    <s v="NULL"/>
    <s v="PRO"/>
    <n v="0"/>
    <n v="395.2"/>
    <s v="PAID"/>
    <n v="2"/>
    <n v="1752388488939"/>
    <d v="2025-12-12T00:00:00"/>
    <d v="2025-11-19T00:00:00"/>
    <m/>
    <d v="2025-12-12T00:00:00"/>
    <d v="2025-12-12T01:32:00"/>
    <n v="36131005192"/>
    <d v="2025-11-19T00:00:00"/>
    <n v="111425"/>
    <s v="NET 12/10/25"/>
    <n v="204123"/>
    <d v="2025-11-19T00:00:00"/>
    <d v="2025-12-12T00:00:00"/>
    <m/>
    <x v="0"/>
  </r>
  <r>
    <x v="63"/>
    <n v="1007188"/>
    <n v="38.46"/>
    <m/>
    <n v="38.46"/>
    <n v="0.38"/>
    <n v="38.46"/>
    <d v="2025-12-12T00:00:00"/>
    <n v="1007188"/>
    <n v="3613"/>
    <n v="0"/>
    <n v="38.46"/>
    <d v="2025-12-01T00:00:00"/>
    <n v="38.46"/>
    <n v="0"/>
    <s v="NULL"/>
    <s v="PRO"/>
    <n v="0.38"/>
    <n v="38.46"/>
    <s v="PAID"/>
    <n v="2"/>
    <n v="1752388488939"/>
    <d v="2025-12-12T00:00:00"/>
    <d v="2025-12-01T00:00:00"/>
    <m/>
    <d v="2025-12-12T00:00:00"/>
    <d v="2025-12-12T01:32:00"/>
    <n v="36131007188"/>
    <d v="2025-12-01T00:00:00"/>
    <s v="R110625"/>
    <s v="2% 01/10/26"/>
    <n v="205731"/>
    <d v="2025-12-01T00:00:00"/>
    <d v="2025-12-12T00:00:00"/>
    <n v="0.76919999999999999"/>
    <x v="1"/>
  </r>
  <r>
    <x v="63"/>
    <n v="1007193"/>
    <n v="48.24"/>
    <m/>
    <n v="48.24"/>
    <n v="0.48"/>
    <n v="48.24"/>
    <d v="2025-12-12T00:00:00"/>
    <n v="1007193"/>
    <n v="3613"/>
    <n v="0"/>
    <n v="48.24"/>
    <d v="2025-12-01T00:00:00"/>
    <n v="48.24"/>
    <n v="0"/>
    <s v="NULL"/>
    <s v="PRO"/>
    <n v="0.48"/>
    <n v="48.24"/>
    <s v="PAID"/>
    <n v="2"/>
    <n v="1752388488939"/>
    <d v="2025-12-12T00:00:00"/>
    <d v="2025-12-01T00:00:00"/>
    <m/>
    <d v="2025-12-12T00:00:00"/>
    <d v="2025-12-12T01:32:00"/>
    <n v="36131007193"/>
    <d v="2025-12-01T00:00:00"/>
    <s v="R111425"/>
    <s v="2% 01/10/26"/>
    <n v="205732"/>
    <d v="2025-12-01T00:00:00"/>
    <d v="2025-12-12T00:00:00"/>
    <n v="0.9648000000000001"/>
    <x v="1"/>
  </r>
  <r>
    <x v="63"/>
    <n v="1007195"/>
    <n v="50.46"/>
    <m/>
    <n v="50.46"/>
    <n v="0.5"/>
    <n v="50.46"/>
    <d v="2025-12-12T00:00:00"/>
    <n v="1007195"/>
    <n v="3613"/>
    <n v="0"/>
    <n v="50.46"/>
    <d v="2025-12-01T00:00:00"/>
    <n v="50.46"/>
    <n v="0"/>
    <s v="NULL"/>
    <s v="PRO"/>
    <n v="0.5"/>
    <n v="50.46"/>
    <s v="PAID"/>
    <n v="2"/>
    <n v="1752388488939"/>
    <d v="2025-12-12T00:00:00"/>
    <d v="2025-12-01T00:00:00"/>
    <m/>
    <d v="2025-12-12T00:00:00"/>
    <d v="2025-12-12T01:32:00"/>
    <n v="36131007195"/>
    <d v="2025-12-01T00:00:00"/>
    <s v="R080825"/>
    <s v="2% 01/10/26"/>
    <n v="205730"/>
    <d v="2025-12-01T00:00:00"/>
    <d v="2025-12-12T00:00:00"/>
    <n v="1.0092000000000001"/>
    <x v="1"/>
  </r>
  <r>
    <x v="63"/>
    <n v="1007268"/>
    <n v="22.71"/>
    <m/>
    <n v="22.71"/>
    <n v="0.23"/>
    <n v="22.71"/>
    <d v="2025-12-12T00:00:00"/>
    <n v="1007268"/>
    <n v="3613"/>
    <n v="0"/>
    <n v="22.71"/>
    <d v="2025-12-01T00:00:00"/>
    <n v="22.71"/>
    <n v="0"/>
    <s v="NULL"/>
    <s v="PRO"/>
    <n v="0.23"/>
    <n v="22.71"/>
    <s v="PAID"/>
    <n v="2"/>
    <n v="1752388488939"/>
    <d v="2025-12-12T00:00:00"/>
    <d v="2025-12-01T00:00:00"/>
    <m/>
    <d v="2025-12-12T00:00:00"/>
    <d v="2025-12-12T01:32:00"/>
    <n v="36131007268"/>
    <d v="2025-12-01T00:00:00"/>
    <n v="81825"/>
    <s v="2% 01/10/26"/>
    <n v="205727"/>
    <d v="2025-12-01T00:00:00"/>
    <d v="2025-12-12T00:00:00"/>
    <n v="0.45420000000000005"/>
    <x v="1"/>
  </r>
  <r>
    <x v="63"/>
    <n v="1007269"/>
    <n v="19.23"/>
    <m/>
    <n v="19.23"/>
    <n v="0.19"/>
    <n v="19.23"/>
    <d v="2025-12-12T00:00:00"/>
    <n v="1007269"/>
    <n v="3613"/>
    <n v="0"/>
    <n v="19.23"/>
    <d v="2025-12-01T00:00:00"/>
    <n v="19.23"/>
    <n v="0"/>
    <s v="NULL"/>
    <s v="PRO"/>
    <n v="0.19"/>
    <n v="19.23"/>
    <s v="PAID"/>
    <n v="2"/>
    <n v="1752388488939"/>
    <d v="2025-12-12T00:00:00"/>
    <d v="2025-12-01T00:00:00"/>
    <m/>
    <d v="2025-12-12T00:00:00"/>
    <d v="2025-12-12T01:32:00"/>
    <n v="36131007269"/>
    <d v="2025-12-01T00:00:00"/>
    <n v="111225"/>
    <s v="2% 01/10/26"/>
    <n v="205729"/>
    <d v="2025-12-01T00:00:00"/>
    <d v="2025-12-12T00:00:00"/>
    <n v="0.3846"/>
    <x v="1"/>
  </r>
  <r>
    <x v="63"/>
    <n v="1007273"/>
    <n v="25.23"/>
    <m/>
    <n v="25.23"/>
    <n v="0.25"/>
    <n v="25.23"/>
    <d v="2025-12-12T00:00:00"/>
    <n v="1007273"/>
    <n v="3613"/>
    <n v="0"/>
    <n v="25.23"/>
    <d v="2025-12-01T00:00:00"/>
    <n v="25.23"/>
    <n v="0"/>
    <s v="NULL"/>
    <s v="PRO"/>
    <n v="0.25"/>
    <n v="25.23"/>
    <s v="PAID"/>
    <n v="2"/>
    <n v="1752388488939"/>
    <d v="2025-12-12T00:00:00"/>
    <d v="2025-12-01T00:00:00"/>
    <m/>
    <d v="2025-12-12T00:00:00"/>
    <d v="2025-12-12T01:32:00"/>
    <n v="36131007273"/>
    <d v="2025-12-01T00:00:00"/>
    <n v="100625"/>
    <s v="2% 01/10/26"/>
    <n v="205728"/>
    <d v="2025-12-01T00:00:00"/>
    <d v="2025-12-12T00:00:00"/>
    <n v="0.50460000000000005"/>
    <x v="1"/>
  </r>
  <r>
    <x v="63"/>
    <n v="1007312"/>
    <n v="870.69"/>
    <m/>
    <n v="870.69"/>
    <n v="8.7100000000000009"/>
    <n v="861.98"/>
    <d v="2025-12-12T00:00:00"/>
    <n v="1007312"/>
    <n v="3613"/>
    <n v="0"/>
    <n v="870.69"/>
    <d v="2025-12-01T00:00:00"/>
    <n v="870.69"/>
    <n v="0"/>
    <s v="NULL"/>
    <s v="PRO"/>
    <n v="8.7100000000000009"/>
    <n v="861.98"/>
    <s v="PAID"/>
    <n v="2"/>
    <n v="1752388488939"/>
    <d v="2025-12-12T00:00:00"/>
    <d v="2025-12-01T00:00:00"/>
    <m/>
    <d v="2025-12-12T00:00:00"/>
    <d v="2025-12-12T01:32:00"/>
    <n v="36131007312"/>
    <d v="2025-12-01T00:00:00"/>
    <s v="SO112825"/>
    <s v="NET 01/10/26"/>
    <n v="205877"/>
    <d v="2025-12-01T00:00:00"/>
    <d v="2025-12-12T00:00:00"/>
    <m/>
    <x v="0"/>
  </r>
  <r>
    <x v="63"/>
    <n v="1007413"/>
    <n v="109.38"/>
    <m/>
    <n v="109.38"/>
    <n v="1.0900000000000001"/>
    <n v="109.38"/>
    <d v="2025-12-12T00:00:00"/>
    <n v="1007413"/>
    <n v="3613"/>
    <n v="0"/>
    <n v="109.38"/>
    <d v="2025-12-01T00:00:00"/>
    <n v="109.38"/>
    <n v="0"/>
    <s v="NULL"/>
    <s v="PRO"/>
    <n v="1.0900000000000001"/>
    <n v="109.38"/>
    <s v="PAID"/>
    <n v="2"/>
    <n v="1752388488939"/>
    <d v="2025-12-12T00:00:00"/>
    <d v="2025-12-01T00:00:00"/>
    <m/>
    <d v="2025-12-12T00:00:00"/>
    <d v="2025-12-12T01:32:00"/>
    <n v="36131007413"/>
    <d v="2025-12-01T00:00:00"/>
    <n v="111225"/>
    <s v="2% 01/10/26"/>
    <n v="205953"/>
    <d v="2025-12-01T00:00:00"/>
    <d v="2025-12-12T00:00:00"/>
    <n v="2.1875999999999998"/>
    <x v="1"/>
  </r>
  <r>
    <x v="63"/>
    <n v="1007663"/>
    <n v="350"/>
    <m/>
    <n v="350"/>
    <n v="3.5"/>
    <n v="346.5"/>
    <d v="2025-12-12T00:00:00"/>
    <n v="1007663"/>
    <n v="3613"/>
    <n v="0"/>
    <n v="350"/>
    <d v="2025-12-02T00:00:00"/>
    <n v="350"/>
    <n v="0"/>
    <s v="NULL"/>
    <s v="PRO"/>
    <n v="3.5"/>
    <n v="346.5"/>
    <s v="PAID"/>
    <n v="2"/>
    <n v="1752388488939"/>
    <d v="2025-12-12T00:00:00"/>
    <d v="2025-12-02T00:00:00"/>
    <m/>
    <d v="2025-12-12T00:00:00"/>
    <d v="2025-12-12T01:32:00"/>
    <n v="36131007663"/>
    <d v="2025-12-02T00:00:00"/>
    <s v="NULL"/>
    <s v="NET DUE 10TH"/>
    <s v="NULL"/>
    <d v="2025-12-02T00:00:00"/>
    <d v="2025-12-12T00:00:00"/>
    <m/>
    <x v="0"/>
  </r>
  <r>
    <x v="63"/>
    <n v="1007734"/>
    <n v="1705.73"/>
    <m/>
    <n v="1705.73"/>
    <n v="17.059999999999999"/>
    <n v="1705.73"/>
    <d v="2025-12-12T00:00:00"/>
    <n v="1007734"/>
    <n v="3613"/>
    <n v="0"/>
    <n v="1705.73"/>
    <d v="2025-12-02T00:00:00"/>
    <n v="1705.73"/>
    <n v="0"/>
    <s v="NULL"/>
    <s v="PRO"/>
    <n v="17.059999999999999"/>
    <n v="1705.73"/>
    <s v="PAID"/>
    <n v="2"/>
    <n v="1752388488939"/>
    <d v="2025-12-12T00:00:00"/>
    <d v="2025-12-02T00:00:00"/>
    <m/>
    <d v="2025-12-12T00:00:00"/>
    <d v="2025-12-12T01:32:00"/>
    <n v="36131007734"/>
    <d v="2025-12-02T00:00:00"/>
    <s v="R112825"/>
    <s v="2% 01/10/26"/>
    <n v="206190"/>
    <d v="2025-12-02T00:00:00"/>
    <d v="2025-12-12T00:00:00"/>
    <n v="34.114600000000003"/>
    <x v="1"/>
  </r>
  <r>
    <x v="63"/>
    <n v="1007856"/>
    <n v="96.27"/>
    <m/>
    <n v="96.27"/>
    <n v="0.96"/>
    <n v="96.27"/>
    <d v="2025-12-12T00:00:00"/>
    <n v="1007856"/>
    <n v="3613"/>
    <n v="0"/>
    <n v="96.27"/>
    <d v="2025-12-02T00:00:00"/>
    <n v="96.27"/>
    <n v="0"/>
    <s v="NULL"/>
    <s v="PRO"/>
    <n v="0.96"/>
    <n v="96.27"/>
    <s v="PAID"/>
    <n v="2"/>
    <n v="1752388488939"/>
    <d v="2025-12-12T00:00:00"/>
    <d v="2025-12-02T00:00:00"/>
    <m/>
    <d v="2025-12-12T00:00:00"/>
    <d v="2025-12-12T01:32:00"/>
    <n v="36131007856"/>
    <d v="2025-12-02T00:00:00"/>
    <s v="R112825"/>
    <s v="2% 01/10/26"/>
    <n v="206144"/>
    <d v="2025-12-02T00:00:00"/>
    <d v="2025-12-12T00:00:00"/>
    <n v="1.9254"/>
    <x v="1"/>
  </r>
  <r>
    <x v="63"/>
    <n v="1008035"/>
    <n v="213.66"/>
    <m/>
    <n v="213.66"/>
    <n v="2.14"/>
    <n v="213.66"/>
    <d v="2025-12-12T00:00:00"/>
    <n v="1008035"/>
    <n v="3613"/>
    <n v="0"/>
    <n v="213.66"/>
    <d v="2025-12-03T00:00:00"/>
    <n v="213.66"/>
    <n v="0"/>
    <s v="NULL"/>
    <s v="PRO"/>
    <n v="2.14"/>
    <n v="213.66"/>
    <s v="PAID"/>
    <n v="2"/>
    <n v="1752388488939"/>
    <d v="2025-12-12T00:00:00"/>
    <d v="2025-12-03T00:00:00"/>
    <m/>
    <d v="2025-12-12T00:00:00"/>
    <d v="2025-12-12T01:32:00"/>
    <n v="36131008035"/>
    <d v="2025-12-03T00:00:00"/>
    <s v="R111425"/>
    <s v="2% 01/10/26"/>
    <n v="206056"/>
    <d v="2025-12-03T00:00:00"/>
    <d v="2025-12-12T00:00:00"/>
    <n v="4.2732000000000001"/>
    <x v="1"/>
  </r>
  <r>
    <x v="63"/>
    <n v="1008037"/>
    <n v="1009.4"/>
    <m/>
    <n v="1009.4"/>
    <n v="10.09"/>
    <n v="1009.4"/>
    <d v="2025-12-12T00:00:00"/>
    <n v="1008037"/>
    <n v="3613"/>
    <n v="0"/>
    <n v="1009.4"/>
    <d v="2025-12-03T00:00:00"/>
    <n v="1009.4"/>
    <n v="0"/>
    <s v="NULL"/>
    <s v="PRO"/>
    <n v="10.09"/>
    <n v="1009.4"/>
    <s v="PAID"/>
    <n v="2"/>
    <n v="1752388488939"/>
    <d v="2025-12-12T00:00:00"/>
    <d v="2025-12-03T00:00:00"/>
    <m/>
    <d v="2025-12-12T00:00:00"/>
    <d v="2025-12-12T01:32:00"/>
    <n v="36131008037"/>
    <d v="2025-12-03T00:00:00"/>
    <s v="R091625MAN"/>
    <s v="2% 01/10/26"/>
    <n v="206055"/>
    <d v="2025-12-03T00:00:00"/>
    <d v="2025-12-12T00:00:00"/>
    <n v="20.187999999999999"/>
    <x v="1"/>
  </r>
  <r>
    <x v="63"/>
    <n v="1008274"/>
    <n v="-50"/>
    <m/>
    <n v="-50"/>
    <m/>
    <n v="-50"/>
    <d v="2025-12-12T00:00:00"/>
    <n v="1008274"/>
    <n v="3613"/>
    <n v="0"/>
    <n v="-50"/>
    <d v="2025-12-04T00:00:00"/>
    <n v="-50"/>
    <n v="0"/>
    <s v="NMCNoINV"/>
    <s v="PRO"/>
    <n v="0"/>
    <n v="-50"/>
    <s v="PAID"/>
    <n v="2"/>
    <n v="1752388488939"/>
    <d v="2025-12-12T00:00:00"/>
    <d v="2025-12-04T00:00:00"/>
    <m/>
    <d v="2025-12-12T00:00:00"/>
    <d v="2025-12-12T01:32:00"/>
    <n v="36131008274"/>
    <d v="2025-12-04T00:00:00"/>
    <s v="N/A"/>
    <s v="NET 01/10/26"/>
    <s v="NMCNoINV"/>
    <d v="2025-12-04T00:00:00"/>
    <d v="2025-12-12T00:00:00"/>
    <m/>
    <x v="0"/>
  </r>
  <r>
    <x v="63"/>
    <n v="1008381"/>
    <n v="103.95"/>
    <m/>
    <n v="103.95"/>
    <n v="1.04"/>
    <n v="102.91"/>
    <d v="2025-12-12T00:00:00"/>
    <n v="1008381"/>
    <n v="3613"/>
    <n v="0"/>
    <n v="103.95"/>
    <d v="2025-12-05T00:00:00"/>
    <n v="103.95"/>
    <n v="0"/>
    <s v="USW811656"/>
    <s v="NISI"/>
    <n v="1.04"/>
    <n v="102.91"/>
    <s v="PAID"/>
    <n v="2"/>
    <n v="1752388488939"/>
    <d v="2025-12-12T00:00:00"/>
    <d v="2025-12-05T00:00:00"/>
    <m/>
    <d v="2025-12-12T00:00:00"/>
    <d v="2025-12-12T01:32:00"/>
    <n v="36131008381"/>
    <d v="2025-12-05T00:00:00"/>
    <n v="213996"/>
    <s v="NET 01/10/26"/>
    <s v="USW811656"/>
    <d v="2025-12-05T00:00:00"/>
    <d v="2025-12-12T00:00:00"/>
    <m/>
    <x v="0"/>
  </r>
  <r>
    <x v="63"/>
    <n v="1008388"/>
    <n v="237.6"/>
    <m/>
    <n v="237.6"/>
    <n v="2.38"/>
    <n v="235.22"/>
    <d v="2025-12-12T00:00:00"/>
    <n v="1008388"/>
    <n v="3613"/>
    <n v="0"/>
    <n v="237.6"/>
    <d v="2025-12-05T00:00:00"/>
    <n v="237.6"/>
    <n v="0"/>
    <s v="P25F10FIN"/>
    <s v="PHOTOGENIC"/>
    <n v="2.38"/>
    <n v="235.22"/>
    <s v="PAID"/>
    <n v="2"/>
    <n v="1752388488939"/>
    <d v="2025-12-12T00:00:00"/>
    <d v="2025-12-05T00:00:00"/>
    <m/>
    <d v="2025-12-12T00:00:00"/>
    <d v="2025-12-12T01:32:00"/>
    <n v="36131008388"/>
    <d v="2025-12-05T00:00:00"/>
    <s v="NULL"/>
    <s v="NET 01/10/26"/>
    <s v="P25F10FIN"/>
    <d v="2025-12-05T00:00:00"/>
    <d v="2025-12-12T00:00:00"/>
    <m/>
    <x v="0"/>
  </r>
  <r>
    <x v="63"/>
    <n v="1008559"/>
    <n v="73.75"/>
    <m/>
    <n v="73.75"/>
    <n v="0.74"/>
    <n v="73.75"/>
    <d v="2025-12-12T00:00:00"/>
    <n v="1008559"/>
    <n v="3613"/>
    <n v="0"/>
    <n v="73.75"/>
    <d v="2025-12-05T00:00:00"/>
    <n v="73.75"/>
    <n v="0"/>
    <s v="NULL"/>
    <s v="PRO"/>
    <n v="0.74"/>
    <n v="73.75"/>
    <s v="PAID"/>
    <n v="2"/>
    <n v="1752388488939"/>
    <d v="2025-12-12T00:00:00"/>
    <d v="2025-12-05T00:00:00"/>
    <m/>
    <d v="2025-12-12T00:00:00"/>
    <d v="2025-12-12T01:32:00"/>
    <n v="36131008559"/>
    <d v="2025-12-05T00:00:00"/>
    <s v="R101725"/>
    <s v="2% 01/10/26"/>
    <n v="206594"/>
    <d v="2025-12-05T00:00:00"/>
    <d v="2025-12-12T00:00:00"/>
    <n v="1.4750000000000001"/>
    <x v="1"/>
  </r>
  <r>
    <x v="63"/>
    <n v="1008561"/>
    <n v="28.6"/>
    <m/>
    <n v="28.6"/>
    <n v="0.28999999999999998"/>
    <n v="28.6"/>
    <d v="2025-12-12T00:00:00"/>
    <n v="1008561"/>
    <n v="3613"/>
    <n v="0"/>
    <n v="28.6"/>
    <d v="2025-12-05T00:00:00"/>
    <n v="28.6"/>
    <n v="0"/>
    <s v="NULL"/>
    <s v="PRO"/>
    <n v="0.28999999999999998"/>
    <n v="28.6"/>
    <s v="PAID"/>
    <n v="2"/>
    <n v="1752388488939"/>
    <d v="2025-12-12T00:00:00"/>
    <d v="2025-12-05T00:00:00"/>
    <m/>
    <d v="2025-12-12T00:00:00"/>
    <d v="2025-12-12T01:32:00"/>
    <n v="36131008561"/>
    <d v="2025-12-05T00:00:00"/>
    <n v="101725"/>
    <s v="2% 01/10/26"/>
    <n v="206593"/>
    <d v="2025-12-05T00:00:00"/>
    <d v="2025-12-12T00:00:00"/>
    <n v="0.57200000000000006"/>
    <x v="1"/>
  </r>
  <r>
    <x v="63"/>
    <n v="1008562"/>
    <n v="27.25"/>
    <m/>
    <n v="27.25"/>
    <n v="0.27"/>
    <n v="27.25"/>
    <d v="2025-12-12T00:00:00"/>
    <n v="1008562"/>
    <n v="3613"/>
    <n v="0"/>
    <n v="27.25"/>
    <d v="2025-12-05T00:00:00"/>
    <n v="27.25"/>
    <n v="0"/>
    <s v="NULL"/>
    <s v="PRO"/>
    <n v="0.27"/>
    <n v="27.25"/>
    <s v="PAID"/>
    <n v="2"/>
    <n v="1752388488939"/>
    <d v="2025-12-12T00:00:00"/>
    <d v="2025-12-05T00:00:00"/>
    <m/>
    <d v="2025-12-12T00:00:00"/>
    <d v="2025-12-12T01:32:00"/>
    <n v="36131008562"/>
    <d v="2025-12-05T00:00:00"/>
    <s v="R102825"/>
    <s v="2% 01/10/26"/>
    <n v="206595"/>
    <d v="2025-12-05T00:00:00"/>
    <d v="2025-12-12T00:00:00"/>
    <n v="0.54500000000000004"/>
    <x v="1"/>
  </r>
  <r>
    <x v="63"/>
    <n v="1008975"/>
    <n v="-931.5"/>
    <m/>
    <n v="-931.5"/>
    <m/>
    <n v="-931.5"/>
    <d v="2025-12-12T00:00:00"/>
    <n v="1008975"/>
    <n v="3613"/>
    <n v="0"/>
    <n v="-931.5"/>
    <d v="2025-12-09T00:00:00"/>
    <n v="-931.5"/>
    <n v="0"/>
    <n v="1008975"/>
    <s v="PRO"/>
    <n v="0"/>
    <n v="-931.5"/>
    <s v="PAID"/>
    <n v="2"/>
    <n v="1752388488939"/>
    <d v="2025-12-12T00:00:00"/>
    <d v="2025-12-09T00:00:00"/>
    <m/>
    <d v="2025-12-12T00:00:00"/>
    <d v="2025-12-12T01:32:00"/>
    <n v="36131008975"/>
    <d v="2025-12-09T00:00:00"/>
    <s v="OM 250908"/>
    <s v="NET 01/10/26"/>
    <s v="OLYM112443"/>
    <d v="2025-12-09T00:00:00"/>
    <d v="2025-12-12T00:00:00"/>
    <m/>
    <x v="0"/>
  </r>
  <r>
    <x v="63"/>
    <n v="1008976"/>
    <n v="-607.5"/>
    <m/>
    <n v="-607.5"/>
    <m/>
    <n v="-607.5"/>
    <d v="2025-12-12T00:00:00"/>
    <n v="1008976"/>
    <n v="3613"/>
    <n v="0"/>
    <n v="-607.5"/>
    <d v="2025-12-09T00:00:00"/>
    <n v="-607.5"/>
    <n v="0"/>
    <n v="1008976"/>
    <s v="PRO"/>
    <n v="0"/>
    <n v="-607.5"/>
    <s v="PAID"/>
    <n v="2"/>
    <n v="1752388488939"/>
    <d v="2025-12-12T00:00:00"/>
    <d v="2025-12-09T00:00:00"/>
    <m/>
    <d v="2025-12-12T00:00:00"/>
    <d v="2025-12-12T01:32:00"/>
    <n v="36131008976"/>
    <d v="2025-12-09T00:00:00"/>
    <s v="OM 251013"/>
    <s v="NET 01/10/26"/>
    <s v="OLYM112444"/>
    <d v="2025-12-09T00:00:00"/>
    <d v="2025-12-12T00:00:00"/>
    <m/>
    <x v="0"/>
  </r>
  <r>
    <x v="63"/>
    <n v="1008977"/>
    <n v="-640"/>
    <m/>
    <n v="-640"/>
    <m/>
    <n v="-640"/>
    <d v="2025-12-12T00:00:00"/>
    <n v="1008977"/>
    <n v="3613"/>
    <n v="0"/>
    <n v="-640"/>
    <d v="2025-12-09T00:00:00"/>
    <n v="-640"/>
    <n v="0"/>
    <n v="1008977"/>
    <s v="PRO"/>
    <n v="0"/>
    <n v="-640"/>
    <s v="PAID"/>
    <n v="2"/>
    <n v="1752388488939"/>
    <d v="2025-12-12T00:00:00"/>
    <d v="2025-12-09T00:00:00"/>
    <m/>
    <d v="2025-12-12T00:00:00"/>
    <d v="2025-12-12T01:32:00"/>
    <n v="36131008977"/>
    <d v="2025-12-09T00:00:00"/>
    <s v="PAN 251005"/>
    <s v="NET 01/10/26"/>
    <s v="PANA112445"/>
    <d v="2025-12-09T00:00:00"/>
    <d v="2025-12-12T00:00:00"/>
    <m/>
    <x v="0"/>
  </r>
  <r>
    <x v="63"/>
    <n v="1009774"/>
    <n v="-100.64"/>
    <m/>
    <n v="-100.64"/>
    <m/>
    <n v="-100.64"/>
    <d v="2025-12-12T00:00:00"/>
    <n v="1009774"/>
    <n v="3613"/>
    <n v="0"/>
    <n v="-100.64"/>
    <d v="2025-12-11T00:00:00"/>
    <n v="-100.64"/>
    <n v="0"/>
    <n v="1009774"/>
    <s v="PRO"/>
    <n v="0"/>
    <n v="-100.64"/>
    <s v="PAID"/>
    <n v="2"/>
    <n v="1752388488939"/>
    <d v="2025-12-12T00:00:00"/>
    <d v="2025-12-11T00:00:00"/>
    <m/>
    <d v="2025-12-12T00:00:00"/>
    <d v="2025-12-12T01:32:00"/>
    <n v="36131009774"/>
    <d v="2025-12-11T00:00:00"/>
    <n v="142065"/>
    <s v="NET 01/10/26"/>
    <n v="53542"/>
    <d v="2025-12-11T00:00:00"/>
    <d v="2025-12-12T00:00:00"/>
    <m/>
    <x v="0"/>
  </r>
  <r>
    <x v="64"/>
    <n v="1007190"/>
    <n v="322.14"/>
    <m/>
    <n v="322.14"/>
    <n v="3.22"/>
    <n v="322.14"/>
    <d v="2025-12-12T00:00:00"/>
    <n v="1007190"/>
    <n v="3627"/>
    <n v="0"/>
    <n v="322.14"/>
    <d v="2025-12-01T00:00:00"/>
    <n v="322.14"/>
    <n v="0"/>
    <s v="NULL"/>
    <s v="PRO"/>
    <n v="3.22"/>
    <n v="322.14"/>
    <s v="PAID"/>
    <n v="10"/>
    <s v="Auto154404523943387"/>
    <d v="2025-12-12T00:00:00"/>
    <d v="2025-12-01T00:00:00"/>
    <s v="NULL"/>
    <d v="2025-12-12T00:00:00"/>
    <d v="2025-12-12T13:45:00"/>
    <n v="36271007190"/>
    <d v="2025-12-01T00:00:00"/>
    <n v="20934"/>
    <s v="2% 01/10/26"/>
    <n v="205733"/>
    <d v="2025-12-01T00:00:00"/>
    <d v="2025-12-12T00:00:00"/>
    <n v="6.4428000000000001"/>
    <x v="1"/>
  </r>
  <r>
    <x v="64"/>
    <n v="1007556"/>
    <n v="3990"/>
    <m/>
    <n v="3990"/>
    <n v="39.9"/>
    <n v="3950.1"/>
    <d v="2025-12-12T00:00:00"/>
    <n v="1007556"/>
    <n v="3627"/>
    <n v="0"/>
    <n v="3990"/>
    <d v="2025-12-02T00:00:00"/>
    <n v="3990"/>
    <n v="0"/>
    <s v="NULL"/>
    <s v="PRO"/>
    <n v="39.9"/>
    <n v="3950.1"/>
    <s v="PAID"/>
    <n v="10"/>
    <s v="Auto154404523943387"/>
    <d v="2025-12-12T00:00:00"/>
    <d v="2025-12-02T00:00:00"/>
    <s v="NULL"/>
    <d v="2025-12-12T00:00:00"/>
    <d v="2025-12-12T13:45:00"/>
    <n v="36271007556"/>
    <d v="2025-12-02T00:00:00"/>
    <s v="NULL"/>
    <s v="NET 02/10/26"/>
    <s v="NULL"/>
    <d v="2025-12-02T00:00:00"/>
    <d v="2025-12-12T00:00:00"/>
    <m/>
    <x v="0"/>
  </r>
  <r>
    <x v="64"/>
    <n v="1007804"/>
    <n v="4616.76"/>
    <m/>
    <n v="4616.76"/>
    <n v="46.17"/>
    <n v="4570.59"/>
    <d v="2025-12-12T00:00:00"/>
    <n v="1007804"/>
    <n v="3627"/>
    <n v="0"/>
    <n v="4616.76"/>
    <d v="2025-12-02T00:00:00"/>
    <n v="4616.76"/>
    <n v="0"/>
    <s v="NULL"/>
    <s v="PRO"/>
    <n v="46.17"/>
    <n v="4570.59"/>
    <s v="PAID"/>
    <n v="10"/>
    <s v="Auto154404523943387"/>
    <d v="2025-12-12T00:00:00"/>
    <d v="2025-12-02T00:00:00"/>
    <s v="NULL"/>
    <d v="2025-12-12T00:00:00"/>
    <d v="2025-12-12T13:45:00"/>
    <n v="36271007804"/>
    <d v="2025-12-02T00:00:00"/>
    <s v="20932 F"/>
    <s v="NET 01/10/26"/>
    <n v="206088"/>
    <d v="2025-12-02T00:00:00"/>
    <d v="2025-12-12T00:00:00"/>
    <m/>
    <x v="0"/>
  </r>
  <r>
    <x v="64"/>
    <n v="1007808"/>
    <n v="1739.21"/>
    <m/>
    <n v="1739.21"/>
    <n v="17.39"/>
    <n v="1721.82"/>
    <d v="2025-12-12T00:00:00"/>
    <n v="1007808"/>
    <n v="3627"/>
    <n v="0"/>
    <n v="1739.21"/>
    <d v="2025-12-02T00:00:00"/>
    <n v="1739.21"/>
    <n v="0"/>
    <s v="NULL"/>
    <s v="PRO"/>
    <n v="17.39"/>
    <n v="1721.82"/>
    <s v="PAID"/>
    <n v="10"/>
    <s v="Auto154404523943387"/>
    <d v="2025-12-12T00:00:00"/>
    <d v="2025-12-02T00:00:00"/>
    <s v="NULL"/>
    <d v="2025-12-12T00:00:00"/>
    <d v="2025-12-12T13:45:00"/>
    <n v="36271007808"/>
    <d v="2025-12-02T00:00:00"/>
    <s v="20943 P"/>
    <s v="NET 01/10/26"/>
    <n v="206089"/>
    <d v="2025-12-02T00:00:00"/>
    <d v="2025-12-12T00:00:00"/>
    <m/>
    <x v="0"/>
  </r>
  <r>
    <x v="64"/>
    <n v="1008041"/>
    <n v="672.93"/>
    <m/>
    <n v="672.93"/>
    <n v="6.73"/>
    <n v="672.93"/>
    <d v="2025-12-12T00:00:00"/>
    <n v="1008041"/>
    <n v="3627"/>
    <n v="0"/>
    <n v="672.93"/>
    <d v="2025-12-03T00:00:00"/>
    <n v="672.93"/>
    <n v="0"/>
    <s v="NULL"/>
    <s v="PRO"/>
    <n v="6.73"/>
    <n v="672.93"/>
    <s v="PAID"/>
    <n v="10"/>
    <s v="Auto154404523943387"/>
    <d v="2025-12-12T00:00:00"/>
    <d v="2025-12-03T00:00:00"/>
    <s v="NULL"/>
    <d v="2025-12-12T00:00:00"/>
    <d v="2025-12-12T13:45:00"/>
    <n v="36271008041"/>
    <d v="2025-12-03T00:00:00"/>
    <s v="20785 MF"/>
    <s v="2% 01/10/26"/>
    <n v="206057"/>
    <d v="2025-12-03T00:00:00"/>
    <d v="2025-12-12T00:00:00"/>
    <n v="13.458599999999999"/>
    <x v="1"/>
  </r>
  <r>
    <x v="64"/>
    <n v="1008119"/>
    <n v="52.65"/>
    <m/>
    <n v="52.65"/>
    <n v="0.53"/>
    <n v="52.65"/>
    <d v="2025-12-12T00:00:00"/>
    <n v="1008119"/>
    <n v="3627"/>
    <n v="0"/>
    <n v="52.65"/>
    <d v="2025-12-04T00:00:00"/>
    <n v="52.65"/>
    <n v="0"/>
    <s v="NULL"/>
    <s v="PRO"/>
    <n v="0.53"/>
    <n v="52.65"/>
    <s v="PAID"/>
    <n v="10"/>
    <s v="Auto154404523943387"/>
    <d v="2025-12-12T00:00:00"/>
    <d v="2025-12-04T00:00:00"/>
    <s v="NULL"/>
    <d v="2025-12-12T00:00:00"/>
    <d v="2025-12-12T13:45:00"/>
    <n v="36271008119"/>
    <d v="2025-12-04T00:00:00"/>
    <n v="20925"/>
    <s v="2% 01/10/26"/>
    <n v="206376"/>
    <d v="2025-12-04T00:00:00"/>
    <d v="2025-12-12T00:00:00"/>
    <n v="1.0529999999999999"/>
    <x v="1"/>
  </r>
  <r>
    <x v="64"/>
    <n v="1008189"/>
    <n v="1264.19"/>
    <m/>
    <n v="1264.19"/>
    <n v="12.64"/>
    <n v="1251.55"/>
    <d v="2025-12-12T00:00:00"/>
    <n v="1008189"/>
    <n v="3627"/>
    <n v="0"/>
    <n v="1264.19"/>
    <d v="2025-12-04T00:00:00"/>
    <n v="1264.19"/>
    <n v="0"/>
    <s v="NULL"/>
    <s v="PRO"/>
    <n v="12.64"/>
    <n v="1251.55"/>
    <s v="PAID"/>
    <n v="10"/>
    <s v="Auto154404523943387"/>
    <d v="2025-12-12T00:00:00"/>
    <d v="2025-12-04T00:00:00"/>
    <s v="NULL"/>
    <d v="2025-12-12T00:00:00"/>
    <d v="2025-12-12T13:45:00"/>
    <n v="36271008189"/>
    <d v="2025-12-04T00:00:00"/>
    <s v="20769 OM"/>
    <s v="NET 01/10/26"/>
    <n v="206643"/>
    <d v="2025-12-04T00:00:00"/>
    <d v="2025-12-12T00:00:00"/>
    <m/>
    <x v="0"/>
  </r>
  <r>
    <x v="64"/>
    <n v="1008289"/>
    <n v="-50"/>
    <m/>
    <n v="-50"/>
    <m/>
    <n v="-50"/>
    <d v="2025-12-12T00:00:00"/>
    <n v="1008289"/>
    <n v="3627"/>
    <n v="0"/>
    <n v="-50"/>
    <d v="2025-12-04T00:00:00"/>
    <n v="-50"/>
    <n v="0"/>
    <s v="NMCNoINV"/>
    <s v="PRO"/>
    <n v="0"/>
    <n v="-50"/>
    <s v="PAID"/>
    <n v="10"/>
    <s v="Auto154404523943387"/>
    <d v="2025-12-12T00:00:00"/>
    <d v="2025-12-04T00:00:00"/>
    <s v="NULL"/>
    <d v="2025-12-12T00:00:00"/>
    <d v="2025-12-12T13:45:00"/>
    <n v="36271008289"/>
    <d v="2025-12-04T00:00:00"/>
    <s v="N/A"/>
    <s v="NET 01/10/26"/>
    <s v="NMCNoINV"/>
    <d v="2025-12-04T00:00:00"/>
    <d v="2025-12-12T00:00:00"/>
    <m/>
    <x v="0"/>
  </r>
  <r>
    <x v="64"/>
    <n v="1008405"/>
    <n v="83.37"/>
    <m/>
    <n v="83.37"/>
    <n v="0.83"/>
    <n v="83.37"/>
    <d v="2025-12-12T00:00:00"/>
    <n v="1008405"/>
    <n v="3627"/>
    <n v="0"/>
    <n v="83.37"/>
    <d v="2025-12-05T00:00:00"/>
    <n v="83.37"/>
    <n v="0"/>
    <s v="NULL"/>
    <s v="PRO"/>
    <n v="0.83"/>
    <n v="83.37"/>
    <s v="PAID"/>
    <n v="10"/>
    <s v="Auto154404523943387"/>
    <d v="2025-12-12T00:00:00"/>
    <d v="2025-12-05T00:00:00"/>
    <s v="NULL"/>
    <d v="2025-12-12T00:00:00"/>
    <d v="2025-12-12T13:45:00"/>
    <n v="36271008405"/>
    <d v="2025-12-05T00:00:00"/>
    <n v="20925"/>
    <s v="2% 01/10/26"/>
    <n v="206794"/>
    <d v="2025-12-05T00:00:00"/>
    <d v="2025-12-12T00:00:00"/>
    <n v="1.6674000000000002"/>
    <x v="1"/>
  </r>
  <r>
    <x v="64"/>
    <n v="1008556"/>
    <n v="550.58000000000004"/>
    <m/>
    <n v="550.58000000000004"/>
    <n v="5.51"/>
    <n v="550.58000000000004"/>
    <d v="2025-12-12T00:00:00"/>
    <n v="1008556"/>
    <n v="3627"/>
    <n v="0"/>
    <n v="550.58000000000004"/>
    <d v="2025-12-05T00:00:00"/>
    <n v="550.58000000000004"/>
    <n v="0"/>
    <s v="NULL"/>
    <s v="PRO"/>
    <n v="5.51"/>
    <n v="550.58000000000004"/>
    <s v="PAID"/>
    <n v="10"/>
    <s v="Auto154404523943387"/>
    <d v="2025-12-12T00:00:00"/>
    <d v="2025-12-05T00:00:00"/>
    <s v="NULL"/>
    <d v="2025-12-12T00:00:00"/>
    <d v="2025-12-12T13:45:00"/>
    <n v="36271008556"/>
    <d v="2025-12-05T00:00:00"/>
    <s v="20785 MF"/>
    <s v="2% 01/10/26"/>
    <n v="206596"/>
    <d v="2025-12-05T00:00:00"/>
    <d v="2025-12-12T00:00:00"/>
    <n v="11.011600000000001"/>
    <x v="1"/>
  </r>
  <r>
    <x v="64"/>
    <n v="1008581"/>
    <n v="-1292.8800000000001"/>
    <m/>
    <n v="-1292.8800000000001"/>
    <m/>
    <n v="-1292.8800000000001"/>
    <d v="2025-12-12T00:00:00"/>
    <n v="1008581"/>
    <n v="3627"/>
    <n v="0"/>
    <n v="-1292.8800000000001"/>
    <d v="2025-12-08T00:00:00"/>
    <n v="-1292.8800000000001"/>
    <n v="0"/>
    <n v="1008581"/>
    <s v="PRO"/>
    <n v="0"/>
    <n v="-1292.8800000000001"/>
    <s v="PAID"/>
    <n v="10"/>
    <s v="Auto154404523943387"/>
    <d v="2025-12-12T00:00:00"/>
    <d v="2025-12-08T00:00:00"/>
    <s v="NULL"/>
    <d v="2025-12-12T00:00:00"/>
    <d v="2025-12-12T13:45:00"/>
    <n v="36271008581"/>
    <d v="2025-12-08T00:00:00"/>
    <s v="N/A"/>
    <s v="NET 01/10/26"/>
    <s v="NMC103691491x"/>
    <d v="2025-12-08T00:00:00"/>
    <d v="2025-12-12T00:00:00"/>
    <m/>
    <x v="0"/>
  </r>
  <r>
    <x v="64"/>
    <n v="1008947"/>
    <n v="-262.5"/>
    <m/>
    <n v="-262.5"/>
    <m/>
    <n v="-262.5"/>
    <d v="2025-12-12T00:00:00"/>
    <n v="1008947"/>
    <n v="3627"/>
    <n v="0"/>
    <n v="-262.5"/>
    <d v="2025-12-09T00:00:00"/>
    <n v="-262.5"/>
    <n v="0"/>
    <n v="1008947"/>
    <s v="PRO"/>
    <n v="0"/>
    <n v="-262.5"/>
    <s v="PAID"/>
    <n v="10"/>
    <s v="Auto154404523943387"/>
    <d v="2025-12-12T00:00:00"/>
    <d v="2025-12-09T00:00:00"/>
    <s v="NULL"/>
    <d v="2025-12-12T00:00:00"/>
    <d v="2025-12-12T13:45:00"/>
    <n v="36271008947"/>
    <d v="2025-12-09T00:00:00"/>
    <s v="250965-B"/>
    <s v="NET 01/10/26"/>
    <s v="PANA112410"/>
    <d v="2025-12-09T00:00:00"/>
    <d v="2025-12-12T00:00:00"/>
    <m/>
    <x v="0"/>
  </r>
  <r>
    <x v="64"/>
    <n v="1009031"/>
    <n v="-243"/>
    <m/>
    <n v="-243"/>
    <m/>
    <n v="-243"/>
    <d v="2025-12-12T00:00:00"/>
    <n v="1009031"/>
    <n v="3627"/>
    <n v="0"/>
    <n v="-243"/>
    <d v="2025-12-09T00:00:00"/>
    <n v="-243"/>
    <n v="0"/>
    <n v="1009031"/>
    <s v="PRO"/>
    <n v="0"/>
    <n v="-243"/>
    <s v="PAID"/>
    <n v="10"/>
    <s v="Auto154404523943387"/>
    <d v="2025-12-12T00:00:00"/>
    <d v="2025-12-09T00:00:00"/>
    <s v="NULL"/>
    <d v="2025-12-12T00:00:00"/>
    <d v="2025-12-12T13:45:00"/>
    <n v="36271009031"/>
    <d v="2025-12-09T00:00:00"/>
    <s v="251043-B"/>
    <s v="NET 01/10/26"/>
    <s v="OLYM112506"/>
    <d v="2025-12-09T00:00:00"/>
    <d v="2025-12-12T00:00:00"/>
    <m/>
    <x v="0"/>
  </r>
  <r>
    <x v="64"/>
    <n v="1009032"/>
    <n v="-1417.5"/>
    <m/>
    <n v="-1417.5"/>
    <m/>
    <n v="-1417.5"/>
    <d v="2025-12-12T00:00:00"/>
    <n v="1009032"/>
    <n v="3627"/>
    <n v="0"/>
    <n v="-1417.5"/>
    <d v="2025-12-09T00:00:00"/>
    <n v="-1417.5"/>
    <n v="0"/>
    <n v="1009032"/>
    <s v="PRO"/>
    <n v="0"/>
    <n v="-1417.5"/>
    <s v="PAID"/>
    <n v="10"/>
    <s v="Auto154404523943387"/>
    <d v="2025-12-12T00:00:00"/>
    <d v="2025-12-09T00:00:00"/>
    <s v="NULL"/>
    <d v="2025-12-12T00:00:00"/>
    <d v="2025-12-12T13:45:00"/>
    <n v="36271009032"/>
    <d v="2025-12-09T00:00:00"/>
    <s v="251043-B"/>
    <s v="NET 01/10/26"/>
    <s v="OLYM112507"/>
    <d v="2025-12-09T00:00:00"/>
    <d v="2025-12-12T00:00:00"/>
    <m/>
    <x v="0"/>
  </r>
  <r>
    <x v="64"/>
    <n v="1009036"/>
    <n v="-25"/>
    <m/>
    <n v="-25"/>
    <m/>
    <n v="-25"/>
    <d v="2025-12-12T00:00:00"/>
    <n v="1009036"/>
    <n v="3627"/>
    <n v="0"/>
    <n v="-25"/>
    <d v="2025-12-09T00:00:00"/>
    <n v="-25"/>
    <n v="0"/>
    <n v="1009036"/>
    <s v="PRO"/>
    <n v="0"/>
    <n v="-25"/>
    <s v="PAID"/>
    <n v="10"/>
    <s v="Auto154404523943387"/>
    <d v="2025-12-12T00:00:00"/>
    <d v="2025-12-09T00:00:00"/>
    <s v="NULL"/>
    <d v="2025-12-12T00:00:00"/>
    <d v="2025-12-12T13:45:00"/>
    <n v="36271009036"/>
    <d v="2025-12-09T00:00:00"/>
    <s v="251051-B"/>
    <s v="NET 01/10/26"/>
    <s v="PRO112511"/>
    <d v="2025-12-09T00:00:00"/>
    <d v="2025-12-12T00:00:00"/>
    <m/>
    <x v="0"/>
  </r>
  <r>
    <x v="64"/>
    <n v="1009037"/>
    <n v="-46.8"/>
    <m/>
    <n v="-46.8"/>
    <m/>
    <n v="-46.8"/>
    <d v="2025-12-12T00:00:00"/>
    <n v="1009037"/>
    <n v="3627"/>
    <n v="0"/>
    <n v="-46.8"/>
    <d v="2025-12-09T00:00:00"/>
    <n v="-46.8"/>
    <n v="0"/>
    <n v="1009037"/>
    <s v="PRO"/>
    <n v="0"/>
    <n v="-46.8"/>
    <s v="PAID"/>
    <n v="10"/>
    <s v="Auto154404523943387"/>
    <d v="2025-12-12T00:00:00"/>
    <d v="2025-12-09T00:00:00"/>
    <s v="NULL"/>
    <d v="2025-12-12T00:00:00"/>
    <d v="2025-12-12T13:45:00"/>
    <n v="36271009037"/>
    <d v="2025-12-09T00:00:00"/>
    <s v="251051-B"/>
    <s v="NET 01/10/26"/>
    <s v="Nom112512"/>
    <d v="2025-12-09T00:00:00"/>
    <d v="2025-12-12T00:00:00"/>
    <m/>
    <x v="0"/>
  </r>
  <r>
    <x v="64"/>
    <n v="1009045"/>
    <n v="-1110"/>
    <m/>
    <n v="-1110"/>
    <m/>
    <n v="-1110"/>
    <d v="2025-12-12T00:00:00"/>
    <n v="1009045"/>
    <n v="3627"/>
    <n v="0"/>
    <n v="-1110"/>
    <d v="2025-12-09T00:00:00"/>
    <n v="-1110"/>
    <n v="0"/>
    <n v="1009045"/>
    <s v="PRO"/>
    <n v="0"/>
    <n v="-1110"/>
    <s v="PAID"/>
    <n v="10"/>
    <s v="Auto154404523943387"/>
    <d v="2025-12-12T00:00:00"/>
    <d v="2025-12-09T00:00:00"/>
    <s v="NULL"/>
    <d v="2025-12-12T00:00:00"/>
    <d v="2025-12-12T13:45:00"/>
    <n v="36271009045"/>
    <d v="2025-12-09T00:00:00"/>
    <s v="251055-B"/>
    <s v="NET 01/10/26"/>
    <s v="PANA112522"/>
    <d v="2025-12-09T00:00:00"/>
    <d v="2025-12-12T00:00:00"/>
    <m/>
    <x v="0"/>
  </r>
  <r>
    <x v="65"/>
    <n v="1007516"/>
    <n v="3990"/>
    <m/>
    <n v="3990"/>
    <n v="39.9"/>
    <n v="3950.1"/>
    <d v="2025-12-12T00:00:00"/>
    <n v="1007516"/>
    <n v="3655"/>
    <n v="0"/>
    <n v="3990"/>
    <d v="2025-12-02T00:00:00"/>
    <n v="3990"/>
    <n v="0"/>
    <s v="NULL"/>
    <s v="PRO"/>
    <n v="39.9"/>
    <n v="3950.1"/>
    <s v="PAID"/>
    <n v="2"/>
    <n v="8900896780220"/>
    <d v="2025-12-12T00:00:00"/>
    <d v="2025-12-02T00:00:00"/>
    <m/>
    <d v="2025-12-12T00:00:00"/>
    <d v="2025-12-08T16:32:00"/>
    <n v="36551007516"/>
    <d v="2025-12-02T00:00:00"/>
    <s v="NULL"/>
    <s v="NET 02/10/26"/>
    <s v="NULL"/>
    <d v="2025-12-02T00:00:00"/>
    <d v="2025-12-12T00:00:00"/>
    <m/>
    <x v="0"/>
  </r>
  <r>
    <x v="66"/>
    <n v="1001298"/>
    <n v="21464.33"/>
    <m/>
    <n v="21464.33"/>
    <m/>
    <n v="21464.33"/>
    <d v="2025-12-12T00:00:00"/>
    <n v="1001298"/>
    <n v="3662"/>
    <n v="0"/>
    <n v="21464.33"/>
    <d v="2025-10-30T00:00:00"/>
    <n v="21464.33"/>
    <n v="0"/>
    <s v="NULL"/>
    <s v="PRO"/>
    <n v="0"/>
    <n v="21464.33"/>
    <s v="PAID"/>
    <n v="2"/>
    <n v="2262487959176"/>
    <d v="2025-12-12T00:00:00"/>
    <d v="2025-10-30T00:00:00"/>
    <m/>
    <d v="2025-12-12T00:00:00"/>
    <d v="2025-12-10T12:47:00"/>
    <n v="36621001298"/>
    <d v="2025-10-30T00:00:00"/>
    <s v="102925DETPRO"/>
    <s v="NET 12/10/25"/>
    <n v="200751"/>
    <d v="2025-10-30T00:00:00"/>
    <d v="2025-12-12T00:00:00"/>
    <m/>
    <x v="0"/>
  </r>
  <r>
    <x v="66"/>
    <n v="1001299"/>
    <n v="1490.75"/>
    <m/>
    <n v="1490.75"/>
    <m/>
    <n v="1490.75"/>
    <d v="2025-12-12T00:00:00"/>
    <n v="1001299"/>
    <n v="3662"/>
    <n v="0"/>
    <n v="1490.75"/>
    <d v="2025-10-30T00:00:00"/>
    <n v="1490.75"/>
    <n v="0"/>
    <s v="NULL"/>
    <s v="PRO"/>
    <n v="0"/>
    <n v="1490.75"/>
    <s v="PAID"/>
    <n v="2"/>
    <n v="2262487959176"/>
    <d v="2025-12-12T00:00:00"/>
    <d v="2025-10-30T00:00:00"/>
    <m/>
    <d v="2025-12-12T00:00:00"/>
    <d v="2025-12-10T12:47:00"/>
    <n v="36621001299"/>
    <d v="2025-10-30T00:00:00"/>
    <s v="102925DET PRO"/>
    <s v="NET 12/10/25"/>
    <n v="200755"/>
    <d v="2025-10-30T00:00:00"/>
    <d v="2025-12-12T00:00:00"/>
    <m/>
    <x v="0"/>
  </r>
  <r>
    <x v="66"/>
    <n v="1001300"/>
    <n v="1490.75"/>
    <m/>
    <n v="1490.75"/>
    <m/>
    <n v="1490.75"/>
    <d v="2025-12-12T00:00:00"/>
    <n v="1001300"/>
    <n v="3662"/>
    <n v="0"/>
    <n v="1490.75"/>
    <d v="2025-10-30T00:00:00"/>
    <n v="1490.75"/>
    <n v="0"/>
    <s v="NULL"/>
    <s v="PRO"/>
    <n v="0"/>
    <n v="1490.75"/>
    <s v="PAID"/>
    <n v="2"/>
    <n v="2262487959176"/>
    <d v="2025-12-12T00:00:00"/>
    <d v="2025-10-30T00:00:00"/>
    <m/>
    <d v="2025-12-12T00:00:00"/>
    <d v="2025-12-10T12:47:00"/>
    <n v="36621001300"/>
    <d v="2025-10-30T00:00:00"/>
    <s v="102925CIN PRO"/>
    <s v="NET 12/10/25"/>
    <n v="200757"/>
    <d v="2025-10-30T00:00:00"/>
    <d v="2025-12-12T00:00:00"/>
    <m/>
    <x v="0"/>
  </r>
  <r>
    <x v="66"/>
    <n v="1001301"/>
    <n v="21464.33"/>
    <m/>
    <n v="21464.33"/>
    <m/>
    <n v="21464.33"/>
    <d v="2025-12-12T00:00:00"/>
    <n v="1001301"/>
    <n v="3662"/>
    <n v="0"/>
    <n v="21464.33"/>
    <d v="2025-10-30T00:00:00"/>
    <n v="21464.33"/>
    <n v="0"/>
    <s v="NULL"/>
    <s v="PRO"/>
    <n v="0"/>
    <n v="21464.33"/>
    <s v="PAID"/>
    <n v="2"/>
    <n v="2262487959176"/>
    <d v="2025-12-12T00:00:00"/>
    <d v="2025-10-30T00:00:00"/>
    <m/>
    <d v="2025-12-12T00:00:00"/>
    <d v="2025-12-10T12:47:00"/>
    <n v="36621001301"/>
    <d v="2025-10-30T00:00:00"/>
    <s v="102925CINPRO"/>
    <s v="NET 12/10/25"/>
    <n v="200753"/>
    <d v="2025-10-30T00:00:00"/>
    <d v="2025-12-12T00:00:00"/>
    <m/>
    <x v="0"/>
  </r>
  <r>
    <x v="66"/>
    <n v="1001302"/>
    <n v="21464.33"/>
    <m/>
    <n v="21464.33"/>
    <m/>
    <n v="21464.33"/>
    <d v="2025-12-12T00:00:00"/>
    <n v="1001302"/>
    <n v="3662"/>
    <n v="0"/>
    <n v="21464.33"/>
    <d v="2025-10-30T00:00:00"/>
    <n v="21464.33"/>
    <n v="0"/>
    <s v="NULL"/>
    <s v="PRO"/>
    <n v="0"/>
    <n v="21464.33"/>
    <s v="PAID"/>
    <n v="2"/>
    <n v="2262487959176"/>
    <d v="2025-12-12T00:00:00"/>
    <d v="2025-10-30T00:00:00"/>
    <m/>
    <d v="2025-12-12T00:00:00"/>
    <d v="2025-12-10T12:47:00"/>
    <n v="36621001302"/>
    <d v="2025-10-30T00:00:00"/>
    <s v="102925CHIPRO"/>
    <s v="NET 12/10/25"/>
    <n v="200752"/>
    <d v="2025-10-30T00:00:00"/>
    <d v="2025-12-12T00:00:00"/>
    <m/>
    <x v="0"/>
  </r>
  <r>
    <x v="66"/>
    <n v="1001303"/>
    <n v="1490.75"/>
    <m/>
    <n v="1490.75"/>
    <m/>
    <n v="1490.75"/>
    <d v="2025-12-12T00:00:00"/>
    <n v="1001303"/>
    <n v="3662"/>
    <n v="0"/>
    <n v="1490.75"/>
    <d v="2025-10-30T00:00:00"/>
    <n v="1490.75"/>
    <n v="0"/>
    <s v="NULL"/>
    <s v="PRO"/>
    <n v="0"/>
    <n v="1490.75"/>
    <s v="PAID"/>
    <n v="2"/>
    <n v="2262487959176"/>
    <d v="2025-12-12T00:00:00"/>
    <d v="2025-10-30T00:00:00"/>
    <m/>
    <d v="2025-12-12T00:00:00"/>
    <d v="2025-12-10T12:47:00"/>
    <n v="36621001303"/>
    <d v="2025-10-30T00:00:00"/>
    <s v="102925CHI PRO"/>
    <s v="NET 12/10/25"/>
    <n v="200756"/>
    <d v="2025-10-30T00:00:00"/>
    <d v="2025-12-12T00:00:00"/>
    <m/>
    <x v="0"/>
  </r>
  <r>
    <x v="66"/>
    <n v="1001304"/>
    <n v="1490.75"/>
    <m/>
    <n v="1490.75"/>
    <m/>
    <n v="1490.75"/>
    <d v="2025-12-12T00:00:00"/>
    <n v="1001304"/>
    <n v="3662"/>
    <n v="0"/>
    <n v="1490.75"/>
    <d v="2025-10-30T00:00:00"/>
    <n v="1490.75"/>
    <n v="0"/>
    <s v="NULL"/>
    <s v="PRO"/>
    <n v="0"/>
    <n v="1490.75"/>
    <s v="PAID"/>
    <n v="2"/>
    <n v="2262487959176"/>
    <d v="2025-12-12T00:00:00"/>
    <d v="2025-10-30T00:00:00"/>
    <m/>
    <d v="2025-12-12T00:00:00"/>
    <d v="2025-12-10T12:47:00"/>
    <n v="36621001304"/>
    <d v="2025-10-30T00:00:00"/>
    <s v="102925AA PRO"/>
    <s v="NET 12/10/25"/>
    <n v="200758"/>
    <d v="2025-10-30T00:00:00"/>
    <d v="2025-12-12T00:00:00"/>
    <m/>
    <x v="0"/>
  </r>
  <r>
    <x v="66"/>
    <n v="1001305"/>
    <n v="20718.96"/>
    <m/>
    <n v="20718.96"/>
    <m/>
    <n v="20718.96"/>
    <d v="2025-12-12T00:00:00"/>
    <n v="1001305"/>
    <n v="3662"/>
    <n v="0"/>
    <n v="20718.96"/>
    <d v="2025-10-30T00:00:00"/>
    <n v="20718.96"/>
    <n v="0"/>
    <s v="NULL"/>
    <s v="PRO"/>
    <n v="0"/>
    <n v="20718.96"/>
    <s v="PAID"/>
    <n v="2"/>
    <n v="2262487959176"/>
    <d v="2025-12-12T00:00:00"/>
    <d v="2025-10-30T00:00:00"/>
    <m/>
    <d v="2025-12-12T00:00:00"/>
    <d v="2025-12-10T12:47:00"/>
    <n v="36621001305"/>
    <d v="2025-10-30T00:00:00"/>
    <s v="102925AAPRO"/>
    <s v="NET 12/10/25"/>
    <n v="200754"/>
    <d v="2025-10-30T00:00:00"/>
    <d v="2025-12-12T00:00:00"/>
    <m/>
    <x v="0"/>
  </r>
  <r>
    <x v="66"/>
    <n v="1001367"/>
    <n v="5039.88"/>
    <m/>
    <n v="5039.88"/>
    <m/>
    <n v="5039.88"/>
    <d v="2025-12-12T00:00:00"/>
    <n v="1001367"/>
    <n v="3662"/>
    <n v="0"/>
    <n v="5039.88"/>
    <d v="2025-10-30T00:00:00"/>
    <n v="5039.88"/>
    <n v="0"/>
    <s v="NULL"/>
    <s v="PRO"/>
    <n v="0"/>
    <n v="5039.88"/>
    <s v="PAID"/>
    <n v="2"/>
    <n v="2262487959176"/>
    <d v="2025-12-12T00:00:00"/>
    <d v="2025-10-30T00:00:00"/>
    <m/>
    <d v="2025-12-12T00:00:00"/>
    <d v="2025-12-10T12:47:00"/>
    <n v="36621001367"/>
    <d v="2025-10-30T00:00:00"/>
    <s v="FUPROSHOW925AA"/>
    <s v="NET 12/10/25"/>
    <n v="200687"/>
    <d v="2025-10-30T00:00:00"/>
    <d v="2025-12-12T00:00:00"/>
    <m/>
    <x v="0"/>
  </r>
  <r>
    <x v="66"/>
    <n v="1001754"/>
    <n v="16799.599999999999"/>
    <m/>
    <n v="16799.599999999999"/>
    <m/>
    <n v="16799.599999999999"/>
    <d v="2025-12-12T00:00:00"/>
    <n v="1001754"/>
    <n v="3662"/>
    <n v="0"/>
    <n v="16799.599999999999"/>
    <d v="2025-10-31T00:00:00"/>
    <n v="16799.599999999999"/>
    <n v="0"/>
    <s v="NULL"/>
    <s v="PRO"/>
    <n v="0"/>
    <n v="16799.599999999999"/>
    <s v="PAID"/>
    <n v="2"/>
    <n v="2262487959176"/>
    <d v="2025-12-12T00:00:00"/>
    <d v="2025-10-31T00:00:00"/>
    <m/>
    <d v="2025-12-12T00:00:00"/>
    <d v="2025-12-10T12:47:00"/>
    <n v="36621001754"/>
    <d v="2025-10-31T00:00:00"/>
    <s v="FUPROSHOW925DET"/>
    <s v="NET 12/10/25"/>
    <n v="201196"/>
    <d v="2025-10-31T00:00:00"/>
    <d v="2025-12-12T00:00:00"/>
    <m/>
    <x v="0"/>
  </r>
  <r>
    <x v="66"/>
    <n v="1001756"/>
    <n v="11759.72"/>
    <m/>
    <n v="11759.72"/>
    <m/>
    <n v="11759.72"/>
    <d v="2025-12-12T00:00:00"/>
    <n v="1001756"/>
    <n v="3662"/>
    <n v="0"/>
    <n v="11759.72"/>
    <d v="2025-10-31T00:00:00"/>
    <n v="11759.72"/>
    <n v="0"/>
    <s v="NULL"/>
    <s v="PRO"/>
    <n v="0"/>
    <n v="11759.72"/>
    <s v="PAID"/>
    <n v="2"/>
    <n v="2262487959176"/>
    <d v="2025-12-12T00:00:00"/>
    <d v="2025-10-31T00:00:00"/>
    <m/>
    <d v="2025-12-12T00:00:00"/>
    <d v="2025-12-10T12:47:00"/>
    <n v="36621001756"/>
    <d v="2025-10-31T00:00:00"/>
    <s v="FUPROSHOW925AA"/>
    <s v="NET 12/10/25"/>
    <n v="201198"/>
    <d v="2025-10-31T00:00:00"/>
    <d v="2025-12-12T00:00:00"/>
    <m/>
    <x v="0"/>
  </r>
  <r>
    <x v="66"/>
    <n v="1001758"/>
    <n v="16799.599999999999"/>
    <m/>
    <n v="16799.599999999999"/>
    <m/>
    <n v="16799.599999999999"/>
    <d v="2025-12-12T00:00:00"/>
    <n v="1001758"/>
    <n v="3662"/>
    <n v="0"/>
    <n v="16799.599999999999"/>
    <d v="2025-10-31T00:00:00"/>
    <n v="16799.599999999999"/>
    <n v="0"/>
    <s v="NULL"/>
    <s v="PRO"/>
    <n v="0"/>
    <n v="16799.599999999999"/>
    <s v="PAID"/>
    <n v="2"/>
    <n v="2262487959176"/>
    <d v="2025-12-12T00:00:00"/>
    <d v="2025-10-31T00:00:00"/>
    <m/>
    <d v="2025-12-12T00:00:00"/>
    <d v="2025-12-10T12:47:00"/>
    <n v="36621001758"/>
    <d v="2025-10-31T00:00:00"/>
    <s v="FUPROSHOW925CIN"/>
    <s v="NET 12/10/25"/>
    <n v="201197"/>
    <d v="2025-10-31T00:00:00"/>
    <d v="2025-12-12T00:00:00"/>
    <m/>
    <x v="0"/>
  </r>
  <r>
    <x v="66"/>
    <n v="1001761"/>
    <n v="16799.599999999999"/>
    <m/>
    <n v="16799.599999999999"/>
    <m/>
    <n v="16799.599999999999"/>
    <d v="2025-12-12T00:00:00"/>
    <n v="1001761"/>
    <n v="3662"/>
    <n v="0"/>
    <n v="16799.599999999999"/>
    <d v="2025-10-31T00:00:00"/>
    <n v="16799.599999999999"/>
    <n v="0"/>
    <s v="NULL"/>
    <s v="PRO"/>
    <n v="0"/>
    <n v="16799.599999999999"/>
    <s v="PAID"/>
    <n v="2"/>
    <n v="2262487959176"/>
    <d v="2025-12-12T00:00:00"/>
    <d v="2025-10-31T00:00:00"/>
    <m/>
    <d v="2025-12-12T00:00:00"/>
    <d v="2025-12-10T12:47:00"/>
    <n v="36621001761"/>
    <d v="2025-10-31T00:00:00"/>
    <s v="FUPROSHOW925CHI"/>
    <s v="NET 12/10/25"/>
    <n v="201199"/>
    <d v="2025-10-31T00:00:00"/>
    <d v="2025-12-12T00:00:00"/>
    <m/>
    <x v="0"/>
  </r>
  <r>
    <x v="66"/>
    <n v="1004155"/>
    <n v="26098.799999999999"/>
    <m/>
    <n v="26098.799999999999"/>
    <m/>
    <n v="26098.799999999999"/>
    <d v="2025-12-12T00:00:00"/>
    <n v="1004155"/>
    <n v="3662"/>
    <n v="0"/>
    <n v="26098.799999999999"/>
    <d v="2025-11-14T00:00:00"/>
    <n v="26098.799999999999"/>
    <n v="0"/>
    <s v="NULL"/>
    <s v="PRO"/>
    <n v="0"/>
    <n v="26098.799999999999"/>
    <s v="PAID"/>
    <n v="2"/>
    <n v="2262487959176"/>
    <d v="2025-12-12T00:00:00"/>
    <d v="2025-11-14T00:00:00"/>
    <m/>
    <d v="2025-12-12T00:00:00"/>
    <d v="2025-12-10T12:47:00"/>
    <n v="36621004155"/>
    <d v="2025-11-14T00:00:00"/>
    <s v="XT30III102225CIN"/>
    <s v="NET 12/10/25"/>
    <n v="203200"/>
    <d v="2025-11-14T00:00:00"/>
    <d v="2025-12-12T00:00:00"/>
    <m/>
    <x v="0"/>
  </r>
  <r>
    <x v="66"/>
    <n v="1004156"/>
    <n v="21749.439999999999"/>
    <m/>
    <n v="21749.439999999999"/>
    <m/>
    <n v="21749.439999999999"/>
    <d v="2025-12-12T00:00:00"/>
    <n v="1004156"/>
    <n v="3662"/>
    <n v="0"/>
    <n v="21749.439999999999"/>
    <d v="2025-11-14T00:00:00"/>
    <n v="21749.439999999999"/>
    <n v="0"/>
    <s v="NULL"/>
    <s v="PRO"/>
    <n v="0"/>
    <n v="21749.439999999999"/>
    <s v="PAID"/>
    <n v="2"/>
    <n v="2262487959176"/>
    <d v="2025-12-12T00:00:00"/>
    <d v="2025-11-14T00:00:00"/>
    <m/>
    <d v="2025-12-12T00:00:00"/>
    <d v="2025-12-10T12:47:00"/>
    <n v="36621004156"/>
    <d v="2025-11-14T00:00:00"/>
    <s v="XE5-061225AA"/>
    <s v="NET 12/10/25"/>
    <n v="203202"/>
    <d v="2025-11-14T00:00:00"/>
    <d v="2025-12-12T00:00:00"/>
    <m/>
    <x v="0"/>
  </r>
  <r>
    <x v="66"/>
    <n v="1004184"/>
    <n v="36538.32"/>
    <m/>
    <n v="36538.32"/>
    <m/>
    <n v="36538.32"/>
    <d v="2025-12-12T00:00:00"/>
    <n v="1004184"/>
    <n v="3662"/>
    <n v="0"/>
    <n v="36538.32"/>
    <d v="2025-11-14T00:00:00"/>
    <n v="36538.32"/>
    <n v="0"/>
    <s v="NULL"/>
    <s v="PRO"/>
    <n v="0"/>
    <n v="36538.32"/>
    <s v="PAID"/>
    <n v="2"/>
    <n v="2262487959176"/>
    <d v="2025-12-12T00:00:00"/>
    <d v="2025-11-14T00:00:00"/>
    <m/>
    <d v="2025-12-12T00:00:00"/>
    <d v="2025-12-10T12:47:00"/>
    <n v="36621004184"/>
    <d v="2025-11-14T00:00:00"/>
    <s v="XT30III102225DET"/>
    <s v="NET 12/10/25"/>
    <n v="203197"/>
    <d v="2025-11-14T00:00:00"/>
    <d v="2025-12-12T00:00:00"/>
    <m/>
    <x v="0"/>
  </r>
  <r>
    <x v="66"/>
    <n v="1004189"/>
    <n v="27215.279999999999"/>
    <m/>
    <n v="27215.279999999999"/>
    <m/>
    <n v="27215.279999999999"/>
    <d v="2025-12-12T00:00:00"/>
    <n v="1004189"/>
    <n v="3662"/>
    <n v="0"/>
    <n v="27215.279999999999"/>
    <d v="2025-11-14T00:00:00"/>
    <n v="27215.279999999999"/>
    <n v="0"/>
    <s v="NULL"/>
    <s v="PRO"/>
    <n v="0"/>
    <n v="27215.279999999999"/>
    <s v="PAID"/>
    <n v="2"/>
    <n v="2262487959176"/>
    <d v="2025-12-12T00:00:00"/>
    <d v="2025-11-14T00:00:00"/>
    <m/>
    <d v="2025-12-12T00:00:00"/>
    <d v="2025-12-10T12:47:00"/>
    <n v="36621004189"/>
    <d v="2025-11-14T00:00:00"/>
    <s v="102725DET"/>
    <s v="NET 12/10/25"/>
    <n v="203198"/>
    <d v="2025-11-14T00:00:00"/>
    <d v="2025-12-12T00:00:00"/>
    <m/>
    <x v="0"/>
  </r>
  <r>
    <x v="66"/>
    <n v="1007311"/>
    <n v="532.98"/>
    <n v="10.66"/>
    <n v="522.32000000000005"/>
    <n v="5.33"/>
    <n v="516.99"/>
    <d v="2025-12-12T00:00:00"/>
    <n v="1007311"/>
    <n v="3662"/>
    <n v="10.66"/>
    <n v="532.98"/>
    <d v="2025-12-01T00:00:00"/>
    <n v="522.32000000000005"/>
    <n v="10.66"/>
    <s v="NULL"/>
    <s v="PRO"/>
    <n v="5.33"/>
    <n v="516.99"/>
    <s v="PAID"/>
    <n v="2"/>
    <n v="2262487959176"/>
    <d v="2025-12-12T00:00:00"/>
    <d v="2025-12-01T00:00:00"/>
    <m/>
    <d v="2025-12-12T00:00:00"/>
    <d v="2025-12-10T12:47:00"/>
    <n v="36621007311"/>
    <d v="2025-12-01T00:00:00"/>
    <s v="112825DETLAB"/>
    <s v="2% 01/10/26"/>
    <n v="205874"/>
    <d v="2025-12-01T00:00:00"/>
    <d v="2025-12-12T00:00:00"/>
    <n v="10.659600000000001"/>
    <x v="0"/>
  </r>
  <r>
    <x v="66"/>
    <n v="1007326"/>
    <n v="688.56"/>
    <n v="13.77"/>
    <n v="674.79"/>
    <n v="6.89"/>
    <n v="667.9"/>
    <d v="2025-12-12T00:00:00"/>
    <n v="1007326"/>
    <n v="3662"/>
    <n v="13.77"/>
    <n v="688.56"/>
    <d v="2025-12-01T00:00:00"/>
    <n v="674.79"/>
    <n v="13.77"/>
    <s v="NULL"/>
    <s v="PRO"/>
    <n v="6.89"/>
    <n v="667.9"/>
    <s v="PAID"/>
    <n v="2"/>
    <n v="2262487959176"/>
    <d v="2025-12-12T00:00:00"/>
    <d v="2025-12-01T00:00:00"/>
    <m/>
    <d v="2025-12-12T00:00:00"/>
    <d v="2025-12-10T12:47:00"/>
    <n v="36621007326"/>
    <d v="2025-12-01T00:00:00"/>
    <s v="PROSHOW82025X4AA"/>
    <s v="2% 01/10/26"/>
    <n v="205825"/>
    <d v="2025-12-01T00:00:00"/>
    <d v="2025-12-12T00:00:00"/>
    <n v="13.771199999999999"/>
    <x v="0"/>
  </r>
  <r>
    <x v="66"/>
    <n v="1007329"/>
    <n v="75.69"/>
    <n v="1.51"/>
    <n v="74.180000000000007"/>
    <n v="0.76"/>
    <n v="73.42"/>
    <d v="2025-12-12T00:00:00"/>
    <n v="1007329"/>
    <n v="3662"/>
    <n v="1.51"/>
    <n v="75.69"/>
    <d v="2025-12-01T00:00:00"/>
    <n v="74.180000000000007"/>
    <n v="1.51"/>
    <s v="NULL"/>
    <s v="PRO"/>
    <n v="0.76"/>
    <n v="73.42"/>
    <s v="PAID"/>
    <n v="2"/>
    <n v="2262487959176"/>
    <d v="2025-12-12T00:00:00"/>
    <d v="2025-12-01T00:00:00"/>
    <m/>
    <d v="2025-12-12T00:00:00"/>
    <d v="2025-12-10T12:47:00"/>
    <n v="36621007329"/>
    <d v="2025-12-01T00:00:00"/>
    <s v="CI080825BS"/>
    <s v="2% 01/10/26"/>
    <n v="205823"/>
    <d v="2025-12-01T00:00:00"/>
    <d v="2025-12-12T00:00:00"/>
    <n v="1.5138"/>
    <x v="0"/>
  </r>
  <r>
    <x v="66"/>
    <n v="1007330"/>
    <n v="41.14"/>
    <n v="0.82"/>
    <n v="40.32"/>
    <n v="0.41"/>
    <n v="39.909999999999997"/>
    <d v="2025-12-12T00:00:00"/>
    <n v="1007330"/>
    <n v="3662"/>
    <n v="0.82"/>
    <n v="41.14"/>
    <d v="2025-12-01T00:00:00"/>
    <n v="40.32"/>
    <n v="0.82"/>
    <s v="NULL"/>
    <s v="PRO"/>
    <n v="0.41"/>
    <n v="39.909999999999997"/>
    <s v="PAID"/>
    <n v="2"/>
    <n v="2262487959176"/>
    <d v="2025-12-12T00:00:00"/>
    <d v="2025-12-01T00:00:00"/>
    <m/>
    <d v="2025-12-12T00:00:00"/>
    <d v="2025-12-10T12:47:00"/>
    <n v="36621007330"/>
    <d v="2025-12-01T00:00:00"/>
    <s v="PROSHOW92225CHI"/>
    <s v="2% 01/10/26"/>
    <n v="205827"/>
    <d v="2025-12-01T00:00:00"/>
    <d v="2025-12-12T00:00:00"/>
    <n v="0.82279999999999998"/>
    <x v="0"/>
  </r>
  <r>
    <x v="66"/>
    <n v="1007331"/>
    <n v="41.14"/>
    <n v="0.82"/>
    <n v="40.32"/>
    <n v="0.41"/>
    <n v="39.909999999999997"/>
    <d v="2025-12-12T00:00:00"/>
    <n v="1007331"/>
    <n v="3662"/>
    <n v="0.82"/>
    <n v="41.14"/>
    <d v="2025-12-01T00:00:00"/>
    <n v="40.32"/>
    <n v="0.82"/>
    <s v="NULL"/>
    <s v="PRO"/>
    <n v="0.41"/>
    <n v="39.909999999999997"/>
    <s v="PAID"/>
    <n v="2"/>
    <n v="2262487959176"/>
    <d v="2025-12-12T00:00:00"/>
    <d v="2025-12-01T00:00:00"/>
    <m/>
    <d v="2025-12-12T00:00:00"/>
    <d v="2025-12-10T12:47:00"/>
    <n v="36621007331"/>
    <d v="2025-12-01T00:00:00"/>
    <s v="PROSHOW92225AA"/>
    <s v="2% 01/10/26"/>
    <n v="205826"/>
    <d v="2025-12-01T00:00:00"/>
    <d v="2025-12-12T00:00:00"/>
    <n v="0.82279999999999998"/>
    <x v="0"/>
  </r>
  <r>
    <x v="66"/>
    <n v="1007332"/>
    <n v="41.14"/>
    <n v="0.82"/>
    <n v="40.32"/>
    <n v="0.41"/>
    <n v="39.909999999999997"/>
    <d v="2025-12-12T00:00:00"/>
    <n v="1007332"/>
    <n v="3662"/>
    <n v="0.82"/>
    <n v="41.14"/>
    <d v="2025-12-01T00:00:00"/>
    <n v="40.32"/>
    <n v="0.82"/>
    <s v="NULL"/>
    <s v="PRO"/>
    <n v="0.41"/>
    <n v="39.909999999999997"/>
    <s v="PAID"/>
    <n v="2"/>
    <n v="2262487959176"/>
    <d v="2025-12-12T00:00:00"/>
    <d v="2025-12-01T00:00:00"/>
    <m/>
    <d v="2025-12-12T00:00:00"/>
    <d v="2025-12-10T12:47:00"/>
    <n v="36621007332"/>
    <d v="2025-12-01T00:00:00"/>
    <s v="PROSHOW92225DET"/>
    <s v="2% 01/10/26"/>
    <n v="205822"/>
    <d v="2025-12-01T00:00:00"/>
    <d v="2025-12-12T00:00:00"/>
    <n v="0.82279999999999998"/>
    <x v="0"/>
  </r>
  <r>
    <x v="66"/>
    <n v="1007333"/>
    <n v="41.14"/>
    <n v="0.82"/>
    <n v="40.32"/>
    <n v="0.41"/>
    <n v="39.909999999999997"/>
    <d v="2025-12-12T00:00:00"/>
    <n v="1007333"/>
    <n v="3662"/>
    <n v="0.82"/>
    <n v="41.14"/>
    <d v="2025-12-01T00:00:00"/>
    <n v="40.32"/>
    <n v="0.82"/>
    <s v="NULL"/>
    <s v="PRO"/>
    <n v="0.41"/>
    <n v="39.909999999999997"/>
    <s v="PAID"/>
    <n v="2"/>
    <n v="2262487959176"/>
    <d v="2025-12-12T00:00:00"/>
    <d v="2025-12-01T00:00:00"/>
    <m/>
    <d v="2025-12-12T00:00:00"/>
    <d v="2025-12-10T12:47:00"/>
    <n v="36621007333"/>
    <d v="2025-12-01T00:00:00"/>
    <s v="PROSHOW92225CIN"/>
    <s v="2% 01/10/26"/>
    <n v="205824"/>
    <d v="2025-12-01T00:00:00"/>
    <d v="2025-12-12T00:00:00"/>
    <n v="0.82279999999999998"/>
    <x v="0"/>
  </r>
  <r>
    <x v="66"/>
    <n v="1007335"/>
    <n v="75.69"/>
    <n v="1.51"/>
    <n v="74.180000000000007"/>
    <n v="0.76"/>
    <n v="73.42"/>
    <d v="2025-12-12T00:00:00"/>
    <n v="1007335"/>
    <n v="3662"/>
    <n v="1.51"/>
    <n v="75.69"/>
    <d v="2025-12-01T00:00:00"/>
    <n v="74.180000000000007"/>
    <n v="1.51"/>
    <s v="NULL"/>
    <s v="PRO"/>
    <n v="0.76"/>
    <n v="73.42"/>
    <s v="PAID"/>
    <n v="2"/>
    <n v="2262487959176"/>
    <d v="2025-12-12T00:00:00"/>
    <d v="2025-12-01T00:00:00"/>
    <m/>
    <d v="2025-12-12T00:00:00"/>
    <d v="2025-12-10T12:47:00"/>
    <n v="36621007335"/>
    <d v="2025-12-01T00:00:00"/>
    <s v="CH102225BS"/>
    <s v="2% 01/10/26"/>
    <n v="205828"/>
    <d v="2025-12-01T00:00:00"/>
    <d v="2025-12-12T00:00:00"/>
    <n v="1.5138"/>
    <x v="0"/>
  </r>
  <r>
    <x v="66"/>
    <n v="1007352"/>
    <n v="167.44"/>
    <n v="3.35"/>
    <n v="164.09"/>
    <n v="1.67"/>
    <n v="162.41999999999999"/>
    <d v="2025-12-12T00:00:00"/>
    <n v="1007352"/>
    <n v="3662"/>
    <n v="3.35"/>
    <n v="167.44"/>
    <d v="2025-12-01T00:00:00"/>
    <n v="164.09"/>
    <n v="3.35"/>
    <s v="NULL"/>
    <s v="PRO"/>
    <n v="1.67"/>
    <n v="162.41999999999999"/>
    <s v="PAID"/>
    <n v="2"/>
    <n v="2262487959176"/>
    <d v="2025-12-12T00:00:00"/>
    <d v="2025-12-01T00:00:00"/>
    <m/>
    <d v="2025-12-12T00:00:00"/>
    <d v="2025-12-10T12:47:00"/>
    <n v="36621007352"/>
    <d v="2025-12-01T00:00:00"/>
    <s v="112825DETLAB"/>
    <s v="2% 01/10/26"/>
    <n v="205884"/>
    <d v="2025-12-01T00:00:00"/>
    <d v="2025-12-12T00:00:00"/>
    <n v="3.3488000000000002"/>
    <x v="0"/>
  </r>
  <r>
    <x v="66"/>
    <n v="1007546"/>
    <n v="3990"/>
    <m/>
    <n v="3990"/>
    <n v="39.9"/>
    <n v="3950.1"/>
    <d v="2025-12-12T00:00:00"/>
    <n v="1007546"/>
    <n v="3662"/>
    <n v="0"/>
    <n v="3990"/>
    <d v="2025-12-02T00:00:00"/>
    <n v="3990"/>
    <n v="0"/>
    <s v="NULL"/>
    <s v="PRO"/>
    <n v="39.9"/>
    <n v="3950.1"/>
    <s v="PAID"/>
    <n v="2"/>
    <n v="2262487959176"/>
    <d v="2025-12-12T00:00:00"/>
    <d v="2025-12-02T00:00:00"/>
    <m/>
    <d v="2025-12-12T00:00:00"/>
    <d v="2025-12-10T12:47:00"/>
    <n v="36621007546"/>
    <d v="2025-12-02T00:00:00"/>
    <s v="NULL"/>
    <s v="NET 02/10/26"/>
    <s v="NULL"/>
    <d v="2025-12-02T00:00:00"/>
    <d v="2025-12-12T00:00:00"/>
    <m/>
    <x v="0"/>
  </r>
  <r>
    <x v="66"/>
    <n v="1007715"/>
    <n v="3478.42"/>
    <m/>
    <n v="3478.42"/>
    <n v="34.78"/>
    <n v="3443.64"/>
    <d v="2025-12-12T00:00:00"/>
    <n v="1007715"/>
    <n v="3662"/>
    <n v="0"/>
    <n v="3478.42"/>
    <d v="2025-12-02T00:00:00"/>
    <n v="3478.42"/>
    <n v="0"/>
    <s v="NULL"/>
    <s v="PRO"/>
    <n v="34.78"/>
    <n v="3443.64"/>
    <s v="PAID"/>
    <n v="2"/>
    <n v="2262487959176"/>
    <d v="2025-12-12T00:00:00"/>
    <d v="2025-12-02T00:00:00"/>
    <m/>
    <d v="2025-12-12T00:00:00"/>
    <d v="2025-12-10T12:47:00"/>
    <n v="36621007715"/>
    <d v="2025-12-02T00:00:00"/>
    <s v="102925DETPRO"/>
    <s v="NET 01/10/26"/>
    <n v="206115"/>
    <d v="2025-12-02T00:00:00"/>
    <d v="2025-12-12T00:00:00"/>
    <m/>
    <x v="0"/>
  </r>
  <r>
    <x v="66"/>
    <n v="1007720"/>
    <n v="1739.92"/>
    <m/>
    <n v="1739.92"/>
    <n v="17.399999999999999"/>
    <n v="1722.52"/>
    <d v="2025-12-12T00:00:00"/>
    <n v="1007720"/>
    <n v="3662"/>
    <n v="0"/>
    <n v="1739.92"/>
    <d v="2025-12-02T00:00:00"/>
    <n v="1739.92"/>
    <n v="0"/>
    <s v="NULL"/>
    <s v="PRO"/>
    <n v="17.399999999999999"/>
    <n v="1722.52"/>
    <s v="PAID"/>
    <n v="2"/>
    <n v="2262487959176"/>
    <d v="2025-12-12T00:00:00"/>
    <d v="2025-12-02T00:00:00"/>
    <m/>
    <d v="2025-12-12T00:00:00"/>
    <d v="2025-12-10T12:47:00"/>
    <n v="36621007720"/>
    <d v="2025-12-02T00:00:00"/>
    <s v="XT30III102225CHI"/>
    <s v="NET 01/10/26"/>
    <n v="206116"/>
    <d v="2025-12-02T00:00:00"/>
    <d v="2025-12-12T00:00:00"/>
    <m/>
    <x v="0"/>
  </r>
  <r>
    <x v="66"/>
    <n v="1007898"/>
    <n v="1133.92"/>
    <m/>
    <n v="1133.92"/>
    <n v="11.34"/>
    <n v="1122.58"/>
    <d v="2025-12-12T00:00:00"/>
    <n v="1007898"/>
    <n v="3662"/>
    <n v="0"/>
    <n v="1133.92"/>
    <d v="2025-12-03T00:00:00"/>
    <n v="1133.92"/>
    <n v="0"/>
    <s v="NULL"/>
    <s v="PRO"/>
    <n v="11.34"/>
    <n v="1122.58"/>
    <s v="PAID"/>
    <n v="2"/>
    <n v="2262487959176"/>
    <d v="2025-12-12T00:00:00"/>
    <d v="2025-12-03T00:00:00"/>
    <m/>
    <d v="2025-12-12T00:00:00"/>
    <d v="2025-12-10T12:47:00"/>
    <n v="36621007898"/>
    <d v="2025-12-03T00:00:00"/>
    <s v="12324CHI-FUJI"/>
    <s v="NET 01/10/26"/>
    <n v="206450"/>
    <d v="2025-12-03T00:00:00"/>
    <d v="2025-12-12T00:00:00"/>
    <m/>
    <x v="0"/>
  </r>
  <r>
    <x v="66"/>
    <n v="1008031"/>
    <n v="35.01"/>
    <n v="0.7"/>
    <n v="34.31"/>
    <n v="0.35"/>
    <n v="33.96"/>
    <d v="2025-12-12T00:00:00"/>
    <n v="1008031"/>
    <n v="3662"/>
    <n v="0.7"/>
    <n v="35.01"/>
    <d v="2025-12-03T00:00:00"/>
    <n v="34.31"/>
    <n v="0.7"/>
    <s v="NULL"/>
    <s v="PRO"/>
    <n v="0.35"/>
    <n v="33.96"/>
    <s v="PAID"/>
    <n v="2"/>
    <n v="2262487959176"/>
    <d v="2025-12-12T00:00:00"/>
    <d v="2025-12-03T00:00:00"/>
    <m/>
    <d v="2025-12-12T00:00:00"/>
    <d v="2025-12-10T12:47:00"/>
    <n v="36621008031"/>
    <d v="2025-12-03T00:00:00"/>
    <s v="CI103125BS"/>
    <s v="2% 01/10/26"/>
    <n v="206069"/>
    <d v="2025-12-03T00:00:00"/>
    <d v="2025-12-12T00:00:00"/>
    <n v="0.70019999999999993"/>
    <x v="0"/>
  </r>
  <r>
    <x v="66"/>
    <n v="1008203"/>
    <n v="4349.8"/>
    <m/>
    <n v="4349.8"/>
    <n v="43.5"/>
    <n v="4306.3"/>
    <d v="2025-12-12T00:00:00"/>
    <n v="1008203"/>
    <n v="3662"/>
    <n v="0"/>
    <n v="4349.8"/>
    <d v="2025-12-04T00:00:00"/>
    <n v="4349.8"/>
    <n v="0"/>
    <s v="NULL"/>
    <s v="PRO"/>
    <n v="43.5"/>
    <n v="4306.3"/>
    <s v="PAID"/>
    <n v="2"/>
    <n v="2262487959176"/>
    <d v="2025-12-12T00:00:00"/>
    <d v="2025-12-04T00:00:00"/>
    <m/>
    <d v="2025-12-12T00:00:00"/>
    <d v="2025-12-10T12:47:00"/>
    <n v="36621008203"/>
    <d v="2025-12-04T00:00:00"/>
    <s v="XT30III102225DET"/>
    <s v="NET 01/10/26"/>
    <n v="206660"/>
    <d v="2025-12-04T00:00:00"/>
    <d v="2025-12-12T00:00:00"/>
    <m/>
    <x v="0"/>
  </r>
  <r>
    <x v="66"/>
    <n v="1008310"/>
    <n v="230.85"/>
    <n v="4.62"/>
    <n v="226.23"/>
    <n v="2.31"/>
    <n v="223.92"/>
    <d v="2025-12-12T00:00:00"/>
    <n v="1008310"/>
    <n v="3662"/>
    <n v="4.62"/>
    <n v="230.85"/>
    <d v="2025-12-05T00:00:00"/>
    <n v="226.23"/>
    <n v="4.62"/>
    <s v="INV404655"/>
    <s v="TIFFEN"/>
    <n v="2.31"/>
    <n v="223.92"/>
    <s v="PAID"/>
    <n v="2"/>
    <n v="2262487959176"/>
    <d v="2025-12-12T00:00:00"/>
    <d v="2025-12-05T00:00:00"/>
    <m/>
    <d v="2025-12-12T00:00:00"/>
    <d v="2025-12-10T12:47:00"/>
    <n v="36621008310"/>
    <d v="2025-12-05T00:00:00"/>
    <n v="203454"/>
    <s v="2% 01/10/26"/>
    <s v="INV404655"/>
    <d v="2025-12-05T00:00:00"/>
    <d v="2025-12-12T00:00:00"/>
    <n v="4.617"/>
    <x v="0"/>
  </r>
  <r>
    <x v="66"/>
    <n v="1008311"/>
    <n v="153.9"/>
    <n v="3.08"/>
    <n v="150.82"/>
    <n v="1.54"/>
    <n v="149.28"/>
    <d v="2025-12-12T00:00:00"/>
    <n v="1008311"/>
    <n v="3662"/>
    <n v="3.08"/>
    <n v="153.9"/>
    <d v="2025-12-05T00:00:00"/>
    <n v="150.82"/>
    <n v="3.08"/>
    <s v="INV404659"/>
    <s v="TIFFEN"/>
    <n v="1.54"/>
    <n v="149.28"/>
    <s v="PAID"/>
    <n v="2"/>
    <n v="2262487959176"/>
    <d v="2025-12-12T00:00:00"/>
    <d v="2025-12-05T00:00:00"/>
    <m/>
    <d v="2025-12-12T00:00:00"/>
    <d v="2025-12-10T12:47:00"/>
    <n v="36621008311"/>
    <d v="2025-12-05T00:00:00"/>
    <n v="203452"/>
    <s v="2% 01/10/26"/>
    <s v="INV404659"/>
    <d v="2025-12-05T00:00:00"/>
    <d v="2025-12-12T00:00:00"/>
    <n v="3.0780000000000003"/>
    <x v="0"/>
  </r>
  <r>
    <x v="66"/>
    <n v="1008312"/>
    <n v="115.43"/>
    <n v="2.31"/>
    <n v="113.12"/>
    <n v="1.1499999999999999"/>
    <n v="111.97"/>
    <d v="2025-12-12T00:00:00"/>
    <n v="1008312"/>
    <n v="3662"/>
    <n v="2.31"/>
    <n v="115.43"/>
    <d v="2025-12-05T00:00:00"/>
    <n v="113.12"/>
    <n v="2.31"/>
    <s v="INV404663"/>
    <s v="TIFFEN"/>
    <n v="1.1499999999999999"/>
    <n v="111.97"/>
    <s v="PAID"/>
    <n v="2"/>
    <n v="2262487959176"/>
    <d v="2025-12-12T00:00:00"/>
    <d v="2025-12-05T00:00:00"/>
    <m/>
    <d v="2025-12-12T00:00:00"/>
    <d v="2025-12-10T12:47:00"/>
    <n v="36621008312"/>
    <d v="2025-12-05T00:00:00"/>
    <n v="203453"/>
    <s v="2% 01/10/26"/>
    <s v="INV404663"/>
    <d v="2025-12-05T00:00:00"/>
    <d v="2025-12-12T00:00:00"/>
    <n v="2.3086000000000002"/>
    <x v="0"/>
  </r>
  <r>
    <x v="66"/>
    <n v="1008378"/>
    <n v="1198.45"/>
    <m/>
    <n v="1198.45"/>
    <n v="11.98"/>
    <n v="1186.47"/>
    <d v="2025-12-12T00:00:00"/>
    <n v="1008378"/>
    <n v="3662"/>
    <n v="0"/>
    <n v="1198.45"/>
    <d v="2025-12-05T00:00:00"/>
    <n v="1198.45"/>
    <n v="0"/>
    <s v="USW811617"/>
    <s v="NISI"/>
    <n v="11.98"/>
    <n v="1186.47"/>
    <s v="PAID"/>
    <n v="2"/>
    <n v="2262487959176"/>
    <d v="2025-12-12T00:00:00"/>
    <d v="2025-12-05T00:00:00"/>
    <m/>
    <d v="2025-12-12T00:00:00"/>
    <d v="2025-12-10T12:47:00"/>
    <n v="36621008378"/>
    <d v="2025-12-05T00:00:00"/>
    <s v="102225DE"/>
    <s v="NET 01/10/26"/>
    <s v="USW811617"/>
    <d v="2025-12-05T00:00:00"/>
    <d v="2025-12-12T00:00:00"/>
    <m/>
    <x v="0"/>
  </r>
  <r>
    <x v="66"/>
    <n v="1008443"/>
    <n v="995"/>
    <n v="19.899999999999999"/>
    <n v="975.1"/>
    <n v="9.9499999999999993"/>
    <n v="965.15"/>
    <d v="2025-12-12T00:00:00"/>
    <n v="1008443"/>
    <n v="3662"/>
    <n v="19.899999999999999"/>
    <n v="995"/>
    <d v="2025-12-05T00:00:00"/>
    <n v="975.1"/>
    <n v="19.899999999999999"/>
    <s v="NULL"/>
    <s v="PRO"/>
    <n v="9.9499999999999993"/>
    <n v="965.15"/>
    <s v="PAID"/>
    <n v="2"/>
    <n v="2262487959176"/>
    <d v="2025-12-12T00:00:00"/>
    <d v="2025-12-05T00:00:00"/>
    <m/>
    <d v="2025-12-12T00:00:00"/>
    <d v="2025-12-10T12:47:00"/>
    <n v="36621008443"/>
    <d v="2025-12-05T00:00:00"/>
    <s v="102025CIN"/>
    <s v="2% 01/10/26"/>
    <n v="206617"/>
    <d v="2025-12-05T00:00:00"/>
    <d v="2025-12-12T00:00:00"/>
    <n v="19.900000000000002"/>
    <x v="0"/>
  </r>
  <r>
    <x v="66"/>
    <n v="1008446"/>
    <n v="995"/>
    <n v="19.899999999999999"/>
    <n v="975.1"/>
    <n v="9.9499999999999993"/>
    <n v="965.15"/>
    <d v="2025-12-12T00:00:00"/>
    <n v="1008446"/>
    <n v="3662"/>
    <n v="19.899999999999999"/>
    <n v="995"/>
    <d v="2025-12-05T00:00:00"/>
    <n v="975.1"/>
    <n v="19.899999999999999"/>
    <s v="NULL"/>
    <s v="PRO"/>
    <n v="9.9499999999999993"/>
    <n v="965.15"/>
    <s v="PAID"/>
    <n v="2"/>
    <n v="2262487959176"/>
    <d v="2025-12-12T00:00:00"/>
    <d v="2025-12-05T00:00:00"/>
    <m/>
    <d v="2025-12-12T00:00:00"/>
    <d v="2025-12-10T12:47:00"/>
    <n v="36621008446"/>
    <d v="2025-12-05T00:00:00"/>
    <s v="102025DET"/>
    <s v="2% 01/10/26"/>
    <n v="206616"/>
    <d v="2025-12-05T00:00:00"/>
    <d v="2025-12-12T00:00:00"/>
    <n v="19.900000000000002"/>
    <x v="0"/>
  </r>
  <r>
    <x v="66"/>
    <n v="1008447"/>
    <n v="398"/>
    <n v="7.96"/>
    <n v="390.04"/>
    <n v="3.98"/>
    <n v="386.06"/>
    <d v="2025-12-12T00:00:00"/>
    <n v="1008447"/>
    <n v="3662"/>
    <n v="7.96"/>
    <n v="398"/>
    <d v="2025-12-05T00:00:00"/>
    <n v="390.04"/>
    <n v="7.96"/>
    <s v="NULL"/>
    <s v="PRO"/>
    <n v="3.98"/>
    <n v="386.06"/>
    <s v="PAID"/>
    <n v="2"/>
    <n v="2262487959176"/>
    <d v="2025-12-12T00:00:00"/>
    <d v="2025-12-05T00:00:00"/>
    <m/>
    <d v="2025-12-12T00:00:00"/>
    <d v="2025-12-10T12:47:00"/>
    <n v="36621008447"/>
    <d v="2025-12-05T00:00:00"/>
    <s v="102025CHI"/>
    <s v="2% 01/10/26"/>
    <n v="206618"/>
    <d v="2025-12-05T00:00:00"/>
    <d v="2025-12-12T00:00:00"/>
    <n v="7.96"/>
    <x v="0"/>
  </r>
  <r>
    <x v="66"/>
    <n v="1009035"/>
    <n v="-16270"/>
    <m/>
    <n v="-16270"/>
    <m/>
    <n v="-16270"/>
    <d v="2025-12-12T00:00:00"/>
    <n v="1009035"/>
    <n v="3662"/>
    <n v="0"/>
    <n v="-16270"/>
    <d v="2025-12-09T00:00:00"/>
    <n v="-16270"/>
    <n v="0"/>
    <n v="1009035"/>
    <s v="PRO"/>
    <n v="0"/>
    <n v="-16270"/>
    <s v="PAID"/>
    <n v="2"/>
    <n v="2262487959176"/>
    <d v="2025-12-12T00:00:00"/>
    <d v="2025-12-09T00:00:00"/>
    <m/>
    <d v="2025-12-12T00:00:00"/>
    <d v="2025-12-10T12:47:00"/>
    <n v="36621009035"/>
    <d v="2025-12-09T00:00:00"/>
    <s v="ROCT25"/>
    <s v="NET 01/10/26"/>
    <s v="PANA112510"/>
    <d v="2025-12-09T00:00:00"/>
    <d v="2025-12-12T00:00:00"/>
    <m/>
    <x v="0"/>
  </r>
  <r>
    <x v="66"/>
    <n v="1009066"/>
    <n v="-75"/>
    <m/>
    <n v="-75"/>
    <m/>
    <n v="-75"/>
    <d v="2025-12-12T00:00:00"/>
    <n v="1009066"/>
    <n v="3662"/>
    <n v="0"/>
    <n v="-75"/>
    <d v="2025-12-09T00:00:00"/>
    <n v="-75"/>
    <n v="0"/>
    <n v="1009066"/>
    <s v="PRO"/>
    <n v="0"/>
    <n v="-75"/>
    <s v="PAID"/>
    <n v="2"/>
    <n v="2262487959176"/>
    <d v="2025-12-12T00:00:00"/>
    <d v="2025-12-09T00:00:00"/>
    <m/>
    <d v="2025-12-12T00:00:00"/>
    <d v="2025-12-10T12:47:00"/>
    <n v="36621009066"/>
    <d v="2025-12-09T00:00:00"/>
    <s v="RNOV25"/>
    <s v="NET 01/10/26"/>
    <s v="PANA112546"/>
    <d v="2025-12-09T00:00:00"/>
    <d v="2025-12-12T00:00:00"/>
    <m/>
    <x v="0"/>
  </r>
  <r>
    <x v="67"/>
    <n v="999393"/>
    <n v="236.6"/>
    <m/>
    <n v="236.6"/>
    <m/>
    <n v="236.6"/>
    <d v="2025-12-12T00:00:00"/>
    <n v="999393"/>
    <n v="3669"/>
    <n v="0"/>
    <n v="236.6"/>
    <d v="2025-10-22T00:00:00"/>
    <n v="236.6"/>
    <n v="0"/>
    <s v="NULL"/>
    <s v="PRO"/>
    <n v="0"/>
    <n v="236.6"/>
    <s v="PAID"/>
    <n v="2"/>
    <n v="1155970513601"/>
    <d v="2025-12-12T00:00:00"/>
    <d v="2025-10-22T00:00:00"/>
    <m/>
    <d v="2025-12-12T00:00:00"/>
    <d v="2025-12-11T10:57:00"/>
    <n v="3669999393"/>
    <d v="2025-10-22T00:00:00"/>
    <n v="10212501"/>
    <s v="NET 12/10/25"/>
    <n v="199219"/>
    <d v="2025-10-22T00:00:00"/>
    <d v="2025-12-12T00:00:00"/>
    <m/>
    <x v="0"/>
  </r>
  <r>
    <x v="67"/>
    <n v="999554"/>
    <n v="1249.5"/>
    <n v="24.99"/>
    <n v="1224.51"/>
    <m/>
    <n v="1224.51"/>
    <d v="2025-12-12T00:00:00"/>
    <n v="999554"/>
    <n v="3669"/>
    <n v="24.99"/>
    <n v="1249.5"/>
    <d v="2025-10-22T00:00:00"/>
    <n v="1224.51"/>
    <n v="24.99"/>
    <s v="NULL"/>
    <s v="PRO"/>
    <n v="0"/>
    <n v="1224.51"/>
    <s v="PAID"/>
    <n v="2"/>
    <n v="1155970513601"/>
    <d v="2025-12-12T00:00:00"/>
    <d v="2025-10-22T00:00:00"/>
    <m/>
    <d v="2025-12-12T00:00:00"/>
    <d v="2025-12-11T10:57:00"/>
    <n v="3669999554"/>
    <d v="2025-10-22T00:00:00"/>
    <n v="9202509"/>
    <s v="2% 12/10/25"/>
    <n v="199301"/>
    <d v="2025-10-22T00:00:00"/>
    <d v="2025-12-12T00:00:00"/>
    <n v="24.990000000000002"/>
    <x v="0"/>
  </r>
  <r>
    <x v="67"/>
    <n v="999850"/>
    <n v="1511.96"/>
    <m/>
    <n v="1511.96"/>
    <m/>
    <n v="1511.96"/>
    <d v="2025-12-12T00:00:00"/>
    <n v="999850"/>
    <n v="3669"/>
    <n v="0"/>
    <n v="1511.96"/>
    <d v="2025-10-23T00:00:00"/>
    <n v="1511.96"/>
    <n v="0"/>
    <s v="NULL"/>
    <s v="PRO"/>
    <n v="0"/>
    <n v="1511.96"/>
    <s v="PAID"/>
    <n v="2"/>
    <n v="1155970513601"/>
    <d v="2025-12-12T00:00:00"/>
    <d v="2025-10-23T00:00:00"/>
    <m/>
    <d v="2025-12-12T00:00:00"/>
    <d v="2025-12-11T10:57:00"/>
    <n v="3669999850"/>
    <d v="2025-10-23T00:00:00"/>
    <n v="8272501"/>
    <s v="NET 12/10/25"/>
    <n v="199689"/>
    <d v="2025-10-23T00:00:00"/>
    <d v="2025-12-12T00:00:00"/>
    <m/>
    <x v="0"/>
  </r>
  <r>
    <x v="67"/>
    <n v="999907"/>
    <n v="293.01"/>
    <m/>
    <n v="293.01"/>
    <m/>
    <n v="293.01"/>
    <d v="2025-12-12T00:00:00"/>
    <n v="999907"/>
    <n v="3669"/>
    <n v="0"/>
    <n v="293.01"/>
    <d v="2025-10-23T00:00:00"/>
    <n v="293.01"/>
    <n v="0"/>
    <s v="NULL"/>
    <s v="PRO"/>
    <n v="0"/>
    <n v="293.01"/>
    <s v="PAID"/>
    <n v="2"/>
    <n v="1155970513601"/>
    <d v="2025-12-12T00:00:00"/>
    <d v="2025-10-23T00:00:00"/>
    <m/>
    <d v="2025-12-12T00:00:00"/>
    <d v="2025-12-11T10:57:00"/>
    <n v="3669999907"/>
    <d v="2025-10-23T00:00:00"/>
    <n v="9262503"/>
    <s v="NET 12/10/25"/>
    <n v="199690"/>
    <d v="2025-10-23T00:00:00"/>
    <d v="2025-12-12T00:00:00"/>
    <m/>
    <x v="0"/>
  </r>
  <r>
    <x v="67"/>
    <n v="1000663"/>
    <n v="647.72"/>
    <m/>
    <n v="647.72"/>
    <m/>
    <n v="647.72"/>
    <d v="2025-12-12T00:00:00"/>
    <n v="1000663"/>
    <n v="3669"/>
    <n v="0"/>
    <n v="647.72"/>
    <d v="2025-10-28T00:00:00"/>
    <n v="647.72"/>
    <n v="0"/>
    <s v="NULL"/>
    <s v="PRO"/>
    <n v="0"/>
    <n v="647.72"/>
    <s v="PAID"/>
    <n v="2"/>
    <n v="1155970513601"/>
    <d v="2025-12-12T00:00:00"/>
    <d v="2025-10-28T00:00:00"/>
    <m/>
    <d v="2025-12-12T00:00:00"/>
    <d v="2025-12-11T10:57:00"/>
    <n v="36691000663"/>
    <d v="2025-10-28T00:00:00"/>
    <n v="6122503"/>
    <s v="NET 12/10/25"/>
    <n v="200263"/>
    <d v="2025-10-28T00:00:00"/>
    <d v="2025-12-12T00:00:00"/>
    <m/>
    <x v="0"/>
  </r>
  <r>
    <x v="67"/>
    <n v="1000778"/>
    <n v="245"/>
    <m/>
    <n v="245"/>
    <m/>
    <n v="245"/>
    <d v="2025-12-12T00:00:00"/>
    <n v="1000778"/>
    <n v="3669"/>
    <n v="0"/>
    <n v="245"/>
    <d v="2025-10-27T00:00:00"/>
    <n v="245"/>
    <n v="0"/>
    <s v="INV124382"/>
    <s v="DELKIN"/>
    <n v="0"/>
    <n v="245"/>
    <s v="PAID"/>
    <n v="2"/>
    <n v="1155970513601"/>
    <d v="2025-12-12T00:00:00"/>
    <d v="2025-10-28T00:00:00"/>
    <m/>
    <d v="2025-12-12T00:00:00"/>
    <d v="2025-12-11T10:57:00"/>
    <n v="36691000778"/>
    <d v="2025-10-27T00:00:00"/>
    <n v="920251"/>
    <s v="NET 12/10/25"/>
    <s v="INV124382"/>
    <d v="2025-10-28T00:00:00"/>
    <d v="2025-12-12T00:00:00"/>
    <m/>
    <x v="0"/>
  </r>
  <r>
    <x v="67"/>
    <n v="1001092"/>
    <n v="1511.96"/>
    <m/>
    <n v="1511.96"/>
    <m/>
    <n v="1511.96"/>
    <d v="2025-12-12T00:00:00"/>
    <n v="1001092"/>
    <n v="3669"/>
    <n v="0"/>
    <n v="1511.96"/>
    <d v="2025-10-30T00:00:00"/>
    <n v="1511.96"/>
    <n v="0"/>
    <s v="NULL"/>
    <s v="PRO"/>
    <n v="0"/>
    <n v="1511.96"/>
    <s v="PAID"/>
    <n v="2"/>
    <n v="1155970513601"/>
    <d v="2025-12-12T00:00:00"/>
    <d v="2025-10-30T00:00:00"/>
    <m/>
    <d v="2025-12-12T00:00:00"/>
    <d v="2025-12-11T10:57:00"/>
    <n v="36691001092"/>
    <d v="2025-10-30T00:00:00"/>
    <n v="10142502"/>
    <s v="NET 12/10/25"/>
    <n v="200891"/>
    <d v="2025-10-30T00:00:00"/>
    <d v="2025-12-12T00:00:00"/>
    <m/>
    <x v="0"/>
  </r>
  <r>
    <x v="67"/>
    <n v="1001241"/>
    <n v="1073.3399999999999"/>
    <n v="21.47"/>
    <n v="1051.8699999999999"/>
    <m/>
    <n v="1051.8699999999999"/>
    <d v="2025-12-12T00:00:00"/>
    <n v="1001241"/>
    <n v="3669"/>
    <n v="21.47"/>
    <n v="1073.3399999999999"/>
    <d v="2025-10-30T00:00:00"/>
    <n v="1051.8699999999999"/>
    <n v="21.47"/>
    <s v="NULL"/>
    <s v="PRO"/>
    <n v="0"/>
    <n v="1051.8699999999999"/>
    <s v="PAID"/>
    <n v="2"/>
    <n v="1155970513601"/>
    <d v="2025-12-12T00:00:00"/>
    <d v="2025-10-30T00:00:00"/>
    <m/>
    <d v="2025-12-12T00:00:00"/>
    <d v="2025-12-11T10:57:00"/>
    <n v="36691001241"/>
    <d v="2025-10-30T00:00:00"/>
    <n v="10292501"/>
    <s v="2% 12/10/25"/>
    <n v="200741"/>
    <d v="2025-10-30T00:00:00"/>
    <d v="2025-12-12T00:00:00"/>
    <n v="21.466799999999999"/>
    <x v="0"/>
  </r>
  <r>
    <x v="67"/>
    <n v="1004404"/>
    <n v="602.25"/>
    <n v="12.05"/>
    <n v="590.20000000000005"/>
    <m/>
    <n v="590.20000000000005"/>
    <d v="2025-12-12T00:00:00"/>
    <n v="1004404"/>
    <n v="3669"/>
    <n v="12.05"/>
    <n v="602.25"/>
    <d v="2025-11-17T00:00:00"/>
    <n v="590.20000000000005"/>
    <n v="12.05"/>
    <s v="NULL"/>
    <s v="PRO"/>
    <n v="0"/>
    <n v="590.20000000000005"/>
    <s v="PAID"/>
    <n v="2"/>
    <n v="1155970513601"/>
    <d v="2025-12-12T00:00:00"/>
    <d v="2025-11-17T00:00:00"/>
    <m/>
    <d v="2025-12-12T00:00:00"/>
    <d v="2025-12-11T10:57:00"/>
    <n v="36691004404"/>
    <d v="2025-11-17T00:00:00"/>
    <n v="11150203"/>
    <s v="2% 12/10/25"/>
    <n v="203557"/>
    <d v="2025-11-17T00:00:00"/>
    <d v="2025-12-12T00:00:00"/>
    <n v="12.045"/>
    <x v="0"/>
  </r>
  <r>
    <x v="67"/>
    <n v="1004412"/>
    <n v="517.32000000000005"/>
    <n v="10.35"/>
    <n v="506.97"/>
    <m/>
    <n v="506.97"/>
    <d v="2025-12-12T00:00:00"/>
    <n v="1004412"/>
    <n v="3669"/>
    <n v="10.35"/>
    <n v="517.32000000000005"/>
    <d v="2025-11-17T00:00:00"/>
    <n v="506.97"/>
    <n v="10.35"/>
    <s v="NULL"/>
    <s v="PRO"/>
    <n v="0"/>
    <n v="506.97"/>
    <s v="PAID"/>
    <n v="2"/>
    <n v="1155970513601"/>
    <d v="2025-12-12T00:00:00"/>
    <d v="2025-11-17T00:00:00"/>
    <m/>
    <d v="2025-12-12T00:00:00"/>
    <d v="2025-12-11T10:57:00"/>
    <n v="36691004412"/>
    <d v="2025-11-17T00:00:00"/>
    <n v="11150203"/>
    <s v="2% 12/10/25"/>
    <n v="203535"/>
    <d v="2025-11-17T00:00:00"/>
    <d v="2025-12-12T00:00:00"/>
    <n v="10.346400000000001"/>
    <x v="0"/>
  </r>
  <r>
    <x v="67"/>
    <n v="1004669"/>
    <n v="212.05"/>
    <n v="4.24"/>
    <n v="207.81"/>
    <m/>
    <n v="207.81"/>
    <d v="2025-12-12T00:00:00"/>
    <n v="1004669"/>
    <n v="3669"/>
    <n v="4.24"/>
    <n v="212.05"/>
    <d v="2025-11-18T00:00:00"/>
    <n v="207.81"/>
    <n v="4.24"/>
    <s v="NULL"/>
    <s v="PRO"/>
    <n v="0"/>
    <n v="207.81"/>
    <s v="PAID"/>
    <n v="2"/>
    <n v="1155970513601"/>
    <d v="2025-12-12T00:00:00"/>
    <d v="2025-11-18T00:00:00"/>
    <m/>
    <d v="2025-12-12T00:00:00"/>
    <d v="2025-12-11T10:57:00"/>
    <n v="36691004669"/>
    <d v="2025-11-18T00:00:00"/>
    <n v="10212501"/>
    <s v="2% 12/10/25"/>
    <n v="203777"/>
    <d v="2025-11-18T00:00:00"/>
    <d v="2025-12-12T00:00:00"/>
    <n v="4.2410000000000005"/>
    <x v="0"/>
  </r>
  <r>
    <x v="67"/>
    <n v="1004851"/>
    <n v="69.22"/>
    <n v="1.38"/>
    <n v="67.84"/>
    <m/>
    <n v="67.84"/>
    <d v="2025-12-12T00:00:00"/>
    <n v="1004851"/>
    <n v="3669"/>
    <n v="1.38"/>
    <n v="69.22"/>
    <d v="2025-11-14T00:00:00"/>
    <n v="67.84"/>
    <n v="1.38"/>
    <n v="336059"/>
    <s v="MAC GROUP"/>
    <n v="0"/>
    <n v="67.84"/>
    <s v="PAID"/>
    <n v="2"/>
    <n v="1155970513601"/>
    <d v="2025-12-12T00:00:00"/>
    <d v="2025-11-18T00:00:00"/>
    <m/>
    <d v="2025-12-12T00:00:00"/>
    <d v="2025-12-11T10:57:00"/>
    <n v="36691004851"/>
    <d v="2025-11-14T00:00:00"/>
    <n v="9202501"/>
    <s v="2% 12/10/25"/>
    <n v="336059"/>
    <d v="2025-11-18T00:00:00"/>
    <d v="2025-12-12T00:00:00"/>
    <n v="1.3844000000000001"/>
    <x v="0"/>
  </r>
  <r>
    <x v="67"/>
    <n v="1005196"/>
    <n v="102"/>
    <n v="2.04"/>
    <n v="99.96"/>
    <m/>
    <n v="99.96"/>
    <d v="2025-12-12T00:00:00"/>
    <n v="1005196"/>
    <n v="3669"/>
    <n v="2.04"/>
    <n v="102"/>
    <d v="2025-11-19T00:00:00"/>
    <n v="99.96"/>
    <n v="2.04"/>
    <s v="NULL"/>
    <s v="PRO"/>
    <n v="0"/>
    <n v="99.96"/>
    <s v="PAID"/>
    <n v="2"/>
    <n v="1155970513601"/>
    <d v="2025-12-12T00:00:00"/>
    <d v="2025-11-19T00:00:00"/>
    <m/>
    <d v="2025-12-12T00:00:00"/>
    <d v="2025-12-11T10:57:00"/>
    <n v="36691005196"/>
    <d v="2025-11-19T00:00:00"/>
    <n v="10292501"/>
    <s v="2% 12/10/25"/>
    <n v="203875"/>
    <d v="2025-11-19T00:00:00"/>
    <d v="2025-12-12T00:00:00"/>
    <n v="2.04"/>
    <x v="0"/>
  </r>
  <r>
    <x v="67"/>
    <n v="1005628"/>
    <n v="1511.96"/>
    <m/>
    <n v="1511.96"/>
    <m/>
    <n v="1511.96"/>
    <d v="2025-12-12T00:00:00"/>
    <n v="1005628"/>
    <n v="3669"/>
    <n v="0"/>
    <n v="1511.96"/>
    <d v="2025-11-21T00:00:00"/>
    <n v="1511.96"/>
    <n v="0"/>
    <s v="NULL"/>
    <s v="PRO"/>
    <n v="0"/>
    <n v="1511.96"/>
    <s v="PAID"/>
    <n v="2"/>
    <n v="1155970513601"/>
    <d v="2025-12-12T00:00:00"/>
    <d v="2025-11-21T00:00:00"/>
    <m/>
    <d v="2025-12-12T00:00:00"/>
    <d v="2025-12-11T10:57:00"/>
    <n v="36691005628"/>
    <d v="2025-11-21T00:00:00"/>
    <n v="10142502"/>
    <s v="NET 12/10/25"/>
    <n v="204505"/>
    <d v="2025-11-21T00:00:00"/>
    <d v="2025-12-12T00:00:00"/>
    <m/>
    <x v="0"/>
  </r>
  <r>
    <x v="67"/>
    <n v="1007583"/>
    <n v="350"/>
    <m/>
    <n v="350"/>
    <n v="3.5"/>
    <n v="346.5"/>
    <d v="2025-12-12T00:00:00"/>
    <n v="1007583"/>
    <n v="3669"/>
    <n v="0"/>
    <n v="350"/>
    <d v="2025-12-02T00:00:00"/>
    <n v="350"/>
    <n v="0"/>
    <s v="NULL"/>
    <s v="PRO"/>
    <n v="3.5"/>
    <n v="346.5"/>
    <s v="PAID"/>
    <n v="2"/>
    <n v="1155970513601"/>
    <d v="2025-12-12T00:00:00"/>
    <d v="2025-12-02T00:00:00"/>
    <m/>
    <d v="2025-12-12T00:00:00"/>
    <d v="2025-12-11T10:57:00"/>
    <n v="36691007583"/>
    <d v="2025-12-02T00:00:00"/>
    <s v="NULL"/>
    <s v="NET DUE 10TH"/>
    <s v="NULL"/>
    <d v="2025-12-02T00:00:00"/>
    <d v="2025-12-12T00:00:00"/>
    <m/>
    <x v="0"/>
  </r>
  <r>
    <x v="68"/>
    <n v="1007613"/>
    <n v="3990"/>
    <m/>
    <n v="3990"/>
    <n v="39.9"/>
    <n v="3950.1"/>
    <d v="2025-12-12T00:00:00"/>
    <n v="1007613"/>
    <n v="3676"/>
    <n v="0"/>
    <n v="3990"/>
    <d v="2025-12-02T00:00:00"/>
    <n v="3990"/>
    <n v="0"/>
    <s v="NULL"/>
    <s v="PRO"/>
    <n v="39.9"/>
    <n v="3950.1"/>
    <s v="PAID"/>
    <n v="2"/>
    <n v="8134173053326"/>
    <d v="2025-12-12T00:00:00"/>
    <d v="2025-12-02T00:00:00"/>
    <m/>
    <d v="2025-12-12T00:00:00"/>
    <d v="2025-12-11T10:07:00"/>
    <n v="36761007613"/>
    <d v="2025-12-02T00:00:00"/>
    <s v="NULL"/>
    <s v="NET 02/10/26"/>
    <s v="NULL"/>
    <d v="2025-12-02T00:00:00"/>
    <d v="2025-12-12T00:00:00"/>
    <m/>
    <x v="0"/>
  </r>
  <r>
    <x v="68"/>
    <n v="1007831"/>
    <n v="146.27000000000001"/>
    <n v="2.93"/>
    <n v="143.34"/>
    <n v="1.46"/>
    <n v="141.88"/>
    <d v="2025-12-12T00:00:00"/>
    <n v="1007831"/>
    <n v="3676"/>
    <n v="2.93"/>
    <n v="146.27000000000001"/>
    <d v="2025-12-02T00:00:00"/>
    <n v="143.34"/>
    <n v="2.93"/>
    <s v="NULL"/>
    <s v="PRO"/>
    <n v="1.46"/>
    <n v="141.88"/>
    <s v="PAID"/>
    <n v="2"/>
    <n v="8134173053326"/>
    <d v="2025-12-12T00:00:00"/>
    <d v="2025-12-02T00:00:00"/>
    <m/>
    <d v="2025-12-12T00:00:00"/>
    <d v="2025-12-11T10:07:00"/>
    <n v="36761007831"/>
    <d v="2025-12-02T00:00:00"/>
    <n v="103505"/>
    <s v="2% 01/10/26"/>
    <n v="206167"/>
    <d v="2025-12-02T00:00:00"/>
    <d v="2025-12-12T00:00:00"/>
    <n v="2.9254000000000002"/>
    <x v="0"/>
  </r>
  <r>
    <x v="68"/>
    <n v="1007891"/>
    <n v="404.96"/>
    <m/>
    <n v="404.96"/>
    <n v="4.05"/>
    <n v="400.91"/>
    <d v="2025-12-12T00:00:00"/>
    <n v="1007891"/>
    <n v="3676"/>
    <n v="0"/>
    <n v="404.96"/>
    <d v="2025-12-03T00:00:00"/>
    <n v="404.96"/>
    <n v="0"/>
    <s v="NULL"/>
    <s v="PRO"/>
    <n v="4.05"/>
    <n v="400.91"/>
    <s v="PAID"/>
    <n v="2"/>
    <n v="8134173053326"/>
    <d v="2025-12-12T00:00:00"/>
    <d v="2025-12-03T00:00:00"/>
    <m/>
    <d v="2025-12-12T00:00:00"/>
    <d v="2025-12-11T10:07:00"/>
    <n v="36761007891"/>
    <d v="2025-12-03T00:00:00"/>
    <n v="103485"/>
    <s v="NET 01/10/26"/>
    <n v="206474"/>
    <d v="2025-12-03T00:00:00"/>
    <d v="2025-12-12T00:00:00"/>
    <m/>
    <x v="0"/>
  </r>
  <r>
    <x v="68"/>
    <n v="1007981"/>
    <n v="57.48"/>
    <m/>
    <n v="57.48"/>
    <n v="0.56999999999999995"/>
    <n v="56.91"/>
    <d v="2025-12-12T00:00:00"/>
    <n v="1007981"/>
    <n v="3676"/>
    <n v="0"/>
    <n v="57.48"/>
    <d v="2025-12-03T00:00:00"/>
    <n v="57.48"/>
    <n v="0"/>
    <s v="NULL"/>
    <s v="PRO"/>
    <n v="0.56999999999999995"/>
    <n v="56.91"/>
    <s v="PAID"/>
    <n v="2"/>
    <n v="8134173053326"/>
    <d v="2025-12-12T00:00:00"/>
    <d v="2025-12-03T00:00:00"/>
    <m/>
    <d v="2025-12-12T00:00:00"/>
    <d v="2025-12-11T10:07:00"/>
    <n v="36761007981"/>
    <d v="2025-12-03T00:00:00"/>
    <n v="103505"/>
    <s v="NET 01/10/26"/>
    <n v="206259"/>
    <d v="2025-12-03T00:00:00"/>
    <d v="2025-12-12T00:00:00"/>
    <m/>
    <x v="0"/>
  </r>
  <r>
    <x v="68"/>
    <n v="1007984"/>
    <n v="611.45000000000005"/>
    <n v="12.23"/>
    <n v="599.22"/>
    <n v="6.11"/>
    <n v="593.11"/>
    <d v="2025-12-12T00:00:00"/>
    <n v="1007984"/>
    <n v="3676"/>
    <n v="12.23"/>
    <n v="611.45000000000005"/>
    <d v="2025-12-03T00:00:00"/>
    <n v="599.22"/>
    <n v="12.23"/>
    <s v="NULL"/>
    <s v="PRO"/>
    <n v="6.11"/>
    <n v="593.11"/>
    <s v="PAID"/>
    <n v="2"/>
    <n v="8134173053326"/>
    <d v="2025-12-12T00:00:00"/>
    <d v="2025-12-03T00:00:00"/>
    <m/>
    <d v="2025-12-12T00:00:00"/>
    <d v="2025-12-11T10:07:00"/>
    <n v="36761007984"/>
    <d v="2025-12-03T00:00:00"/>
    <n v="103505"/>
    <s v="2% 01/10/26"/>
    <n v="206258"/>
    <d v="2025-12-03T00:00:00"/>
    <d v="2025-12-12T00:00:00"/>
    <n v="12.229000000000001"/>
    <x v="0"/>
  </r>
  <r>
    <x v="68"/>
    <n v="1008042"/>
    <n v="672.93"/>
    <n v="13.46"/>
    <n v="659.47"/>
    <n v="6.73"/>
    <n v="652.74"/>
    <d v="2025-12-12T00:00:00"/>
    <n v="1008042"/>
    <n v="3676"/>
    <n v="13.46"/>
    <n v="672.93"/>
    <d v="2025-12-03T00:00:00"/>
    <n v="659.47"/>
    <n v="13.46"/>
    <s v="NULL"/>
    <s v="PRO"/>
    <n v="6.73"/>
    <n v="652.74"/>
    <s v="PAID"/>
    <n v="2"/>
    <n v="8134173053326"/>
    <d v="2025-12-12T00:00:00"/>
    <d v="2025-12-03T00:00:00"/>
    <m/>
    <d v="2025-12-12T00:00:00"/>
    <d v="2025-12-11T10:07:00"/>
    <n v="36761008042"/>
    <d v="2025-12-03T00:00:00"/>
    <n v="103391"/>
    <s v="2% 01/10/26"/>
    <n v="206074"/>
    <d v="2025-12-03T00:00:00"/>
    <d v="2025-12-12T00:00:00"/>
    <n v="13.458599999999999"/>
    <x v="0"/>
  </r>
  <r>
    <x v="68"/>
    <n v="1008159"/>
    <n v="56.66"/>
    <n v="1.1299999999999999"/>
    <n v="55.53"/>
    <n v="0.56999999999999995"/>
    <n v="54.96"/>
    <d v="2025-12-12T00:00:00"/>
    <n v="1008159"/>
    <n v="3676"/>
    <n v="1.1299999999999999"/>
    <n v="56.66"/>
    <d v="2025-12-04T00:00:00"/>
    <n v="55.53"/>
    <n v="1.1299999999999999"/>
    <s v="NULL"/>
    <s v="PRO"/>
    <n v="0.56999999999999995"/>
    <n v="54.96"/>
    <s v="PAID"/>
    <n v="2"/>
    <n v="8134173053326"/>
    <d v="2025-12-12T00:00:00"/>
    <d v="2025-12-04T00:00:00"/>
    <m/>
    <d v="2025-12-12T00:00:00"/>
    <d v="2025-12-11T10:07:00"/>
    <n v="36761008159"/>
    <d v="2025-12-04T00:00:00"/>
    <n v="103516"/>
    <s v="2% 01/10/26"/>
    <n v="206694"/>
    <d v="2025-12-04T00:00:00"/>
    <d v="2025-12-12T00:00:00"/>
    <n v="1.1332"/>
    <x v="0"/>
  </r>
  <r>
    <x v="68"/>
    <n v="1008165"/>
    <n v="224.83"/>
    <m/>
    <n v="224.83"/>
    <n v="2.25"/>
    <n v="222.58"/>
    <d v="2025-12-12T00:00:00"/>
    <n v="1008165"/>
    <n v="3676"/>
    <n v="0"/>
    <n v="224.83"/>
    <d v="2025-12-04T00:00:00"/>
    <n v="224.83"/>
    <n v="0"/>
    <s v="NULL"/>
    <s v="PRO"/>
    <n v="2.25"/>
    <n v="222.58"/>
    <s v="PAID"/>
    <n v="2"/>
    <n v="8134173053326"/>
    <d v="2025-12-12T00:00:00"/>
    <d v="2025-12-04T00:00:00"/>
    <m/>
    <d v="2025-12-12T00:00:00"/>
    <d v="2025-12-11T10:07:00"/>
    <n v="36761008165"/>
    <d v="2025-12-04T00:00:00"/>
    <n v="103516"/>
    <s v="NET 01/10/26"/>
    <n v="206695"/>
    <d v="2025-12-04T00:00:00"/>
    <d v="2025-12-12T00:00:00"/>
    <m/>
    <x v="0"/>
  </r>
  <r>
    <x v="68"/>
    <n v="1008200"/>
    <n v="37.46"/>
    <m/>
    <n v="37.46"/>
    <n v="0.37"/>
    <n v="37.090000000000003"/>
    <d v="2025-12-12T00:00:00"/>
    <n v="1008200"/>
    <n v="3676"/>
    <n v="0"/>
    <n v="37.46"/>
    <d v="2025-12-04T00:00:00"/>
    <n v="37.46"/>
    <n v="0"/>
    <s v="NULL"/>
    <s v="PRO"/>
    <n v="0.37"/>
    <n v="37.090000000000003"/>
    <s v="PAID"/>
    <n v="2"/>
    <n v="8134173053326"/>
    <d v="2025-12-12T00:00:00"/>
    <d v="2025-12-04T00:00:00"/>
    <m/>
    <d v="2025-12-12T00:00:00"/>
    <d v="2025-12-11T10:07:00"/>
    <n v="36761008200"/>
    <d v="2025-12-04T00:00:00"/>
    <n v="103505"/>
    <s v="NET 01/10/26"/>
    <n v="206666"/>
    <d v="2025-12-04T00:00:00"/>
    <d v="2025-12-12T00:00:00"/>
    <m/>
    <x v="0"/>
  </r>
  <r>
    <x v="68"/>
    <n v="1008338"/>
    <n v="84.18"/>
    <m/>
    <n v="84.18"/>
    <n v="0.84"/>
    <n v="83.34"/>
    <d v="2025-12-12T00:00:00"/>
    <n v="1008338"/>
    <n v="3676"/>
    <n v="0"/>
    <n v="84.18"/>
    <d v="2025-12-05T00:00:00"/>
    <n v="84.18"/>
    <n v="0"/>
    <n v="1043701"/>
    <s v="ELITE"/>
    <n v="0.84"/>
    <n v="83.34"/>
    <s v="PAID"/>
    <n v="2"/>
    <n v="8134173053326"/>
    <d v="2025-12-12T00:00:00"/>
    <d v="2025-12-05T00:00:00"/>
    <m/>
    <d v="2025-12-12T00:00:00"/>
    <d v="2025-12-11T10:07:00"/>
    <n v="36761008338"/>
    <d v="2025-12-05T00:00:00"/>
    <n v="215378"/>
    <s v="NET 01/10/26"/>
    <n v="1043701"/>
    <d v="2025-12-05T00:00:00"/>
    <d v="2025-12-12T00:00:00"/>
    <m/>
    <x v="0"/>
  </r>
  <r>
    <x v="68"/>
    <n v="1008396"/>
    <n v="245.04"/>
    <m/>
    <n v="245.04"/>
    <n v="2.4500000000000002"/>
    <n v="242.59"/>
    <d v="2025-12-12T00:00:00"/>
    <n v="1008396"/>
    <n v="3676"/>
    <n v="0"/>
    <n v="245.04"/>
    <d v="2025-12-05T00:00:00"/>
    <n v="245.04"/>
    <n v="0"/>
    <n v="102408"/>
    <s v="ROCKY NOOK"/>
    <n v="2.4500000000000002"/>
    <n v="242.59"/>
    <s v="PAID"/>
    <n v="2"/>
    <n v="8134173053326"/>
    <d v="2025-12-12T00:00:00"/>
    <d v="2025-12-05T00:00:00"/>
    <m/>
    <d v="2025-12-12T00:00:00"/>
    <d v="2025-12-11T10:07:00"/>
    <n v="36761008396"/>
    <d v="2025-12-05T00:00:00"/>
    <n v="102408"/>
    <s v="NET 01/10/26"/>
    <n v="102408"/>
    <d v="2025-12-05T00:00:00"/>
    <d v="2025-12-12T00:00:00"/>
    <m/>
    <x v="0"/>
  </r>
  <r>
    <x v="68"/>
    <n v="1008489"/>
    <n v="55.56"/>
    <n v="1.1100000000000001"/>
    <n v="54.45"/>
    <n v="0.56000000000000005"/>
    <n v="53.89"/>
    <d v="2025-12-12T00:00:00"/>
    <n v="1008489"/>
    <n v="3676"/>
    <n v="1.1100000000000001"/>
    <n v="55.56"/>
    <d v="2025-12-05T00:00:00"/>
    <n v="54.45"/>
    <n v="1.1100000000000001"/>
    <s v="NULL"/>
    <s v="PRO"/>
    <n v="0.56000000000000005"/>
    <n v="53.89"/>
    <s v="PAID"/>
    <n v="2"/>
    <n v="8134173053326"/>
    <d v="2025-12-12T00:00:00"/>
    <d v="2025-12-05T00:00:00"/>
    <m/>
    <d v="2025-12-12T00:00:00"/>
    <d v="2025-12-11T10:07:00"/>
    <n v="36761008489"/>
    <d v="2025-12-05T00:00:00"/>
    <n v="103521"/>
    <s v="2% 01/10/26"/>
    <n v="206837"/>
    <d v="2025-12-05T00:00:00"/>
    <d v="2025-12-12T00:00:00"/>
    <n v="1.1112"/>
    <x v="0"/>
  </r>
  <r>
    <x v="68"/>
    <n v="1008493"/>
    <n v="55.99"/>
    <m/>
    <n v="55.99"/>
    <n v="0.56000000000000005"/>
    <n v="55.43"/>
    <d v="2025-12-12T00:00:00"/>
    <n v="1008493"/>
    <n v="3676"/>
    <n v="0"/>
    <n v="55.99"/>
    <d v="2025-12-05T00:00:00"/>
    <n v="55.99"/>
    <n v="0"/>
    <s v="NULL"/>
    <s v="PRO"/>
    <n v="0.56000000000000005"/>
    <n v="55.43"/>
    <s v="PAID"/>
    <n v="2"/>
    <n v="8134173053326"/>
    <d v="2025-12-12T00:00:00"/>
    <d v="2025-12-05T00:00:00"/>
    <m/>
    <d v="2025-12-12T00:00:00"/>
    <d v="2025-12-11T10:07:00"/>
    <n v="36761008493"/>
    <d v="2025-12-05T00:00:00"/>
    <n v="103521"/>
    <s v="NET 01/10/26"/>
    <n v="206838"/>
    <d v="2025-12-05T00:00:00"/>
    <d v="2025-12-12T00:00:00"/>
    <m/>
    <x v="0"/>
  </r>
  <r>
    <x v="68"/>
    <n v="1008534"/>
    <n v="127.8"/>
    <n v="2.56"/>
    <n v="125.24"/>
    <n v="1.28"/>
    <n v="123.96"/>
    <d v="2025-12-12T00:00:00"/>
    <n v="1008534"/>
    <n v="3676"/>
    <n v="2.56"/>
    <n v="127.8"/>
    <d v="2025-12-05T00:00:00"/>
    <n v="125.24"/>
    <n v="2.56"/>
    <s v="NULL"/>
    <s v="PRO"/>
    <n v="1.28"/>
    <n v="123.96"/>
    <s v="PAID"/>
    <n v="2"/>
    <n v="8134173053326"/>
    <d v="2025-12-12T00:00:00"/>
    <d v="2025-12-05T00:00:00"/>
    <m/>
    <d v="2025-12-12T00:00:00"/>
    <d v="2025-12-11T10:07:00"/>
    <n v="36761008534"/>
    <d v="2025-12-05T00:00:00"/>
    <n v="103521"/>
    <s v="2% 01/10/26"/>
    <n v="206825"/>
    <d v="2025-12-05T00:00:00"/>
    <d v="2025-12-12T00:00:00"/>
    <n v="2.556"/>
    <x v="0"/>
  </r>
  <r>
    <x v="68"/>
    <n v="1008974"/>
    <n v="-931.5"/>
    <m/>
    <n v="-931.5"/>
    <m/>
    <n v="-931.5"/>
    <d v="2025-12-12T00:00:00"/>
    <n v="1008974"/>
    <n v="3676"/>
    <n v="0"/>
    <n v="-931.5"/>
    <d v="2025-12-09T00:00:00"/>
    <n v="-931.5"/>
    <n v="0"/>
    <n v="1008974"/>
    <s v="PRO"/>
    <n v="0"/>
    <n v="-931.5"/>
    <s v="PAID"/>
    <n v="2"/>
    <n v="8134173053326"/>
    <d v="2025-12-12T00:00:00"/>
    <d v="2025-12-09T00:00:00"/>
    <m/>
    <d v="2025-12-12T00:00:00"/>
    <d v="2025-12-11T10:07:00"/>
    <n v="36761008974"/>
    <d v="2025-12-09T00:00:00"/>
    <s v="ACOct25OMs"/>
    <s v="NET 01/10/26"/>
    <s v="OLYM112442"/>
    <d v="2025-12-09T00:00:00"/>
    <d v="2025-12-12T00:00:00"/>
    <m/>
    <x v="0"/>
  </r>
  <r>
    <x v="69"/>
    <n v="1007214"/>
    <n v="89.58"/>
    <n v="1.79"/>
    <n v="87.79"/>
    <n v="0.9"/>
    <n v="86.89"/>
    <d v="2025-12-12T00:00:00"/>
    <n v="1007214"/>
    <n v="3683"/>
    <n v="1.79"/>
    <n v="89.58"/>
    <d v="2025-12-01T00:00:00"/>
    <n v="87.79"/>
    <n v="1.79"/>
    <s v="NULL"/>
    <s v="PRO"/>
    <n v="0.9"/>
    <n v="86.89"/>
    <s v="PAID"/>
    <n v="2"/>
    <n v="1562033415853"/>
    <d v="2025-12-12T00:00:00"/>
    <d v="2025-12-01T00:00:00"/>
    <m/>
    <d v="2025-12-12T00:00:00"/>
    <d v="2025-12-10T17:00:00"/>
    <n v="36831007214"/>
    <d v="2025-12-01T00:00:00"/>
    <s v="0906501XIDD."/>
    <s v="2% 01/10/26"/>
    <n v="205795"/>
    <d v="2025-12-01T00:00:00"/>
    <d v="2025-12-12T00:00:00"/>
    <n v="1.7916000000000001"/>
    <x v="0"/>
  </r>
  <r>
    <x v="69"/>
    <n v="1007289"/>
    <n v="542.94000000000005"/>
    <n v="10.86"/>
    <n v="532.08000000000004"/>
    <n v="5.43"/>
    <n v="526.65"/>
    <d v="2025-12-12T00:00:00"/>
    <n v="1007289"/>
    <n v="3683"/>
    <n v="10.86"/>
    <n v="542.94000000000005"/>
    <d v="2025-12-01T00:00:00"/>
    <n v="532.08000000000004"/>
    <n v="10.86"/>
    <s v="NULL"/>
    <s v="PRO"/>
    <n v="5.43"/>
    <n v="526.65"/>
    <s v="PAID"/>
    <n v="2"/>
    <n v="1562033415853"/>
    <d v="2025-12-12T00:00:00"/>
    <d v="2025-12-01T00:00:00"/>
    <m/>
    <d v="2025-12-12T00:00:00"/>
    <d v="2025-12-10T17:00:00"/>
    <n v="36831007289"/>
    <d v="2025-12-01T00:00:00"/>
    <s v="1130501JCSM "/>
    <s v="2% 01/10/26"/>
    <n v="205894"/>
    <d v="2025-12-01T00:00:00"/>
    <d v="2025-12-12T00:00:00"/>
    <n v="10.8588"/>
    <x v="0"/>
  </r>
  <r>
    <x v="69"/>
    <n v="1007292"/>
    <n v="1200.5"/>
    <n v="24.01"/>
    <n v="1176.49"/>
    <n v="12.01"/>
    <n v="1164.48"/>
    <d v="2025-12-12T00:00:00"/>
    <n v="1007292"/>
    <n v="3683"/>
    <n v="24.01"/>
    <n v="1200.5"/>
    <d v="2025-12-01T00:00:00"/>
    <n v="1176.49"/>
    <n v="24.01"/>
    <s v="NULL"/>
    <s v="PRO"/>
    <n v="12.01"/>
    <n v="1164.48"/>
    <s v="PAID"/>
    <n v="2"/>
    <n v="1562033415853"/>
    <d v="2025-12-12T00:00:00"/>
    <d v="2025-12-01T00:00:00"/>
    <m/>
    <d v="2025-12-12T00:00:00"/>
    <d v="2025-12-10T17:00:00"/>
    <n v="36831007292"/>
    <d v="2025-12-01T00:00:00"/>
    <s v="1129501IMWZ "/>
    <s v="2% 01/10/26"/>
    <n v="205893"/>
    <d v="2025-12-01T00:00:00"/>
    <d v="2025-12-12T00:00:00"/>
    <n v="24.01"/>
    <x v="0"/>
  </r>
  <r>
    <x v="69"/>
    <n v="1007404"/>
    <n v="667.8"/>
    <m/>
    <n v="667.8"/>
    <n v="6.68"/>
    <n v="661.12"/>
    <d v="2025-12-12T00:00:00"/>
    <n v="1007404"/>
    <n v="3683"/>
    <n v="0"/>
    <n v="667.8"/>
    <d v="2025-12-01T00:00:00"/>
    <n v="667.8"/>
    <n v="0"/>
    <s v="NULL"/>
    <s v="PRO"/>
    <n v="6.68"/>
    <n v="661.12"/>
    <s v="PAID"/>
    <n v="2"/>
    <n v="1562033415853"/>
    <d v="2025-12-12T00:00:00"/>
    <d v="2025-12-01T00:00:00"/>
    <m/>
    <d v="2025-12-12T00:00:00"/>
    <d v="2025-12-10T17:00:00"/>
    <n v="36831007404"/>
    <d v="2025-12-01T00:00:00"/>
    <s v="1129501IMWZ "/>
    <s v="NET 01/10/26"/>
    <n v="205918"/>
    <d v="2025-12-01T00:00:00"/>
    <d v="2025-12-12T00:00:00"/>
    <m/>
    <x v="0"/>
  </r>
  <r>
    <x v="69"/>
    <n v="1007407"/>
    <n v="168.67"/>
    <n v="3.37"/>
    <n v="165.3"/>
    <n v="1.69"/>
    <n v="163.61000000000001"/>
    <d v="2025-12-12T00:00:00"/>
    <n v="1007407"/>
    <n v="3683"/>
    <n v="3.37"/>
    <n v="168.67"/>
    <d v="2025-12-01T00:00:00"/>
    <n v="165.3"/>
    <n v="3.37"/>
    <s v="NULL"/>
    <s v="PRO"/>
    <n v="1.69"/>
    <n v="163.61000000000001"/>
    <s v="PAID"/>
    <n v="2"/>
    <n v="1562033415853"/>
    <d v="2025-12-12T00:00:00"/>
    <d v="2025-12-01T00:00:00"/>
    <m/>
    <d v="2025-12-12T00:00:00"/>
    <d v="2025-12-10T17:00:00"/>
    <n v="36831007407"/>
    <d v="2025-12-01T00:00:00"/>
    <s v="1129501IMWZ "/>
    <s v="2% 01/10/26"/>
    <n v="205916"/>
    <d v="2025-12-01T00:00:00"/>
    <d v="2025-12-12T00:00:00"/>
    <n v="3.3733999999999997"/>
    <x v="0"/>
  </r>
  <r>
    <x v="69"/>
    <n v="1007408"/>
    <n v="795.3"/>
    <m/>
    <n v="795.3"/>
    <n v="7.95"/>
    <n v="787.35"/>
    <d v="2025-12-12T00:00:00"/>
    <n v="1007408"/>
    <n v="3683"/>
    <n v="0"/>
    <n v="795.3"/>
    <d v="2025-12-01T00:00:00"/>
    <n v="795.3"/>
    <n v="0"/>
    <s v="NULL"/>
    <s v="PRO"/>
    <n v="7.95"/>
    <n v="787.35"/>
    <s v="PAID"/>
    <n v="2"/>
    <n v="1562033415853"/>
    <d v="2025-12-12T00:00:00"/>
    <d v="2025-12-01T00:00:00"/>
    <m/>
    <d v="2025-12-12T00:00:00"/>
    <d v="2025-12-10T17:00:00"/>
    <n v="36831007408"/>
    <d v="2025-12-01T00:00:00"/>
    <s v="1130501JCSM "/>
    <s v="NET 01/10/26"/>
    <n v="205919"/>
    <d v="2025-12-01T00:00:00"/>
    <d v="2025-12-12T00:00:00"/>
    <m/>
    <x v="0"/>
  </r>
  <r>
    <x v="69"/>
    <n v="1007411"/>
    <n v="8.8699999999999992"/>
    <n v="0.18"/>
    <n v="8.69"/>
    <n v="0.09"/>
    <n v="8.6"/>
    <d v="2025-12-12T00:00:00"/>
    <n v="1007411"/>
    <n v="3683"/>
    <n v="0.18"/>
    <n v="8.8699999999999992"/>
    <d v="2025-12-01T00:00:00"/>
    <n v="8.69"/>
    <n v="0.18"/>
    <s v="NULL"/>
    <s v="PRO"/>
    <n v="0.09"/>
    <n v="8.6"/>
    <s v="PAID"/>
    <n v="2"/>
    <n v="1562033415853"/>
    <d v="2025-12-12T00:00:00"/>
    <d v="2025-12-01T00:00:00"/>
    <m/>
    <d v="2025-12-12T00:00:00"/>
    <d v="2025-12-10T17:00:00"/>
    <n v="36831007411"/>
    <d v="2025-12-01T00:00:00"/>
    <s v="1130501JCSM "/>
    <s v="2% 01/10/26"/>
    <n v="205917"/>
    <d v="2025-12-01T00:00:00"/>
    <d v="2025-12-12T00:00:00"/>
    <n v="0.17739999999999997"/>
    <x v="0"/>
  </r>
  <r>
    <x v="69"/>
    <n v="1007645"/>
    <n v="3990"/>
    <m/>
    <n v="3990"/>
    <n v="39.9"/>
    <n v="3950.1"/>
    <d v="2025-12-12T00:00:00"/>
    <n v="1007645"/>
    <n v="3683"/>
    <n v="0"/>
    <n v="3990"/>
    <d v="2025-12-02T00:00:00"/>
    <n v="3990"/>
    <n v="0"/>
    <s v="NULL"/>
    <s v="PRO"/>
    <n v="39.9"/>
    <n v="3950.1"/>
    <s v="PAID"/>
    <n v="2"/>
    <n v="1562033415853"/>
    <d v="2025-12-12T00:00:00"/>
    <d v="2025-12-02T00:00:00"/>
    <m/>
    <d v="2025-12-12T00:00:00"/>
    <d v="2025-12-10T17:00:00"/>
    <n v="36831007645"/>
    <d v="2025-12-02T00:00:00"/>
    <s v="NULL"/>
    <s v="NET 02/10/26"/>
    <s v="NULL"/>
    <d v="2025-12-02T00:00:00"/>
    <d v="2025-12-12T00:00:00"/>
    <m/>
    <x v="0"/>
  </r>
  <r>
    <x v="69"/>
    <n v="1007913"/>
    <n v="4676.1000000000004"/>
    <m/>
    <n v="4676.1000000000004"/>
    <n v="46.76"/>
    <n v="4629.34"/>
    <d v="2025-12-12T00:00:00"/>
    <n v="1007913"/>
    <n v="3683"/>
    <n v="0"/>
    <n v="4676.1000000000004"/>
    <d v="2025-12-03T00:00:00"/>
    <n v="4676.1000000000004"/>
    <n v="0"/>
    <s v="NULL"/>
    <s v="PRO"/>
    <n v="46.76"/>
    <n v="4629.34"/>
    <s v="PAID"/>
    <n v="2"/>
    <n v="1562033415853"/>
    <d v="2025-12-12T00:00:00"/>
    <d v="2025-12-03T00:00:00"/>
    <m/>
    <d v="2025-12-12T00:00:00"/>
    <d v="2025-12-10T17:00:00"/>
    <n v="36831007913"/>
    <d v="2025-12-03T00:00:00"/>
    <s v="1129501IMWZ "/>
    <s v="NET 01/10/26"/>
    <n v="206444"/>
    <d v="2025-12-03T00:00:00"/>
    <d v="2025-12-12T00:00:00"/>
    <m/>
    <x v="0"/>
  </r>
  <r>
    <x v="70"/>
    <n v="1001843"/>
    <n v="350"/>
    <m/>
    <n v="350"/>
    <m/>
    <n v="350"/>
    <d v="2025-12-12T00:00:00"/>
    <n v="1001843"/>
    <n v="3697"/>
    <n v="0"/>
    <n v="350"/>
    <d v="2025-11-03T00:00:00"/>
    <n v="350"/>
    <n v="0"/>
    <s v="NULL"/>
    <s v="PRO"/>
    <n v="0"/>
    <n v="350"/>
    <s v="PAID"/>
    <n v="2"/>
    <n v="9545832938949"/>
    <d v="2025-12-12T00:00:00"/>
    <d v="2025-11-03T00:00:00"/>
    <m/>
    <d v="2025-12-12T00:00:00"/>
    <d v="2025-12-09T08:20:00"/>
    <n v="36971001843"/>
    <d v="2025-11-03T00:00:00"/>
    <s v="NULL"/>
    <s v="NET DUE 10TH"/>
    <s v="NULL"/>
    <d v="2025-11-03T00:00:00"/>
    <d v="2025-12-12T00:00:00"/>
    <m/>
    <x v="0"/>
  </r>
  <r>
    <x v="71"/>
    <n v="1007299"/>
    <n v="155.47999999999999"/>
    <m/>
    <n v="155.47999999999999"/>
    <n v="1.55"/>
    <n v="155.47999999999999"/>
    <d v="2025-12-12T00:00:00"/>
    <n v="1007299"/>
    <n v="3711"/>
    <n v="0"/>
    <n v="155.47999999999999"/>
    <d v="2025-12-01T00:00:00"/>
    <n v="155.47999999999999"/>
    <n v="0"/>
    <s v="NULL"/>
    <s v="PRO"/>
    <n v="1.55"/>
    <n v="155.47999999999999"/>
    <s v="PAID"/>
    <n v="2"/>
    <n v="7551801600556"/>
    <d v="2025-12-12T00:00:00"/>
    <d v="2025-12-01T00:00:00"/>
    <m/>
    <d v="2025-12-12T00:00:00"/>
    <d v="2025-12-12T09:49:00"/>
    <n v="37111007299"/>
    <d v="2025-12-01T00:00:00"/>
    <n v="1111"/>
    <s v="2% 01/10/26"/>
    <n v="205859"/>
    <d v="2025-12-01T00:00:00"/>
    <d v="2025-12-12T00:00:00"/>
    <n v="3.1095999999999999"/>
    <x v="1"/>
  </r>
  <r>
    <x v="71"/>
    <n v="1007308"/>
    <n v="312.3"/>
    <m/>
    <n v="312.3"/>
    <n v="3.12"/>
    <n v="312.3"/>
    <d v="2025-12-12T00:00:00"/>
    <n v="1007308"/>
    <n v="3711"/>
    <n v="0"/>
    <n v="312.3"/>
    <d v="2025-12-01T00:00:00"/>
    <n v="312.3"/>
    <n v="0"/>
    <s v="NULL"/>
    <s v="PRO"/>
    <n v="3.12"/>
    <n v="312.3"/>
    <s v="PAID"/>
    <n v="2"/>
    <n v="7551801600556"/>
    <d v="2025-12-12T00:00:00"/>
    <d v="2025-12-01T00:00:00"/>
    <m/>
    <d v="2025-12-12T00:00:00"/>
    <d v="2025-12-12T09:49:00"/>
    <n v="37111007308"/>
    <d v="2025-12-01T00:00:00"/>
    <s v="01128DEC"/>
    <s v="2% 01/10/26"/>
    <n v="205876"/>
    <d v="2025-12-01T00:00:00"/>
    <d v="2025-12-12T00:00:00"/>
    <n v="6.2460000000000004"/>
    <x v="1"/>
  </r>
  <r>
    <x v="71"/>
    <n v="1007356"/>
    <n v="265.91000000000003"/>
    <m/>
    <n v="265.91000000000003"/>
    <n v="2.66"/>
    <n v="265.91000000000003"/>
    <d v="2025-12-12T00:00:00"/>
    <n v="1007356"/>
    <n v="3711"/>
    <n v="0"/>
    <n v="265.91000000000003"/>
    <d v="2025-12-01T00:00:00"/>
    <n v="265.91000000000003"/>
    <n v="0"/>
    <s v="NULL"/>
    <s v="PRO"/>
    <n v="2.66"/>
    <n v="265.91000000000003"/>
    <s v="PAID"/>
    <n v="2"/>
    <n v="7551801600556"/>
    <d v="2025-12-12T00:00:00"/>
    <d v="2025-12-01T00:00:00"/>
    <m/>
    <d v="2025-12-12T00:00:00"/>
    <d v="2025-12-12T09:49:00"/>
    <n v="37111007356"/>
    <d v="2025-12-01T00:00:00"/>
    <s v="01128DEC"/>
    <s v="2% 01/10/26"/>
    <n v="205886"/>
    <d v="2025-12-01T00:00:00"/>
    <d v="2025-12-12T00:00:00"/>
    <n v="5.3182000000000009"/>
    <x v="1"/>
  </r>
  <r>
    <x v="71"/>
    <n v="1007360"/>
    <n v="487.48"/>
    <m/>
    <n v="487.48"/>
    <n v="4.87"/>
    <n v="482.61"/>
    <d v="2025-12-12T00:00:00"/>
    <n v="1007360"/>
    <n v="3711"/>
    <n v="0"/>
    <n v="487.48"/>
    <d v="2025-12-01T00:00:00"/>
    <n v="487.48"/>
    <n v="0"/>
    <s v="NULL"/>
    <s v="PRO"/>
    <n v="4.87"/>
    <n v="482.61"/>
    <s v="PAID"/>
    <n v="2"/>
    <n v="7551801600556"/>
    <d v="2025-12-12T00:00:00"/>
    <d v="2025-12-01T00:00:00"/>
    <m/>
    <d v="2025-12-12T00:00:00"/>
    <d v="2025-12-12T09:49:00"/>
    <n v="37111007360"/>
    <d v="2025-12-01T00:00:00"/>
    <s v="01128DEC"/>
    <s v="NET 01/10/26"/>
    <n v="205887"/>
    <d v="2025-12-01T00:00:00"/>
    <d v="2025-12-12T00:00:00"/>
    <m/>
    <x v="0"/>
  </r>
  <r>
    <x v="71"/>
    <n v="1008053"/>
    <n v="520.12"/>
    <m/>
    <n v="520.12"/>
    <n v="5.2"/>
    <n v="520.12"/>
    <d v="2025-12-12T00:00:00"/>
    <n v="1008053"/>
    <n v="3711"/>
    <n v="0"/>
    <n v="520.12"/>
    <d v="2025-12-03T00:00:00"/>
    <n v="520.12"/>
    <n v="0"/>
    <s v="NULL"/>
    <s v="PRO"/>
    <n v="5.2"/>
    <n v="520.12"/>
    <s v="PAID"/>
    <n v="2"/>
    <n v="7551801600556"/>
    <d v="2025-12-12T00:00:00"/>
    <d v="2025-12-03T00:00:00"/>
    <m/>
    <d v="2025-12-12T00:00:00"/>
    <d v="2025-12-12T09:49:00"/>
    <n v="37111008053"/>
    <d v="2025-12-03T00:00:00"/>
    <s v="PC1203"/>
    <s v="2% 01/10/26"/>
    <n v="206549"/>
    <d v="2025-12-03T00:00:00"/>
    <d v="2025-12-12T00:00:00"/>
    <n v="10.4024"/>
    <x v="1"/>
  </r>
  <r>
    <x v="71"/>
    <n v="1008218"/>
    <n v="605.67999999999995"/>
    <m/>
    <n v="605.67999999999995"/>
    <n v="6.06"/>
    <n v="605.67999999999995"/>
    <d v="2025-12-12T00:00:00"/>
    <n v="1008218"/>
    <n v="3711"/>
    <n v="0"/>
    <n v="605.67999999999995"/>
    <d v="2025-12-04T00:00:00"/>
    <n v="605.67999999999995"/>
    <n v="0"/>
    <s v="NULL"/>
    <s v="PRO"/>
    <n v="6.06"/>
    <n v="605.67999999999995"/>
    <s v="PAID"/>
    <n v="2"/>
    <n v="7551801600556"/>
    <d v="2025-12-12T00:00:00"/>
    <d v="2025-12-04T00:00:00"/>
    <m/>
    <d v="2025-12-12T00:00:00"/>
    <d v="2025-12-12T09:49:00"/>
    <n v="37111008218"/>
    <d v="2025-12-04T00:00:00"/>
    <s v="PC1203"/>
    <s v="2% 01/10/26"/>
    <n v="206562"/>
    <d v="2025-12-04T00:00:00"/>
    <d v="2025-12-12T00:00:00"/>
    <n v="12.1136"/>
    <x v="1"/>
  </r>
  <r>
    <x v="71"/>
    <n v="1008417"/>
    <n v="83.37"/>
    <m/>
    <n v="83.37"/>
    <n v="0.83"/>
    <n v="83.37"/>
    <d v="2025-12-12T00:00:00"/>
    <n v="1008417"/>
    <n v="3711"/>
    <n v="0"/>
    <n v="83.37"/>
    <d v="2025-12-05T00:00:00"/>
    <n v="83.37"/>
    <n v="0"/>
    <s v="NULL"/>
    <s v="PRO"/>
    <n v="0.83"/>
    <n v="83.37"/>
    <s v="PAID"/>
    <n v="2"/>
    <n v="7551801600556"/>
    <d v="2025-12-12T00:00:00"/>
    <d v="2025-12-05T00:00:00"/>
    <m/>
    <d v="2025-12-12T00:00:00"/>
    <d v="2025-12-12T09:49:00"/>
    <n v="37111008417"/>
    <d v="2025-12-05T00:00:00"/>
    <s v="1114LP"/>
    <s v="2% 01/10/26"/>
    <n v="206630"/>
    <d v="2025-12-05T00:00:00"/>
    <d v="2025-12-12T00:00:00"/>
    <n v="1.6674000000000002"/>
    <x v="1"/>
  </r>
  <r>
    <x v="72"/>
    <n v="1007317"/>
    <n v="331.8"/>
    <m/>
    <n v="331.8"/>
    <n v="3.32"/>
    <n v="331.8"/>
    <d v="2025-12-12T00:00:00"/>
    <n v="1007317"/>
    <n v="3718"/>
    <n v="0"/>
    <n v="331.8"/>
    <d v="2025-12-01T00:00:00"/>
    <n v="331.8"/>
    <n v="0"/>
    <s v="NULL"/>
    <s v="PRO"/>
    <n v="3.32"/>
    <n v="331.8"/>
    <s v="PAID"/>
    <n v="2"/>
    <n v="4376932055925"/>
    <d v="2025-12-12T00:00:00"/>
    <d v="2025-12-01T00:00:00"/>
    <m/>
    <d v="2025-12-12T00:00:00"/>
    <d v="2025-12-12T11:44:00"/>
    <n v="37181007317"/>
    <d v="2025-12-01T00:00:00"/>
    <n v="20976"/>
    <s v="2% 01/10/26"/>
    <n v="205833"/>
    <d v="2025-12-01T00:00:00"/>
    <d v="2025-12-12T00:00:00"/>
    <n v="6.6360000000000001"/>
    <x v="1"/>
  </r>
  <r>
    <x v="72"/>
    <n v="1007320"/>
    <n v="331.8"/>
    <m/>
    <n v="331.8"/>
    <n v="3.32"/>
    <n v="331.8"/>
    <d v="2025-12-12T00:00:00"/>
    <n v="1007320"/>
    <n v="3718"/>
    <n v="0"/>
    <n v="331.8"/>
    <d v="2025-12-01T00:00:00"/>
    <n v="331.8"/>
    <n v="0"/>
    <s v="NULL"/>
    <s v="PRO"/>
    <n v="3.32"/>
    <n v="331.8"/>
    <s v="PAID"/>
    <n v="2"/>
    <n v="4376932055925"/>
    <d v="2025-12-12T00:00:00"/>
    <d v="2025-12-01T00:00:00"/>
    <m/>
    <d v="2025-12-12T00:00:00"/>
    <d v="2025-12-12T11:44:00"/>
    <n v="37181007320"/>
    <d v="2025-12-01T00:00:00"/>
    <n v="20977"/>
    <s v="2% 01/10/26"/>
    <n v="205831"/>
    <d v="2025-12-01T00:00:00"/>
    <d v="2025-12-12T00:00:00"/>
    <n v="6.6360000000000001"/>
    <x v="1"/>
  </r>
  <r>
    <x v="72"/>
    <n v="1007323"/>
    <n v="61.71"/>
    <m/>
    <n v="61.71"/>
    <n v="0.62"/>
    <n v="61.71"/>
    <d v="2025-12-12T00:00:00"/>
    <n v="1007323"/>
    <n v="3718"/>
    <n v="0"/>
    <n v="61.71"/>
    <d v="2025-12-01T00:00:00"/>
    <n v="61.71"/>
    <n v="0"/>
    <s v="NULL"/>
    <s v="PRO"/>
    <n v="0.62"/>
    <n v="61.71"/>
    <s v="PAID"/>
    <n v="2"/>
    <n v="4376932055925"/>
    <d v="2025-12-12T00:00:00"/>
    <d v="2025-12-01T00:00:00"/>
    <m/>
    <d v="2025-12-12T00:00:00"/>
    <d v="2025-12-12T11:44:00"/>
    <n v="37181007323"/>
    <d v="2025-12-01T00:00:00"/>
    <n v="20998"/>
    <s v="2% 01/10/26"/>
    <n v="205834"/>
    <d v="2025-12-01T00:00:00"/>
    <d v="2025-12-12T00:00:00"/>
    <n v="1.2342"/>
    <x v="1"/>
  </r>
  <r>
    <x v="72"/>
    <n v="1007325"/>
    <n v="20.57"/>
    <m/>
    <n v="20.57"/>
    <n v="0.21"/>
    <n v="20.57"/>
    <d v="2025-12-12T00:00:00"/>
    <n v="1007325"/>
    <n v="3718"/>
    <n v="0"/>
    <n v="20.57"/>
    <d v="2025-12-01T00:00:00"/>
    <n v="20.57"/>
    <n v="0"/>
    <s v="NULL"/>
    <s v="PRO"/>
    <n v="0.21"/>
    <n v="20.57"/>
    <s v="PAID"/>
    <n v="2"/>
    <n v="4376932055925"/>
    <d v="2025-12-12T00:00:00"/>
    <d v="2025-12-01T00:00:00"/>
    <m/>
    <d v="2025-12-12T00:00:00"/>
    <d v="2025-12-12T11:44:00"/>
    <n v="37181007325"/>
    <d v="2025-12-01T00:00:00"/>
    <n v="21014"/>
    <s v="2% 01/10/26"/>
    <n v="205832"/>
    <d v="2025-12-01T00:00:00"/>
    <d v="2025-12-12T00:00:00"/>
    <n v="0.41139999999999999"/>
    <x v="1"/>
  </r>
  <r>
    <x v="72"/>
    <n v="1007639"/>
    <n v="3990"/>
    <m/>
    <n v="3990"/>
    <n v="39.9"/>
    <n v="3950.1"/>
    <d v="2025-12-12T00:00:00"/>
    <n v="1007639"/>
    <n v="3718"/>
    <n v="0"/>
    <n v="3990"/>
    <d v="2025-12-02T00:00:00"/>
    <n v="3990"/>
    <n v="0"/>
    <s v="NULL"/>
    <s v="PRO"/>
    <n v="39.9"/>
    <n v="3950.1"/>
    <s v="PAID"/>
    <n v="2"/>
    <n v="4376932055925"/>
    <d v="2025-12-12T00:00:00"/>
    <d v="2025-12-02T00:00:00"/>
    <m/>
    <d v="2025-12-12T00:00:00"/>
    <d v="2025-12-12T11:44:00"/>
    <n v="37181007639"/>
    <d v="2025-12-02T00:00:00"/>
    <s v="NULL"/>
    <s v="NET 02/10/26"/>
    <s v="NULL"/>
    <d v="2025-12-02T00:00:00"/>
    <d v="2025-12-12T00:00:00"/>
    <m/>
    <x v="0"/>
  </r>
  <r>
    <x v="72"/>
    <n v="1007716"/>
    <n v="769.46"/>
    <m/>
    <n v="769.46"/>
    <n v="7.69"/>
    <n v="761.77"/>
    <d v="2025-12-12T00:00:00"/>
    <n v="1007716"/>
    <n v="3718"/>
    <n v="0"/>
    <n v="769.46"/>
    <d v="2025-12-02T00:00:00"/>
    <n v="769.46"/>
    <n v="0"/>
    <s v="NULL"/>
    <s v="PRO"/>
    <n v="7.69"/>
    <n v="761.77"/>
    <s v="PAID"/>
    <n v="2"/>
    <n v="4376932055925"/>
    <d v="2025-12-12T00:00:00"/>
    <d v="2025-12-02T00:00:00"/>
    <m/>
    <d v="2025-12-12T00:00:00"/>
    <d v="2025-12-12T11:44:00"/>
    <n v="37181007716"/>
    <d v="2025-12-02T00:00:00"/>
    <s v="21099-RT"/>
    <s v="NET 01/10/26"/>
    <n v="206119"/>
    <d v="2025-12-02T00:00:00"/>
    <d v="2025-12-12T00:00:00"/>
    <m/>
    <x v="0"/>
  </r>
  <r>
    <x v="72"/>
    <n v="1007719"/>
    <n v="1656.38"/>
    <m/>
    <n v="1656.38"/>
    <n v="16.559999999999999"/>
    <n v="1639.82"/>
    <d v="2025-12-12T00:00:00"/>
    <n v="1007719"/>
    <n v="3718"/>
    <n v="0"/>
    <n v="1656.38"/>
    <d v="2025-12-02T00:00:00"/>
    <n v="1656.38"/>
    <n v="0"/>
    <s v="NULL"/>
    <s v="PRO"/>
    <n v="16.559999999999999"/>
    <n v="1639.82"/>
    <s v="PAID"/>
    <n v="2"/>
    <n v="4376932055925"/>
    <d v="2025-12-12T00:00:00"/>
    <d v="2025-12-02T00:00:00"/>
    <m/>
    <d v="2025-12-12T00:00:00"/>
    <d v="2025-12-12T11:44:00"/>
    <n v="37181007719"/>
    <d v="2025-12-02T00:00:00"/>
    <n v="20792"/>
    <s v="NET 01/10/26"/>
    <n v="206117"/>
    <d v="2025-12-02T00:00:00"/>
    <d v="2025-12-12T00:00:00"/>
    <m/>
    <x v="0"/>
  </r>
  <r>
    <x v="72"/>
    <n v="1007723"/>
    <n v="3478.42"/>
    <m/>
    <n v="3478.42"/>
    <n v="34.78"/>
    <n v="3443.64"/>
    <d v="2025-12-12T00:00:00"/>
    <n v="1007723"/>
    <n v="3718"/>
    <n v="0"/>
    <n v="3478.42"/>
    <d v="2025-12-02T00:00:00"/>
    <n v="3478.42"/>
    <n v="0"/>
    <s v="NULL"/>
    <s v="PRO"/>
    <n v="34.78"/>
    <n v="3443.64"/>
    <s v="PAID"/>
    <n v="2"/>
    <n v="4376932055925"/>
    <d v="2025-12-12T00:00:00"/>
    <d v="2025-12-02T00:00:00"/>
    <m/>
    <d v="2025-12-12T00:00:00"/>
    <d v="2025-12-12T11:44:00"/>
    <n v="37181007723"/>
    <d v="2025-12-02T00:00:00"/>
    <s v="21015-RT"/>
    <s v="NET 01/10/26"/>
    <n v="206118"/>
    <d v="2025-12-02T00:00:00"/>
    <d v="2025-12-12T00:00:00"/>
    <m/>
    <x v="0"/>
  </r>
  <r>
    <x v="72"/>
    <n v="1007896"/>
    <n v="647.91999999999996"/>
    <m/>
    <n v="647.91999999999996"/>
    <n v="6.48"/>
    <n v="641.44000000000005"/>
    <d v="2025-12-12T00:00:00"/>
    <n v="1007896"/>
    <n v="3718"/>
    <n v="0"/>
    <n v="647.91999999999996"/>
    <d v="2025-12-03T00:00:00"/>
    <n v="647.91999999999996"/>
    <n v="0"/>
    <s v="NULL"/>
    <s v="PRO"/>
    <n v="6.48"/>
    <n v="641.44000000000005"/>
    <s v="PAID"/>
    <n v="2"/>
    <n v="4376932055925"/>
    <d v="2025-12-12T00:00:00"/>
    <d v="2025-12-03T00:00:00"/>
    <m/>
    <d v="2025-12-12T00:00:00"/>
    <d v="2025-12-12T11:44:00"/>
    <n v="37181007896"/>
    <d v="2025-12-03T00:00:00"/>
    <s v="21096-MS"/>
    <s v="NET 01/10/26"/>
    <n v="206452"/>
    <d v="2025-12-03T00:00:00"/>
    <d v="2025-12-12T00:00:00"/>
    <m/>
    <x v="0"/>
  </r>
  <r>
    <x v="72"/>
    <n v="1007897"/>
    <n v="2794.26"/>
    <m/>
    <n v="2794.26"/>
    <n v="27.94"/>
    <n v="2766.32"/>
    <d v="2025-12-12T00:00:00"/>
    <n v="1007897"/>
    <n v="3718"/>
    <n v="0"/>
    <n v="2794.26"/>
    <d v="2025-12-03T00:00:00"/>
    <n v="2794.26"/>
    <n v="0"/>
    <s v="NULL"/>
    <s v="PRO"/>
    <n v="27.94"/>
    <n v="2766.32"/>
    <s v="PAID"/>
    <n v="2"/>
    <n v="4376932055925"/>
    <d v="2025-12-12T00:00:00"/>
    <d v="2025-12-03T00:00:00"/>
    <m/>
    <d v="2025-12-12T00:00:00"/>
    <d v="2025-12-12T11:44:00"/>
    <n v="37181007897"/>
    <d v="2025-12-03T00:00:00"/>
    <s v="21099-RT"/>
    <s v="NET 01/10/26"/>
    <n v="206456"/>
    <d v="2025-12-03T00:00:00"/>
    <d v="2025-12-12T00:00:00"/>
    <m/>
    <x v="0"/>
  </r>
  <r>
    <x v="72"/>
    <n v="1007900"/>
    <n v="14619.2"/>
    <m/>
    <n v="14619.2"/>
    <n v="146.19"/>
    <n v="14473.01"/>
    <d v="2025-12-12T00:00:00"/>
    <n v="1007900"/>
    <n v="3718"/>
    <n v="0"/>
    <n v="14619.2"/>
    <d v="2025-12-03T00:00:00"/>
    <n v="14619.2"/>
    <n v="0"/>
    <s v="NULL"/>
    <s v="PRO"/>
    <n v="146.19"/>
    <n v="14473.01"/>
    <s v="PAID"/>
    <n v="2"/>
    <n v="4376932055925"/>
    <d v="2025-12-12T00:00:00"/>
    <d v="2025-12-03T00:00:00"/>
    <m/>
    <d v="2025-12-12T00:00:00"/>
    <d v="2025-12-12T11:44:00"/>
    <n v="37181007900"/>
    <d v="2025-12-03T00:00:00"/>
    <s v="21286-RT"/>
    <s v="NET 01/10/26"/>
    <n v="206454"/>
    <d v="2025-12-03T00:00:00"/>
    <d v="2025-12-12T00:00:00"/>
    <m/>
    <x v="0"/>
  </r>
  <r>
    <x v="72"/>
    <n v="1007901"/>
    <n v="4385.76"/>
    <m/>
    <n v="4385.76"/>
    <n v="43.86"/>
    <n v="4341.8999999999996"/>
    <d v="2025-12-12T00:00:00"/>
    <n v="1007901"/>
    <n v="3718"/>
    <n v="0"/>
    <n v="4385.76"/>
    <d v="2025-12-03T00:00:00"/>
    <n v="4385.76"/>
    <n v="0"/>
    <s v="NULL"/>
    <s v="PRO"/>
    <n v="43.86"/>
    <n v="4341.8999999999996"/>
    <s v="PAID"/>
    <n v="2"/>
    <n v="4376932055925"/>
    <d v="2025-12-12T00:00:00"/>
    <d v="2025-12-03T00:00:00"/>
    <m/>
    <d v="2025-12-12T00:00:00"/>
    <d v="2025-12-12T11:44:00"/>
    <n v="37181007901"/>
    <d v="2025-12-03T00:00:00"/>
    <s v="21287-RT"/>
    <s v="NET 01/10/26"/>
    <n v="206457"/>
    <d v="2025-12-03T00:00:00"/>
    <d v="2025-12-12T00:00:00"/>
    <m/>
    <x v="0"/>
  </r>
  <r>
    <x v="72"/>
    <n v="1007902"/>
    <n v="323.95999999999998"/>
    <m/>
    <n v="323.95999999999998"/>
    <n v="3.24"/>
    <n v="320.72000000000003"/>
    <d v="2025-12-12T00:00:00"/>
    <n v="1007902"/>
    <n v="3718"/>
    <n v="0"/>
    <n v="323.95999999999998"/>
    <d v="2025-12-03T00:00:00"/>
    <n v="323.95999999999998"/>
    <n v="0"/>
    <s v="NULL"/>
    <s v="PRO"/>
    <n v="3.24"/>
    <n v="320.72000000000003"/>
    <s v="PAID"/>
    <n v="2"/>
    <n v="4376932055925"/>
    <d v="2025-12-12T00:00:00"/>
    <d v="2025-12-03T00:00:00"/>
    <m/>
    <d v="2025-12-12T00:00:00"/>
    <d v="2025-12-12T11:44:00"/>
    <n v="37181007902"/>
    <d v="2025-12-03T00:00:00"/>
    <n v="21103"/>
    <s v="NET 01/10/26"/>
    <n v="206453"/>
    <d v="2025-12-03T00:00:00"/>
    <d v="2025-12-12T00:00:00"/>
    <m/>
    <x v="0"/>
  </r>
  <r>
    <x v="72"/>
    <n v="1007903"/>
    <n v="566.96"/>
    <m/>
    <n v="566.96"/>
    <n v="5.67"/>
    <n v="561.29"/>
    <d v="2025-12-12T00:00:00"/>
    <n v="1007903"/>
    <n v="3718"/>
    <n v="0"/>
    <n v="566.96"/>
    <d v="2025-12-03T00:00:00"/>
    <n v="566.96"/>
    <n v="0"/>
    <s v="NULL"/>
    <s v="PRO"/>
    <n v="5.67"/>
    <n v="561.29"/>
    <s v="PAID"/>
    <n v="2"/>
    <n v="4376932055925"/>
    <d v="2025-12-12T00:00:00"/>
    <d v="2025-12-03T00:00:00"/>
    <m/>
    <d v="2025-12-12T00:00:00"/>
    <d v="2025-12-12T11:44:00"/>
    <n v="37181007903"/>
    <d v="2025-12-03T00:00:00"/>
    <s v="19773-RT"/>
    <s v="NET 01/10/26"/>
    <n v="206455"/>
    <d v="2025-12-03T00:00:00"/>
    <d v="2025-12-12T00:00:00"/>
    <m/>
    <x v="0"/>
  </r>
  <r>
    <x v="72"/>
    <n v="1007905"/>
    <n v="566.96"/>
    <m/>
    <n v="566.96"/>
    <n v="5.67"/>
    <n v="561.29"/>
    <d v="2025-12-12T00:00:00"/>
    <n v="1007905"/>
    <n v="3718"/>
    <n v="0"/>
    <n v="566.96"/>
    <d v="2025-12-03T00:00:00"/>
    <n v="566.96"/>
    <n v="0"/>
    <s v="NULL"/>
    <s v="PRO"/>
    <n v="5.67"/>
    <n v="561.29"/>
    <s v="PAID"/>
    <n v="2"/>
    <n v="4376932055925"/>
    <d v="2025-12-12T00:00:00"/>
    <d v="2025-12-03T00:00:00"/>
    <m/>
    <d v="2025-12-12T00:00:00"/>
    <d v="2025-12-12T11:44:00"/>
    <n v="37181007905"/>
    <d v="2025-12-03T00:00:00"/>
    <s v="19772-RT"/>
    <s v="NET 01/10/26"/>
    <n v="206451"/>
    <d v="2025-12-03T00:00:00"/>
    <d v="2025-12-12T00:00:00"/>
    <m/>
    <x v="0"/>
  </r>
  <r>
    <x v="72"/>
    <n v="1007951"/>
    <n v="7.4"/>
    <m/>
    <n v="7.4"/>
    <n v="7.0000000000000007E-2"/>
    <n v="7.4"/>
    <d v="2025-12-12T00:00:00"/>
    <n v="1007951"/>
    <n v="3718"/>
    <n v="0"/>
    <n v="7.4"/>
    <d v="2025-12-03T00:00:00"/>
    <n v="7.4"/>
    <n v="0"/>
    <s v="NULL"/>
    <s v="PRO"/>
    <n v="7.0000000000000007E-2"/>
    <n v="7.4"/>
    <s v="PAID"/>
    <n v="2"/>
    <n v="4376932055925"/>
    <d v="2025-12-12T00:00:00"/>
    <d v="2025-12-03T00:00:00"/>
    <m/>
    <d v="2025-12-12T00:00:00"/>
    <d v="2025-12-12T11:44:00"/>
    <n v="37181007951"/>
    <d v="2025-12-03T00:00:00"/>
    <n v="21304"/>
    <s v="2% 01/10/26"/>
    <n v="206366"/>
    <d v="2025-12-03T00:00:00"/>
    <d v="2025-12-12T00:00:00"/>
    <n v="0.14800000000000002"/>
    <x v="1"/>
  </r>
  <r>
    <x v="72"/>
    <n v="1008013"/>
    <n v="701.7"/>
    <m/>
    <n v="701.7"/>
    <n v="7.02"/>
    <n v="701.7"/>
    <d v="2025-12-12T00:00:00"/>
    <n v="1008013"/>
    <n v="3718"/>
    <n v="0"/>
    <n v="701.7"/>
    <d v="2025-12-03T00:00:00"/>
    <n v="701.7"/>
    <n v="0"/>
    <s v="NULL"/>
    <s v="PRO"/>
    <n v="7.02"/>
    <n v="701.7"/>
    <s v="PAID"/>
    <n v="2"/>
    <n v="4376932055925"/>
    <d v="2025-12-12T00:00:00"/>
    <d v="2025-12-03T00:00:00"/>
    <m/>
    <d v="2025-12-12T00:00:00"/>
    <d v="2025-12-12T11:44:00"/>
    <n v="37181008013"/>
    <d v="2025-12-03T00:00:00"/>
    <n v="21304"/>
    <s v="2% 01/10/26"/>
    <n v="206359"/>
    <d v="2025-12-03T00:00:00"/>
    <d v="2025-12-12T00:00:00"/>
    <n v="14.034000000000001"/>
    <x v="1"/>
  </r>
  <r>
    <x v="72"/>
    <n v="1008056"/>
    <n v="2931.88"/>
    <m/>
    <n v="2931.88"/>
    <n v="29.32"/>
    <n v="2931.88"/>
    <d v="2025-12-12T00:00:00"/>
    <n v="1008056"/>
    <n v="3718"/>
    <n v="0"/>
    <n v="2931.88"/>
    <d v="2025-12-03T00:00:00"/>
    <n v="2931.88"/>
    <n v="0"/>
    <s v="NULL"/>
    <s v="PRO"/>
    <n v="29.32"/>
    <n v="2931.88"/>
    <s v="PAID"/>
    <n v="2"/>
    <n v="4376932055925"/>
    <d v="2025-12-12T00:00:00"/>
    <d v="2025-12-03T00:00:00"/>
    <m/>
    <d v="2025-12-12T00:00:00"/>
    <d v="2025-12-12T11:44:00"/>
    <n v="37181008056"/>
    <d v="2025-12-03T00:00:00"/>
    <n v="21307"/>
    <s v="2% 01/10/26"/>
    <n v="206503"/>
    <d v="2025-12-03T00:00:00"/>
    <d v="2025-12-12T00:00:00"/>
    <n v="58.637600000000006"/>
    <x v="1"/>
  </r>
  <r>
    <x v="72"/>
    <n v="1008206"/>
    <n v="4349.8"/>
    <m/>
    <n v="4349.8"/>
    <n v="43.5"/>
    <n v="4306.3"/>
    <d v="2025-12-12T00:00:00"/>
    <n v="1008206"/>
    <n v="3718"/>
    <n v="0"/>
    <n v="4349.8"/>
    <d v="2025-12-04T00:00:00"/>
    <n v="4349.8"/>
    <n v="0"/>
    <s v="NULL"/>
    <s v="PRO"/>
    <n v="43.5"/>
    <n v="4306.3"/>
    <s v="PAID"/>
    <n v="2"/>
    <n v="4376932055925"/>
    <d v="2025-12-12T00:00:00"/>
    <d v="2025-12-04T00:00:00"/>
    <m/>
    <d v="2025-12-12T00:00:00"/>
    <d v="2025-12-12T11:44:00"/>
    <n v="37181008206"/>
    <d v="2025-12-04T00:00:00"/>
    <s v="21008-RT"/>
    <s v="NET 01/10/26"/>
    <n v="206661"/>
    <d v="2025-12-04T00:00:00"/>
    <d v="2025-12-12T00:00:00"/>
    <m/>
    <x v="0"/>
  </r>
  <r>
    <x v="72"/>
    <n v="1008231"/>
    <n v="655"/>
    <m/>
    <n v="655"/>
    <n v="6.55"/>
    <n v="655"/>
    <d v="2025-12-12T00:00:00"/>
    <n v="1008231"/>
    <n v="3718"/>
    <n v="0"/>
    <n v="655"/>
    <d v="2025-12-04T00:00:00"/>
    <n v="655"/>
    <n v="0"/>
    <s v="NULL"/>
    <s v="PRO"/>
    <n v="6.55"/>
    <n v="655"/>
    <s v="PAID"/>
    <n v="2"/>
    <n v="4376932055925"/>
    <d v="2025-12-12T00:00:00"/>
    <d v="2025-12-04T00:00:00"/>
    <m/>
    <d v="2025-12-12T00:00:00"/>
    <d v="2025-12-12T11:44:00"/>
    <n v="37181008231"/>
    <d v="2025-12-04T00:00:00"/>
    <n v="21308"/>
    <s v="2% 01/10/26"/>
    <n v="206540"/>
    <d v="2025-12-04T00:00:00"/>
    <d v="2025-12-12T00:00:00"/>
    <n v="13.1"/>
    <x v="1"/>
  </r>
  <r>
    <x v="72"/>
    <n v="1008255"/>
    <n v="2118.62"/>
    <m/>
    <n v="2118.62"/>
    <n v="21.19"/>
    <n v="2097.4299999999998"/>
    <d v="2025-12-12T00:00:00"/>
    <n v="1008255"/>
    <n v="3718"/>
    <n v="0"/>
    <n v="2118.62"/>
    <d v="2025-12-04T00:00:00"/>
    <n v="2118.62"/>
    <n v="0"/>
    <s v="NULL"/>
    <s v="PRO"/>
    <n v="21.19"/>
    <n v="2097.4299999999998"/>
    <s v="PAID"/>
    <n v="2"/>
    <n v="4376932055925"/>
    <d v="2025-12-12T00:00:00"/>
    <d v="2025-12-04T00:00:00"/>
    <m/>
    <d v="2025-12-12T00:00:00"/>
    <d v="2025-12-12T11:44:00"/>
    <n v="37181008255"/>
    <d v="2025-12-04T00:00:00"/>
    <n v="21307"/>
    <s v="NET 01/10/26"/>
    <n v="206513"/>
    <d v="2025-12-04T00:00:00"/>
    <d v="2025-12-12T00:00:00"/>
    <m/>
    <x v="0"/>
  </r>
  <r>
    <x v="72"/>
    <n v="1008262"/>
    <n v="2966.26"/>
    <m/>
    <n v="2966.26"/>
    <n v="29.66"/>
    <n v="2966.26"/>
    <d v="2025-12-12T00:00:00"/>
    <n v="1008262"/>
    <n v="3718"/>
    <n v="0"/>
    <n v="2966.26"/>
    <d v="2025-12-04T00:00:00"/>
    <n v="2966.26"/>
    <n v="0"/>
    <s v="NULL"/>
    <s v="PRO"/>
    <n v="29.66"/>
    <n v="2966.26"/>
    <s v="PAID"/>
    <n v="2"/>
    <n v="4376932055925"/>
    <d v="2025-12-12T00:00:00"/>
    <d v="2025-12-04T00:00:00"/>
    <m/>
    <d v="2025-12-12T00:00:00"/>
    <d v="2025-12-12T11:44:00"/>
    <n v="37181008262"/>
    <d v="2025-12-04T00:00:00"/>
    <n v="21307"/>
    <s v="2% 01/10/26"/>
    <n v="206512"/>
    <d v="2025-12-04T00:00:00"/>
    <d v="2025-12-12T00:00:00"/>
    <n v="59.325200000000002"/>
    <x v="1"/>
  </r>
  <r>
    <x v="72"/>
    <n v="1008366"/>
    <n v="260.87"/>
    <m/>
    <n v="260.87"/>
    <n v="2.61"/>
    <n v="258.26"/>
    <d v="2025-12-12T00:00:00"/>
    <n v="1008366"/>
    <n v="3718"/>
    <n v="0"/>
    <n v="260.87"/>
    <d v="2025-12-05T00:00:00"/>
    <n v="260.87"/>
    <n v="0"/>
    <s v="USW811930"/>
    <s v="NISI"/>
    <n v="2.61"/>
    <n v="258.26"/>
    <s v="PAID"/>
    <n v="2"/>
    <n v="4376932055925"/>
    <d v="2025-12-12T00:00:00"/>
    <d v="2025-12-05T00:00:00"/>
    <m/>
    <d v="2025-12-12T00:00:00"/>
    <d v="2025-12-12T11:44:00"/>
    <n v="37181008366"/>
    <d v="2025-12-05T00:00:00"/>
    <n v="21158"/>
    <s v="NET 01/10/26"/>
    <s v="USW811930"/>
    <d v="2025-12-05T00:00:00"/>
    <d v="2025-12-12T00:00:00"/>
    <m/>
    <x v="0"/>
  </r>
  <r>
    <x v="72"/>
    <n v="1008430"/>
    <n v="11258.52"/>
    <m/>
    <n v="11258.52"/>
    <n v="112.59"/>
    <n v="11145.93"/>
    <d v="2025-12-12T00:00:00"/>
    <n v="1008430"/>
    <n v="3718"/>
    <n v="0"/>
    <n v="11258.52"/>
    <d v="2025-12-05T00:00:00"/>
    <n v="11258.52"/>
    <n v="0"/>
    <s v="NULL"/>
    <s v="PRO"/>
    <n v="112.59"/>
    <n v="11145.93"/>
    <s v="PAID"/>
    <n v="2"/>
    <n v="4376932055925"/>
    <d v="2025-12-12T00:00:00"/>
    <d v="2025-12-05T00:00:00"/>
    <m/>
    <d v="2025-12-12T00:00:00"/>
    <d v="2025-12-12T11:44:00"/>
    <n v="37181008430"/>
    <d v="2025-12-05T00:00:00"/>
    <s v="21280-RT"/>
    <s v="NET 01/10/26"/>
    <n v="206776"/>
    <d v="2025-12-05T00:00:00"/>
    <d v="2025-12-12T00:00:00"/>
    <m/>
    <x v="0"/>
  </r>
  <r>
    <x v="72"/>
    <n v="1008576"/>
    <n v="-1600"/>
    <m/>
    <n v="-1600"/>
    <m/>
    <n v="-1600"/>
    <d v="2025-12-12T00:00:00"/>
    <n v="1008576"/>
    <n v="3718"/>
    <n v="0"/>
    <n v="-1600"/>
    <d v="2025-12-08T00:00:00"/>
    <n v="-1600"/>
    <n v="0"/>
    <n v="1008576"/>
    <s v="PRO"/>
    <n v="0"/>
    <n v="-1600"/>
    <s v="PAID"/>
    <n v="2"/>
    <n v="4376932055925"/>
    <d v="2025-12-12T00:00:00"/>
    <d v="2025-12-08T00:00:00"/>
    <m/>
    <d v="2025-12-12T00:00:00"/>
    <d v="2025-12-12T11:44:00"/>
    <n v="37181008576"/>
    <d v="2025-12-08T00:00:00"/>
    <s v="N/A"/>
    <s v="NET 01/10/26"/>
    <s v="NMC103696695x"/>
    <d v="2025-12-08T00:00:00"/>
    <d v="2025-12-12T00:00:00"/>
    <m/>
    <x v="0"/>
  </r>
  <r>
    <x v="72"/>
    <n v="1008595"/>
    <n v="-466.61"/>
    <m/>
    <n v="-466.61"/>
    <m/>
    <n v="-466.61"/>
    <d v="2025-12-12T00:00:00"/>
    <n v="1008595"/>
    <n v="3718"/>
    <n v="0"/>
    <n v="-466.61"/>
    <d v="2025-12-08T00:00:00"/>
    <n v="-466.61"/>
    <n v="0"/>
    <n v="1008595"/>
    <s v="PRO"/>
    <n v="0"/>
    <n v="-466.61"/>
    <s v="PAID"/>
    <n v="2"/>
    <n v="4376932055925"/>
    <d v="2025-12-12T00:00:00"/>
    <d v="2025-12-08T00:00:00"/>
    <m/>
    <d v="2025-12-12T00:00:00"/>
    <d v="2025-12-12T11:44:00"/>
    <n v="37181008595"/>
    <d v="2025-12-08T00:00:00"/>
    <n v="142046"/>
    <s v="NET 01/10/26"/>
    <n v="53515"/>
    <d v="2025-12-08T00:00:00"/>
    <d v="2025-12-12T00:00:00"/>
    <m/>
    <x v="0"/>
  </r>
  <r>
    <x v="72"/>
    <n v="1008939"/>
    <n v="-809.96"/>
    <m/>
    <n v="-809.96"/>
    <m/>
    <n v="-809.96"/>
    <d v="2025-12-12T00:00:00"/>
    <n v="1008939"/>
    <n v="3718"/>
    <n v="0"/>
    <n v="-809.96"/>
    <d v="2025-12-09T00:00:00"/>
    <n v="-809.96"/>
    <n v="0"/>
    <n v="1008939"/>
    <s v="PRO"/>
    <n v="0"/>
    <n v="-809.96"/>
    <s v="PAID"/>
    <n v="2"/>
    <n v="4376932055925"/>
    <d v="2025-12-12T00:00:00"/>
    <d v="2025-12-09T00:00:00"/>
    <m/>
    <d v="2025-12-12T00:00:00"/>
    <d v="2025-12-12T11:44:00"/>
    <n v="37181008939"/>
    <d v="2025-12-09T00:00:00"/>
    <n v="142047"/>
    <s v="NET 01/10/26"/>
    <n v="53531"/>
    <d v="2025-12-09T00:00:00"/>
    <d v="2025-12-12T00:00:00"/>
    <m/>
    <x v="0"/>
  </r>
  <r>
    <x v="72"/>
    <n v="1008954"/>
    <n v="-2162.5"/>
    <m/>
    <n v="-2162.5"/>
    <m/>
    <n v="-2162.5"/>
    <d v="2025-12-12T00:00:00"/>
    <n v="1008954"/>
    <n v="3718"/>
    <n v="0"/>
    <n v="-2162.5"/>
    <d v="2025-12-09T00:00:00"/>
    <n v="-2162.5"/>
    <n v="0"/>
    <n v="1008954"/>
    <s v="PRO"/>
    <n v="0"/>
    <n v="-2162.5"/>
    <s v="PAID"/>
    <n v="2"/>
    <n v="4376932055925"/>
    <d v="2025-12-12T00:00:00"/>
    <d v="2025-12-09T00:00:00"/>
    <m/>
    <d v="2025-12-12T00:00:00"/>
    <d v="2025-12-12T11:44:00"/>
    <n v="37181008954"/>
    <d v="2025-12-09T00:00:00"/>
    <s v="202508-09_"/>
    <s v="NET 01/10/26"/>
    <s v="PANA112417"/>
    <d v="2025-12-09T00:00:00"/>
    <d v="2025-12-12T00:00:00"/>
    <m/>
    <x v="0"/>
  </r>
  <r>
    <x v="72"/>
    <n v="1008958"/>
    <n v="-47.33"/>
    <m/>
    <n v="-47.33"/>
    <m/>
    <n v="-47.33"/>
    <d v="2025-12-12T00:00:00"/>
    <n v="1008958"/>
    <n v="3718"/>
    <n v="0"/>
    <n v="-47.33"/>
    <d v="2025-12-09T00:00:00"/>
    <n v="-47.33"/>
    <n v="0"/>
    <n v="1008958"/>
    <s v="PRO"/>
    <n v="0"/>
    <n v="-47.33"/>
    <s v="PAID"/>
    <n v="2"/>
    <n v="4376932055925"/>
    <d v="2025-12-12T00:00:00"/>
    <d v="2025-12-09T00:00:00"/>
    <m/>
    <d v="2025-12-12T00:00:00"/>
    <d v="2025-12-12T11:44:00"/>
    <n v="37181008958"/>
    <d v="2025-12-09T00:00:00"/>
    <s v="202509_SRG"/>
    <s v="NET 01/10/26"/>
    <s v="Sma112422"/>
    <d v="2025-12-09T00:00:00"/>
    <d v="2025-12-12T00:00:00"/>
    <m/>
    <x v="0"/>
  </r>
  <r>
    <x v="73"/>
    <n v="1007261"/>
    <n v="205.7"/>
    <m/>
    <n v="205.7"/>
    <n v="2.06"/>
    <n v="205.7"/>
    <d v="2025-12-12T00:00:00"/>
    <n v="1007261"/>
    <n v="3732"/>
    <n v="0"/>
    <n v="205.7"/>
    <d v="2025-12-01T00:00:00"/>
    <n v="205.7"/>
    <n v="0"/>
    <s v="NULL"/>
    <s v="PRO"/>
    <n v="2.06"/>
    <n v="205.7"/>
    <s v="PAID"/>
    <n v="2"/>
    <n v="9560245446554"/>
    <d v="2025-12-12T00:00:00"/>
    <d v="2025-12-01T00:00:00"/>
    <m/>
    <d v="2025-12-12T00:00:00"/>
    <d v="2025-12-12T10:54:00"/>
    <n v="37321007261"/>
    <d v="2025-12-01T00:00:00"/>
    <n v="3002"/>
    <s v="2% 01/10/26"/>
    <n v="205768"/>
    <d v="2025-12-01T00:00:00"/>
    <d v="2025-12-12T00:00:00"/>
    <n v="4.1139999999999999"/>
    <x v="1"/>
  </r>
  <r>
    <x v="73"/>
    <n v="1007527"/>
    <n v="3990"/>
    <m/>
    <n v="3990"/>
    <n v="39.9"/>
    <n v="3950.1"/>
    <d v="2025-12-12T00:00:00"/>
    <n v="1007527"/>
    <n v="3732"/>
    <n v="0"/>
    <n v="3990"/>
    <d v="2025-12-02T00:00:00"/>
    <n v="3990"/>
    <n v="0"/>
    <s v="NULL"/>
    <s v="PRO"/>
    <n v="39.9"/>
    <n v="3950.1"/>
    <s v="PAID"/>
    <n v="2"/>
    <n v="9560245446554"/>
    <d v="2025-12-12T00:00:00"/>
    <d v="2025-12-02T00:00:00"/>
    <m/>
    <d v="2025-12-12T00:00:00"/>
    <d v="2025-12-12T10:54:00"/>
    <n v="37321007527"/>
    <d v="2025-12-02T00:00:00"/>
    <s v="NULL"/>
    <s v="NET 02/10/26"/>
    <s v="NULL"/>
    <d v="2025-12-02T00:00:00"/>
    <d v="2025-12-12T00:00:00"/>
    <m/>
    <x v="0"/>
  </r>
  <r>
    <x v="73"/>
    <n v="1007746"/>
    <n v="213.6"/>
    <m/>
    <n v="213.6"/>
    <n v="2.14"/>
    <n v="213.6"/>
    <d v="2025-12-12T00:00:00"/>
    <n v="1007746"/>
    <n v="3732"/>
    <n v="0"/>
    <n v="213.6"/>
    <d v="2025-12-02T00:00:00"/>
    <n v="213.6"/>
    <n v="0"/>
    <s v="NULL"/>
    <s v="PRO"/>
    <n v="2.14"/>
    <n v="213.6"/>
    <s v="PAID"/>
    <n v="2"/>
    <n v="9560245446554"/>
    <d v="2025-12-12T00:00:00"/>
    <d v="2025-12-02T00:00:00"/>
    <m/>
    <d v="2025-12-12T00:00:00"/>
    <d v="2025-12-12T10:54:00"/>
    <n v="37321007746"/>
    <d v="2025-12-02T00:00:00"/>
    <n v="3048"/>
    <s v="2% 01/10/26"/>
    <n v="206209"/>
    <d v="2025-12-02T00:00:00"/>
    <d v="2025-12-12T00:00:00"/>
    <n v="4.2720000000000002"/>
    <x v="1"/>
  </r>
  <r>
    <x v="73"/>
    <n v="1007857"/>
    <n v="2765.76"/>
    <m/>
    <n v="2765.76"/>
    <n v="27.66"/>
    <n v="2765.76"/>
    <d v="2025-12-12T00:00:00"/>
    <n v="1007857"/>
    <n v="3732"/>
    <n v="0"/>
    <n v="2765.76"/>
    <d v="2025-12-02T00:00:00"/>
    <n v="2765.76"/>
    <n v="0"/>
    <s v="NULL"/>
    <s v="PRO"/>
    <n v="27.66"/>
    <n v="2765.76"/>
    <s v="PAID"/>
    <n v="2"/>
    <n v="9560245446554"/>
    <d v="2025-12-12T00:00:00"/>
    <d v="2025-12-02T00:00:00"/>
    <m/>
    <d v="2025-12-12T00:00:00"/>
    <d v="2025-12-12T10:54:00"/>
    <n v="37321007857"/>
    <d v="2025-12-02T00:00:00"/>
    <n v="3048"/>
    <s v="2% 01/10/26"/>
    <n v="206148"/>
    <d v="2025-12-02T00:00:00"/>
    <d v="2025-12-12T00:00:00"/>
    <n v="55.315200000000004"/>
    <x v="1"/>
  </r>
  <r>
    <x v="73"/>
    <n v="1007882"/>
    <n v="187.3"/>
    <m/>
    <n v="187.3"/>
    <n v="1.87"/>
    <n v="185.43"/>
    <d v="2025-12-12T00:00:00"/>
    <n v="1007882"/>
    <n v="3732"/>
    <n v="0"/>
    <n v="187.3"/>
    <d v="2025-12-03T00:00:00"/>
    <n v="187.3"/>
    <n v="0"/>
    <s v="NULL"/>
    <s v="PRO"/>
    <n v="1.87"/>
    <n v="185.43"/>
    <s v="PAID"/>
    <n v="2"/>
    <n v="9560245446554"/>
    <d v="2025-12-12T00:00:00"/>
    <d v="2025-12-03T00:00:00"/>
    <m/>
    <d v="2025-12-12T00:00:00"/>
    <d v="2025-12-12T10:54:00"/>
    <n v="37321007882"/>
    <d v="2025-12-03T00:00:00"/>
    <n v="3041"/>
    <s v="NET 01/10/26"/>
    <n v="206439"/>
    <d v="2025-12-03T00:00:00"/>
    <d v="2025-12-12T00:00:00"/>
    <m/>
    <x v="0"/>
  </r>
  <r>
    <x v="73"/>
    <n v="1008023"/>
    <n v="212.84"/>
    <m/>
    <n v="212.84"/>
    <n v="2.13"/>
    <n v="212.84"/>
    <d v="2025-12-12T00:00:00"/>
    <n v="1008023"/>
    <n v="3732"/>
    <n v="0"/>
    <n v="212.84"/>
    <d v="2025-12-03T00:00:00"/>
    <n v="212.84"/>
    <n v="0"/>
    <s v="NULL"/>
    <s v="PRO"/>
    <n v="2.13"/>
    <n v="212.84"/>
    <s v="PAID"/>
    <n v="2"/>
    <n v="9560245446554"/>
    <d v="2025-12-12T00:00:00"/>
    <d v="2025-12-03T00:00:00"/>
    <m/>
    <d v="2025-12-12T00:00:00"/>
    <d v="2025-12-12T10:54:00"/>
    <n v="37321008023"/>
    <d v="2025-12-03T00:00:00"/>
    <n v="3002"/>
    <s v="2% 01/10/26"/>
    <n v="206062"/>
    <d v="2025-12-03T00:00:00"/>
    <d v="2025-12-12T00:00:00"/>
    <n v="4.2568000000000001"/>
    <x v="1"/>
  </r>
  <r>
    <x v="73"/>
    <n v="1008280"/>
    <n v="-150"/>
    <m/>
    <n v="-150"/>
    <m/>
    <n v="-150"/>
    <d v="2025-12-12T00:00:00"/>
    <n v="1008280"/>
    <n v="3732"/>
    <n v="0"/>
    <n v="-150"/>
    <d v="2025-12-04T00:00:00"/>
    <n v="-150"/>
    <n v="0"/>
    <s v="NMCNoINV"/>
    <s v="PRO"/>
    <n v="0"/>
    <n v="-150"/>
    <s v="PAID"/>
    <n v="2"/>
    <n v="9560245446554"/>
    <d v="2025-12-12T00:00:00"/>
    <d v="2025-12-04T00:00:00"/>
    <m/>
    <d v="2025-12-12T00:00:00"/>
    <d v="2025-12-12T10:54:00"/>
    <n v="37321008280"/>
    <d v="2025-12-04T00:00:00"/>
    <s v="N/A"/>
    <s v="NET 01/10/26"/>
    <s v="NMCNoINV"/>
    <d v="2025-12-04T00:00:00"/>
    <d v="2025-12-12T00:00:00"/>
    <m/>
    <x v="0"/>
  </r>
  <r>
    <x v="73"/>
    <n v="1008368"/>
    <n v="1980"/>
    <m/>
    <n v="1980"/>
    <n v="19.8"/>
    <n v="1960.2"/>
    <d v="2025-12-12T00:00:00"/>
    <n v="1008368"/>
    <n v="3732"/>
    <n v="0"/>
    <n v="1980"/>
    <d v="2025-12-05T00:00:00"/>
    <n v="1980"/>
    <n v="0"/>
    <s v="USW811977"/>
    <s v="NISI"/>
    <n v="19.8"/>
    <n v="1960.2"/>
    <s v="PAID"/>
    <n v="2"/>
    <n v="9560245446554"/>
    <d v="2025-12-12T00:00:00"/>
    <d v="2025-12-05T00:00:00"/>
    <m/>
    <d v="2025-12-12T00:00:00"/>
    <d v="2025-12-12T10:54:00"/>
    <n v="37321008368"/>
    <d v="2025-12-05T00:00:00"/>
    <s v="NULL"/>
    <s v="NET 01/10/26"/>
    <s v="USW811977"/>
    <d v="2025-12-05T00:00:00"/>
    <d v="2025-12-12T00:00:00"/>
    <m/>
    <x v="0"/>
  </r>
  <r>
    <x v="73"/>
    <n v="1008382"/>
    <n v="580"/>
    <m/>
    <n v="580"/>
    <n v="5.8"/>
    <n v="574.20000000000005"/>
    <d v="2025-12-12T00:00:00"/>
    <n v="1008382"/>
    <n v="3732"/>
    <n v="0"/>
    <n v="580"/>
    <d v="2025-12-05T00:00:00"/>
    <n v="580"/>
    <n v="0"/>
    <s v="USW811618"/>
    <s v="NISI"/>
    <n v="5.8"/>
    <n v="574.20000000000005"/>
    <s v="PAID"/>
    <n v="2"/>
    <n v="9560245446554"/>
    <d v="2025-12-12T00:00:00"/>
    <d v="2025-12-05T00:00:00"/>
    <m/>
    <d v="2025-12-12T00:00:00"/>
    <d v="2025-12-12T10:54:00"/>
    <n v="37321008382"/>
    <d v="2025-12-05T00:00:00"/>
    <s v="NULL"/>
    <s v="NET 01/10/26"/>
    <s v="USW811618"/>
    <d v="2025-12-05T00:00:00"/>
    <d v="2025-12-12T00:00:00"/>
    <m/>
    <x v="0"/>
  </r>
  <r>
    <x v="73"/>
    <n v="1008451"/>
    <n v="597"/>
    <m/>
    <n v="597"/>
    <n v="5.97"/>
    <n v="597"/>
    <d v="2025-12-12T00:00:00"/>
    <n v="1008451"/>
    <n v="3732"/>
    <n v="0"/>
    <n v="597"/>
    <d v="2025-12-05T00:00:00"/>
    <n v="597"/>
    <n v="0"/>
    <s v="NULL"/>
    <s v="PRO"/>
    <n v="5.97"/>
    <n v="597"/>
    <s v="PAID"/>
    <n v="2"/>
    <n v="9560245446554"/>
    <d v="2025-12-12T00:00:00"/>
    <d v="2025-12-05T00:00:00"/>
    <m/>
    <d v="2025-12-12T00:00:00"/>
    <d v="2025-12-12T10:54:00"/>
    <n v="37321008451"/>
    <d v="2025-12-05T00:00:00"/>
    <s v="111925EJ2"/>
    <s v="2% 01/10/26"/>
    <n v="206606"/>
    <d v="2025-12-05T00:00:00"/>
    <d v="2025-12-12T00:00:00"/>
    <n v="11.94"/>
    <x v="1"/>
  </r>
  <r>
    <x v="73"/>
    <n v="1008456"/>
    <n v="199"/>
    <m/>
    <n v="199"/>
    <n v="1.99"/>
    <n v="199"/>
    <d v="2025-12-12T00:00:00"/>
    <n v="1008456"/>
    <n v="3732"/>
    <n v="0"/>
    <n v="199"/>
    <d v="2025-12-05T00:00:00"/>
    <n v="199"/>
    <n v="0"/>
    <s v="NULL"/>
    <s v="PRO"/>
    <n v="1.99"/>
    <n v="199"/>
    <s v="PAID"/>
    <n v="2"/>
    <n v="9560245446554"/>
    <d v="2025-12-12T00:00:00"/>
    <d v="2025-12-05T00:00:00"/>
    <m/>
    <d v="2025-12-12T00:00:00"/>
    <d v="2025-12-12T10:54:00"/>
    <n v="37321008456"/>
    <d v="2025-12-05T00:00:00"/>
    <n v="2957"/>
    <s v="2% 01/10/26"/>
    <n v="206605"/>
    <d v="2025-12-05T00:00:00"/>
    <d v="2025-12-12T00:00:00"/>
    <n v="3.98"/>
    <x v="1"/>
  </r>
  <r>
    <x v="74"/>
    <n v="999696"/>
    <n v="2037.29"/>
    <n v="40.75"/>
    <n v="1996.54"/>
    <m/>
    <n v="1996.54"/>
    <d v="2025-12-12T00:00:00"/>
    <n v="999696"/>
    <n v="3739"/>
    <n v="40.75"/>
    <n v="2037.29"/>
    <d v="2025-10-23T00:00:00"/>
    <n v="1996.54"/>
    <n v="40.75"/>
    <s v="NULL"/>
    <s v="PRO"/>
    <n v="0"/>
    <n v="1996.54"/>
    <s v="PAID"/>
    <n v="2"/>
    <n v="8406739413759"/>
    <d v="2025-12-12T00:00:00"/>
    <d v="2025-10-23T00:00:00"/>
    <m/>
    <d v="2025-12-12T00:00:00"/>
    <d v="2025-12-09T08:23:00"/>
    <n v="3739999696"/>
    <d v="2025-10-23T00:00:00"/>
    <s v="BC50545"/>
    <s v="2% 12/10/25"/>
    <n v="199891"/>
    <d v="2025-10-23T00:00:00"/>
    <d v="2025-12-12T00:00:00"/>
    <n v="40.745800000000003"/>
    <x v="0"/>
  </r>
  <r>
    <x v="74"/>
    <n v="1006282"/>
    <n v="794.93"/>
    <n v="15.9"/>
    <n v="779.03"/>
    <m/>
    <n v="779.03"/>
    <d v="2025-12-12T00:00:00"/>
    <n v="1006282"/>
    <n v="3739"/>
    <n v="15.9"/>
    <n v="794.93"/>
    <d v="2025-11-25T00:00:00"/>
    <n v="779.03"/>
    <n v="15.9"/>
    <s v="NULL"/>
    <s v="PRO"/>
    <n v="0"/>
    <n v="779.03"/>
    <s v="PAID"/>
    <n v="2"/>
    <n v="8406739413759"/>
    <d v="2025-12-12T00:00:00"/>
    <d v="2025-11-25T00:00:00"/>
    <m/>
    <d v="2025-12-12T00:00:00"/>
    <d v="2025-12-09T08:23:00"/>
    <n v="37391006282"/>
    <d v="2025-11-25T00:00:00"/>
    <s v="BC51273"/>
    <s v="2% 01/10/26"/>
    <n v="204419"/>
    <d v="2025-11-25T00:00:00"/>
    <d v="2025-12-12T00:00:00"/>
    <n v="15.8986"/>
    <x v="0"/>
  </r>
  <r>
    <x v="74"/>
    <n v="1006283"/>
    <n v="922.3"/>
    <n v="18.45"/>
    <n v="903.85"/>
    <m/>
    <n v="903.85"/>
    <d v="2025-12-12T00:00:00"/>
    <n v="1006283"/>
    <n v="3739"/>
    <n v="18.45"/>
    <n v="922.3"/>
    <d v="2025-11-25T00:00:00"/>
    <n v="903.85"/>
    <n v="18.45"/>
    <s v="NULL"/>
    <s v="PRO"/>
    <n v="0"/>
    <n v="903.85"/>
    <s v="PAID"/>
    <n v="2"/>
    <n v="8406739413759"/>
    <d v="2025-12-12T00:00:00"/>
    <d v="2025-11-25T00:00:00"/>
    <m/>
    <d v="2025-12-12T00:00:00"/>
    <d v="2025-12-09T08:23:00"/>
    <n v="37391006283"/>
    <d v="2025-11-25T00:00:00"/>
    <s v="BC51323"/>
    <s v="2% 01/10/26"/>
    <n v="204430"/>
    <d v="2025-11-25T00:00:00"/>
    <d v="2025-12-12T00:00:00"/>
    <n v="18.445999999999998"/>
    <x v="0"/>
  </r>
  <r>
    <x v="74"/>
    <n v="1006288"/>
    <n v="410.42"/>
    <n v="8.2100000000000009"/>
    <n v="402.21"/>
    <m/>
    <n v="402.21"/>
    <d v="2025-12-12T00:00:00"/>
    <n v="1006288"/>
    <n v="3739"/>
    <n v="8.2100000000000009"/>
    <n v="410.42"/>
    <d v="2025-11-25T00:00:00"/>
    <n v="402.21"/>
    <n v="8.2100000000000009"/>
    <s v="NULL"/>
    <s v="PRO"/>
    <n v="0"/>
    <n v="402.21"/>
    <s v="PAID"/>
    <n v="2"/>
    <n v="8406739413759"/>
    <d v="2025-12-12T00:00:00"/>
    <d v="2025-11-25T00:00:00"/>
    <m/>
    <d v="2025-12-12T00:00:00"/>
    <d v="2025-12-09T08:23:00"/>
    <n v="37391006288"/>
    <d v="2025-11-25T00:00:00"/>
    <s v="BC51289"/>
    <s v="2% 01/10/26"/>
    <n v="204420"/>
    <d v="2025-11-25T00:00:00"/>
    <d v="2025-12-12T00:00:00"/>
    <n v="8.208400000000001"/>
    <x v="0"/>
  </r>
  <r>
    <x v="74"/>
    <n v="1006291"/>
    <n v="562.4"/>
    <n v="11.25"/>
    <n v="551.15"/>
    <m/>
    <n v="551.15"/>
    <d v="2025-12-12T00:00:00"/>
    <n v="1006291"/>
    <n v="3739"/>
    <n v="11.25"/>
    <n v="562.4"/>
    <d v="2025-11-25T00:00:00"/>
    <n v="551.15"/>
    <n v="11.25"/>
    <s v="NULL"/>
    <s v="PRO"/>
    <n v="0"/>
    <n v="551.15"/>
    <s v="PAID"/>
    <n v="2"/>
    <n v="8406739413759"/>
    <d v="2025-12-12T00:00:00"/>
    <d v="2025-11-25T00:00:00"/>
    <m/>
    <d v="2025-12-12T00:00:00"/>
    <d v="2025-12-09T08:23:00"/>
    <n v="37391006291"/>
    <d v="2025-11-25T00:00:00"/>
    <s v="BC51289"/>
    <s v="2% 01/10/26"/>
    <n v="204429"/>
    <d v="2025-11-25T00:00:00"/>
    <d v="2025-12-12T00:00:00"/>
    <n v="11.247999999999999"/>
    <x v="0"/>
  </r>
  <r>
    <x v="74"/>
    <n v="1007163"/>
    <n v="-4.3499999999999996"/>
    <m/>
    <n v="-4.3499999999999996"/>
    <m/>
    <n v="-4.3499999999999996"/>
    <d v="2025-12-12T00:00:00"/>
    <n v="1007163"/>
    <n v="3739"/>
    <n v="0"/>
    <n v="-4.3499999999999996"/>
    <d v="2025-11-29T00:00:00"/>
    <n v="-4.3499999999999996"/>
    <n v="0"/>
    <n v="1007163"/>
    <s v="PRO"/>
    <n v="0"/>
    <n v="-4.3499999999999996"/>
    <s v="PAID"/>
    <n v="2"/>
    <n v="8406739413759"/>
    <d v="2025-12-12T00:00:00"/>
    <d v="2025-11-29T00:00:00"/>
    <m/>
    <d v="2025-12-12T00:00:00"/>
    <d v="2025-12-09T08:23:00"/>
    <n v="37391007163"/>
    <d v="2025-11-29T00:00:00"/>
    <s v="NULL"/>
    <s v="NET 12/10/25"/>
    <s v="NULL"/>
    <d v="2025-11-29T00:00:00"/>
    <d v="2025-12-12T00:00:00"/>
    <m/>
    <x v="0"/>
  </r>
  <r>
    <x v="74"/>
    <n v="1008283"/>
    <n v="-300"/>
    <m/>
    <n v="-300"/>
    <m/>
    <n v="-300"/>
    <d v="2025-12-12T00:00:00"/>
    <n v="1008283"/>
    <n v="3739"/>
    <n v="0"/>
    <n v="-300"/>
    <d v="2025-12-04T00:00:00"/>
    <n v="-300"/>
    <n v="0"/>
    <s v="NMCNoINV"/>
    <s v="PRO"/>
    <n v="0"/>
    <n v="-300"/>
    <s v="PAID"/>
    <n v="2"/>
    <n v="8406739413759"/>
    <d v="2025-12-12T00:00:00"/>
    <d v="2025-12-04T00:00:00"/>
    <m/>
    <d v="2025-12-12T00:00:00"/>
    <d v="2025-12-09T08:23:00"/>
    <n v="37391008283"/>
    <d v="2025-12-04T00:00:00"/>
    <s v="N/A"/>
    <s v="NET 01/10/26"/>
    <s v="NMCNoINV"/>
    <d v="2025-12-04T00:00:00"/>
    <d v="2025-12-12T00:00:00"/>
    <m/>
    <x v="0"/>
  </r>
  <r>
    <x v="75"/>
    <n v="1007595"/>
    <n v="350"/>
    <m/>
    <n v="350"/>
    <n v="3.5"/>
    <n v="346.5"/>
    <d v="2025-12-12T00:00:00"/>
    <n v="1007595"/>
    <n v="3746"/>
    <n v="0"/>
    <n v="350"/>
    <d v="2025-12-02T00:00:00"/>
    <n v="350"/>
    <n v="0"/>
    <s v="NULL"/>
    <s v="PRO"/>
    <n v="3.5"/>
    <n v="346.5"/>
    <s v="PAID"/>
    <n v="2"/>
    <n v="1168129805592"/>
    <d v="2025-12-12T00:00:00"/>
    <d v="2025-12-02T00:00:00"/>
    <m/>
    <d v="2025-12-12T00:00:00"/>
    <d v="2025-12-08T10:04:00"/>
    <n v="37461007595"/>
    <d v="2025-12-02T00:00:00"/>
    <s v="NULL"/>
    <s v="NET DUE 10TH"/>
    <s v="NULL"/>
    <d v="2025-12-02T00:00:00"/>
    <d v="2025-12-12T00:00:00"/>
    <m/>
    <x v="0"/>
  </r>
  <r>
    <x v="76"/>
    <n v="1007336"/>
    <n v="82.28"/>
    <m/>
    <n v="82.28"/>
    <n v="0.82"/>
    <n v="82.28"/>
    <d v="2025-12-12T00:00:00"/>
    <n v="1007336"/>
    <n v="3753"/>
    <n v="0"/>
    <n v="82.28"/>
    <d v="2025-12-01T00:00:00"/>
    <n v="82.28"/>
    <n v="0"/>
    <s v="NULL"/>
    <s v="PRO"/>
    <n v="0.82"/>
    <n v="82.28"/>
    <s v="PAID"/>
    <n v="2"/>
    <n v="8557217166295"/>
    <d v="2025-12-12T00:00:00"/>
    <d v="2025-12-01T00:00:00"/>
    <m/>
    <d v="2025-12-12T00:00:00"/>
    <d v="2025-12-11T20:25:00"/>
    <n v="37531007336"/>
    <d v="2025-12-01T00:00:00"/>
    <s v="PROMASTER"/>
    <s v="2% 01/10/26"/>
    <n v="205860"/>
    <d v="2025-12-01T00:00:00"/>
    <d v="2025-12-12T00:00:00"/>
    <n v="1.6456"/>
    <x v="1"/>
  </r>
  <r>
    <x v="76"/>
    <n v="1007340"/>
    <n v="96.48"/>
    <m/>
    <n v="96.48"/>
    <n v="0.96"/>
    <n v="96.48"/>
    <d v="2025-12-12T00:00:00"/>
    <n v="1007340"/>
    <n v="3753"/>
    <n v="0"/>
    <n v="96.48"/>
    <d v="2025-12-01T00:00:00"/>
    <n v="96.48"/>
    <n v="0"/>
    <s v="NULL"/>
    <s v="PRO"/>
    <n v="0.96"/>
    <n v="96.48"/>
    <s v="PAID"/>
    <n v="2"/>
    <n v="8557217166295"/>
    <d v="2025-12-12T00:00:00"/>
    <d v="2025-12-01T00:00:00"/>
    <m/>
    <d v="2025-12-12T00:00:00"/>
    <d v="2025-12-11T20:25:00"/>
    <n v="37531007340"/>
    <d v="2025-12-01T00:00:00"/>
    <n v="11252025"/>
    <s v="2% 01/10/26"/>
    <n v="205861"/>
    <d v="2025-12-01T00:00:00"/>
    <d v="2025-12-12T00:00:00"/>
    <n v="1.9296000000000002"/>
    <x v="1"/>
  </r>
  <r>
    <x v="76"/>
    <n v="1007488"/>
    <n v="507.44"/>
    <m/>
    <n v="507.44"/>
    <n v="5.07"/>
    <n v="507.44"/>
    <d v="2025-12-12T00:00:00"/>
    <n v="1007488"/>
    <n v="3753"/>
    <n v="0"/>
    <n v="507.44"/>
    <d v="2025-12-01T00:00:00"/>
    <n v="507.44"/>
    <n v="0"/>
    <s v="NULL"/>
    <s v="PRO"/>
    <n v="5.07"/>
    <n v="507.44"/>
    <s v="PAID"/>
    <n v="2"/>
    <n v="8557217166295"/>
    <d v="2025-12-12T00:00:00"/>
    <d v="2025-12-01T00:00:00"/>
    <m/>
    <d v="2025-12-12T00:00:00"/>
    <d v="2025-12-11T20:25:00"/>
    <n v="37531007488"/>
    <d v="2025-12-01T00:00:00"/>
    <n v="10232025"/>
    <s v="2% 01/10/26"/>
    <n v="206019"/>
    <d v="2025-12-01T00:00:00"/>
    <d v="2025-12-12T00:00:00"/>
    <n v="10.1488"/>
    <x v="1"/>
  </r>
  <r>
    <x v="76"/>
    <n v="1007623"/>
    <n v="350"/>
    <m/>
    <n v="350"/>
    <n v="3.5"/>
    <n v="346.5"/>
    <d v="2025-12-12T00:00:00"/>
    <n v="1007623"/>
    <n v="3753"/>
    <n v="0"/>
    <n v="350"/>
    <d v="2025-12-02T00:00:00"/>
    <n v="350"/>
    <n v="0"/>
    <s v="NULL"/>
    <s v="PRO"/>
    <n v="3.5"/>
    <n v="346.5"/>
    <s v="PAID"/>
    <n v="2"/>
    <n v="8557217166295"/>
    <d v="2025-12-12T00:00:00"/>
    <d v="2025-12-02T00:00:00"/>
    <m/>
    <d v="2025-12-12T00:00:00"/>
    <d v="2025-12-11T20:25:00"/>
    <n v="37531007623"/>
    <d v="2025-12-02T00:00:00"/>
    <s v="NULL"/>
    <s v="NET DUE 10TH"/>
    <s v="NULL"/>
    <d v="2025-12-02T00:00:00"/>
    <d v="2025-12-12T00:00:00"/>
    <m/>
    <x v="0"/>
  </r>
  <r>
    <x v="76"/>
    <n v="1007703"/>
    <n v="1739.21"/>
    <m/>
    <n v="1739.21"/>
    <n v="17.39"/>
    <n v="1721.82"/>
    <d v="2025-12-12T00:00:00"/>
    <n v="1007703"/>
    <n v="3753"/>
    <n v="0"/>
    <n v="1739.21"/>
    <d v="2025-12-02T00:00:00"/>
    <n v="1739.21"/>
    <n v="0"/>
    <s v="NULL"/>
    <s v="PRO"/>
    <n v="17.39"/>
    <n v="1721.82"/>
    <s v="PAID"/>
    <n v="2"/>
    <n v="8557217166295"/>
    <d v="2025-12-12T00:00:00"/>
    <d v="2025-12-02T00:00:00"/>
    <m/>
    <d v="2025-12-12T00:00:00"/>
    <d v="2025-12-11T20:25:00"/>
    <n v="37531007703"/>
    <d v="2025-12-02T00:00:00"/>
    <n v="9252025"/>
    <s v="NET 01/10/26"/>
    <n v="206130"/>
    <d v="2025-12-02T00:00:00"/>
    <d v="2025-12-12T00:00:00"/>
    <m/>
    <x v="0"/>
  </r>
  <r>
    <x v="76"/>
    <n v="1007776"/>
    <n v="2286.7800000000002"/>
    <m/>
    <n v="2286.7800000000002"/>
    <n v="22.87"/>
    <n v="2286.7800000000002"/>
    <d v="2025-12-12T00:00:00"/>
    <n v="1007776"/>
    <n v="3753"/>
    <n v="0"/>
    <n v="2286.7800000000002"/>
    <d v="2025-12-02T00:00:00"/>
    <n v="2286.7800000000002"/>
    <n v="0"/>
    <s v="NULL"/>
    <s v="PRO"/>
    <n v="22.87"/>
    <n v="2286.7800000000002"/>
    <s v="PAID"/>
    <n v="2"/>
    <n v="8557217166295"/>
    <d v="2025-12-12T00:00:00"/>
    <d v="2025-12-02T00:00:00"/>
    <m/>
    <d v="2025-12-12T00:00:00"/>
    <d v="2025-12-11T20:25:00"/>
    <n v="37531007776"/>
    <d v="2025-12-02T00:00:00"/>
    <n v="10232025"/>
    <s v="2% 01/10/26"/>
    <n v="205979"/>
    <d v="2025-12-02T00:00:00"/>
    <d v="2025-12-12T00:00:00"/>
    <n v="45.735600000000005"/>
    <x v="1"/>
  </r>
  <r>
    <x v="76"/>
    <n v="1007884"/>
    <n v="566.96"/>
    <m/>
    <n v="566.96"/>
    <n v="5.67"/>
    <n v="561.29"/>
    <d v="2025-12-12T00:00:00"/>
    <n v="1007884"/>
    <n v="3753"/>
    <n v="0"/>
    <n v="566.96"/>
    <d v="2025-12-03T00:00:00"/>
    <n v="566.96"/>
    <n v="0"/>
    <s v="NULL"/>
    <s v="PRO"/>
    <n v="5.67"/>
    <n v="561.29"/>
    <s v="PAID"/>
    <n v="2"/>
    <n v="8557217166295"/>
    <d v="2025-12-12T00:00:00"/>
    <d v="2025-12-03T00:00:00"/>
    <m/>
    <d v="2025-12-12T00:00:00"/>
    <d v="2025-12-11T20:25:00"/>
    <n v="37531007884"/>
    <d v="2025-12-03T00:00:00"/>
    <n v="11272024"/>
    <s v="NET 01/10/26"/>
    <n v="206475"/>
    <d v="2025-12-03T00:00:00"/>
    <d v="2025-12-12T00:00:00"/>
    <m/>
    <x v="0"/>
  </r>
  <r>
    <x v="76"/>
    <n v="1008048"/>
    <n v="1783.24"/>
    <m/>
    <n v="1783.24"/>
    <n v="17.829999999999998"/>
    <n v="1783.24"/>
    <d v="2025-12-12T00:00:00"/>
    <n v="1008048"/>
    <n v="3753"/>
    <n v="0"/>
    <n v="1783.24"/>
    <d v="2025-12-03T00:00:00"/>
    <n v="1783.24"/>
    <n v="0"/>
    <s v="NULL"/>
    <s v="PRO"/>
    <n v="17.829999999999998"/>
    <n v="1783.24"/>
    <s v="PAID"/>
    <n v="2"/>
    <n v="8557217166295"/>
    <d v="2025-12-12T00:00:00"/>
    <d v="2025-12-03T00:00:00"/>
    <m/>
    <d v="2025-12-12T00:00:00"/>
    <d v="2025-12-11T20:25:00"/>
    <n v="37531008048"/>
    <d v="2025-12-03T00:00:00"/>
    <s v="120225TA"/>
    <s v="2% 01/10/26"/>
    <n v="206522"/>
    <d v="2025-12-03T00:00:00"/>
    <d v="2025-12-12T00:00:00"/>
    <n v="35.6648"/>
    <x v="1"/>
  </r>
  <r>
    <x v="76"/>
    <n v="1008241"/>
    <n v="54"/>
    <m/>
    <n v="54"/>
    <n v="0.54"/>
    <n v="54"/>
    <d v="2025-12-12T00:00:00"/>
    <n v="1008241"/>
    <n v="3753"/>
    <n v="0"/>
    <n v="54"/>
    <d v="2025-12-04T00:00:00"/>
    <n v="54"/>
    <n v="0"/>
    <s v="NULL"/>
    <s v="PRO"/>
    <n v="0.54"/>
    <n v="54"/>
    <s v="PAID"/>
    <n v="2"/>
    <n v="8557217166295"/>
    <d v="2025-12-12T00:00:00"/>
    <d v="2025-12-04T00:00:00"/>
    <m/>
    <d v="2025-12-12T00:00:00"/>
    <d v="2025-12-11T20:25:00"/>
    <n v="37531008241"/>
    <d v="2025-12-04T00:00:00"/>
    <s v="120225TA"/>
    <s v="2% 01/10/26"/>
    <n v="206532"/>
    <d v="2025-12-04T00:00:00"/>
    <d v="2025-12-12T00:00:00"/>
    <n v="1.08"/>
    <x v="1"/>
  </r>
  <r>
    <x v="76"/>
    <n v="1008273"/>
    <n v="-50"/>
    <m/>
    <n v="-50"/>
    <m/>
    <n v="-50"/>
    <d v="2025-12-12T00:00:00"/>
    <n v="1008273"/>
    <n v="3753"/>
    <n v="0"/>
    <n v="-50"/>
    <d v="2025-12-04T00:00:00"/>
    <n v="-50"/>
    <n v="0"/>
    <s v="NMCNoINV"/>
    <s v="PRO"/>
    <n v="0"/>
    <n v="-50"/>
    <s v="PAID"/>
    <n v="2"/>
    <n v="8557217166295"/>
    <d v="2025-12-12T00:00:00"/>
    <d v="2025-12-04T00:00:00"/>
    <m/>
    <d v="2025-12-12T00:00:00"/>
    <d v="2025-12-11T20:25:00"/>
    <n v="37531008273"/>
    <d v="2025-12-04T00:00:00"/>
    <s v="N/A"/>
    <s v="NET 01/10/26"/>
    <s v="NMCNoINV"/>
    <d v="2025-12-04T00:00:00"/>
    <d v="2025-12-12T00:00:00"/>
    <m/>
    <x v="0"/>
  </r>
  <r>
    <x v="76"/>
    <n v="1008306"/>
    <n v="4223.1499999999996"/>
    <m/>
    <n v="4223.1499999999996"/>
    <n v="42.23"/>
    <n v="4223.1499999999996"/>
    <d v="2025-12-12T00:00:00"/>
    <n v="1008306"/>
    <n v="3753"/>
    <n v="0"/>
    <n v="4223.1499999999996"/>
    <d v="2025-12-05T00:00:00"/>
    <n v="4223.1499999999996"/>
    <n v="0"/>
    <s v="INV404493"/>
    <s v="TIFFEN"/>
    <n v="42.23"/>
    <n v="4223.1499999999996"/>
    <s v="PAID"/>
    <n v="2"/>
    <n v="8557217166295"/>
    <d v="2025-12-12T00:00:00"/>
    <d v="2025-12-05T00:00:00"/>
    <m/>
    <d v="2025-12-12T00:00:00"/>
    <d v="2025-12-11T20:25:00"/>
    <n v="37531008306"/>
    <d v="2025-12-05T00:00:00"/>
    <s v="QUO6689"/>
    <s v="2% 01/10/26"/>
    <s v="INV404493"/>
    <d v="2025-12-05T00:00:00"/>
    <d v="2025-12-12T00:00:00"/>
    <n v="84.462999999999994"/>
    <x v="1"/>
  </r>
  <r>
    <x v="76"/>
    <n v="1008978"/>
    <n v="-300"/>
    <m/>
    <n v="-300"/>
    <m/>
    <n v="-300"/>
    <d v="2025-12-12T00:00:00"/>
    <n v="1008978"/>
    <n v="3753"/>
    <n v="0"/>
    <n v="-300"/>
    <d v="2025-12-09T00:00:00"/>
    <n v="-300"/>
    <n v="0"/>
    <n v="1008978"/>
    <s v="PRO"/>
    <n v="0"/>
    <n v="-300"/>
    <s v="PAID"/>
    <n v="2"/>
    <n v="8557217166295"/>
    <d v="2025-12-12T00:00:00"/>
    <d v="2025-12-09T00:00:00"/>
    <m/>
    <d v="2025-12-12T00:00:00"/>
    <d v="2025-12-11T20:25:00"/>
    <n v="37531008978"/>
    <d v="2025-12-09T00:00:00"/>
    <s v="ACE10/5-11"/>
    <s v="NET 01/10/26"/>
    <s v="PANA112446"/>
    <d v="2025-12-09T00:00:00"/>
    <d v="2025-12-12T00:00:00"/>
    <m/>
    <x v="0"/>
  </r>
  <r>
    <x v="77"/>
    <n v="1007660"/>
    <n v="3990"/>
    <m/>
    <n v="3990"/>
    <n v="39.9"/>
    <n v="3950.1"/>
    <d v="2025-12-12T00:00:00"/>
    <n v="1007660"/>
    <n v="3760"/>
    <n v="0"/>
    <n v="3990"/>
    <d v="2025-12-02T00:00:00"/>
    <n v="3990"/>
    <n v="0"/>
    <s v="NULL"/>
    <s v="PRO"/>
    <n v="39.9"/>
    <n v="3950.1"/>
    <s v="PAID"/>
    <n v="2"/>
    <n v="8691061538147"/>
    <d v="2025-12-12T00:00:00"/>
    <d v="2025-12-02T00:00:00"/>
    <m/>
    <d v="2025-12-12T00:00:00"/>
    <d v="2025-12-08T14:58:00"/>
    <n v="37601007660"/>
    <d v="2025-12-02T00:00:00"/>
    <s v="NULL"/>
    <s v="NET 02/10/26"/>
    <s v="NULL"/>
    <d v="2025-12-02T00:00:00"/>
    <d v="2025-12-12T00:00:00"/>
    <m/>
    <x v="0"/>
  </r>
  <r>
    <x v="77"/>
    <n v="1007691"/>
    <n v="190.1"/>
    <m/>
    <n v="190.1"/>
    <n v="1.9"/>
    <n v="188.2"/>
    <d v="2025-12-12T00:00:00"/>
    <n v="1007691"/>
    <n v="3760"/>
    <n v="0"/>
    <n v="190.1"/>
    <d v="2025-12-02T00:00:00"/>
    <n v="190.1"/>
    <n v="0"/>
    <s v="NULL"/>
    <s v="PRO"/>
    <n v="1.9"/>
    <n v="188.2"/>
    <s v="PAID"/>
    <n v="2"/>
    <n v="8691061538147"/>
    <d v="2025-12-12T00:00:00"/>
    <d v="2025-12-02T00:00:00"/>
    <m/>
    <d v="2025-12-12T00:00:00"/>
    <d v="2025-12-08T14:58:00"/>
    <n v="37601007691"/>
    <d v="2025-12-02T00:00:00"/>
    <n v="4205"/>
    <s v="NET 01/10/26"/>
    <n v="206180"/>
    <d v="2025-12-02T00:00:00"/>
    <d v="2025-12-12T00:00:00"/>
    <m/>
    <x v="0"/>
  </r>
  <r>
    <x v="77"/>
    <n v="1007706"/>
    <n v="1235.4100000000001"/>
    <n v="24.71"/>
    <n v="1210.7"/>
    <n v="12.35"/>
    <n v="1198.3499999999999"/>
    <d v="2025-12-12T00:00:00"/>
    <n v="1007706"/>
    <n v="3760"/>
    <n v="24.71"/>
    <n v="1235.4100000000001"/>
    <d v="2025-12-02T00:00:00"/>
    <n v="1210.7"/>
    <n v="24.71"/>
    <s v="NULL"/>
    <s v="PRO"/>
    <n v="12.35"/>
    <n v="1198.3499999999999"/>
    <s v="PAID"/>
    <n v="2"/>
    <n v="8691061538147"/>
    <d v="2025-12-12T00:00:00"/>
    <d v="2025-12-02T00:00:00"/>
    <m/>
    <d v="2025-12-12T00:00:00"/>
    <d v="2025-12-08T14:58:00"/>
    <n v="37601007706"/>
    <d v="2025-12-02T00:00:00"/>
    <n v="4205"/>
    <s v="2% 01/10/26"/>
    <n v="206179"/>
    <d v="2025-12-02T00:00:00"/>
    <d v="2025-12-12T00:00:00"/>
    <n v="24.708200000000001"/>
    <x v="0"/>
  </r>
  <r>
    <x v="77"/>
    <n v="1007854"/>
    <n v="193.53"/>
    <n v="3.87"/>
    <n v="189.66"/>
    <n v="1.94"/>
    <n v="187.72"/>
    <d v="2025-12-12T00:00:00"/>
    <n v="1007854"/>
    <n v="3760"/>
    <n v="3.87"/>
    <n v="193.53"/>
    <d v="2025-12-02T00:00:00"/>
    <n v="189.66"/>
    <n v="3.87"/>
    <s v="NULL"/>
    <s v="PRO"/>
    <n v="1.94"/>
    <n v="187.72"/>
    <s v="PAID"/>
    <n v="2"/>
    <n v="8691061538147"/>
    <d v="2025-12-12T00:00:00"/>
    <d v="2025-12-02T00:00:00"/>
    <m/>
    <d v="2025-12-12T00:00:00"/>
    <d v="2025-12-08T14:58:00"/>
    <n v="37601007854"/>
    <d v="2025-12-02T00:00:00"/>
    <n v="4205"/>
    <s v="2% 01/10/26"/>
    <n v="206141"/>
    <d v="2025-12-02T00:00:00"/>
    <d v="2025-12-12T00:00:00"/>
    <n v="3.8706"/>
    <x v="0"/>
  </r>
  <r>
    <x v="77"/>
    <n v="1008212"/>
    <n v="652.58000000000004"/>
    <n v="13.05"/>
    <n v="639.53"/>
    <n v="6.53"/>
    <n v="633"/>
    <d v="2025-12-12T00:00:00"/>
    <n v="1008212"/>
    <n v="3760"/>
    <n v="13.05"/>
    <n v="652.58000000000004"/>
    <d v="2025-12-04T00:00:00"/>
    <n v="639.53"/>
    <n v="13.05"/>
    <s v="NULL"/>
    <s v="PRO"/>
    <n v="6.53"/>
    <n v="633"/>
    <s v="PAID"/>
    <n v="2"/>
    <n v="8691061538147"/>
    <d v="2025-12-12T00:00:00"/>
    <d v="2025-12-04T00:00:00"/>
    <m/>
    <d v="2025-12-12T00:00:00"/>
    <d v="2025-12-08T14:58:00"/>
    <n v="37601008212"/>
    <d v="2025-12-04T00:00:00"/>
    <n v="4215"/>
    <s v="2% 01/10/26"/>
    <n v="206709"/>
    <d v="2025-12-04T00:00:00"/>
    <d v="2025-12-12T00:00:00"/>
    <n v="13.051600000000001"/>
    <x v="0"/>
  </r>
  <r>
    <x v="77"/>
    <n v="1008295"/>
    <n v="-100"/>
    <m/>
    <n v="-100"/>
    <m/>
    <n v="-100"/>
    <d v="2025-12-12T00:00:00"/>
    <n v="1008295"/>
    <n v="3760"/>
    <n v="0"/>
    <n v="-100"/>
    <d v="2025-12-04T00:00:00"/>
    <n v="-100"/>
    <n v="0"/>
    <s v="NMCNoINV"/>
    <s v="PRO"/>
    <n v="0"/>
    <n v="-100"/>
    <s v="PAID"/>
    <n v="2"/>
    <n v="8691061538147"/>
    <d v="2025-12-12T00:00:00"/>
    <d v="2025-12-04T00:00:00"/>
    <m/>
    <d v="2025-12-12T00:00:00"/>
    <d v="2025-12-08T14:58:00"/>
    <n v="37601008295"/>
    <d v="2025-12-04T00:00:00"/>
    <s v="N/A"/>
    <s v="NET 01/10/26"/>
    <s v="NMCNoINV"/>
    <d v="2025-12-04T00:00:00"/>
    <d v="2025-12-12T00:00:00"/>
    <m/>
    <x v="0"/>
  </r>
  <r>
    <x v="77"/>
    <n v="1008330"/>
    <n v="-80"/>
    <m/>
    <n v="-80"/>
    <m/>
    <n v="-80"/>
    <d v="2025-12-12T00:00:00"/>
    <n v="1008330"/>
    <n v="3760"/>
    <n v="0"/>
    <n v="-80"/>
    <d v="2025-12-05T00:00:00"/>
    <n v="-80"/>
    <n v="0"/>
    <s v="NMCCM104652"/>
    <s v="DELKIN"/>
    <n v="0"/>
    <n v="-80"/>
    <s v="PAID"/>
    <n v="2"/>
    <n v="8691061538147"/>
    <d v="2025-12-12T00:00:00"/>
    <d v="2025-12-05T00:00:00"/>
    <m/>
    <d v="2025-12-12T00:00:00"/>
    <d v="2025-12-08T14:58:00"/>
    <n v="37601008330"/>
    <d v="2025-12-05T00:00:00"/>
    <s v="OCTSPIFF"/>
    <s v="NET 01/10/26"/>
    <s v="NMCCM104652"/>
    <d v="2025-12-05T00:00:00"/>
    <d v="2025-12-12T00:00:00"/>
    <m/>
    <x v="0"/>
  </r>
  <r>
    <x v="77"/>
    <n v="1008415"/>
    <n v="210.83"/>
    <n v="4.22"/>
    <n v="206.61"/>
    <n v="2.11"/>
    <n v="204.5"/>
    <d v="2025-12-12T00:00:00"/>
    <n v="1008415"/>
    <n v="3760"/>
    <n v="4.22"/>
    <n v="210.83"/>
    <d v="2025-12-05T00:00:00"/>
    <n v="206.61"/>
    <n v="4.22"/>
    <s v="NULL"/>
    <s v="PRO"/>
    <n v="2.11"/>
    <n v="204.5"/>
    <s v="PAID"/>
    <n v="2"/>
    <n v="8691061538147"/>
    <d v="2025-12-12T00:00:00"/>
    <d v="2025-12-05T00:00:00"/>
    <m/>
    <d v="2025-12-12T00:00:00"/>
    <d v="2025-12-08T14:58:00"/>
    <n v="37601008415"/>
    <d v="2025-12-05T00:00:00"/>
    <n v="4215"/>
    <s v="2% 01/10/26"/>
    <n v="206712"/>
    <d v="2025-12-05T00:00:00"/>
    <d v="2025-12-12T00:00:00"/>
    <n v="4.2166000000000006"/>
    <x v="0"/>
  </r>
  <r>
    <x v="77"/>
    <n v="1008500"/>
    <n v="41.14"/>
    <n v="0.82"/>
    <n v="40.32"/>
    <n v="0.41"/>
    <n v="39.909999999999997"/>
    <d v="2025-12-12T00:00:00"/>
    <n v="1008500"/>
    <n v="3760"/>
    <n v="0.82"/>
    <n v="41.14"/>
    <d v="2025-12-05T00:00:00"/>
    <n v="40.32"/>
    <n v="0.82"/>
    <s v="NULL"/>
    <s v="PRO"/>
    <n v="0.41"/>
    <n v="39.909999999999997"/>
    <s v="PAID"/>
    <n v="2"/>
    <n v="8691061538147"/>
    <d v="2025-12-12T00:00:00"/>
    <d v="2025-12-05T00:00:00"/>
    <m/>
    <d v="2025-12-12T00:00:00"/>
    <d v="2025-12-08T14:58:00"/>
    <n v="37601008500"/>
    <d v="2025-12-05T00:00:00"/>
    <n v="4106"/>
    <s v="2% 01/10/26"/>
    <n v="206817"/>
    <d v="2025-12-05T00:00:00"/>
    <d v="2025-12-12T00:00:00"/>
    <n v="0.82279999999999998"/>
    <x v="0"/>
  </r>
  <r>
    <x v="77"/>
    <n v="1008501"/>
    <n v="226.28"/>
    <n v="4.53"/>
    <n v="221.75"/>
    <n v="2.2599999999999998"/>
    <n v="219.49"/>
    <d v="2025-12-12T00:00:00"/>
    <n v="1008501"/>
    <n v="3760"/>
    <n v="4.53"/>
    <n v="226.28"/>
    <d v="2025-12-05T00:00:00"/>
    <n v="221.75"/>
    <n v="4.53"/>
    <s v="NULL"/>
    <s v="PRO"/>
    <n v="2.2599999999999998"/>
    <n v="219.49"/>
    <s v="PAID"/>
    <n v="2"/>
    <n v="8691061538147"/>
    <d v="2025-12-12T00:00:00"/>
    <d v="2025-12-05T00:00:00"/>
    <m/>
    <d v="2025-12-12T00:00:00"/>
    <d v="2025-12-08T14:58:00"/>
    <n v="37601008501"/>
    <d v="2025-12-05T00:00:00"/>
    <n v="4178"/>
    <s v="2% 01/10/26"/>
    <n v="206819"/>
    <d v="2025-12-05T00:00:00"/>
    <d v="2025-12-12T00:00:00"/>
    <n v="4.5255999999999998"/>
    <x v="0"/>
  </r>
  <r>
    <x v="77"/>
    <n v="1008504"/>
    <n v="73.75"/>
    <n v="1.48"/>
    <n v="72.27"/>
    <n v="0.74"/>
    <n v="71.53"/>
    <d v="2025-12-12T00:00:00"/>
    <n v="1008504"/>
    <n v="3760"/>
    <n v="1.48"/>
    <n v="73.75"/>
    <d v="2025-12-05T00:00:00"/>
    <n v="72.27"/>
    <n v="1.48"/>
    <s v="NULL"/>
    <s v="PRO"/>
    <n v="0.74"/>
    <n v="71.53"/>
    <s v="PAID"/>
    <n v="2"/>
    <n v="8691061538147"/>
    <d v="2025-12-12T00:00:00"/>
    <d v="2025-12-05T00:00:00"/>
    <m/>
    <d v="2025-12-12T00:00:00"/>
    <d v="2025-12-08T14:58:00"/>
    <n v="37601008504"/>
    <d v="2025-12-05T00:00:00"/>
    <n v="4135"/>
    <s v="2% 01/10/26"/>
    <n v="206818"/>
    <d v="2025-12-05T00:00:00"/>
    <d v="2025-12-12T00:00:00"/>
    <n v="1.4750000000000001"/>
    <x v="0"/>
  </r>
  <r>
    <x v="77"/>
    <n v="1008507"/>
    <n v="44.77"/>
    <n v="0.9"/>
    <n v="43.87"/>
    <n v="0.45"/>
    <n v="43.42"/>
    <d v="2025-12-12T00:00:00"/>
    <n v="1008507"/>
    <n v="3760"/>
    <n v="0.9"/>
    <n v="44.77"/>
    <d v="2025-12-05T00:00:00"/>
    <n v="43.87"/>
    <n v="0.9"/>
    <s v="NULL"/>
    <s v="PRO"/>
    <n v="0.45"/>
    <n v="43.42"/>
    <s v="PAID"/>
    <n v="2"/>
    <n v="8691061538147"/>
    <d v="2025-12-12T00:00:00"/>
    <d v="2025-12-05T00:00:00"/>
    <m/>
    <d v="2025-12-12T00:00:00"/>
    <d v="2025-12-08T14:58:00"/>
    <n v="37601008507"/>
    <d v="2025-12-05T00:00:00"/>
    <n v="4056"/>
    <s v="2% 01/10/26"/>
    <n v="206816"/>
    <d v="2025-12-05T00:00:00"/>
    <d v="2025-12-12T00:00:00"/>
    <n v="0.89540000000000008"/>
    <x v="0"/>
  </r>
  <r>
    <x v="77"/>
    <n v="1008536"/>
    <n v="1478.96"/>
    <m/>
    <n v="1478.96"/>
    <n v="14.79"/>
    <n v="1464.17"/>
    <d v="2025-12-12T00:00:00"/>
    <n v="1008536"/>
    <n v="3760"/>
    <n v="0"/>
    <n v="1478.96"/>
    <d v="2025-12-05T00:00:00"/>
    <n v="1478.96"/>
    <n v="0"/>
    <s v="NULL"/>
    <s v="PRO"/>
    <n v="14.79"/>
    <n v="1464.17"/>
    <s v="PAID"/>
    <n v="2"/>
    <n v="8691061538147"/>
    <d v="2025-12-12T00:00:00"/>
    <d v="2025-12-05T00:00:00"/>
    <m/>
    <d v="2025-12-12T00:00:00"/>
    <d v="2025-12-08T14:58:00"/>
    <n v="37601008536"/>
    <d v="2025-12-05T00:00:00"/>
    <n v="4076"/>
    <s v="NET 01/10/26"/>
    <n v="206821"/>
    <d v="2025-12-05T00:00:00"/>
    <d v="2025-12-12T00:00:00"/>
    <m/>
    <x v="0"/>
  </r>
  <r>
    <x v="77"/>
    <n v="1008538"/>
    <n v="364.46"/>
    <m/>
    <n v="364.46"/>
    <n v="3.64"/>
    <n v="360.82"/>
    <d v="2025-12-12T00:00:00"/>
    <n v="1008538"/>
    <n v="3760"/>
    <n v="0"/>
    <n v="364.46"/>
    <d v="2025-12-05T00:00:00"/>
    <n v="364.46"/>
    <n v="0"/>
    <s v="NULL"/>
    <s v="PRO"/>
    <n v="3.64"/>
    <n v="360.82"/>
    <s v="PAID"/>
    <n v="2"/>
    <n v="8691061538147"/>
    <d v="2025-12-12T00:00:00"/>
    <d v="2025-12-05T00:00:00"/>
    <m/>
    <d v="2025-12-12T00:00:00"/>
    <d v="2025-12-08T14:58:00"/>
    <n v="37601008538"/>
    <d v="2025-12-05T00:00:00"/>
    <n v="4155"/>
    <s v="NET 01/10/26"/>
    <n v="206822"/>
    <d v="2025-12-05T00:00:00"/>
    <d v="2025-12-12T00:00:00"/>
    <m/>
    <x v="0"/>
  </r>
  <r>
    <x v="77"/>
    <n v="1008541"/>
    <n v="81.25"/>
    <n v="1.63"/>
    <n v="79.62"/>
    <n v="0.81"/>
    <n v="78.81"/>
    <d v="2025-12-12T00:00:00"/>
    <n v="1008541"/>
    <n v="3760"/>
    <n v="1.63"/>
    <n v="81.25"/>
    <d v="2025-12-05T00:00:00"/>
    <n v="79.62"/>
    <n v="1.63"/>
    <s v="NULL"/>
    <s v="PRO"/>
    <n v="0.81"/>
    <n v="78.81"/>
    <s v="PAID"/>
    <n v="2"/>
    <n v="8691061538147"/>
    <d v="2025-12-12T00:00:00"/>
    <d v="2025-12-05T00:00:00"/>
    <m/>
    <d v="2025-12-12T00:00:00"/>
    <d v="2025-12-08T14:58:00"/>
    <n v="37601008541"/>
    <d v="2025-12-05T00:00:00"/>
    <n v="4198"/>
    <s v="2% 01/10/26"/>
    <n v="206820"/>
    <d v="2025-12-05T00:00:00"/>
    <d v="2025-12-12T00:00:00"/>
    <n v="1.625"/>
    <x v="0"/>
  </r>
  <r>
    <x v="78"/>
    <n v="1007519"/>
    <n v="3990"/>
    <m/>
    <n v="3990"/>
    <n v="39.9"/>
    <n v="3950.1"/>
    <d v="2025-12-12T00:00:00"/>
    <n v="1007519"/>
    <n v="3767"/>
    <n v="0"/>
    <n v="3990"/>
    <d v="2025-12-02T00:00:00"/>
    <n v="3990"/>
    <n v="0"/>
    <s v="NULL"/>
    <s v="PRO"/>
    <n v="39.9"/>
    <n v="3950.1"/>
    <s v="PAID"/>
    <n v="2"/>
    <n v="3023767720186"/>
    <d v="2025-12-12T00:00:00"/>
    <d v="2025-12-02T00:00:00"/>
    <m/>
    <d v="2025-12-12T00:00:00"/>
    <d v="2025-12-11T17:34:00"/>
    <n v="37671007519"/>
    <d v="2025-12-02T00:00:00"/>
    <s v="NULL"/>
    <s v="NET 02/10/26"/>
    <s v="NULL"/>
    <d v="2025-12-02T00:00:00"/>
    <d v="2025-12-12T00:00:00"/>
    <m/>
    <x v="0"/>
  </r>
  <r>
    <x v="78"/>
    <n v="1007695"/>
    <n v="834.65"/>
    <n v="16.690000000000001"/>
    <n v="817.96"/>
    <n v="8.35"/>
    <n v="809.61"/>
    <d v="2025-12-12T00:00:00"/>
    <n v="1007695"/>
    <n v="3767"/>
    <n v="16.690000000000001"/>
    <n v="834.65"/>
    <d v="2025-12-02T00:00:00"/>
    <n v="817.96"/>
    <n v="16.690000000000001"/>
    <s v="NULL"/>
    <s v="PRO"/>
    <n v="8.35"/>
    <n v="809.61"/>
    <s v="PAID"/>
    <n v="2"/>
    <n v="3023767720186"/>
    <d v="2025-12-12T00:00:00"/>
    <d v="2025-12-02T00:00:00"/>
    <m/>
    <d v="2025-12-12T00:00:00"/>
    <d v="2025-12-11T17:34:00"/>
    <n v="37671007695"/>
    <d v="2025-12-02T00:00:00"/>
    <s v="PO89809"/>
    <s v="2% 01/10/26"/>
    <n v="206139"/>
    <d v="2025-12-02T00:00:00"/>
    <d v="2025-12-12T00:00:00"/>
    <n v="16.693000000000001"/>
    <x v="0"/>
  </r>
  <r>
    <x v="78"/>
    <n v="1007702"/>
    <n v="12.79"/>
    <n v="0.26"/>
    <n v="12.53"/>
    <n v="0.13"/>
    <n v="12.4"/>
    <d v="2025-12-12T00:00:00"/>
    <n v="1007702"/>
    <n v="3767"/>
    <n v="0.26"/>
    <n v="12.79"/>
    <d v="2025-12-02T00:00:00"/>
    <n v="12.53"/>
    <n v="0.26"/>
    <s v="NULL"/>
    <s v="PRO"/>
    <n v="0.13"/>
    <n v="12.4"/>
    <s v="PAID"/>
    <n v="2"/>
    <n v="3023767720186"/>
    <d v="2025-12-12T00:00:00"/>
    <d v="2025-12-02T00:00:00"/>
    <m/>
    <d v="2025-12-12T00:00:00"/>
    <d v="2025-12-11T17:34:00"/>
    <n v="37671007702"/>
    <d v="2025-12-02T00:00:00"/>
    <s v="PO89808"/>
    <s v="2% 01/10/26"/>
    <n v="206138"/>
    <d v="2025-12-02T00:00:00"/>
    <d v="2025-12-12T00:00:00"/>
    <n v="0.25579999999999997"/>
    <x v="0"/>
  </r>
  <r>
    <x v="78"/>
    <n v="1007707"/>
    <n v="874.04"/>
    <n v="17.48"/>
    <n v="856.56"/>
    <n v="8.74"/>
    <n v="847.82"/>
    <d v="2025-12-12T00:00:00"/>
    <n v="1007707"/>
    <n v="3767"/>
    <n v="17.48"/>
    <n v="874.04"/>
    <d v="2025-12-02T00:00:00"/>
    <n v="856.56"/>
    <n v="17.48"/>
    <s v="NULL"/>
    <s v="PRO"/>
    <n v="8.74"/>
    <n v="847.82"/>
    <s v="PAID"/>
    <n v="2"/>
    <n v="3023767720186"/>
    <d v="2025-12-12T00:00:00"/>
    <d v="2025-12-02T00:00:00"/>
    <m/>
    <d v="2025-12-12T00:00:00"/>
    <d v="2025-12-11T17:34:00"/>
    <n v="37671007707"/>
    <d v="2025-12-02T00:00:00"/>
    <s v="PO89810"/>
    <s v="2% 01/10/26"/>
    <n v="206175"/>
    <d v="2025-12-02T00:00:00"/>
    <d v="2025-12-12T00:00:00"/>
    <n v="17.480799999999999"/>
    <x v="0"/>
  </r>
  <r>
    <x v="78"/>
    <n v="1007708"/>
    <n v="1902.87"/>
    <m/>
    <n v="1902.87"/>
    <n v="19.03"/>
    <n v="1883.84"/>
    <d v="2025-12-12T00:00:00"/>
    <n v="1007708"/>
    <n v="3767"/>
    <n v="0"/>
    <n v="1902.87"/>
    <d v="2025-12-02T00:00:00"/>
    <n v="1902.87"/>
    <n v="0"/>
    <s v="NULL"/>
    <s v="PRO"/>
    <n v="19.03"/>
    <n v="1883.84"/>
    <s v="PAID"/>
    <n v="2"/>
    <n v="3023767720186"/>
    <d v="2025-12-12T00:00:00"/>
    <d v="2025-12-02T00:00:00"/>
    <m/>
    <d v="2025-12-12T00:00:00"/>
    <d v="2025-12-11T17:34:00"/>
    <n v="37671007708"/>
    <d v="2025-12-02T00:00:00"/>
    <s v="PO89809"/>
    <s v="NET 01/10/26"/>
    <n v="206177"/>
    <d v="2025-12-02T00:00:00"/>
    <d v="2025-12-12T00:00:00"/>
    <m/>
    <x v="0"/>
  </r>
  <r>
    <x v="78"/>
    <n v="1007709"/>
    <n v="1665.8"/>
    <n v="33.32"/>
    <n v="1632.48"/>
    <n v="16.66"/>
    <n v="1615.82"/>
    <d v="2025-12-12T00:00:00"/>
    <n v="1007709"/>
    <n v="3767"/>
    <n v="33.32"/>
    <n v="1665.8"/>
    <d v="2025-12-02T00:00:00"/>
    <n v="1632.48"/>
    <n v="33.32"/>
    <s v="NULL"/>
    <s v="PRO"/>
    <n v="16.66"/>
    <n v="1615.82"/>
    <s v="PAID"/>
    <n v="2"/>
    <n v="3023767720186"/>
    <d v="2025-12-12T00:00:00"/>
    <d v="2025-12-02T00:00:00"/>
    <m/>
    <d v="2025-12-12T00:00:00"/>
    <d v="2025-12-11T17:34:00"/>
    <n v="37671007709"/>
    <d v="2025-12-02T00:00:00"/>
    <s v="PO89808"/>
    <s v="2% 01/10/26"/>
    <n v="206173"/>
    <d v="2025-12-02T00:00:00"/>
    <d v="2025-12-12T00:00:00"/>
    <n v="33.316000000000003"/>
    <x v="0"/>
  </r>
  <r>
    <x v="78"/>
    <n v="1007711"/>
    <n v="3439.19"/>
    <m/>
    <n v="3439.19"/>
    <n v="34.39"/>
    <n v="3404.8"/>
    <d v="2025-12-12T00:00:00"/>
    <n v="1007711"/>
    <n v="3767"/>
    <n v="0"/>
    <n v="3439.19"/>
    <d v="2025-12-02T00:00:00"/>
    <n v="3439.19"/>
    <n v="0"/>
    <s v="NULL"/>
    <s v="PRO"/>
    <n v="34.39"/>
    <n v="3404.8"/>
    <s v="PAID"/>
    <n v="2"/>
    <n v="3023767720186"/>
    <d v="2025-12-12T00:00:00"/>
    <d v="2025-12-02T00:00:00"/>
    <m/>
    <d v="2025-12-12T00:00:00"/>
    <d v="2025-12-11T17:34:00"/>
    <n v="37671007711"/>
    <d v="2025-12-02T00:00:00"/>
    <s v="PO89808"/>
    <s v="NET 01/10/26"/>
    <n v="206176"/>
    <d v="2025-12-02T00:00:00"/>
    <d v="2025-12-12T00:00:00"/>
    <m/>
    <x v="0"/>
  </r>
  <r>
    <x v="78"/>
    <n v="1007713"/>
    <n v="129.26"/>
    <m/>
    <n v="129.26"/>
    <n v="1.29"/>
    <n v="127.97"/>
    <d v="2025-12-12T00:00:00"/>
    <n v="1007713"/>
    <n v="3767"/>
    <n v="0"/>
    <n v="129.26"/>
    <d v="2025-12-02T00:00:00"/>
    <n v="129.26"/>
    <n v="0"/>
    <s v="NULL"/>
    <s v="PRO"/>
    <n v="1.29"/>
    <n v="127.97"/>
    <s v="PAID"/>
    <n v="2"/>
    <n v="3023767720186"/>
    <d v="2025-12-12T00:00:00"/>
    <d v="2025-12-02T00:00:00"/>
    <m/>
    <d v="2025-12-12T00:00:00"/>
    <d v="2025-12-11T17:34:00"/>
    <n v="37671007713"/>
    <d v="2025-12-02T00:00:00"/>
    <s v="PO89810"/>
    <s v="NET 01/10/26"/>
    <n v="206178"/>
    <d v="2025-12-02T00:00:00"/>
    <d v="2025-12-12T00:00:00"/>
    <m/>
    <x v="0"/>
  </r>
  <r>
    <x v="78"/>
    <n v="1007714"/>
    <n v="1504.87"/>
    <n v="30.1"/>
    <n v="1474.77"/>
    <n v="15.05"/>
    <n v="1459.72"/>
    <d v="2025-12-12T00:00:00"/>
    <n v="1007714"/>
    <n v="3767"/>
    <n v="30.1"/>
    <n v="1504.87"/>
    <d v="2025-12-02T00:00:00"/>
    <n v="1474.77"/>
    <n v="30.1"/>
    <s v="NULL"/>
    <s v="PRO"/>
    <n v="15.05"/>
    <n v="1459.72"/>
    <s v="PAID"/>
    <n v="2"/>
    <n v="3023767720186"/>
    <d v="2025-12-12T00:00:00"/>
    <d v="2025-12-02T00:00:00"/>
    <m/>
    <d v="2025-12-12T00:00:00"/>
    <d v="2025-12-11T17:34:00"/>
    <n v="37671007714"/>
    <d v="2025-12-02T00:00:00"/>
    <s v="PO89809"/>
    <s v="2% 01/10/26"/>
    <n v="206174"/>
    <d v="2025-12-02T00:00:00"/>
    <d v="2025-12-12T00:00:00"/>
    <n v="30.097399999999997"/>
    <x v="0"/>
  </r>
  <r>
    <x v="78"/>
    <n v="1007760"/>
    <n v="698.97"/>
    <n v="13.98"/>
    <n v="684.99"/>
    <n v="6.99"/>
    <n v="678"/>
    <d v="2025-12-12T00:00:00"/>
    <n v="1007760"/>
    <n v="3767"/>
    <n v="13.98"/>
    <n v="698.97"/>
    <d v="2025-12-02T00:00:00"/>
    <n v="684.99"/>
    <n v="13.98"/>
    <s v="NULL"/>
    <s v="PRO"/>
    <n v="6.99"/>
    <n v="678"/>
    <s v="PAID"/>
    <n v="2"/>
    <n v="3023767720186"/>
    <d v="2025-12-12T00:00:00"/>
    <d v="2025-12-02T00:00:00"/>
    <m/>
    <d v="2025-12-12T00:00:00"/>
    <d v="2025-12-11T17:34:00"/>
    <n v="37671007760"/>
    <d v="2025-12-02T00:00:00"/>
    <s v="PO89782"/>
    <s v="2% 01/10/26"/>
    <n v="205599"/>
    <d v="2025-12-02T00:00:00"/>
    <d v="2025-12-12T00:00:00"/>
    <n v="13.9794"/>
    <x v="0"/>
  </r>
  <r>
    <x v="78"/>
    <n v="1007769"/>
    <n v="4087.46"/>
    <m/>
    <n v="4087.46"/>
    <n v="40.869999999999997"/>
    <n v="4046.59"/>
    <d v="2025-12-12T00:00:00"/>
    <n v="1007769"/>
    <n v="3767"/>
    <n v="0"/>
    <n v="4087.46"/>
    <d v="2025-12-02T00:00:00"/>
    <n v="4087.46"/>
    <n v="0"/>
    <s v="NULL"/>
    <s v="PRO"/>
    <n v="40.869999999999997"/>
    <n v="4046.59"/>
    <s v="PAID"/>
    <n v="2"/>
    <n v="3023767720186"/>
    <d v="2025-12-12T00:00:00"/>
    <d v="2025-12-02T00:00:00"/>
    <m/>
    <d v="2025-12-12T00:00:00"/>
    <d v="2025-12-11T17:34:00"/>
    <n v="37671007769"/>
    <d v="2025-12-02T00:00:00"/>
    <s v="PO89782"/>
    <s v="NET 01/10/26"/>
    <n v="205614"/>
    <d v="2025-12-02T00:00:00"/>
    <d v="2025-12-12T00:00:00"/>
    <m/>
    <x v="0"/>
  </r>
  <r>
    <x v="78"/>
    <n v="1007771"/>
    <n v="969.97"/>
    <n v="19.399999999999999"/>
    <n v="950.57"/>
    <n v="9.6999999999999993"/>
    <n v="940.87"/>
    <d v="2025-12-12T00:00:00"/>
    <n v="1007771"/>
    <n v="3767"/>
    <n v="19.399999999999999"/>
    <n v="969.97"/>
    <d v="2025-12-02T00:00:00"/>
    <n v="950.57"/>
    <n v="19.399999999999999"/>
    <s v="NULL"/>
    <s v="PRO"/>
    <n v="9.6999999999999993"/>
    <n v="940.87"/>
    <s v="PAID"/>
    <n v="2"/>
    <n v="3023767720186"/>
    <d v="2025-12-12T00:00:00"/>
    <d v="2025-12-02T00:00:00"/>
    <m/>
    <d v="2025-12-12T00:00:00"/>
    <d v="2025-12-11T17:34:00"/>
    <n v="37671007771"/>
    <d v="2025-12-02T00:00:00"/>
    <s v="PO89782"/>
    <s v="2% 01/10/26"/>
    <n v="205612"/>
    <d v="2025-12-02T00:00:00"/>
    <d v="2025-12-12T00:00:00"/>
    <n v="19.3994"/>
    <x v="0"/>
  </r>
  <r>
    <x v="78"/>
    <n v="1007772"/>
    <n v="1093.52"/>
    <m/>
    <n v="1093.52"/>
    <n v="10.94"/>
    <n v="1082.58"/>
    <d v="2025-12-12T00:00:00"/>
    <n v="1007772"/>
    <n v="3767"/>
    <n v="0"/>
    <n v="1093.52"/>
    <d v="2025-12-02T00:00:00"/>
    <n v="1093.52"/>
    <n v="0"/>
    <s v="NULL"/>
    <s v="PRO"/>
    <n v="10.94"/>
    <n v="1082.58"/>
    <s v="PAID"/>
    <n v="2"/>
    <n v="3023767720186"/>
    <d v="2025-12-12T00:00:00"/>
    <d v="2025-12-02T00:00:00"/>
    <m/>
    <d v="2025-12-12T00:00:00"/>
    <d v="2025-12-11T17:34:00"/>
    <n v="37671007772"/>
    <d v="2025-12-02T00:00:00"/>
    <s v="PO89784"/>
    <s v="NET 01/10/26"/>
    <n v="205616"/>
    <d v="2025-12-02T00:00:00"/>
    <d v="2025-12-12T00:00:00"/>
    <m/>
    <x v="0"/>
  </r>
  <r>
    <x v="78"/>
    <n v="1007773"/>
    <n v="646.79"/>
    <m/>
    <n v="646.79"/>
    <n v="6.47"/>
    <n v="640.32000000000005"/>
    <d v="2025-12-12T00:00:00"/>
    <n v="1007773"/>
    <n v="3767"/>
    <n v="0"/>
    <n v="646.79"/>
    <d v="2025-12-02T00:00:00"/>
    <n v="646.79"/>
    <n v="0"/>
    <s v="NULL"/>
    <s v="PRO"/>
    <n v="6.47"/>
    <n v="640.32000000000005"/>
    <s v="PAID"/>
    <n v="2"/>
    <n v="3023767720186"/>
    <d v="2025-12-12T00:00:00"/>
    <d v="2025-12-02T00:00:00"/>
    <m/>
    <d v="2025-12-12T00:00:00"/>
    <d v="2025-12-11T17:34:00"/>
    <n v="37671007773"/>
    <d v="2025-12-02T00:00:00"/>
    <s v="PO89783"/>
    <s v="NET 01/10/26"/>
    <n v="205615"/>
    <d v="2025-12-02T00:00:00"/>
    <d v="2025-12-12T00:00:00"/>
    <m/>
    <x v="0"/>
  </r>
  <r>
    <x v="78"/>
    <n v="1007775"/>
    <n v="227.86"/>
    <n v="4.5599999999999996"/>
    <n v="223.3"/>
    <n v="2.2799999999999998"/>
    <n v="221.02"/>
    <d v="2025-12-12T00:00:00"/>
    <n v="1007775"/>
    <n v="3767"/>
    <n v="4.5599999999999996"/>
    <n v="227.86"/>
    <d v="2025-12-02T00:00:00"/>
    <n v="223.3"/>
    <n v="4.5599999999999996"/>
    <s v="NULL"/>
    <s v="PRO"/>
    <n v="2.2799999999999998"/>
    <n v="221.02"/>
    <s v="PAID"/>
    <n v="2"/>
    <n v="3023767720186"/>
    <d v="2025-12-12T00:00:00"/>
    <d v="2025-12-02T00:00:00"/>
    <m/>
    <d v="2025-12-12T00:00:00"/>
    <d v="2025-12-11T17:34:00"/>
    <n v="37671007775"/>
    <d v="2025-12-02T00:00:00"/>
    <s v="PO89783"/>
    <s v="2% 01/10/26"/>
    <n v="205613"/>
    <d v="2025-12-02T00:00:00"/>
    <d v="2025-12-12T00:00:00"/>
    <n v="4.5572000000000008"/>
    <x v="0"/>
  </r>
  <r>
    <x v="78"/>
    <n v="1007783"/>
    <n v="97.17"/>
    <n v="1.94"/>
    <n v="95.23"/>
    <n v="0.97"/>
    <n v="94.26"/>
    <d v="2025-12-12T00:00:00"/>
    <n v="1007783"/>
    <n v="3767"/>
    <n v="1.94"/>
    <n v="97.17"/>
    <d v="2025-12-02T00:00:00"/>
    <n v="95.23"/>
    <n v="1.94"/>
    <s v="NULL"/>
    <s v="PRO"/>
    <n v="0.97"/>
    <n v="94.26"/>
    <s v="PAID"/>
    <n v="2"/>
    <n v="3023767720186"/>
    <d v="2025-12-12T00:00:00"/>
    <d v="2025-12-02T00:00:00"/>
    <m/>
    <d v="2025-12-12T00:00:00"/>
    <d v="2025-12-11T17:34:00"/>
    <n v="37671007783"/>
    <d v="2025-12-02T00:00:00"/>
    <s v="PO89783"/>
    <s v="2% 01/10/26"/>
    <n v="205600"/>
    <d v="2025-12-02T00:00:00"/>
    <d v="2025-12-12T00:00:00"/>
    <n v="1.9434"/>
    <x v="0"/>
  </r>
  <r>
    <x v="78"/>
    <n v="1007792"/>
    <n v="122.44"/>
    <n v="2.4500000000000002"/>
    <n v="119.99"/>
    <n v="1.22"/>
    <n v="118.77"/>
    <d v="2025-12-12T00:00:00"/>
    <n v="1007792"/>
    <n v="3767"/>
    <n v="2.4500000000000002"/>
    <n v="122.44"/>
    <d v="2025-12-02T00:00:00"/>
    <n v="119.99"/>
    <n v="2.4500000000000002"/>
    <s v="NULL"/>
    <s v="PRO"/>
    <n v="1.22"/>
    <n v="118.77"/>
    <s v="PAID"/>
    <n v="2"/>
    <n v="3023767720186"/>
    <d v="2025-12-12T00:00:00"/>
    <d v="2025-12-02T00:00:00"/>
    <m/>
    <d v="2025-12-12T00:00:00"/>
    <d v="2025-12-11T17:34:00"/>
    <n v="37671007792"/>
    <d v="2025-12-02T00:00:00"/>
    <s v="PO89758"/>
    <s v="2% 01/10/26"/>
    <n v="206046"/>
    <d v="2025-12-02T00:00:00"/>
    <d v="2025-12-12T00:00:00"/>
    <n v="2.4487999999999999"/>
    <x v="0"/>
  </r>
  <r>
    <x v="78"/>
    <n v="1007793"/>
    <n v="26.49"/>
    <n v="0.53"/>
    <n v="25.96"/>
    <n v="0.26"/>
    <n v="25.7"/>
    <d v="2025-12-12T00:00:00"/>
    <n v="1007793"/>
    <n v="3767"/>
    <n v="0.53"/>
    <n v="26.49"/>
    <d v="2025-12-02T00:00:00"/>
    <n v="25.96"/>
    <n v="0.53"/>
    <s v="NULL"/>
    <s v="PRO"/>
    <n v="0.26"/>
    <n v="25.7"/>
    <s v="PAID"/>
    <n v="2"/>
    <n v="3023767720186"/>
    <d v="2025-12-12T00:00:00"/>
    <d v="2025-12-02T00:00:00"/>
    <m/>
    <d v="2025-12-12T00:00:00"/>
    <d v="2025-12-11T17:34:00"/>
    <n v="37671007793"/>
    <d v="2025-12-02T00:00:00"/>
    <s v="PO89525"/>
    <s v="2% 01/10/26"/>
    <n v="206044"/>
    <d v="2025-12-02T00:00:00"/>
    <d v="2025-12-12T00:00:00"/>
    <n v="0.52979999999999994"/>
    <x v="0"/>
  </r>
  <r>
    <x v="78"/>
    <n v="1007796"/>
    <n v="58.31"/>
    <n v="1.17"/>
    <n v="57.14"/>
    <n v="0.57999999999999996"/>
    <n v="56.56"/>
    <d v="2025-12-12T00:00:00"/>
    <n v="1007796"/>
    <n v="3767"/>
    <n v="1.17"/>
    <n v="58.31"/>
    <d v="2025-12-02T00:00:00"/>
    <n v="57.14"/>
    <n v="1.17"/>
    <s v="NULL"/>
    <s v="PRO"/>
    <n v="0.57999999999999996"/>
    <n v="56.56"/>
    <s v="PAID"/>
    <n v="2"/>
    <n v="3023767720186"/>
    <d v="2025-12-12T00:00:00"/>
    <d v="2025-12-02T00:00:00"/>
    <m/>
    <d v="2025-12-12T00:00:00"/>
    <d v="2025-12-11T17:34:00"/>
    <n v="37671007796"/>
    <d v="2025-12-02T00:00:00"/>
    <s v="PO89057"/>
    <s v="2% 01/10/26"/>
    <n v="206043"/>
    <d v="2025-12-02T00:00:00"/>
    <d v="2025-12-12T00:00:00"/>
    <n v="1.1662000000000001"/>
    <x v="0"/>
  </r>
  <r>
    <x v="78"/>
    <n v="1007800"/>
    <n v="52.98"/>
    <n v="1.06"/>
    <n v="51.92"/>
    <n v="0.53"/>
    <n v="51.39"/>
    <d v="2025-12-12T00:00:00"/>
    <n v="1007800"/>
    <n v="3767"/>
    <n v="1.06"/>
    <n v="52.98"/>
    <d v="2025-12-02T00:00:00"/>
    <n v="51.92"/>
    <n v="1.06"/>
    <s v="NULL"/>
    <s v="PRO"/>
    <n v="0.53"/>
    <n v="51.39"/>
    <s v="PAID"/>
    <n v="2"/>
    <n v="3023767720186"/>
    <d v="2025-12-12T00:00:00"/>
    <d v="2025-12-02T00:00:00"/>
    <m/>
    <d v="2025-12-12T00:00:00"/>
    <d v="2025-12-11T17:34:00"/>
    <n v="37671007800"/>
    <d v="2025-12-02T00:00:00"/>
    <s v="PO89266"/>
    <s v="2% 01/10/26"/>
    <n v="206045"/>
    <d v="2025-12-02T00:00:00"/>
    <d v="2025-12-12T00:00:00"/>
    <n v="1.0595999999999999"/>
    <x v="0"/>
  </r>
  <r>
    <x v="78"/>
    <n v="1007823"/>
    <n v="79.760000000000005"/>
    <m/>
    <n v="79.760000000000005"/>
    <n v="0.8"/>
    <n v="78.959999999999994"/>
    <d v="2025-12-12T00:00:00"/>
    <n v="1007823"/>
    <n v="3767"/>
    <n v="0"/>
    <n v="79.760000000000005"/>
    <d v="2025-12-02T00:00:00"/>
    <n v="79.760000000000005"/>
    <n v="0"/>
    <s v="NULL"/>
    <s v="PRO"/>
    <n v="0.8"/>
    <n v="78.959999999999994"/>
    <s v="PAID"/>
    <n v="2"/>
    <n v="3023767720186"/>
    <d v="2025-12-12T00:00:00"/>
    <d v="2025-12-02T00:00:00"/>
    <m/>
    <d v="2025-12-12T00:00:00"/>
    <d v="2025-12-11T17:34:00"/>
    <n v="37671007823"/>
    <d v="2025-12-02T00:00:00"/>
    <s v="PO89759"/>
    <s v="NET 01/10/26"/>
    <n v="206077"/>
    <d v="2025-12-02T00:00:00"/>
    <d v="2025-12-12T00:00:00"/>
    <m/>
    <x v="0"/>
  </r>
  <r>
    <x v="78"/>
    <n v="1007858"/>
    <n v="921.76"/>
    <n v="18.440000000000001"/>
    <n v="903.32"/>
    <n v="9.2200000000000006"/>
    <n v="894.1"/>
    <d v="2025-12-12T00:00:00"/>
    <n v="1007858"/>
    <n v="3767"/>
    <n v="18.440000000000001"/>
    <n v="921.76"/>
    <d v="2025-12-02T00:00:00"/>
    <n v="903.32"/>
    <n v="18.440000000000001"/>
    <s v="NULL"/>
    <s v="PRO"/>
    <n v="9.2200000000000006"/>
    <n v="894.1"/>
    <s v="PAID"/>
    <n v="2"/>
    <n v="3023767720186"/>
    <d v="2025-12-12T00:00:00"/>
    <d v="2025-12-02T00:00:00"/>
    <m/>
    <d v="2025-12-12T00:00:00"/>
    <d v="2025-12-11T17:34:00"/>
    <n v="37671007858"/>
    <d v="2025-12-02T00:00:00"/>
    <s v="PO89810"/>
    <s v="2% 01/10/26"/>
    <n v="206140"/>
    <d v="2025-12-02T00:00:00"/>
    <d v="2025-12-12T00:00:00"/>
    <n v="18.435200000000002"/>
    <x v="0"/>
  </r>
  <r>
    <x v="78"/>
    <n v="1008145"/>
    <n v="822.14"/>
    <n v="16.440000000000001"/>
    <n v="805.7"/>
    <n v="8.2200000000000006"/>
    <n v="797.48"/>
    <d v="2025-12-12T00:00:00"/>
    <n v="1008145"/>
    <n v="3767"/>
    <n v="16.440000000000001"/>
    <n v="822.14"/>
    <d v="2025-12-04T00:00:00"/>
    <n v="805.7"/>
    <n v="16.440000000000001"/>
    <s v="NULL"/>
    <s v="PRO"/>
    <n v="8.2200000000000006"/>
    <n v="797.48"/>
    <s v="PAID"/>
    <n v="2"/>
    <n v="3023767720186"/>
    <d v="2025-12-12T00:00:00"/>
    <d v="2025-12-04T00:00:00"/>
    <m/>
    <d v="2025-12-12T00:00:00"/>
    <d v="2025-12-11T17:34:00"/>
    <n v="37671008145"/>
    <d v="2025-12-04T00:00:00"/>
    <s v="PO89840"/>
    <s v="2% 01/10/26"/>
    <n v="206755"/>
    <d v="2025-12-04T00:00:00"/>
    <d v="2025-12-12T00:00:00"/>
    <n v="16.442799999999998"/>
    <x v="0"/>
  </r>
  <r>
    <x v="78"/>
    <n v="1008146"/>
    <n v="581.29999999999995"/>
    <n v="11.63"/>
    <n v="569.66999999999996"/>
    <n v="5.81"/>
    <n v="563.86"/>
    <d v="2025-12-12T00:00:00"/>
    <n v="1008146"/>
    <n v="3767"/>
    <n v="11.63"/>
    <n v="581.29999999999995"/>
    <d v="2025-12-04T00:00:00"/>
    <n v="569.66999999999996"/>
    <n v="11.63"/>
    <s v="NULL"/>
    <s v="PRO"/>
    <n v="5.81"/>
    <n v="563.86"/>
    <s v="PAID"/>
    <n v="2"/>
    <n v="3023767720186"/>
    <d v="2025-12-12T00:00:00"/>
    <d v="2025-12-04T00:00:00"/>
    <m/>
    <d v="2025-12-12T00:00:00"/>
    <d v="2025-12-11T17:34:00"/>
    <n v="37671008146"/>
    <d v="2025-12-04T00:00:00"/>
    <s v="PO89842"/>
    <s v="2% 01/10/26"/>
    <n v="206757"/>
    <d v="2025-12-04T00:00:00"/>
    <d v="2025-12-12T00:00:00"/>
    <n v="11.625999999999999"/>
    <x v="0"/>
  </r>
  <r>
    <x v="78"/>
    <n v="1008147"/>
    <n v="93.71"/>
    <n v="1.87"/>
    <n v="91.84"/>
    <n v="0.94"/>
    <n v="90.9"/>
    <d v="2025-12-12T00:00:00"/>
    <n v="1008147"/>
    <n v="3767"/>
    <n v="1.87"/>
    <n v="93.71"/>
    <d v="2025-12-04T00:00:00"/>
    <n v="91.84"/>
    <n v="1.87"/>
    <s v="NULL"/>
    <s v="PRO"/>
    <n v="0.94"/>
    <n v="90.9"/>
    <s v="PAID"/>
    <n v="2"/>
    <n v="3023767720186"/>
    <d v="2025-12-12T00:00:00"/>
    <d v="2025-12-04T00:00:00"/>
    <m/>
    <d v="2025-12-12T00:00:00"/>
    <d v="2025-12-11T17:34:00"/>
    <n v="37671008147"/>
    <d v="2025-12-04T00:00:00"/>
    <s v="PO89841"/>
    <s v="2% 01/10/26"/>
    <n v="206756"/>
    <d v="2025-12-04T00:00:00"/>
    <d v="2025-12-12T00:00:00"/>
    <n v="1.8741999999999999"/>
    <x v="0"/>
  </r>
  <r>
    <x v="78"/>
    <n v="1008193"/>
    <n v="562.87"/>
    <n v="11.26"/>
    <n v="551.61"/>
    <n v="5.63"/>
    <n v="545.98"/>
    <d v="2025-12-12T00:00:00"/>
    <n v="1008193"/>
    <n v="3767"/>
    <n v="11.26"/>
    <n v="562.87"/>
    <d v="2025-12-04T00:00:00"/>
    <n v="551.61"/>
    <n v="11.26"/>
    <s v="NULL"/>
    <s v="PRO"/>
    <n v="5.63"/>
    <n v="545.98"/>
    <s v="PAID"/>
    <n v="2"/>
    <n v="3023767720186"/>
    <d v="2025-12-12T00:00:00"/>
    <d v="2025-12-04T00:00:00"/>
    <m/>
    <d v="2025-12-12T00:00:00"/>
    <d v="2025-12-11T17:34:00"/>
    <n v="37671008193"/>
    <d v="2025-12-04T00:00:00"/>
    <s v="PO89841"/>
    <s v="2% 01/10/26"/>
    <n v="206763"/>
    <d v="2025-12-04T00:00:00"/>
    <d v="2025-12-12T00:00:00"/>
    <n v="11.257400000000001"/>
    <x v="0"/>
  </r>
  <r>
    <x v="78"/>
    <n v="1008195"/>
    <n v="260.52999999999997"/>
    <n v="5.21"/>
    <n v="255.32"/>
    <n v="2.61"/>
    <n v="252.71"/>
    <d v="2025-12-12T00:00:00"/>
    <n v="1008195"/>
    <n v="3767"/>
    <n v="5.21"/>
    <n v="260.52999999999997"/>
    <d v="2025-12-04T00:00:00"/>
    <n v="255.32"/>
    <n v="5.21"/>
    <s v="NULL"/>
    <s v="PRO"/>
    <n v="2.61"/>
    <n v="252.71"/>
    <s v="PAID"/>
    <n v="2"/>
    <n v="3023767720186"/>
    <d v="2025-12-12T00:00:00"/>
    <d v="2025-12-04T00:00:00"/>
    <m/>
    <d v="2025-12-12T00:00:00"/>
    <d v="2025-12-11T17:34:00"/>
    <n v="37671008195"/>
    <d v="2025-12-04T00:00:00"/>
    <s v="PO89842"/>
    <s v="2% 01/10/26"/>
    <n v="206764"/>
    <d v="2025-12-04T00:00:00"/>
    <d v="2025-12-12T00:00:00"/>
    <n v="5.2105999999999995"/>
    <x v="0"/>
  </r>
  <r>
    <x v="78"/>
    <n v="1008197"/>
    <n v="189.22"/>
    <n v="3.78"/>
    <n v="185.44"/>
    <n v="1.89"/>
    <n v="183.55"/>
    <d v="2025-12-12T00:00:00"/>
    <n v="1008197"/>
    <n v="3767"/>
    <n v="3.78"/>
    <n v="189.22"/>
    <d v="2025-12-04T00:00:00"/>
    <n v="185.44"/>
    <n v="3.78"/>
    <s v="NULL"/>
    <s v="PRO"/>
    <n v="1.89"/>
    <n v="183.55"/>
    <s v="PAID"/>
    <n v="2"/>
    <n v="3023767720186"/>
    <d v="2025-12-12T00:00:00"/>
    <d v="2025-12-04T00:00:00"/>
    <m/>
    <d v="2025-12-12T00:00:00"/>
    <d v="2025-12-11T17:34:00"/>
    <n v="37671008197"/>
    <d v="2025-12-04T00:00:00"/>
    <s v="PO89840"/>
    <s v="2% 01/10/26"/>
    <n v="206762"/>
    <d v="2025-12-04T00:00:00"/>
    <d v="2025-12-12T00:00:00"/>
    <n v="3.7844000000000002"/>
    <x v="0"/>
  </r>
  <r>
    <x v="78"/>
    <n v="1008215"/>
    <n v="160.08000000000001"/>
    <n v="3.2"/>
    <n v="156.88"/>
    <n v="1.6"/>
    <n v="155.28"/>
    <d v="2025-12-12T00:00:00"/>
    <n v="1008215"/>
    <n v="3767"/>
    <n v="3.2"/>
    <n v="160.08000000000001"/>
    <d v="2025-12-04T00:00:00"/>
    <n v="156.88"/>
    <n v="3.2"/>
    <s v="NULL"/>
    <s v="PRO"/>
    <n v="1.6"/>
    <n v="155.28"/>
    <s v="PAID"/>
    <n v="2"/>
    <n v="3023767720186"/>
    <d v="2025-12-12T00:00:00"/>
    <d v="2025-12-04T00:00:00"/>
    <m/>
    <d v="2025-12-12T00:00:00"/>
    <d v="2025-12-11T17:34:00"/>
    <n v="37671008215"/>
    <d v="2025-12-04T00:00:00"/>
    <s v="PO89386"/>
    <s v="2% 01/10/26"/>
    <n v="206564"/>
    <d v="2025-12-04T00:00:00"/>
    <d v="2025-12-12T00:00:00"/>
    <n v="3.2016000000000004"/>
    <x v="0"/>
  </r>
  <r>
    <x v="78"/>
    <n v="1008223"/>
    <n v="320.17"/>
    <n v="6.4"/>
    <n v="313.77"/>
    <n v="3.2"/>
    <n v="310.57"/>
    <d v="2025-12-12T00:00:00"/>
    <n v="1008223"/>
    <n v="3767"/>
    <n v="6.4"/>
    <n v="320.17"/>
    <d v="2025-12-04T00:00:00"/>
    <n v="313.77"/>
    <n v="6.4"/>
    <s v="NULL"/>
    <s v="PRO"/>
    <n v="3.2"/>
    <n v="310.57"/>
    <s v="PAID"/>
    <n v="2"/>
    <n v="3023767720186"/>
    <d v="2025-12-12T00:00:00"/>
    <d v="2025-12-04T00:00:00"/>
    <m/>
    <d v="2025-12-12T00:00:00"/>
    <d v="2025-12-11T17:34:00"/>
    <n v="37671008223"/>
    <d v="2025-12-04T00:00:00"/>
    <s v="PO89385"/>
    <s v="2% 01/10/26"/>
    <n v="206563"/>
    <d v="2025-12-04T00:00:00"/>
    <d v="2025-12-12T00:00:00"/>
    <n v="6.4034000000000004"/>
    <x v="0"/>
  </r>
  <r>
    <x v="78"/>
    <n v="1008245"/>
    <n v="77.44"/>
    <n v="1.55"/>
    <n v="75.89"/>
    <n v="0.77"/>
    <n v="75.12"/>
    <d v="2025-12-12T00:00:00"/>
    <n v="1008245"/>
    <n v="3767"/>
    <n v="1.55"/>
    <n v="77.44"/>
    <d v="2025-12-04T00:00:00"/>
    <n v="75.89"/>
    <n v="1.55"/>
    <s v="NULL"/>
    <s v="PRO"/>
    <n v="0.77"/>
    <n v="75.12"/>
    <s v="PAID"/>
    <n v="2"/>
    <n v="3023767720186"/>
    <d v="2025-12-12T00:00:00"/>
    <d v="2025-12-04T00:00:00"/>
    <m/>
    <d v="2025-12-12T00:00:00"/>
    <d v="2025-12-11T17:34:00"/>
    <n v="37671008245"/>
    <d v="2025-12-04T00:00:00"/>
    <s v="PO89498"/>
    <s v="2% 01/10/26"/>
    <n v="206576"/>
    <d v="2025-12-04T00:00:00"/>
    <d v="2025-12-12T00:00:00"/>
    <n v="1.5488"/>
    <x v="0"/>
  </r>
  <r>
    <x v="78"/>
    <n v="1008251"/>
    <n v="36.86"/>
    <n v="0.74"/>
    <n v="36.119999999999997"/>
    <n v="0.37"/>
    <n v="35.75"/>
    <d v="2025-12-12T00:00:00"/>
    <n v="1008251"/>
    <n v="3767"/>
    <n v="0.74"/>
    <n v="36.86"/>
    <d v="2025-12-04T00:00:00"/>
    <n v="36.119999999999997"/>
    <n v="0.74"/>
    <s v="NULL"/>
    <s v="PRO"/>
    <n v="0.37"/>
    <n v="35.75"/>
    <s v="PAID"/>
    <n v="2"/>
    <n v="3023767720186"/>
    <d v="2025-12-12T00:00:00"/>
    <d v="2025-12-04T00:00:00"/>
    <m/>
    <d v="2025-12-12T00:00:00"/>
    <d v="2025-12-11T17:34:00"/>
    <n v="37671008251"/>
    <d v="2025-12-04T00:00:00"/>
    <s v="PO89782"/>
    <s v="2% 01/10/26"/>
    <n v="206577"/>
    <d v="2025-12-04T00:00:00"/>
    <d v="2025-12-12T00:00:00"/>
    <n v="0.73719999999999997"/>
    <x v="0"/>
  </r>
  <r>
    <x v="79"/>
    <n v="993809"/>
    <n v="2569.35"/>
    <m/>
    <n v="2569.35"/>
    <m/>
    <n v="2569.35"/>
    <d v="2025-12-12T00:00:00"/>
    <n v="993809"/>
    <n v="3774"/>
    <n v="0"/>
    <n v="2569.35"/>
    <d v="2025-09-30T00:00:00"/>
    <n v="2569.35"/>
    <n v="0"/>
    <s v="NULL"/>
    <s v="PRO"/>
    <n v="0"/>
    <n v="2569.35"/>
    <s v="PAID"/>
    <n v="2"/>
    <n v="2303035331525"/>
    <d v="2025-12-12T00:00:00"/>
    <d v="2025-09-30T00:00:00"/>
    <m/>
    <d v="2025-12-12T00:00:00"/>
    <d v="2025-12-10T17:11:00"/>
    <n v="3774993809"/>
    <d v="2025-09-30T00:00:00"/>
    <n v="38690"/>
    <s v="2% 11/10/25"/>
    <n v="194859"/>
    <d v="2025-09-30T00:00:00"/>
    <d v="2025-12-12T00:00:00"/>
    <n v="51.387"/>
    <x v="1"/>
  </r>
  <r>
    <x v="79"/>
    <n v="994655"/>
    <n v="350"/>
    <m/>
    <n v="350"/>
    <m/>
    <n v="350"/>
    <d v="2025-12-12T00:00:00"/>
    <n v="994655"/>
    <n v="3774"/>
    <n v="0"/>
    <n v="350"/>
    <d v="2025-10-03T00:00:00"/>
    <n v="350"/>
    <n v="0"/>
    <s v="NULL"/>
    <s v="PRO"/>
    <n v="0"/>
    <n v="350"/>
    <s v="PAID"/>
    <n v="2"/>
    <n v="2303035331525"/>
    <d v="2025-12-12T00:00:00"/>
    <d v="2025-10-03T00:00:00"/>
    <m/>
    <d v="2025-12-12T00:00:00"/>
    <d v="2025-12-10T17:11:00"/>
    <n v="3774994655"/>
    <d v="2025-10-03T00:00:00"/>
    <s v="NULL"/>
    <s v="NET DUE 10TH"/>
    <s v="NULL"/>
    <d v="2025-10-03T00:00:00"/>
    <d v="2025-12-12T00:00:00"/>
    <m/>
    <x v="0"/>
  </r>
  <r>
    <x v="79"/>
    <n v="994797"/>
    <n v="3930.26"/>
    <m/>
    <n v="3930.26"/>
    <m/>
    <n v="3930.26"/>
    <d v="2025-12-12T00:00:00"/>
    <n v="994797"/>
    <n v="3774"/>
    <n v="0"/>
    <n v="3930.26"/>
    <d v="2025-10-03T00:00:00"/>
    <n v="3930.26"/>
    <n v="0"/>
    <s v="NULL"/>
    <s v="PRO"/>
    <n v="0"/>
    <n v="3930.26"/>
    <s v="PAID"/>
    <n v="2"/>
    <n v="2303035331525"/>
    <d v="2025-12-12T00:00:00"/>
    <d v="2025-10-03T00:00:00"/>
    <m/>
    <d v="2025-12-12T00:00:00"/>
    <d v="2025-12-10T17:11:00"/>
    <n v="3774994797"/>
    <d v="2025-10-03T00:00:00"/>
    <n v="38760"/>
    <s v="2% 11/10/25"/>
    <n v="195788"/>
    <d v="2025-10-03T00:00:00"/>
    <d v="2025-12-12T00:00:00"/>
    <n v="78.605200000000011"/>
    <x v="1"/>
  </r>
  <r>
    <x v="79"/>
    <n v="994798"/>
    <n v="295.01"/>
    <m/>
    <n v="295.01"/>
    <m/>
    <n v="295.01"/>
    <d v="2025-12-12T00:00:00"/>
    <n v="994798"/>
    <n v="3774"/>
    <n v="0"/>
    <n v="295.01"/>
    <d v="2025-10-03T00:00:00"/>
    <n v="295.01"/>
    <n v="0"/>
    <s v="NULL"/>
    <s v="PRO"/>
    <n v="0"/>
    <n v="295.01"/>
    <s v="PAID"/>
    <n v="2"/>
    <n v="2303035331525"/>
    <d v="2025-12-12T00:00:00"/>
    <d v="2025-10-03T00:00:00"/>
    <m/>
    <d v="2025-12-12T00:00:00"/>
    <d v="2025-12-10T17:11:00"/>
    <n v="3774994798"/>
    <d v="2025-10-03T00:00:00"/>
    <n v="38760"/>
    <s v="2% 11/10/25"/>
    <n v="195783"/>
    <d v="2025-10-03T00:00:00"/>
    <d v="2025-12-12T00:00:00"/>
    <n v="5.9001999999999999"/>
    <x v="1"/>
  </r>
  <r>
    <x v="79"/>
    <n v="994799"/>
    <n v="235.2"/>
    <m/>
    <n v="235.2"/>
    <m/>
    <n v="235.2"/>
    <d v="2025-12-12T00:00:00"/>
    <n v="994799"/>
    <n v="3774"/>
    <n v="0"/>
    <n v="235.2"/>
    <d v="2025-10-03T00:00:00"/>
    <n v="235.2"/>
    <n v="0"/>
    <s v="NULL"/>
    <s v="PRO"/>
    <n v="0"/>
    <n v="235.2"/>
    <s v="PAID"/>
    <n v="2"/>
    <n v="2303035331525"/>
    <d v="2025-12-12T00:00:00"/>
    <d v="2025-10-03T00:00:00"/>
    <m/>
    <d v="2025-12-12T00:00:00"/>
    <d v="2025-12-10T17:11:00"/>
    <n v="3774994799"/>
    <d v="2025-10-03T00:00:00"/>
    <n v="38760"/>
    <s v="NET 11/10/25"/>
    <n v="195789"/>
    <d v="2025-10-03T00:00:00"/>
    <d v="2025-12-12T00:00:00"/>
    <m/>
    <x v="0"/>
  </r>
  <r>
    <x v="79"/>
    <n v="995005"/>
    <n v="638.52"/>
    <m/>
    <n v="638.52"/>
    <m/>
    <n v="638.52"/>
    <d v="2025-12-12T00:00:00"/>
    <n v="995005"/>
    <n v="3774"/>
    <n v="0"/>
    <n v="638.52"/>
    <d v="2025-10-03T00:00:00"/>
    <n v="638.52"/>
    <n v="0"/>
    <n v="398889"/>
    <s v="PROMARK"/>
    <n v="0"/>
    <n v="638.52"/>
    <s v="PAID"/>
    <n v="2"/>
    <n v="2303035331525"/>
    <d v="2025-12-12T00:00:00"/>
    <d v="2025-10-03T00:00:00"/>
    <m/>
    <d v="2025-12-12T00:00:00"/>
    <d v="2025-12-10T17:11:00"/>
    <n v="3774995005"/>
    <d v="2025-10-03T00:00:00"/>
    <n v="38739"/>
    <s v="2% 11/10/25"/>
    <n v="398889"/>
    <d v="2025-10-03T00:00:00"/>
    <d v="2025-12-12T00:00:00"/>
    <n v="12.7704"/>
    <x v="1"/>
  </r>
  <r>
    <x v="79"/>
    <n v="995375"/>
    <n v="1024.8"/>
    <m/>
    <n v="1024.8"/>
    <m/>
    <n v="1024.8"/>
    <d v="2025-12-12T00:00:00"/>
    <n v="995375"/>
    <n v="3774"/>
    <n v="0"/>
    <n v="1024.8"/>
    <d v="2025-10-07T00:00:00"/>
    <n v="1024.8"/>
    <n v="0"/>
    <s v="NULL"/>
    <s v="PRO"/>
    <n v="0"/>
    <n v="1024.8"/>
    <s v="PAID"/>
    <n v="2"/>
    <n v="2303035331525"/>
    <d v="2025-12-12T00:00:00"/>
    <d v="2025-10-07T00:00:00"/>
    <m/>
    <d v="2025-12-12T00:00:00"/>
    <d v="2025-12-10T17:11:00"/>
    <n v="3774995375"/>
    <d v="2025-10-07T00:00:00"/>
    <n v="38690"/>
    <s v="NET 11/10/25"/>
    <n v="196161"/>
    <d v="2025-10-07T00:00:00"/>
    <d v="2025-12-12T00:00:00"/>
    <m/>
    <x v="0"/>
  </r>
  <r>
    <x v="79"/>
    <n v="995386"/>
    <n v="475.2"/>
    <m/>
    <n v="475.2"/>
    <m/>
    <n v="475.2"/>
    <d v="2025-12-12T00:00:00"/>
    <n v="995386"/>
    <n v="3774"/>
    <n v="0"/>
    <n v="475.2"/>
    <d v="2025-10-07T00:00:00"/>
    <n v="475.2"/>
    <n v="0"/>
    <s v="NULL"/>
    <s v="PRO"/>
    <n v="0"/>
    <n v="475.2"/>
    <s v="PAID"/>
    <n v="2"/>
    <n v="2303035331525"/>
    <d v="2025-12-12T00:00:00"/>
    <d v="2025-10-07T00:00:00"/>
    <m/>
    <d v="2025-12-12T00:00:00"/>
    <d v="2025-12-10T17:11:00"/>
    <n v="3774995386"/>
    <d v="2025-10-07T00:00:00"/>
    <n v="38588"/>
    <s v="2% 11/10/25"/>
    <n v="196122"/>
    <d v="2025-10-07T00:00:00"/>
    <d v="2025-12-12T00:00:00"/>
    <n v="9.5039999999999996"/>
    <x v="1"/>
  </r>
  <r>
    <x v="79"/>
    <n v="995554"/>
    <n v="6990"/>
    <m/>
    <n v="6990"/>
    <m/>
    <n v="6990"/>
    <d v="2025-12-12T00:00:00"/>
    <n v="995554"/>
    <n v="3774"/>
    <n v="0"/>
    <n v="6990"/>
    <d v="2025-10-06T00:00:00"/>
    <n v="6990"/>
    <n v="0"/>
    <s v="INV124026"/>
    <s v="DELKIN"/>
    <n v="0"/>
    <n v="6990"/>
    <s v="PAID"/>
    <n v="2"/>
    <n v="2303035331525"/>
    <d v="2025-12-12T00:00:00"/>
    <d v="2025-10-07T00:00:00"/>
    <m/>
    <d v="2025-12-12T00:00:00"/>
    <d v="2025-12-10T17:11:00"/>
    <n v="3774995554"/>
    <d v="2025-10-06T00:00:00"/>
    <s v="38656 P"/>
    <s v="NET 11/10/25"/>
    <s v="INV124026"/>
    <d v="2025-10-07T00:00:00"/>
    <d v="2025-12-12T00:00:00"/>
    <m/>
    <x v="0"/>
  </r>
  <r>
    <x v="79"/>
    <n v="995941"/>
    <n v="461.73"/>
    <m/>
    <n v="461.73"/>
    <m/>
    <n v="461.73"/>
    <d v="2025-12-12T00:00:00"/>
    <n v="995941"/>
    <n v="3774"/>
    <n v="0"/>
    <n v="461.73"/>
    <d v="2025-10-09T00:00:00"/>
    <n v="461.73"/>
    <n v="0"/>
    <s v="NULL"/>
    <s v="PRO"/>
    <n v="0"/>
    <n v="461.73"/>
    <s v="PAID"/>
    <n v="2"/>
    <n v="2303035331525"/>
    <d v="2025-12-12T00:00:00"/>
    <d v="2025-10-09T00:00:00"/>
    <m/>
    <d v="2025-12-12T00:00:00"/>
    <d v="2025-12-10T17:11:00"/>
    <n v="3774995941"/>
    <d v="2025-10-09T00:00:00"/>
    <n v="38783"/>
    <s v="NET 11/10/25"/>
    <n v="196476"/>
    <d v="2025-10-09T00:00:00"/>
    <d v="2025-12-12T00:00:00"/>
    <m/>
    <x v="0"/>
  </r>
  <r>
    <x v="79"/>
    <n v="995947"/>
    <n v="1607.39"/>
    <m/>
    <n v="1607.39"/>
    <m/>
    <n v="1607.39"/>
    <d v="2025-12-12T00:00:00"/>
    <n v="995947"/>
    <n v="3774"/>
    <n v="0"/>
    <n v="1607.39"/>
    <d v="2025-10-09T00:00:00"/>
    <n v="1607.39"/>
    <n v="0"/>
    <s v="NULL"/>
    <s v="PRO"/>
    <n v="0"/>
    <n v="1607.39"/>
    <s v="PAID"/>
    <n v="2"/>
    <n v="2303035331525"/>
    <d v="2025-12-12T00:00:00"/>
    <d v="2025-10-09T00:00:00"/>
    <m/>
    <d v="2025-12-12T00:00:00"/>
    <d v="2025-12-10T17:11:00"/>
    <n v="3774995947"/>
    <d v="2025-10-09T00:00:00"/>
    <n v="38783"/>
    <s v="2% 11/10/25"/>
    <n v="196475"/>
    <d v="2025-10-09T00:00:00"/>
    <d v="2025-12-12T00:00:00"/>
    <n v="32.147800000000004"/>
    <x v="1"/>
  </r>
  <r>
    <x v="79"/>
    <n v="996951"/>
    <n v="905.9"/>
    <m/>
    <n v="905.9"/>
    <m/>
    <n v="905.9"/>
    <d v="2025-12-12T00:00:00"/>
    <n v="996951"/>
    <n v="3774"/>
    <n v="0"/>
    <n v="905.9"/>
    <d v="2025-10-14T00:00:00"/>
    <n v="905.9"/>
    <n v="0"/>
    <s v="NULL"/>
    <s v="PRO"/>
    <n v="0"/>
    <n v="905.9"/>
    <s v="PAID"/>
    <n v="2"/>
    <n v="2303035331525"/>
    <d v="2025-12-12T00:00:00"/>
    <d v="2025-10-14T00:00:00"/>
    <m/>
    <d v="2025-12-12T00:00:00"/>
    <d v="2025-12-10T17:11:00"/>
    <n v="3774996951"/>
    <d v="2025-10-14T00:00:00"/>
    <n v="38783"/>
    <s v="NET 11/10/25"/>
    <n v="197373"/>
    <d v="2025-10-14T00:00:00"/>
    <d v="2025-12-12T00:00:00"/>
    <m/>
    <x v="0"/>
  </r>
  <r>
    <x v="79"/>
    <n v="996952"/>
    <n v="1962.81"/>
    <m/>
    <n v="1962.81"/>
    <m/>
    <n v="1962.81"/>
    <d v="2025-12-12T00:00:00"/>
    <n v="996952"/>
    <n v="3774"/>
    <n v="0"/>
    <n v="1962.81"/>
    <d v="2025-10-14T00:00:00"/>
    <n v="1962.81"/>
    <n v="0"/>
    <s v="NULL"/>
    <s v="PRO"/>
    <n v="0"/>
    <n v="1962.81"/>
    <s v="PAID"/>
    <n v="2"/>
    <n v="2303035331525"/>
    <d v="2025-12-12T00:00:00"/>
    <d v="2025-10-14T00:00:00"/>
    <m/>
    <d v="2025-12-12T00:00:00"/>
    <d v="2025-12-10T17:11:00"/>
    <n v="3774996952"/>
    <d v="2025-10-14T00:00:00"/>
    <n v="38723"/>
    <s v="NET 11/10/25"/>
    <n v="197372"/>
    <d v="2025-10-14T00:00:00"/>
    <d v="2025-12-12T00:00:00"/>
    <m/>
    <x v="0"/>
  </r>
  <r>
    <x v="79"/>
    <n v="997269"/>
    <n v="900"/>
    <m/>
    <n v="900"/>
    <m/>
    <n v="900"/>
    <d v="2025-12-12T00:00:00"/>
    <n v="997269"/>
    <n v="3774"/>
    <n v="0"/>
    <n v="900"/>
    <d v="2025-10-13T00:00:00"/>
    <n v="900"/>
    <n v="0"/>
    <s v="INV124142"/>
    <s v="DELKIN"/>
    <n v="0"/>
    <n v="900"/>
    <s v="PAID"/>
    <n v="2"/>
    <n v="2303035331525"/>
    <d v="2025-12-12T00:00:00"/>
    <d v="2025-10-14T00:00:00"/>
    <m/>
    <d v="2025-12-12T00:00:00"/>
    <d v="2025-12-10T17:11:00"/>
    <n v="3774997269"/>
    <d v="2025-10-13T00:00:00"/>
    <s v="38656 P"/>
    <s v="NET 11/10/25"/>
    <s v="INV124142"/>
    <d v="2025-10-14T00:00:00"/>
    <d v="2025-12-12T00:00:00"/>
    <m/>
    <x v="0"/>
  </r>
  <r>
    <x v="79"/>
    <n v="997281"/>
    <n v="1183.3800000000001"/>
    <m/>
    <n v="1183.3800000000001"/>
    <m/>
    <n v="1183.3800000000001"/>
    <d v="2025-12-12T00:00:00"/>
    <n v="997281"/>
    <n v="3774"/>
    <n v="0"/>
    <n v="1183.3800000000001"/>
    <d v="2025-10-15T00:00:00"/>
    <n v="1183.3800000000001"/>
    <n v="0"/>
    <s v="NULL"/>
    <s v="PRO"/>
    <n v="0"/>
    <n v="1183.3800000000001"/>
    <s v="PAID"/>
    <n v="2"/>
    <n v="2303035331525"/>
    <d v="2025-12-12T00:00:00"/>
    <d v="2025-10-15T00:00:00"/>
    <m/>
    <d v="2025-12-12T00:00:00"/>
    <d v="2025-12-10T17:11:00"/>
    <n v="3774997281"/>
    <d v="2025-10-15T00:00:00"/>
    <s v="NULL"/>
    <s v="NET 11/10/25"/>
    <n v="175891"/>
    <d v="2025-10-15T00:00:00"/>
    <d v="2025-12-12T00:00:00"/>
    <m/>
    <x v="0"/>
  </r>
  <r>
    <x v="79"/>
    <n v="997282"/>
    <n v="-65.88"/>
    <m/>
    <n v="-65.88"/>
    <m/>
    <n v="-65.88"/>
    <d v="2025-12-12T00:00:00"/>
    <n v="997282"/>
    <n v="3774"/>
    <n v="0"/>
    <n v="-65.88"/>
    <d v="2025-10-15T00:00:00"/>
    <n v="-65.88"/>
    <n v="0"/>
    <n v="997282"/>
    <s v="PRO"/>
    <n v="0"/>
    <n v="-65.88"/>
    <s v="PAID"/>
    <n v="2"/>
    <n v="2303035331525"/>
    <d v="2025-12-12T00:00:00"/>
    <d v="2025-10-15T00:00:00"/>
    <m/>
    <d v="2025-12-12T00:00:00"/>
    <d v="2025-12-10T17:11:00"/>
    <n v="3774997282"/>
    <d v="2025-10-15T00:00:00"/>
    <s v="NULL"/>
    <s v="NET 11/10/25"/>
    <n v="175891"/>
    <d v="2025-10-15T00:00:00"/>
    <d v="2025-12-12T00:00:00"/>
    <m/>
    <x v="0"/>
  </r>
  <r>
    <x v="79"/>
    <n v="999018"/>
    <n v="152.21"/>
    <m/>
    <n v="152.21"/>
    <m/>
    <n v="152.21"/>
    <d v="2025-12-12T00:00:00"/>
    <n v="999018"/>
    <n v="3774"/>
    <n v="0"/>
    <n v="152.21"/>
    <d v="2025-10-21T00:00:00"/>
    <n v="152.21"/>
    <n v="0"/>
    <s v="NULL"/>
    <s v="PRO"/>
    <n v="0"/>
    <n v="152.21"/>
    <s v="PAID"/>
    <n v="2"/>
    <n v="2303035331525"/>
    <d v="2025-12-12T00:00:00"/>
    <d v="2025-10-21T00:00:00"/>
    <m/>
    <d v="2025-12-12T00:00:00"/>
    <d v="2025-12-10T17:11:00"/>
    <n v="3774999018"/>
    <d v="2025-10-21T00:00:00"/>
    <n v="38693"/>
    <s v="2% 11/10/25"/>
    <n v="199043"/>
    <d v="2025-10-21T00:00:00"/>
    <d v="2025-12-12T00:00:00"/>
    <n v="3.0442"/>
    <x v="1"/>
  </r>
  <r>
    <x v="79"/>
    <n v="999642"/>
    <n v="1010.27"/>
    <n v="20.21"/>
    <n v="990.06"/>
    <m/>
    <n v="990.06"/>
    <d v="2025-12-12T00:00:00"/>
    <n v="999642"/>
    <n v="3774"/>
    <n v="20.21"/>
    <n v="1010.27"/>
    <d v="2025-10-23T00:00:00"/>
    <n v="990.06"/>
    <n v="20.21"/>
    <s v="NULL"/>
    <s v="PRO"/>
    <n v="0"/>
    <n v="990.06"/>
    <s v="PAID"/>
    <n v="2"/>
    <n v="2303035331525"/>
    <d v="2025-12-12T00:00:00"/>
    <d v="2025-10-23T00:00:00"/>
    <m/>
    <d v="2025-12-12T00:00:00"/>
    <d v="2025-12-10T17:11:00"/>
    <n v="3774999642"/>
    <d v="2025-10-23T00:00:00"/>
    <n v="38723"/>
    <s v="2% 12/10/25"/>
    <n v="199574"/>
    <d v="2025-10-23T00:00:00"/>
    <d v="2025-12-12T00:00:00"/>
    <n v="20.205400000000001"/>
    <x v="0"/>
  </r>
  <r>
    <x v="79"/>
    <n v="999946"/>
    <n v="887.04"/>
    <m/>
    <n v="887.04"/>
    <m/>
    <n v="887.04"/>
    <d v="2025-12-12T00:00:00"/>
    <n v="999946"/>
    <n v="3774"/>
    <n v="0"/>
    <n v="887.04"/>
    <d v="2025-10-23T00:00:00"/>
    <n v="887.04"/>
    <n v="0"/>
    <s v="NULL"/>
    <s v="PRO"/>
    <n v="0"/>
    <n v="887.04"/>
    <s v="PAID"/>
    <n v="2"/>
    <n v="2303035331525"/>
    <d v="2025-12-12T00:00:00"/>
    <d v="2025-10-23T00:00:00"/>
    <m/>
    <d v="2025-12-12T00:00:00"/>
    <d v="2025-12-10T17:11:00"/>
    <n v="3774999946"/>
    <d v="2025-10-23T00:00:00"/>
    <n v="38588"/>
    <s v="NET 12/10/25"/>
    <n v="199589"/>
    <d v="2025-10-23T00:00:00"/>
    <d v="2025-12-12T00:00:00"/>
    <m/>
    <x v="0"/>
  </r>
  <r>
    <x v="79"/>
    <n v="999972"/>
    <n v="2139.73"/>
    <n v="42.79"/>
    <n v="2096.94"/>
    <m/>
    <n v="2096.94"/>
    <d v="2025-12-12T00:00:00"/>
    <n v="999972"/>
    <n v="3774"/>
    <n v="42.79"/>
    <n v="2139.73"/>
    <d v="2025-10-23T00:00:00"/>
    <n v="2096.94"/>
    <n v="42.79"/>
    <s v="NULL"/>
    <s v="PRO"/>
    <n v="0"/>
    <n v="2096.94"/>
    <s v="PAID"/>
    <n v="2"/>
    <n v="2303035331525"/>
    <d v="2025-12-12T00:00:00"/>
    <d v="2025-10-23T00:00:00"/>
    <m/>
    <d v="2025-12-12T00:00:00"/>
    <d v="2025-12-10T17:11:00"/>
    <n v="3774999972"/>
    <d v="2025-10-23T00:00:00"/>
    <n v="38834"/>
    <s v="2% 12/10/25"/>
    <n v="199552"/>
    <d v="2025-10-23T00:00:00"/>
    <d v="2025-12-12T00:00:00"/>
    <n v="42.794600000000003"/>
    <x v="0"/>
  </r>
  <r>
    <x v="79"/>
    <n v="999975"/>
    <n v="32.380000000000003"/>
    <n v="0.65"/>
    <n v="31.73"/>
    <m/>
    <n v="31.73"/>
    <d v="2025-12-12T00:00:00"/>
    <n v="999975"/>
    <n v="3774"/>
    <n v="0.65"/>
    <n v="32.380000000000003"/>
    <d v="2025-10-23T00:00:00"/>
    <n v="31.73"/>
    <n v="0.65"/>
    <s v="NULL"/>
    <s v="PRO"/>
    <n v="0"/>
    <n v="31.73"/>
    <s v="PAID"/>
    <n v="2"/>
    <n v="2303035331525"/>
    <d v="2025-12-12T00:00:00"/>
    <d v="2025-10-23T00:00:00"/>
    <m/>
    <d v="2025-12-12T00:00:00"/>
    <d v="2025-12-10T17:11:00"/>
    <n v="3774999975"/>
    <d v="2025-10-23T00:00:00"/>
    <n v="38834"/>
    <s v="2% 12/10/25"/>
    <n v="199550"/>
    <d v="2025-10-23T00:00:00"/>
    <d v="2025-12-12T00:00:00"/>
    <n v="0.64760000000000006"/>
    <x v="0"/>
  </r>
  <r>
    <x v="79"/>
    <n v="1001268"/>
    <n v="179.51"/>
    <m/>
    <n v="179.51"/>
    <m/>
    <n v="179.51"/>
    <d v="2025-12-12T00:00:00"/>
    <n v="1001268"/>
    <n v="3774"/>
    <n v="0"/>
    <n v="179.51"/>
    <d v="2025-10-30T00:00:00"/>
    <n v="179.51"/>
    <n v="0"/>
    <s v="NULL"/>
    <s v="PRO"/>
    <n v="0"/>
    <n v="179.51"/>
    <s v="PAID"/>
    <n v="2"/>
    <n v="2303035331525"/>
    <d v="2025-12-12T00:00:00"/>
    <d v="2025-10-30T00:00:00"/>
    <m/>
    <d v="2025-12-12T00:00:00"/>
    <d v="2025-12-10T17:11:00"/>
    <n v="37741001268"/>
    <d v="2025-10-30T00:00:00"/>
    <n v="38854"/>
    <s v="NET 12/10/25"/>
    <n v="200774"/>
    <d v="2025-10-30T00:00:00"/>
    <d v="2025-12-12T00:00:00"/>
    <m/>
    <x v="0"/>
  </r>
  <r>
    <x v="79"/>
    <n v="1001274"/>
    <n v="1194.68"/>
    <n v="23.89"/>
    <n v="1170.79"/>
    <m/>
    <n v="1170.79"/>
    <d v="2025-12-12T00:00:00"/>
    <n v="1001274"/>
    <n v="3774"/>
    <n v="23.89"/>
    <n v="1194.68"/>
    <d v="2025-10-30T00:00:00"/>
    <n v="1170.79"/>
    <n v="23.89"/>
    <s v="NULL"/>
    <s v="PRO"/>
    <n v="0"/>
    <n v="1170.79"/>
    <s v="PAID"/>
    <n v="2"/>
    <n v="2303035331525"/>
    <d v="2025-12-12T00:00:00"/>
    <d v="2025-10-30T00:00:00"/>
    <m/>
    <d v="2025-12-12T00:00:00"/>
    <d v="2025-12-10T17:11:00"/>
    <n v="37741001274"/>
    <d v="2025-10-30T00:00:00"/>
    <n v="38854"/>
    <s v="2% 12/10/25"/>
    <n v="200773"/>
    <d v="2025-10-30T00:00:00"/>
    <d v="2025-12-12T00:00:00"/>
    <n v="23.893600000000003"/>
    <x v="0"/>
  </r>
  <r>
    <x v="79"/>
    <n v="1001849"/>
    <n v="350"/>
    <m/>
    <n v="350"/>
    <m/>
    <n v="350"/>
    <d v="2025-12-12T00:00:00"/>
    <n v="1001849"/>
    <n v="3774"/>
    <n v="0"/>
    <n v="350"/>
    <d v="2025-11-03T00:00:00"/>
    <n v="350"/>
    <n v="0"/>
    <s v="NULL"/>
    <s v="PRO"/>
    <n v="0"/>
    <n v="350"/>
    <s v="PAID"/>
    <n v="2"/>
    <n v="2303035331525"/>
    <d v="2025-12-12T00:00:00"/>
    <d v="2025-11-03T00:00:00"/>
    <m/>
    <d v="2025-12-12T00:00:00"/>
    <d v="2025-12-10T17:11:00"/>
    <n v="37741001849"/>
    <d v="2025-11-03T00:00:00"/>
    <s v="NULL"/>
    <s v="NET DUE 10TH"/>
    <s v="NULL"/>
    <d v="2025-11-03T00:00:00"/>
    <d v="2025-12-12T00:00:00"/>
    <m/>
    <x v="0"/>
  </r>
  <r>
    <x v="79"/>
    <n v="1002137"/>
    <n v="152.21"/>
    <n v="3.04"/>
    <n v="149.16999999999999"/>
    <m/>
    <n v="149.16999999999999"/>
    <d v="2025-12-12T00:00:00"/>
    <n v="1002137"/>
    <n v="3774"/>
    <n v="3.04"/>
    <n v="152.21"/>
    <d v="2025-11-04T00:00:00"/>
    <n v="149.16999999999999"/>
    <n v="3.04"/>
    <s v="NULL"/>
    <s v="PRO"/>
    <n v="0"/>
    <n v="149.16999999999999"/>
    <s v="PAID"/>
    <n v="2"/>
    <n v="2303035331525"/>
    <d v="2025-12-12T00:00:00"/>
    <d v="2025-11-04T00:00:00"/>
    <m/>
    <d v="2025-12-12T00:00:00"/>
    <d v="2025-12-10T17:11:00"/>
    <n v="37741002137"/>
    <d v="2025-11-04T00:00:00"/>
    <n v="38693"/>
    <s v="2% 12/10/25"/>
    <n v="201512"/>
    <d v="2025-11-04T00:00:00"/>
    <d v="2025-12-12T00:00:00"/>
    <n v="3.0442"/>
    <x v="0"/>
  </r>
  <r>
    <x v="79"/>
    <n v="1002201"/>
    <n v="364.3"/>
    <n v="7.29"/>
    <n v="357.01"/>
    <m/>
    <n v="357.01"/>
    <d v="2025-12-12T00:00:00"/>
    <n v="1002201"/>
    <n v="3774"/>
    <n v="7.29"/>
    <n v="364.3"/>
    <d v="2025-11-04T00:00:00"/>
    <n v="357.01"/>
    <n v="7.29"/>
    <s v="NULL"/>
    <s v="PRO"/>
    <n v="0"/>
    <n v="357.01"/>
    <s v="PAID"/>
    <n v="2"/>
    <n v="2303035331525"/>
    <d v="2025-12-12T00:00:00"/>
    <d v="2025-11-04T00:00:00"/>
    <m/>
    <d v="2025-12-12T00:00:00"/>
    <d v="2025-12-10T17:11:00"/>
    <n v="37741002201"/>
    <d v="2025-11-04T00:00:00"/>
    <n v="38588"/>
    <s v="2% 12/10/25"/>
    <n v="201496"/>
    <d v="2025-11-04T00:00:00"/>
    <d v="2025-12-12T00:00:00"/>
    <n v="7.2860000000000005"/>
    <x v="0"/>
  </r>
  <r>
    <x v="79"/>
    <n v="1002577"/>
    <n v="262.83999999999997"/>
    <n v="5.26"/>
    <n v="257.58"/>
    <m/>
    <n v="257.58"/>
    <d v="2025-12-12T00:00:00"/>
    <n v="1002577"/>
    <n v="3774"/>
    <n v="5.26"/>
    <n v="262.83999999999997"/>
    <d v="2025-11-06T00:00:00"/>
    <n v="257.58"/>
    <n v="5.26"/>
    <s v="NULL"/>
    <s v="PRO"/>
    <n v="0"/>
    <n v="257.58"/>
    <s v="PAID"/>
    <n v="2"/>
    <n v="2303035331525"/>
    <d v="2025-12-12T00:00:00"/>
    <d v="2025-11-06T00:00:00"/>
    <m/>
    <d v="2025-12-12T00:00:00"/>
    <d v="2025-12-10T17:11:00"/>
    <n v="37741002577"/>
    <d v="2025-11-06T00:00:00"/>
    <n v="38883"/>
    <s v="2% 12/10/25"/>
    <n v="201846"/>
    <d v="2025-11-06T00:00:00"/>
    <d v="2025-12-12T00:00:00"/>
    <n v="5.2567999999999993"/>
    <x v="0"/>
  </r>
  <r>
    <x v="79"/>
    <n v="1002580"/>
    <n v="1498.56"/>
    <m/>
    <n v="1498.56"/>
    <m/>
    <n v="1498.56"/>
    <d v="2025-12-12T00:00:00"/>
    <n v="1002580"/>
    <n v="3774"/>
    <n v="0"/>
    <n v="1498.56"/>
    <d v="2025-11-06T00:00:00"/>
    <n v="1498.56"/>
    <n v="0"/>
    <s v="NULL"/>
    <s v="PRO"/>
    <n v="0"/>
    <n v="1498.56"/>
    <s v="PAID"/>
    <n v="2"/>
    <n v="2303035331525"/>
    <d v="2025-12-12T00:00:00"/>
    <d v="2025-11-06T00:00:00"/>
    <m/>
    <d v="2025-12-12T00:00:00"/>
    <d v="2025-12-10T17:11:00"/>
    <n v="37741002580"/>
    <d v="2025-11-06T00:00:00"/>
    <n v="38883"/>
    <s v="NET 12/10/25"/>
    <n v="201847"/>
    <d v="2025-11-06T00:00:00"/>
    <d v="2025-12-12T00:00:00"/>
    <m/>
    <x v="0"/>
  </r>
  <r>
    <x v="79"/>
    <n v="1003323"/>
    <n v="897.54"/>
    <m/>
    <n v="897.54"/>
    <m/>
    <n v="897.54"/>
    <d v="2025-12-12T00:00:00"/>
    <n v="1003323"/>
    <n v="3774"/>
    <n v="0"/>
    <n v="897.54"/>
    <d v="2025-11-11T00:00:00"/>
    <n v="897.54"/>
    <n v="0"/>
    <s v="NULL"/>
    <s v="PRO"/>
    <n v="0"/>
    <n v="897.54"/>
    <s v="PAID"/>
    <n v="2"/>
    <n v="2303035331525"/>
    <d v="2025-12-12T00:00:00"/>
    <d v="2025-11-11T00:00:00"/>
    <m/>
    <d v="2025-12-12T00:00:00"/>
    <d v="2025-12-10T17:11:00"/>
    <n v="37741003323"/>
    <d v="2025-11-11T00:00:00"/>
    <n v="38854"/>
    <s v="NET 12/10/25"/>
    <n v="202455"/>
    <d v="2025-11-11T00:00:00"/>
    <d v="2025-12-12T00:00:00"/>
    <m/>
    <x v="0"/>
  </r>
  <r>
    <x v="79"/>
    <n v="1005360"/>
    <n v="246.94"/>
    <n v="4.9400000000000004"/>
    <n v="242"/>
    <m/>
    <n v="242"/>
    <d v="2025-12-12T00:00:00"/>
    <n v="1005360"/>
    <n v="3774"/>
    <n v="4.9400000000000004"/>
    <n v="246.94"/>
    <d v="2025-11-20T00:00:00"/>
    <n v="242"/>
    <n v="4.9400000000000004"/>
    <s v="NULL"/>
    <s v="PRO"/>
    <n v="0"/>
    <n v="242"/>
    <s v="PAID"/>
    <n v="2"/>
    <n v="2303035331525"/>
    <d v="2025-12-12T00:00:00"/>
    <d v="2025-11-20T00:00:00"/>
    <m/>
    <d v="2025-12-12T00:00:00"/>
    <d v="2025-12-10T17:11:00"/>
    <n v="37741005360"/>
    <d v="2025-11-20T00:00:00"/>
    <n v="38690"/>
    <s v="2% 12/10/25"/>
    <n v="204184"/>
    <d v="2025-11-20T00:00:00"/>
    <d v="2025-12-12T00:00:00"/>
    <n v="4.9387999999999996"/>
    <x v="0"/>
  </r>
  <r>
    <x v="79"/>
    <n v="1007549"/>
    <n v="350"/>
    <m/>
    <n v="350"/>
    <n v="3.5"/>
    <n v="346.5"/>
    <d v="2025-12-12T00:00:00"/>
    <n v="1007549"/>
    <n v="3774"/>
    <n v="0"/>
    <n v="350"/>
    <d v="2025-12-02T00:00:00"/>
    <n v="350"/>
    <n v="0"/>
    <s v="NULL"/>
    <s v="PRO"/>
    <n v="3.5"/>
    <n v="346.5"/>
    <s v="PAID"/>
    <n v="2"/>
    <n v="2303035331525"/>
    <d v="2025-12-12T00:00:00"/>
    <d v="2025-12-02T00:00:00"/>
    <m/>
    <d v="2025-12-12T00:00:00"/>
    <d v="2025-12-10T17:11:00"/>
    <n v="37741007549"/>
    <d v="2025-12-02T00:00:00"/>
    <s v="NULL"/>
    <s v="NET DUE 10TH"/>
    <s v="NULL"/>
    <d v="2025-12-02T00:00:00"/>
    <d v="2025-12-12T00:00:00"/>
    <m/>
    <x v="0"/>
  </r>
  <r>
    <x v="79"/>
    <n v="1007770"/>
    <n v="1906.49"/>
    <m/>
    <n v="1906.49"/>
    <n v="19.059999999999999"/>
    <n v="1887.43"/>
    <d v="2025-12-12T00:00:00"/>
    <n v="1007770"/>
    <n v="3774"/>
    <n v="0"/>
    <n v="1906.49"/>
    <d v="2025-12-02T00:00:00"/>
    <n v="1906.49"/>
    <n v="0"/>
    <s v="NULL"/>
    <s v="PRO"/>
    <n v="19.059999999999999"/>
    <n v="1887.43"/>
    <s v="PAID"/>
    <n v="2"/>
    <n v="2303035331525"/>
    <d v="2025-12-12T00:00:00"/>
    <d v="2025-12-02T00:00:00"/>
    <m/>
    <d v="2025-12-12T00:00:00"/>
    <d v="2025-12-10T17:11:00"/>
    <n v="37741007770"/>
    <d v="2025-12-02T00:00:00"/>
    <n v="38971"/>
    <s v="NET 01/10/26"/>
    <n v="205618"/>
    <d v="2025-12-02T00:00:00"/>
    <d v="2025-12-12T00:00:00"/>
    <m/>
    <x v="0"/>
  </r>
  <r>
    <x v="79"/>
    <n v="1007774"/>
    <n v="1013.12"/>
    <n v="20.260000000000002"/>
    <n v="992.86"/>
    <n v="10.130000000000001"/>
    <n v="982.73"/>
    <d v="2025-12-12T00:00:00"/>
    <n v="1007774"/>
    <n v="3774"/>
    <n v="20.260000000000002"/>
    <n v="1013.12"/>
    <d v="2025-12-02T00:00:00"/>
    <n v="992.86"/>
    <n v="20.260000000000002"/>
    <s v="NULL"/>
    <s v="PRO"/>
    <n v="10.130000000000001"/>
    <n v="982.73"/>
    <s v="PAID"/>
    <n v="2"/>
    <n v="2303035331525"/>
    <d v="2025-12-12T00:00:00"/>
    <d v="2025-12-02T00:00:00"/>
    <m/>
    <d v="2025-12-12T00:00:00"/>
    <d v="2025-12-10T17:11:00"/>
    <n v="37741007774"/>
    <d v="2025-12-02T00:00:00"/>
    <n v="38971"/>
    <s v="2% 01/10/26"/>
    <n v="205617"/>
    <d v="2025-12-02T00:00:00"/>
    <d v="2025-12-12T00:00:00"/>
    <n v="20.2624"/>
    <x v="0"/>
  </r>
  <r>
    <x v="79"/>
    <n v="1007797"/>
    <n v="803.38"/>
    <n v="16.07"/>
    <n v="787.31"/>
    <n v="8.0299999999999994"/>
    <n v="779.28"/>
    <d v="2025-12-12T00:00:00"/>
    <n v="1007797"/>
    <n v="3774"/>
    <n v="16.07"/>
    <n v="803.38"/>
    <d v="2025-12-02T00:00:00"/>
    <n v="787.31"/>
    <n v="16.07"/>
    <s v="NULL"/>
    <s v="PRO"/>
    <n v="8.0299999999999994"/>
    <n v="779.28"/>
    <s v="PAID"/>
    <n v="2"/>
    <n v="2303035331525"/>
    <d v="2025-12-12T00:00:00"/>
    <d v="2025-12-02T00:00:00"/>
    <m/>
    <d v="2025-12-12T00:00:00"/>
    <d v="2025-12-10T17:11:00"/>
    <n v="37741007797"/>
    <d v="2025-12-02T00:00:00"/>
    <n v="38723"/>
    <s v="2% 01/10/26"/>
    <n v="206047"/>
    <d v="2025-12-02T00:00:00"/>
    <d v="2025-12-12T00:00:00"/>
    <n v="16.067599999999999"/>
    <x v="0"/>
  </r>
  <r>
    <x v="79"/>
    <n v="1008249"/>
    <n v="877.72"/>
    <n v="17.55"/>
    <n v="860.17"/>
    <n v="8.7799999999999994"/>
    <n v="851.39"/>
    <d v="2025-12-12T00:00:00"/>
    <n v="1008249"/>
    <n v="3774"/>
    <n v="17.55"/>
    <n v="877.72"/>
    <d v="2025-12-04T00:00:00"/>
    <n v="860.17"/>
    <n v="17.55"/>
    <s v="NULL"/>
    <s v="PRO"/>
    <n v="8.7799999999999994"/>
    <n v="851.39"/>
    <s v="PAID"/>
    <n v="2"/>
    <n v="2303035331525"/>
    <d v="2025-12-12T00:00:00"/>
    <d v="2025-12-04T00:00:00"/>
    <m/>
    <d v="2025-12-12T00:00:00"/>
    <d v="2025-12-10T17:11:00"/>
    <n v="37741008249"/>
    <d v="2025-12-04T00:00:00"/>
    <n v="38971"/>
    <s v="2% 01/10/26"/>
    <n v="206578"/>
    <d v="2025-12-04T00:00:00"/>
    <d v="2025-12-12T00:00:00"/>
    <n v="17.554400000000001"/>
    <x v="0"/>
  </r>
  <r>
    <x v="79"/>
    <n v="1008326"/>
    <n v="-240"/>
    <m/>
    <n v="-240"/>
    <m/>
    <n v="-240"/>
    <d v="2025-12-12T00:00:00"/>
    <n v="1008326"/>
    <n v="3774"/>
    <n v="0"/>
    <n v="-240"/>
    <d v="2025-12-05T00:00:00"/>
    <n v="-240"/>
    <n v="0"/>
    <s v="NMCCM104646"/>
    <s v="DELKIN"/>
    <n v="0"/>
    <n v="-240"/>
    <s v="PAID"/>
    <n v="2"/>
    <n v="2303035331525"/>
    <d v="2025-12-12T00:00:00"/>
    <d v="2025-12-05T00:00:00"/>
    <m/>
    <d v="2025-12-12T00:00:00"/>
    <d v="2025-12-10T17:11:00"/>
    <n v="37741008326"/>
    <d v="2025-12-05T00:00:00"/>
    <s v="OCTSPIFF"/>
    <s v="NET 01/10/26"/>
    <s v="NMCCM104646"/>
    <d v="2025-12-05T00:00:00"/>
    <d v="2025-12-12T00:00:00"/>
    <m/>
    <x v="0"/>
  </r>
  <r>
    <x v="79"/>
    <n v="1009352"/>
    <n v="-693.93"/>
    <m/>
    <n v="-693.93"/>
    <m/>
    <n v="-693.93"/>
    <d v="2025-12-12T00:00:00"/>
    <n v="1009352"/>
    <n v="3774"/>
    <n v="0"/>
    <n v="-693.93"/>
    <d v="2025-12-10T00:00:00"/>
    <n v="-693.93"/>
    <n v="0"/>
    <n v="1009352"/>
    <s v="PRO"/>
    <n v="0"/>
    <n v="-693.93"/>
    <s v="PAID"/>
    <n v="2"/>
    <n v="2303035331525"/>
    <d v="2025-12-12T00:00:00"/>
    <d v="2025-12-10T00:00:00"/>
    <m/>
    <d v="2025-12-12T00:00:00"/>
    <d v="2025-12-10T17:11:00"/>
    <n v="37741009352"/>
    <d v="2025-12-10T00:00:00"/>
    <s v="N/A"/>
    <s v="NET 01/10/26"/>
    <s v="NMCNoINV"/>
    <d v="2025-12-10T00:00:00"/>
    <d v="2025-12-12T00:00:00"/>
    <m/>
    <x v="0"/>
  </r>
  <r>
    <x v="79"/>
    <s v="S3404"/>
    <n v="355.17"/>
    <m/>
    <n v="355.17"/>
    <n v="3.55"/>
    <n v="351.62"/>
    <d v="2025-12-12T00:00:00"/>
    <s v="S3404"/>
    <n v="3774"/>
    <n v="0"/>
    <n v="355.17"/>
    <d v="2025-11-30T00:00:00"/>
    <n v="355.17"/>
    <n v="0"/>
    <s v="NULL"/>
    <s v="PRO"/>
    <n v="3.55"/>
    <n v="351.62"/>
    <s v="PAID"/>
    <n v="2"/>
    <n v="2303035331525"/>
    <d v="2025-12-12T00:00:00"/>
    <d v="2025-11-30T00:00:00"/>
    <m/>
    <d v="2025-12-12T00:00:00"/>
    <d v="2025-12-10T17:11:00"/>
    <s v="3774S3404"/>
    <d v="2025-11-30T00:00:00"/>
    <s v="NULL"/>
    <s v="NET DUE 10TH"/>
    <s v="NULL"/>
    <d v="2025-11-30T00:00:00"/>
    <d v="2025-12-12T00:00:00"/>
    <m/>
    <x v="0"/>
  </r>
  <r>
    <x v="80"/>
    <n v="1007204"/>
    <n v="134.32"/>
    <n v="2.69"/>
    <n v="131.63"/>
    <n v="1.34"/>
    <n v="130.29"/>
    <d v="2025-12-12T00:00:00"/>
    <n v="1007204"/>
    <n v="3781"/>
    <n v="2.69"/>
    <n v="134.32"/>
    <d v="2025-12-01T00:00:00"/>
    <n v="131.63"/>
    <n v="2.69"/>
    <s v="NULL"/>
    <s v="PRO"/>
    <n v="1.34"/>
    <n v="130.29"/>
    <s v="PAID"/>
    <n v="2"/>
    <n v="6182736448266"/>
    <d v="2025-12-12T00:00:00"/>
    <d v="2025-12-01T00:00:00"/>
    <m/>
    <d v="2025-12-12T00:00:00"/>
    <d v="2025-12-11T16:26:00"/>
    <n v="37811007204"/>
    <d v="2025-12-01T00:00:00"/>
    <s v="69088HOU"/>
    <s v="2% 01/10/26"/>
    <n v="205750"/>
    <d v="2025-12-01T00:00:00"/>
    <d v="2025-12-12T00:00:00"/>
    <n v="2.6863999999999999"/>
    <x v="0"/>
  </r>
  <r>
    <x v="80"/>
    <n v="1007247"/>
    <n v="331.8"/>
    <n v="6.64"/>
    <n v="325.16000000000003"/>
    <n v="3.32"/>
    <n v="321.83999999999997"/>
    <d v="2025-12-12T00:00:00"/>
    <n v="1007247"/>
    <n v="3781"/>
    <n v="6.64"/>
    <n v="331.8"/>
    <d v="2025-12-01T00:00:00"/>
    <n v="325.16000000000003"/>
    <n v="6.64"/>
    <s v="NULL"/>
    <s v="PRO"/>
    <n v="3.32"/>
    <n v="321.83999999999997"/>
    <s v="PAID"/>
    <n v="2"/>
    <n v="6182736448266"/>
    <d v="2025-12-12T00:00:00"/>
    <d v="2025-12-01T00:00:00"/>
    <m/>
    <d v="2025-12-12T00:00:00"/>
    <d v="2025-12-11T16:26:00"/>
    <n v="37811007247"/>
    <d v="2025-12-01T00:00:00"/>
    <s v="66907HOU"/>
    <s v="2% 01/10/26"/>
    <n v="205747"/>
    <d v="2025-12-01T00:00:00"/>
    <d v="2025-12-12T00:00:00"/>
    <n v="6.6360000000000001"/>
    <x v="0"/>
  </r>
  <r>
    <x v="80"/>
    <n v="1007248"/>
    <n v="688.56"/>
    <n v="13.77"/>
    <n v="674.79"/>
    <n v="6.89"/>
    <n v="667.9"/>
    <d v="2025-12-12T00:00:00"/>
    <n v="1007248"/>
    <n v="3781"/>
    <n v="13.77"/>
    <n v="688.56"/>
    <d v="2025-12-01T00:00:00"/>
    <n v="674.79"/>
    <n v="13.77"/>
    <s v="NULL"/>
    <s v="PRO"/>
    <n v="6.89"/>
    <n v="667.9"/>
    <s v="PAID"/>
    <n v="2"/>
    <n v="6182736448266"/>
    <d v="2025-12-12T00:00:00"/>
    <d v="2025-12-01T00:00:00"/>
    <m/>
    <d v="2025-12-12T00:00:00"/>
    <d v="2025-12-11T16:26:00"/>
    <n v="37811007248"/>
    <d v="2025-12-01T00:00:00"/>
    <n v="66146"/>
    <s v="2% 01/10/26"/>
    <n v="205743"/>
    <d v="2025-12-01T00:00:00"/>
    <d v="2025-12-12T00:00:00"/>
    <n v="13.771199999999999"/>
    <x v="0"/>
  </r>
  <r>
    <x v="80"/>
    <n v="1007249"/>
    <n v="626.94000000000005"/>
    <n v="12.54"/>
    <n v="614.4"/>
    <n v="6.27"/>
    <n v="608.13"/>
    <d v="2025-12-12T00:00:00"/>
    <n v="1007249"/>
    <n v="3781"/>
    <n v="12.54"/>
    <n v="626.94000000000005"/>
    <d v="2025-12-01T00:00:00"/>
    <n v="614.4"/>
    <n v="12.54"/>
    <s v="NULL"/>
    <s v="PRO"/>
    <n v="6.27"/>
    <n v="608.13"/>
    <s v="PAID"/>
    <n v="2"/>
    <n v="6182736448266"/>
    <d v="2025-12-12T00:00:00"/>
    <d v="2025-12-01T00:00:00"/>
    <m/>
    <d v="2025-12-12T00:00:00"/>
    <d v="2025-12-11T16:26:00"/>
    <n v="37811007249"/>
    <d v="2025-12-01T00:00:00"/>
    <n v="68375"/>
    <s v="2% 01/10/26"/>
    <n v="205745"/>
    <d v="2025-12-01T00:00:00"/>
    <d v="2025-12-12T00:00:00"/>
    <n v="12.538800000000002"/>
    <x v="0"/>
  </r>
  <r>
    <x v="80"/>
    <n v="1007251"/>
    <n v="187.05"/>
    <n v="3.74"/>
    <n v="183.31"/>
    <n v="1.87"/>
    <n v="181.44"/>
    <d v="2025-12-12T00:00:00"/>
    <n v="1007251"/>
    <n v="3781"/>
    <n v="3.74"/>
    <n v="187.05"/>
    <d v="2025-12-01T00:00:00"/>
    <n v="183.31"/>
    <n v="3.74"/>
    <s v="NULL"/>
    <s v="PRO"/>
    <n v="1.87"/>
    <n v="181.44"/>
    <s v="PAID"/>
    <n v="2"/>
    <n v="6182736448266"/>
    <d v="2025-12-12T00:00:00"/>
    <d v="2025-12-01T00:00:00"/>
    <m/>
    <d v="2025-12-12T00:00:00"/>
    <d v="2025-12-11T16:26:00"/>
    <n v="37811007251"/>
    <d v="2025-12-01T00:00:00"/>
    <s v="68576HOU"/>
    <s v="2% 01/10/26"/>
    <n v="205749"/>
    <d v="2025-12-01T00:00:00"/>
    <d v="2025-12-12T00:00:00"/>
    <n v="3.7410000000000001"/>
    <x v="0"/>
  </r>
  <r>
    <x v="80"/>
    <n v="1007252"/>
    <n v="41.14"/>
    <n v="0.82"/>
    <n v="40.32"/>
    <n v="0.41"/>
    <n v="39.909999999999997"/>
    <d v="2025-12-12T00:00:00"/>
    <n v="1007252"/>
    <n v="3781"/>
    <n v="0.82"/>
    <n v="41.14"/>
    <d v="2025-12-01T00:00:00"/>
    <n v="40.32"/>
    <n v="0.82"/>
    <s v="NULL"/>
    <s v="PRO"/>
    <n v="0.41"/>
    <n v="39.909999999999997"/>
    <s v="PAID"/>
    <n v="2"/>
    <n v="6182736448266"/>
    <d v="2025-12-12T00:00:00"/>
    <d v="2025-12-01T00:00:00"/>
    <m/>
    <d v="2025-12-12T00:00:00"/>
    <d v="2025-12-11T16:26:00"/>
    <n v="37811007252"/>
    <d v="2025-12-01T00:00:00"/>
    <s v="67460HOU"/>
    <s v="2% 01/10/26"/>
    <n v="205748"/>
    <d v="2025-12-01T00:00:00"/>
    <d v="2025-12-12T00:00:00"/>
    <n v="0.82279999999999998"/>
    <x v="0"/>
  </r>
  <r>
    <x v="80"/>
    <n v="1007254"/>
    <n v="582.48"/>
    <n v="11.65"/>
    <n v="570.83000000000004"/>
    <n v="5.82"/>
    <n v="565.01"/>
    <d v="2025-12-12T00:00:00"/>
    <n v="1007254"/>
    <n v="3781"/>
    <n v="11.65"/>
    <n v="582.48"/>
    <d v="2025-12-01T00:00:00"/>
    <n v="570.83000000000004"/>
    <n v="11.65"/>
    <s v="NULL"/>
    <s v="PRO"/>
    <n v="5.82"/>
    <n v="565.01"/>
    <s v="PAID"/>
    <n v="2"/>
    <n v="6182736448266"/>
    <d v="2025-12-12T00:00:00"/>
    <d v="2025-12-01T00:00:00"/>
    <m/>
    <d v="2025-12-12T00:00:00"/>
    <d v="2025-12-11T16:26:00"/>
    <n v="37811007254"/>
    <d v="2025-12-01T00:00:00"/>
    <n v="66736"/>
    <s v="2% 01/10/26"/>
    <n v="205744"/>
    <d v="2025-12-01T00:00:00"/>
    <d v="2025-12-12T00:00:00"/>
    <n v="11.649600000000001"/>
    <x v="0"/>
  </r>
  <r>
    <x v="80"/>
    <n v="1007255"/>
    <n v="66.36"/>
    <n v="1.33"/>
    <n v="65.03"/>
    <n v="0.66"/>
    <n v="64.37"/>
    <d v="2025-12-12T00:00:00"/>
    <n v="1007255"/>
    <n v="3781"/>
    <n v="1.33"/>
    <n v="66.36"/>
    <d v="2025-12-01T00:00:00"/>
    <n v="65.03"/>
    <n v="1.33"/>
    <s v="NULL"/>
    <s v="PRO"/>
    <n v="0.66"/>
    <n v="64.37"/>
    <s v="PAID"/>
    <n v="2"/>
    <n v="6182736448266"/>
    <d v="2025-12-12T00:00:00"/>
    <d v="2025-12-01T00:00:00"/>
    <m/>
    <d v="2025-12-12T00:00:00"/>
    <d v="2025-12-11T16:26:00"/>
    <n v="37811007255"/>
    <d v="2025-12-01T00:00:00"/>
    <s v="66435HOU"/>
    <s v="2% 01/10/26"/>
    <n v="205746"/>
    <d v="2025-12-01T00:00:00"/>
    <d v="2025-12-12T00:00:00"/>
    <n v="1.3271999999999999"/>
    <x v="0"/>
  </r>
  <r>
    <x v="80"/>
    <n v="1007419"/>
    <n v="3637.84"/>
    <n v="72.760000000000005"/>
    <n v="3565.08"/>
    <n v="36.380000000000003"/>
    <n v="3528.7"/>
    <d v="2025-12-12T00:00:00"/>
    <n v="1007419"/>
    <n v="3781"/>
    <n v="72.760000000000005"/>
    <n v="3637.84"/>
    <d v="2025-12-01T00:00:00"/>
    <n v="3565.08"/>
    <n v="72.760000000000005"/>
    <s v="NULL"/>
    <s v="PRO"/>
    <n v="36.380000000000003"/>
    <n v="3528.7"/>
    <s v="PAID"/>
    <n v="2"/>
    <n v="6182736448266"/>
    <d v="2025-12-12T00:00:00"/>
    <d v="2025-12-01T00:00:00"/>
    <m/>
    <d v="2025-12-12T00:00:00"/>
    <d v="2025-12-11T16:26:00"/>
    <n v="37811007419"/>
    <d v="2025-12-01T00:00:00"/>
    <n v="68854"/>
    <s v="2% 01/10/26"/>
    <n v="205958"/>
    <d v="2025-12-01T00:00:00"/>
    <d v="2025-12-12T00:00:00"/>
    <n v="72.756799999999998"/>
    <x v="0"/>
  </r>
  <r>
    <x v="80"/>
    <n v="1007587"/>
    <n v="3990"/>
    <m/>
    <n v="3990"/>
    <n v="39.9"/>
    <n v="3950.1"/>
    <d v="2025-12-12T00:00:00"/>
    <n v="1007587"/>
    <n v="3781"/>
    <n v="0"/>
    <n v="3990"/>
    <d v="2025-12-02T00:00:00"/>
    <n v="3990"/>
    <n v="0"/>
    <s v="NULL"/>
    <s v="PRO"/>
    <n v="39.9"/>
    <n v="3950.1"/>
    <s v="PAID"/>
    <n v="2"/>
    <n v="6182736448266"/>
    <d v="2025-12-12T00:00:00"/>
    <d v="2025-12-02T00:00:00"/>
    <m/>
    <d v="2025-12-12T00:00:00"/>
    <d v="2025-12-11T16:26:00"/>
    <n v="37811007587"/>
    <d v="2025-12-02T00:00:00"/>
    <s v="NULL"/>
    <s v="NET 02/10/26"/>
    <s v="NULL"/>
    <d v="2025-12-02T00:00:00"/>
    <d v="2025-12-12T00:00:00"/>
    <m/>
    <x v="0"/>
  </r>
  <r>
    <x v="80"/>
    <n v="1007675"/>
    <n v="769.46"/>
    <m/>
    <n v="769.46"/>
    <n v="7.69"/>
    <n v="761.77"/>
    <d v="2025-12-12T00:00:00"/>
    <n v="1007675"/>
    <n v="3781"/>
    <n v="0"/>
    <n v="769.46"/>
    <d v="2025-12-02T00:00:00"/>
    <n v="769.46"/>
    <n v="0"/>
    <s v="NULL"/>
    <s v="PRO"/>
    <n v="7.69"/>
    <n v="761.77"/>
    <s v="PAID"/>
    <n v="2"/>
    <n v="6182736448266"/>
    <d v="2025-12-12T00:00:00"/>
    <d v="2025-12-02T00:00:00"/>
    <m/>
    <d v="2025-12-12T00:00:00"/>
    <d v="2025-12-11T16:26:00"/>
    <n v="37811007675"/>
    <d v="2025-12-02T00:00:00"/>
    <s v="69088HOU"/>
    <s v="NET 01/10/26"/>
    <n v="206103"/>
    <d v="2025-12-02T00:00:00"/>
    <d v="2025-12-12T00:00:00"/>
    <m/>
    <x v="0"/>
  </r>
  <r>
    <x v="80"/>
    <n v="1007677"/>
    <n v="404.96"/>
    <m/>
    <n v="404.96"/>
    <n v="4.05"/>
    <n v="400.91"/>
    <d v="2025-12-12T00:00:00"/>
    <n v="1007677"/>
    <n v="3781"/>
    <n v="0"/>
    <n v="404.96"/>
    <d v="2025-12-02T00:00:00"/>
    <n v="404.96"/>
    <n v="0"/>
    <s v="NULL"/>
    <s v="PRO"/>
    <n v="4.05"/>
    <n v="400.91"/>
    <s v="PAID"/>
    <n v="2"/>
    <n v="6182736448266"/>
    <d v="2025-12-12T00:00:00"/>
    <d v="2025-12-02T00:00:00"/>
    <m/>
    <d v="2025-12-12T00:00:00"/>
    <d v="2025-12-11T16:26:00"/>
    <n v="37811007677"/>
    <d v="2025-12-02T00:00:00"/>
    <n v="68902"/>
    <s v="NET 01/10/26"/>
    <n v="206101"/>
    <d v="2025-12-02T00:00:00"/>
    <d v="2025-12-12T00:00:00"/>
    <m/>
    <x v="0"/>
  </r>
  <r>
    <x v="80"/>
    <n v="1007681"/>
    <n v="3478.42"/>
    <m/>
    <n v="3478.42"/>
    <n v="34.78"/>
    <n v="3443.64"/>
    <d v="2025-12-12T00:00:00"/>
    <n v="1007681"/>
    <n v="3781"/>
    <n v="0"/>
    <n v="3478.42"/>
    <d v="2025-12-02T00:00:00"/>
    <n v="3478.42"/>
    <n v="0"/>
    <s v="NULL"/>
    <s v="PRO"/>
    <n v="34.78"/>
    <n v="3443.64"/>
    <s v="PAID"/>
    <n v="2"/>
    <n v="6182736448266"/>
    <d v="2025-12-12T00:00:00"/>
    <d v="2025-12-02T00:00:00"/>
    <m/>
    <d v="2025-12-12T00:00:00"/>
    <d v="2025-12-11T16:26:00"/>
    <n v="37811007681"/>
    <d v="2025-12-02T00:00:00"/>
    <n v="68720"/>
    <s v="NET 01/10/26"/>
    <n v="206100"/>
    <d v="2025-12-02T00:00:00"/>
    <d v="2025-12-12T00:00:00"/>
    <m/>
    <x v="0"/>
  </r>
  <r>
    <x v="80"/>
    <n v="1007683"/>
    <n v="1982.22"/>
    <m/>
    <n v="1982.22"/>
    <n v="19.82"/>
    <n v="1962.4"/>
    <d v="2025-12-12T00:00:00"/>
    <n v="1007683"/>
    <n v="3781"/>
    <n v="0"/>
    <n v="1982.22"/>
    <d v="2025-12-02T00:00:00"/>
    <n v="1982.22"/>
    <n v="0"/>
    <s v="NULL"/>
    <s v="PRO"/>
    <n v="19.82"/>
    <n v="1962.4"/>
    <s v="PAID"/>
    <n v="2"/>
    <n v="6182736448266"/>
    <d v="2025-12-12T00:00:00"/>
    <d v="2025-12-02T00:00:00"/>
    <m/>
    <d v="2025-12-12T00:00:00"/>
    <d v="2025-12-11T16:26:00"/>
    <n v="37811007683"/>
    <d v="2025-12-02T00:00:00"/>
    <n v="69246"/>
    <s v="NET 01/10/26"/>
    <n v="206102"/>
    <d v="2025-12-02T00:00:00"/>
    <d v="2025-12-12T00:00:00"/>
    <m/>
    <x v="0"/>
  </r>
  <r>
    <x v="80"/>
    <n v="1007818"/>
    <n v="971.96"/>
    <m/>
    <n v="971.96"/>
    <n v="9.7200000000000006"/>
    <n v="962.24"/>
    <d v="2025-12-12T00:00:00"/>
    <n v="1007818"/>
    <n v="3781"/>
    <n v="0"/>
    <n v="971.96"/>
    <d v="2025-12-02T00:00:00"/>
    <n v="971.96"/>
    <n v="0"/>
    <s v="NULL"/>
    <s v="PRO"/>
    <n v="9.7200000000000006"/>
    <n v="962.24"/>
    <s v="PAID"/>
    <n v="2"/>
    <n v="6182736448266"/>
    <d v="2025-12-12T00:00:00"/>
    <d v="2025-12-02T00:00:00"/>
    <m/>
    <d v="2025-12-12T00:00:00"/>
    <d v="2025-12-11T16:26:00"/>
    <n v="37811007818"/>
    <d v="2025-12-02T00:00:00"/>
    <n v="68536"/>
    <s v="NET 01/10/26"/>
    <n v="206099"/>
    <d v="2025-12-02T00:00:00"/>
    <d v="2025-12-12T00:00:00"/>
    <m/>
    <x v="0"/>
  </r>
  <r>
    <x v="80"/>
    <n v="1007827"/>
    <n v="415.92"/>
    <n v="8.32"/>
    <n v="407.6"/>
    <n v="4.16"/>
    <n v="403.44"/>
    <d v="2025-12-12T00:00:00"/>
    <n v="1007827"/>
    <n v="3781"/>
    <n v="8.32"/>
    <n v="415.92"/>
    <d v="2025-12-02T00:00:00"/>
    <n v="407.6"/>
    <n v="8.32"/>
    <s v="NULL"/>
    <s v="PRO"/>
    <n v="4.16"/>
    <n v="403.44"/>
    <s v="PAID"/>
    <n v="2"/>
    <n v="6182736448266"/>
    <d v="2025-12-12T00:00:00"/>
    <d v="2025-12-02T00:00:00"/>
    <m/>
    <d v="2025-12-12T00:00:00"/>
    <d v="2025-12-11T16:26:00"/>
    <n v="37811007827"/>
    <d v="2025-12-02T00:00:00"/>
    <n v="68854"/>
    <s v="2% 01/10/26"/>
    <n v="206033"/>
    <d v="2025-12-02T00:00:00"/>
    <d v="2025-12-12T00:00:00"/>
    <n v="8.3184000000000005"/>
    <x v="0"/>
  </r>
  <r>
    <x v="80"/>
    <n v="1007875"/>
    <n v="566.96"/>
    <m/>
    <n v="566.96"/>
    <n v="5.67"/>
    <n v="561.29"/>
    <d v="2025-12-12T00:00:00"/>
    <n v="1007875"/>
    <n v="3781"/>
    <n v="0"/>
    <n v="566.96"/>
    <d v="2025-12-03T00:00:00"/>
    <n v="566.96"/>
    <n v="0"/>
    <s v="NULL"/>
    <s v="PRO"/>
    <n v="5.67"/>
    <n v="561.29"/>
    <s v="PAID"/>
    <n v="2"/>
    <n v="6182736448266"/>
    <d v="2025-12-12T00:00:00"/>
    <d v="2025-12-03T00:00:00"/>
    <m/>
    <d v="2025-12-12T00:00:00"/>
    <d v="2025-12-11T16:26:00"/>
    <n v="37811007875"/>
    <d v="2025-12-03T00:00:00"/>
    <n v="61844"/>
    <s v="NET 01/10/26"/>
    <n v="206432"/>
    <d v="2025-12-03T00:00:00"/>
    <d v="2025-12-12T00:00:00"/>
    <m/>
    <x v="0"/>
  </r>
  <r>
    <x v="80"/>
    <n v="1007876"/>
    <n v="1946.52"/>
    <m/>
    <n v="1946.52"/>
    <n v="19.47"/>
    <n v="1927.05"/>
    <d v="2025-12-12T00:00:00"/>
    <n v="1007876"/>
    <n v="3781"/>
    <n v="0"/>
    <n v="1946.52"/>
    <d v="2025-12-03T00:00:00"/>
    <n v="1946.52"/>
    <n v="0"/>
    <s v="NULL"/>
    <s v="PRO"/>
    <n v="19.47"/>
    <n v="1927.05"/>
    <s v="PAID"/>
    <n v="2"/>
    <n v="6182736448266"/>
    <d v="2025-12-12T00:00:00"/>
    <d v="2025-12-03T00:00:00"/>
    <m/>
    <d v="2025-12-12T00:00:00"/>
    <d v="2025-12-11T16:26:00"/>
    <n v="37811007876"/>
    <d v="2025-12-03T00:00:00"/>
    <n v="69246"/>
    <s v="NET 01/10/26"/>
    <n v="206434"/>
    <d v="2025-12-03T00:00:00"/>
    <d v="2025-12-12T00:00:00"/>
    <m/>
    <x v="0"/>
  </r>
  <r>
    <x v="80"/>
    <n v="1007879"/>
    <n v="971.96"/>
    <m/>
    <n v="971.96"/>
    <n v="9.7200000000000006"/>
    <n v="962.24"/>
    <d v="2025-12-12T00:00:00"/>
    <n v="1007879"/>
    <n v="3781"/>
    <n v="0"/>
    <n v="971.96"/>
    <d v="2025-12-03T00:00:00"/>
    <n v="971.96"/>
    <n v="0"/>
    <s v="NULL"/>
    <s v="PRO"/>
    <n v="9.7200000000000006"/>
    <n v="962.24"/>
    <s v="PAID"/>
    <n v="2"/>
    <n v="6182736448266"/>
    <d v="2025-12-12T00:00:00"/>
    <d v="2025-12-03T00:00:00"/>
    <m/>
    <d v="2025-12-12T00:00:00"/>
    <d v="2025-12-11T16:26:00"/>
    <n v="37811007879"/>
    <d v="2025-12-03T00:00:00"/>
    <n v="68902"/>
    <s v="NET 01/10/26"/>
    <n v="206433"/>
    <d v="2025-12-03T00:00:00"/>
    <d v="2025-12-12T00:00:00"/>
    <m/>
    <x v="0"/>
  </r>
  <r>
    <x v="80"/>
    <n v="1008011"/>
    <n v="1023.26"/>
    <n v="20.47"/>
    <n v="1002.79"/>
    <n v="10.23"/>
    <n v="992.56"/>
    <d v="2025-12-12T00:00:00"/>
    <n v="1008011"/>
    <n v="3781"/>
    <n v="20.47"/>
    <n v="1023.26"/>
    <d v="2025-12-03T00:00:00"/>
    <n v="1002.79"/>
    <n v="20.47"/>
    <s v="NULL"/>
    <s v="PRO"/>
    <n v="10.23"/>
    <n v="992.56"/>
    <s v="PAID"/>
    <n v="2"/>
    <n v="6182736448266"/>
    <d v="2025-12-12T00:00:00"/>
    <d v="2025-12-03T00:00:00"/>
    <m/>
    <d v="2025-12-12T00:00:00"/>
    <d v="2025-12-11T16:26:00"/>
    <n v="37811008011"/>
    <d v="2025-12-03T00:00:00"/>
    <s v="69303HOU"/>
    <s v="2% 01/10/26"/>
    <n v="206356"/>
    <d v="2025-12-03T00:00:00"/>
    <d v="2025-12-12T00:00:00"/>
    <n v="20.465199999999999"/>
    <x v="0"/>
  </r>
  <r>
    <x v="80"/>
    <n v="1008012"/>
    <n v="596.41"/>
    <n v="11.93"/>
    <n v="584.48"/>
    <n v="5.96"/>
    <n v="578.52"/>
    <d v="2025-12-12T00:00:00"/>
    <n v="1008012"/>
    <n v="3781"/>
    <n v="11.93"/>
    <n v="596.41"/>
    <d v="2025-12-03T00:00:00"/>
    <n v="584.48"/>
    <n v="11.93"/>
    <s v="NULL"/>
    <s v="PRO"/>
    <n v="5.96"/>
    <n v="578.52"/>
    <s v="PAID"/>
    <n v="2"/>
    <n v="6182736448266"/>
    <d v="2025-12-12T00:00:00"/>
    <d v="2025-12-03T00:00:00"/>
    <m/>
    <d v="2025-12-12T00:00:00"/>
    <d v="2025-12-11T16:26:00"/>
    <n v="37811008012"/>
    <d v="2025-12-03T00:00:00"/>
    <s v="69303HOU"/>
    <s v="2% 01/10/26"/>
    <n v="206355"/>
    <d v="2025-12-03T00:00:00"/>
    <d v="2025-12-12T00:00:00"/>
    <n v="11.9282"/>
    <x v="0"/>
  </r>
  <r>
    <x v="80"/>
    <n v="1008014"/>
    <n v="3163.39"/>
    <m/>
    <n v="3163.39"/>
    <n v="31.63"/>
    <n v="3131.76"/>
    <d v="2025-12-12T00:00:00"/>
    <n v="1008014"/>
    <n v="3781"/>
    <n v="0"/>
    <n v="3163.39"/>
    <d v="2025-12-03T00:00:00"/>
    <n v="3163.39"/>
    <n v="0"/>
    <s v="NULL"/>
    <s v="PRO"/>
    <n v="31.63"/>
    <n v="3131.76"/>
    <s v="PAID"/>
    <n v="2"/>
    <n v="6182736448266"/>
    <d v="2025-12-12T00:00:00"/>
    <d v="2025-12-03T00:00:00"/>
    <m/>
    <d v="2025-12-12T00:00:00"/>
    <d v="2025-12-11T16:26:00"/>
    <n v="37811008014"/>
    <d v="2025-12-03T00:00:00"/>
    <s v="69303HOU"/>
    <s v="NET 01/10/26"/>
    <n v="206357"/>
    <d v="2025-12-03T00:00:00"/>
    <d v="2025-12-12T00:00:00"/>
    <m/>
    <x v="0"/>
  </r>
  <r>
    <x v="80"/>
    <n v="1008032"/>
    <n v="124.5"/>
    <n v="2.4900000000000002"/>
    <n v="122.01"/>
    <n v="1.25"/>
    <n v="120.76"/>
    <d v="2025-12-12T00:00:00"/>
    <n v="1008032"/>
    <n v="3781"/>
    <n v="2.4900000000000002"/>
    <n v="124.5"/>
    <d v="2025-12-03T00:00:00"/>
    <n v="122.01"/>
    <n v="2.4900000000000002"/>
    <s v="NULL"/>
    <s v="PRO"/>
    <n v="1.25"/>
    <n v="120.76"/>
    <s v="PAID"/>
    <n v="2"/>
    <n v="6182736448266"/>
    <d v="2025-12-12T00:00:00"/>
    <d v="2025-12-03T00:00:00"/>
    <m/>
    <d v="2025-12-12T00:00:00"/>
    <d v="2025-12-11T16:26:00"/>
    <n v="37811008032"/>
    <d v="2025-12-03T00:00:00"/>
    <n v="69177"/>
    <s v="2% 01/10/26"/>
    <n v="206061"/>
    <d v="2025-12-03T00:00:00"/>
    <d v="2025-12-12T00:00:00"/>
    <n v="2.4900000000000002"/>
    <x v="0"/>
  </r>
  <r>
    <x v="80"/>
    <n v="1008061"/>
    <n v="2456.56"/>
    <n v="49.13"/>
    <n v="2407.4299999999998"/>
    <n v="24.57"/>
    <n v="2382.86"/>
    <d v="2025-12-12T00:00:00"/>
    <n v="1008061"/>
    <n v="3781"/>
    <n v="49.13"/>
    <n v="2456.56"/>
    <d v="2025-12-03T00:00:00"/>
    <n v="2407.4299999999998"/>
    <n v="49.13"/>
    <s v="NULL"/>
    <s v="PRO"/>
    <n v="24.57"/>
    <n v="2382.86"/>
    <s v="PAID"/>
    <n v="2"/>
    <n v="6182736448266"/>
    <d v="2025-12-12T00:00:00"/>
    <d v="2025-12-03T00:00:00"/>
    <m/>
    <d v="2025-12-12T00:00:00"/>
    <d v="2025-12-11T16:26:00"/>
    <n v="37811008061"/>
    <d v="2025-12-03T00:00:00"/>
    <n v="69360"/>
    <s v="2% 01/10/26"/>
    <n v="206519"/>
    <d v="2025-12-03T00:00:00"/>
    <d v="2025-12-12T00:00:00"/>
    <n v="49.1312"/>
    <x v="0"/>
  </r>
  <r>
    <x v="80"/>
    <n v="1008062"/>
    <n v="-1080.74"/>
    <m/>
    <n v="-1080.74"/>
    <m/>
    <n v="-1080.74"/>
    <d v="2025-12-12T00:00:00"/>
    <n v="1008062"/>
    <n v="3781"/>
    <n v="0"/>
    <n v="-1080.74"/>
    <d v="2025-12-04T00:00:00"/>
    <n v="-1080.74"/>
    <n v="0"/>
    <s v="NMC01350194x"/>
    <s v="PRO"/>
    <n v="0"/>
    <n v="-1080.74"/>
    <s v="PAID"/>
    <n v="2"/>
    <n v="6182736448266"/>
    <d v="2025-12-12T00:00:00"/>
    <d v="2025-12-04T00:00:00"/>
    <m/>
    <d v="2025-12-12T00:00:00"/>
    <d v="2025-12-11T16:26:00"/>
    <n v="37811008062"/>
    <d v="2025-12-04T00:00:00"/>
    <s v="N/A"/>
    <s v="NET 01/10/26"/>
    <s v="NMC01350194x"/>
    <d v="2025-12-04T00:00:00"/>
    <d v="2025-12-12T00:00:00"/>
    <m/>
    <x v="0"/>
  </r>
  <r>
    <x v="80"/>
    <n v="1008100"/>
    <n v="392.44"/>
    <n v="7.85"/>
    <n v="384.59"/>
    <n v="3.92"/>
    <n v="380.67"/>
    <d v="2025-12-12T00:00:00"/>
    <n v="1008100"/>
    <n v="3781"/>
    <n v="7.85"/>
    <n v="392.44"/>
    <d v="2025-12-04T00:00:00"/>
    <n v="384.59"/>
    <n v="7.85"/>
    <s v="NULL"/>
    <s v="PRO"/>
    <n v="3.92"/>
    <n v="380.67"/>
    <s v="PAID"/>
    <n v="2"/>
    <n v="6182736448266"/>
    <d v="2025-12-12T00:00:00"/>
    <d v="2025-12-04T00:00:00"/>
    <m/>
    <d v="2025-12-12T00:00:00"/>
    <d v="2025-12-11T16:26:00"/>
    <n v="37811008100"/>
    <d v="2025-12-04T00:00:00"/>
    <s v="69234HOU"/>
    <s v="2% 01/10/26"/>
    <n v="206385"/>
    <d v="2025-12-04T00:00:00"/>
    <d v="2025-12-12T00:00:00"/>
    <n v="7.8487999999999998"/>
    <x v="0"/>
  </r>
  <r>
    <x v="80"/>
    <n v="1008101"/>
    <n v="61.88"/>
    <n v="1.24"/>
    <n v="60.64"/>
    <n v="0.62"/>
    <n v="60.02"/>
    <d v="2025-12-12T00:00:00"/>
    <n v="1008101"/>
    <n v="3781"/>
    <n v="1.24"/>
    <n v="61.88"/>
    <d v="2025-12-04T00:00:00"/>
    <n v="60.64"/>
    <n v="1.24"/>
    <s v="NULL"/>
    <s v="PRO"/>
    <n v="0.62"/>
    <n v="60.02"/>
    <s v="PAID"/>
    <n v="2"/>
    <n v="6182736448266"/>
    <d v="2025-12-12T00:00:00"/>
    <d v="2025-12-04T00:00:00"/>
    <m/>
    <d v="2025-12-12T00:00:00"/>
    <d v="2025-12-11T16:26:00"/>
    <n v="37811008101"/>
    <d v="2025-12-04T00:00:00"/>
    <n v="69038"/>
    <s v="2% 01/10/26"/>
    <n v="206381"/>
    <d v="2025-12-04T00:00:00"/>
    <d v="2025-12-12T00:00:00"/>
    <n v="1.2376"/>
    <x v="0"/>
  </r>
  <r>
    <x v="80"/>
    <n v="1008103"/>
    <n v="80.95"/>
    <n v="1.62"/>
    <n v="79.33"/>
    <n v="0.81"/>
    <n v="78.52"/>
    <d v="2025-12-12T00:00:00"/>
    <n v="1008103"/>
    <n v="3781"/>
    <n v="1.62"/>
    <n v="80.95"/>
    <d v="2025-12-04T00:00:00"/>
    <n v="79.33"/>
    <n v="1.62"/>
    <s v="NULL"/>
    <s v="PRO"/>
    <n v="0.81"/>
    <n v="78.52"/>
    <s v="PAID"/>
    <n v="2"/>
    <n v="6182736448266"/>
    <d v="2025-12-12T00:00:00"/>
    <d v="2025-12-04T00:00:00"/>
    <m/>
    <d v="2025-12-12T00:00:00"/>
    <d v="2025-12-11T16:26:00"/>
    <n v="37811008103"/>
    <d v="2025-12-04T00:00:00"/>
    <n v="69268"/>
    <s v="2% 01/10/26"/>
    <n v="206383"/>
    <d v="2025-12-04T00:00:00"/>
    <d v="2025-12-12T00:00:00"/>
    <n v="1.619"/>
    <x v="0"/>
  </r>
  <r>
    <x v="80"/>
    <n v="1008106"/>
    <n v="401.75"/>
    <n v="8.0399999999999991"/>
    <n v="393.71"/>
    <n v="4.0199999999999996"/>
    <n v="389.69"/>
    <d v="2025-12-12T00:00:00"/>
    <n v="1008106"/>
    <n v="3781"/>
    <n v="8.0399999999999991"/>
    <n v="401.75"/>
    <d v="2025-12-04T00:00:00"/>
    <n v="393.71"/>
    <n v="8.0399999999999991"/>
    <s v="NULL"/>
    <s v="PRO"/>
    <n v="4.0199999999999996"/>
    <n v="389.69"/>
    <s v="PAID"/>
    <n v="2"/>
    <n v="6182736448266"/>
    <d v="2025-12-12T00:00:00"/>
    <d v="2025-12-04T00:00:00"/>
    <m/>
    <d v="2025-12-12T00:00:00"/>
    <d v="2025-12-11T16:26:00"/>
    <n v="37811008106"/>
    <d v="2025-12-04T00:00:00"/>
    <n v="69124"/>
    <s v="2% 01/10/26"/>
    <n v="206382"/>
    <d v="2025-12-04T00:00:00"/>
    <d v="2025-12-12T00:00:00"/>
    <n v="8.0350000000000001"/>
    <x v="0"/>
  </r>
  <r>
    <x v="80"/>
    <n v="1008107"/>
    <n v="269.64"/>
    <n v="5.39"/>
    <n v="264.25"/>
    <n v="2.7"/>
    <n v="261.55"/>
    <d v="2025-12-12T00:00:00"/>
    <n v="1008107"/>
    <n v="3781"/>
    <n v="5.39"/>
    <n v="269.64"/>
    <d v="2025-12-04T00:00:00"/>
    <n v="264.25"/>
    <n v="5.39"/>
    <s v="NULL"/>
    <s v="PRO"/>
    <n v="2.7"/>
    <n v="261.55"/>
    <s v="PAID"/>
    <n v="2"/>
    <n v="6182736448266"/>
    <d v="2025-12-12T00:00:00"/>
    <d v="2025-12-04T00:00:00"/>
    <m/>
    <d v="2025-12-12T00:00:00"/>
    <d v="2025-12-11T16:26:00"/>
    <n v="37811008107"/>
    <d v="2025-12-04T00:00:00"/>
    <n v="69246"/>
    <s v="2% 01/10/26"/>
    <n v="206384"/>
    <d v="2025-12-04T00:00:00"/>
    <d v="2025-12-12T00:00:00"/>
    <n v="5.3928000000000003"/>
    <x v="0"/>
  </r>
  <r>
    <x v="80"/>
    <n v="1008108"/>
    <n v="522.9"/>
    <n v="10.46"/>
    <n v="512.44000000000005"/>
    <n v="5.23"/>
    <n v="507.21"/>
    <d v="2025-12-12T00:00:00"/>
    <n v="1008108"/>
    <n v="3781"/>
    <n v="10.46"/>
    <n v="522.9"/>
    <d v="2025-12-04T00:00:00"/>
    <n v="512.44000000000005"/>
    <n v="10.46"/>
    <s v="NULL"/>
    <s v="PRO"/>
    <n v="5.23"/>
    <n v="507.21"/>
    <s v="PAID"/>
    <n v="2"/>
    <n v="6182736448266"/>
    <d v="2025-12-12T00:00:00"/>
    <d v="2025-12-04T00:00:00"/>
    <m/>
    <d v="2025-12-12T00:00:00"/>
    <d v="2025-12-11T16:26:00"/>
    <n v="37811008108"/>
    <d v="2025-12-04T00:00:00"/>
    <n v="68902"/>
    <s v="2% 01/10/26"/>
    <n v="206380"/>
    <d v="2025-12-04T00:00:00"/>
    <d v="2025-12-12T00:00:00"/>
    <n v="10.458"/>
    <x v="0"/>
  </r>
  <r>
    <x v="80"/>
    <n v="1008184"/>
    <n v="1679.96"/>
    <m/>
    <n v="1679.96"/>
    <n v="16.8"/>
    <n v="1663.16"/>
    <d v="2025-12-12T00:00:00"/>
    <n v="1008184"/>
    <n v="3781"/>
    <n v="0"/>
    <n v="1679.96"/>
    <d v="2025-12-04T00:00:00"/>
    <n v="1679.96"/>
    <n v="0"/>
    <s v="NULL"/>
    <s v="PRO"/>
    <n v="16.8"/>
    <n v="1663.16"/>
    <s v="PAID"/>
    <n v="2"/>
    <n v="6182736448266"/>
    <d v="2025-12-12T00:00:00"/>
    <d v="2025-12-04T00:00:00"/>
    <m/>
    <d v="2025-12-12T00:00:00"/>
    <d v="2025-12-11T16:26:00"/>
    <n v="37811008184"/>
    <d v="2025-12-04T00:00:00"/>
    <s v="69303HOU"/>
    <s v="NET 01/10/26"/>
    <n v="206646"/>
    <d v="2025-12-04T00:00:00"/>
    <d v="2025-12-12T00:00:00"/>
    <m/>
    <x v="0"/>
  </r>
  <r>
    <x v="80"/>
    <n v="1008219"/>
    <n v="169.4"/>
    <n v="3.39"/>
    <n v="166.01"/>
    <n v="1.69"/>
    <n v="164.32"/>
    <d v="2025-12-12T00:00:00"/>
    <n v="1008219"/>
    <n v="3781"/>
    <n v="3.39"/>
    <n v="169.4"/>
    <d v="2025-12-04T00:00:00"/>
    <n v="166.01"/>
    <n v="3.39"/>
    <s v="NULL"/>
    <s v="PRO"/>
    <n v="1.69"/>
    <n v="164.32"/>
    <s v="PAID"/>
    <n v="2"/>
    <n v="6182736448266"/>
    <d v="2025-12-12T00:00:00"/>
    <d v="2025-12-04T00:00:00"/>
    <m/>
    <d v="2025-12-12T00:00:00"/>
    <d v="2025-12-11T16:26:00"/>
    <n v="37811008219"/>
    <d v="2025-12-04T00:00:00"/>
    <s v="68292HOU"/>
    <s v="2% 01/10/26"/>
    <n v="206566"/>
    <d v="2025-12-04T00:00:00"/>
    <d v="2025-12-12T00:00:00"/>
    <n v="3.3880000000000003"/>
    <x v="0"/>
  </r>
  <r>
    <x v="80"/>
    <n v="1008224"/>
    <n v="3516.43"/>
    <n v="70.33"/>
    <n v="3446.1"/>
    <n v="35.159999999999997"/>
    <n v="3410.94"/>
    <d v="2025-12-12T00:00:00"/>
    <n v="1008224"/>
    <n v="3781"/>
    <n v="70.33"/>
    <n v="3516.43"/>
    <d v="2025-12-04T00:00:00"/>
    <n v="3446.1"/>
    <n v="70.33"/>
    <s v="NULL"/>
    <s v="PRO"/>
    <n v="35.159999999999997"/>
    <n v="3410.94"/>
    <s v="PAID"/>
    <n v="2"/>
    <n v="6182736448266"/>
    <d v="2025-12-12T00:00:00"/>
    <d v="2025-12-04T00:00:00"/>
    <m/>
    <d v="2025-12-12T00:00:00"/>
    <d v="2025-12-11T16:26:00"/>
    <n v="37811008224"/>
    <d v="2025-12-04T00:00:00"/>
    <n v="69360"/>
    <s v="2% 01/10/26"/>
    <n v="206524"/>
    <d v="2025-12-04T00:00:00"/>
    <d v="2025-12-12T00:00:00"/>
    <n v="70.328599999999994"/>
    <x v="0"/>
  </r>
  <r>
    <x v="80"/>
    <n v="1008228"/>
    <n v="9658.61"/>
    <m/>
    <n v="9658.61"/>
    <n v="96.59"/>
    <n v="9562.02"/>
    <d v="2025-12-12T00:00:00"/>
    <n v="1008228"/>
    <n v="3781"/>
    <n v="0"/>
    <n v="9658.61"/>
    <d v="2025-12-04T00:00:00"/>
    <n v="9658.61"/>
    <n v="0"/>
    <s v="NULL"/>
    <s v="PRO"/>
    <n v="96.59"/>
    <n v="9562.02"/>
    <s v="PAID"/>
    <n v="2"/>
    <n v="6182736448266"/>
    <d v="2025-12-12T00:00:00"/>
    <d v="2025-12-04T00:00:00"/>
    <m/>
    <d v="2025-12-12T00:00:00"/>
    <d v="2025-12-11T16:26:00"/>
    <n v="37811008228"/>
    <d v="2025-12-04T00:00:00"/>
    <n v="69360"/>
    <s v="NET 01/10/26"/>
    <n v="206525"/>
    <d v="2025-12-04T00:00:00"/>
    <d v="2025-12-12T00:00:00"/>
    <m/>
    <x v="0"/>
  </r>
  <r>
    <x v="80"/>
    <n v="1008290"/>
    <n v="-50"/>
    <m/>
    <n v="-50"/>
    <m/>
    <n v="-50"/>
    <d v="2025-12-12T00:00:00"/>
    <n v="1008290"/>
    <n v="3781"/>
    <n v="0"/>
    <n v="-50"/>
    <d v="2025-12-04T00:00:00"/>
    <n v="-50"/>
    <n v="0"/>
    <s v="NMCNoINV"/>
    <s v="PRO"/>
    <n v="0"/>
    <n v="-50"/>
    <s v="PAID"/>
    <n v="2"/>
    <n v="6182736448266"/>
    <d v="2025-12-12T00:00:00"/>
    <d v="2025-12-04T00:00:00"/>
    <m/>
    <d v="2025-12-12T00:00:00"/>
    <d v="2025-12-11T16:26:00"/>
    <n v="37811008290"/>
    <d v="2025-12-04T00:00:00"/>
    <s v="N/A"/>
    <s v="NET 01/10/26"/>
    <s v="NMCNoINV"/>
    <d v="2025-12-04T00:00:00"/>
    <d v="2025-12-12T00:00:00"/>
    <m/>
    <x v="0"/>
  </r>
  <r>
    <x v="80"/>
    <n v="1008345"/>
    <n v="3940.42"/>
    <m/>
    <n v="3940.42"/>
    <n v="39.4"/>
    <n v="3901.02"/>
    <d v="2025-12-12T00:00:00"/>
    <n v="1008345"/>
    <n v="3781"/>
    <n v="0"/>
    <n v="3940.42"/>
    <d v="2025-12-05T00:00:00"/>
    <n v="3940.42"/>
    <n v="0"/>
    <s v="A112986"/>
    <s v="HAHNEMUHLE"/>
    <n v="39.4"/>
    <n v="3901.02"/>
    <s v="PAID"/>
    <n v="2"/>
    <n v="6182736448266"/>
    <d v="2025-12-12T00:00:00"/>
    <d v="2025-12-05T00:00:00"/>
    <m/>
    <d v="2025-12-12T00:00:00"/>
    <d v="2025-12-11T16:26:00"/>
    <n v="37811008345"/>
    <d v="2025-12-05T00:00:00"/>
    <n v="69327"/>
    <s v="NET 01/10/26"/>
    <s v="A112986"/>
    <d v="2025-12-05T00:00:00"/>
    <d v="2025-12-12T00:00:00"/>
    <m/>
    <x v="0"/>
  </r>
  <r>
    <x v="80"/>
    <n v="1008371"/>
    <n v="123.48"/>
    <m/>
    <n v="123.48"/>
    <n v="1.23"/>
    <n v="122.25"/>
    <d v="2025-12-12T00:00:00"/>
    <n v="1008371"/>
    <n v="3781"/>
    <n v="0"/>
    <n v="123.48"/>
    <d v="2025-12-05T00:00:00"/>
    <n v="123.48"/>
    <n v="0"/>
    <s v="USW811946"/>
    <s v="NISI"/>
    <n v="1.23"/>
    <n v="122.25"/>
    <s v="PAID"/>
    <n v="2"/>
    <n v="6182736448266"/>
    <d v="2025-12-12T00:00:00"/>
    <d v="2025-12-05T00:00:00"/>
    <m/>
    <d v="2025-12-12T00:00:00"/>
    <d v="2025-12-11T16:26:00"/>
    <n v="37811008371"/>
    <d v="2025-12-05T00:00:00"/>
    <n v="215217"/>
    <s v="NET 01/10/26"/>
    <s v="USW811946"/>
    <d v="2025-12-05T00:00:00"/>
    <d v="2025-12-12T00:00:00"/>
    <m/>
    <x v="0"/>
  </r>
  <r>
    <x v="80"/>
    <n v="1008380"/>
    <n v="280.02999999999997"/>
    <m/>
    <n v="280.02999999999997"/>
    <n v="2.8"/>
    <n v="277.23"/>
    <d v="2025-12-12T00:00:00"/>
    <n v="1008380"/>
    <n v="3781"/>
    <n v="0"/>
    <n v="280.02999999999997"/>
    <d v="2025-12-05T00:00:00"/>
    <n v="280.02999999999997"/>
    <n v="0"/>
    <s v="USW811559"/>
    <s v="NISI"/>
    <n v="2.8"/>
    <n v="277.23"/>
    <s v="PAID"/>
    <n v="2"/>
    <n v="6182736448266"/>
    <d v="2025-12-12T00:00:00"/>
    <d v="2025-12-05T00:00:00"/>
    <m/>
    <d v="2025-12-12T00:00:00"/>
    <d v="2025-12-11T16:26:00"/>
    <n v="37811008380"/>
    <d v="2025-12-05T00:00:00"/>
    <s v="67792HOU"/>
    <s v="NET 01/10/26"/>
    <s v="USW811559"/>
    <d v="2025-12-05T00:00:00"/>
    <d v="2025-12-12T00:00:00"/>
    <m/>
    <x v="0"/>
  </r>
  <r>
    <x v="80"/>
    <n v="1008395"/>
    <n v="1297.56"/>
    <m/>
    <n v="1297.56"/>
    <n v="12.98"/>
    <n v="1284.58"/>
    <d v="2025-12-12T00:00:00"/>
    <n v="1008395"/>
    <n v="3781"/>
    <n v="0"/>
    <n v="1297.56"/>
    <d v="2025-12-05T00:00:00"/>
    <n v="1297.56"/>
    <n v="0"/>
    <n v="67993"/>
    <s v="ROCKY NOOK"/>
    <n v="12.98"/>
    <n v="1284.58"/>
    <s v="PAID"/>
    <n v="2"/>
    <n v="6182736448266"/>
    <d v="2025-12-12T00:00:00"/>
    <d v="2025-12-05T00:00:00"/>
    <m/>
    <d v="2025-12-12T00:00:00"/>
    <d v="2025-12-11T16:26:00"/>
    <n v="37811008395"/>
    <d v="2025-12-05T00:00:00"/>
    <n v="67993"/>
    <s v="NET 01/10/26"/>
    <n v="67993"/>
    <d v="2025-12-05T00:00:00"/>
    <d v="2025-12-12T00:00:00"/>
    <m/>
    <x v="0"/>
  </r>
  <r>
    <x v="80"/>
    <n v="1008408"/>
    <n v="81.25"/>
    <n v="1.63"/>
    <n v="79.62"/>
    <n v="0.81"/>
    <n v="78.81"/>
    <d v="2025-12-12T00:00:00"/>
    <n v="1008408"/>
    <n v="3781"/>
    <n v="1.63"/>
    <n v="81.25"/>
    <d v="2025-12-05T00:00:00"/>
    <n v="79.62"/>
    <n v="1.63"/>
    <s v="NULL"/>
    <s v="PRO"/>
    <n v="0.81"/>
    <n v="78.81"/>
    <s v="PAID"/>
    <n v="2"/>
    <n v="6182736448266"/>
    <d v="2025-12-12T00:00:00"/>
    <d v="2025-12-05T00:00:00"/>
    <m/>
    <d v="2025-12-12T00:00:00"/>
    <d v="2025-12-11T16:26:00"/>
    <n v="37811008408"/>
    <d v="2025-12-05T00:00:00"/>
    <s v="69234HOU"/>
    <s v="2% 01/10/26"/>
    <n v="206796"/>
    <d v="2025-12-05T00:00:00"/>
    <d v="2025-12-12T00:00:00"/>
    <n v="1.625"/>
    <x v="0"/>
  </r>
  <r>
    <x v="80"/>
    <n v="1008450"/>
    <n v="491.01"/>
    <n v="9.82"/>
    <n v="481.19"/>
    <n v="4.91"/>
    <n v="476.28"/>
    <d v="2025-12-12T00:00:00"/>
    <n v="1008450"/>
    <n v="3781"/>
    <n v="9.82"/>
    <n v="491.01"/>
    <d v="2025-12-05T00:00:00"/>
    <n v="481.19"/>
    <n v="9.82"/>
    <s v="NULL"/>
    <s v="PRO"/>
    <n v="4.91"/>
    <n v="476.28"/>
    <s v="PAID"/>
    <n v="2"/>
    <n v="6182736448266"/>
    <d v="2025-12-12T00:00:00"/>
    <d v="2025-12-05T00:00:00"/>
    <m/>
    <d v="2025-12-12T00:00:00"/>
    <d v="2025-12-11T16:26:00"/>
    <n v="37811008450"/>
    <d v="2025-12-05T00:00:00"/>
    <n v="69177"/>
    <s v="2% 01/10/26"/>
    <n v="206602"/>
    <d v="2025-12-05T00:00:00"/>
    <d v="2025-12-12T00:00:00"/>
    <n v="9.8201999999999998"/>
    <x v="0"/>
  </r>
  <r>
    <x v="80"/>
    <n v="1008452"/>
    <n v="398"/>
    <n v="7.96"/>
    <n v="390.04"/>
    <n v="3.98"/>
    <n v="386.06"/>
    <d v="2025-12-12T00:00:00"/>
    <n v="1008452"/>
    <n v="3781"/>
    <n v="7.96"/>
    <n v="398"/>
    <d v="2025-12-05T00:00:00"/>
    <n v="390.04"/>
    <n v="7.96"/>
    <s v="NULL"/>
    <s v="PRO"/>
    <n v="3.98"/>
    <n v="386.06"/>
    <s v="PAID"/>
    <n v="2"/>
    <n v="6182736448266"/>
    <d v="2025-12-12T00:00:00"/>
    <d v="2025-12-05T00:00:00"/>
    <m/>
    <d v="2025-12-12T00:00:00"/>
    <d v="2025-12-11T16:26:00"/>
    <n v="37811008452"/>
    <d v="2025-12-05T00:00:00"/>
    <n v="68536"/>
    <s v="2% 01/10/26"/>
    <n v="206600"/>
    <d v="2025-12-05T00:00:00"/>
    <d v="2025-12-12T00:00:00"/>
    <n v="7.96"/>
    <x v="0"/>
  </r>
  <r>
    <x v="80"/>
    <n v="1008453"/>
    <n v="81.25"/>
    <n v="1.63"/>
    <n v="79.62"/>
    <n v="0.81"/>
    <n v="78.81"/>
    <d v="2025-12-12T00:00:00"/>
    <n v="1008453"/>
    <n v="3781"/>
    <n v="1.63"/>
    <n v="81.25"/>
    <d v="2025-12-05T00:00:00"/>
    <n v="79.62"/>
    <n v="1.63"/>
    <s v="NULL"/>
    <s v="PRO"/>
    <n v="0.81"/>
    <n v="78.81"/>
    <s v="PAID"/>
    <n v="2"/>
    <n v="6182736448266"/>
    <d v="2025-12-12T00:00:00"/>
    <d v="2025-12-05T00:00:00"/>
    <m/>
    <d v="2025-12-12T00:00:00"/>
    <d v="2025-12-11T16:26:00"/>
    <n v="37811008453"/>
    <d v="2025-12-05T00:00:00"/>
    <s v="69088HOU"/>
    <s v="2% 01/10/26"/>
    <n v="206604"/>
    <d v="2025-12-05T00:00:00"/>
    <d v="2025-12-12T00:00:00"/>
    <n v="1.625"/>
    <x v="0"/>
  </r>
  <r>
    <x v="80"/>
    <n v="1008455"/>
    <n v="199"/>
    <n v="3.98"/>
    <n v="195.02"/>
    <n v="1.99"/>
    <n v="193.03"/>
    <d v="2025-12-12T00:00:00"/>
    <n v="1008455"/>
    <n v="3781"/>
    <n v="3.98"/>
    <n v="199"/>
    <d v="2025-12-05T00:00:00"/>
    <n v="195.02"/>
    <n v="3.98"/>
    <s v="NULL"/>
    <s v="PRO"/>
    <n v="1.99"/>
    <n v="193.03"/>
    <s v="PAID"/>
    <n v="2"/>
    <n v="6182736448266"/>
    <d v="2025-12-12T00:00:00"/>
    <d v="2025-12-05T00:00:00"/>
    <m/>
    <d v="2025-12-12T00:00:00"/>
    <d v="2025-12-11T16:26:00"/>
    <n v="37811008455"/>
    <d v="2025-12-05T00:00:00"/>
    <s v="68658HOU"/>
    <s v="2% 01/10/26"/>
    <n v="206603"/>
    <d v="2025-12-05T00:00:00"/>
    <d v="2025-12-12T00:00:00"/>
    <n v="3.98"/>
    <x v="0"/>
  </r>
  <r>
    <x v="80"/>
    <n v="1008458"/>
    <n v="442.5"/>
    <n v="8.85"/>
    <n v="433.65"/>
    <n v="4.42"/>
    <n v="429.23"/>
    <d v="2025-12-12T00:00:00"/>
    <n v="1008458"/>
    <n v="3781"/>
    <n v="8.85"/>
    <n v="442.5"/>
    <d v="2025-12-05T00:00:00"/>
    <n v="433.65"/>
    <n v="8.85"/>
    <s v="NULL"/>
    <s v="PRO"/>
    <n v="4.42"/>
    <n v="429.23"/>
    <s v="PAID"/>
    <n v="2"/>
    <n v="6182736448266"/>
    <d v="2025-12-12T00:00:00"/>
    <d v="2025-12-05T00:00:00"/>
    <m/>
    <d v="2025-12-12T00:00:00"/>
    <d v="2025-12-11T16:26:00"/>
    <n v="37811008458"/>
    <d v="2025-12-05T00:00:00"/>
    <n v="68684"/>
    <s v="2% 01/10/26"/>
    <n v="206601"/>
    <d v="2025-12-05T00:00:00"/>
    <d v="2025-12-12T00:00:00"/>
    <n v="8.85"/>
    <x v="0"/>
  </r>
  <r>
    <x v="80"/>
    <n v="1008528"/>
    <n v="1259.96"/>
    <m/>
    <n v="1259.96"/>
    <n v="12.6"/>
    <n v="1247.3599999999999"/>
    <d v="2025-12-12T00:00:00"/>
    <n v="1008528"/>
    <n v="3781"/>
    <n v="0"/>
    <n v="1259.96"/>
    <d v="2025-12-05T00:00:00"/>
    <n v="1259.96"/>
    <n v="0"/>
    <s v="NULL"/>
    <s v="PRO"/>
    <n v="12.6"/>
    <n v="1247.3599999999999"/>
    <s v="PAID"/>
    <n v="2"/>
    <n v="6182736448266"/>
    <d v="2025-12-12T00:00:00"/>
    <d v="2025-12-05T00:00:00"/>
    <m/>
    <d v="2025-12-12T00:00:00"/>
    <d v="2025-12-11T16:26:00"/>
    <n v="37811008528"/>
    <d v="2025-12-05T00:00:00"/>
    <n v="69360"/>
    <s v="NET 01/10/26"/>
    <n v="206805"/>
    <d v="2025-12-05T00:00:00"/>
    <d v="2025-12-12T00:00:00"/>
    <m/>
    <x v="0"/>
  </r>
  <r>
    <x v="80"/>
    <n v="1008578"/>
    <n v="-250"/>
    <m/>
    <n v="-250"/>
    <m/>
    <n v="-250"/>
    <d v="2025-12-12T00:00:00"/>
    <n v="1008578"/>
    <n v="3781"/>
    <n v="0"/>
    <n v="-250"/>
    <d v="2025-12-08T00:00:00"/>
    <n v="-250"/>
    <n v="0"/>
    <n v="1008578"/>
    <s v="PRO"/>
    <n v="0"/>
    <n v="-250"/>
    <s v="PAID"/>
    <n v="2"/>
    <n v="6182736448266"/>
    <d v="2025-12-12T00:00:00"/>
    <d v="2025-12-08T00:00:00"/>
    <m/>
    <d v="2025-12-12T00:00:00"/>
    <d v="2025-12-11T16:26:00"/>
    <n v="37811008578"/>
    <d v="2025-12-08T00:00:00"/>
    <s v="N/A"/>
    <s v="NET 01/10/26"/>
    <s v="NMC103696690x"/>
    <d v="2025-12-08T00:00:00"/>
    <d v="2025-12-12T00:00:00"/>
    <m/>
    <x v="0"/>
  </r>
  <r>
    <x v="80"/>
    <n v="1008579"/>
    <n v="-250"/>
    <m/>
    <n v="-250"/>
    <m/>
    <n v="-250"/>
    <d v="2025-12-12T00:00:00"/>
    <n v="1008579"/>
    <n v="3781"/>
    <n v="0"/>
    <n v="-250"/>
    <d v="2025-12-08T00:00:00"/>
    <n v="-250"/>
    <n v="0"/>
    <n v="1008579"/>
    <s v="PRO"/>
    <n v="0"/>
    <n v="-250"/>
    <s v="PAID"/>
    <n v="2"/>
    <n v="6182736448266"/>
    <d v="2025-12-12T00:00:00"/>
    <d v="2025-12-08T00:00:00"/>
    <m/>
    <d v="2025-12-12T00:00:00"/>
    <d v="2025-12-11T16:26:00"/>
    <n v="37811008579"/>
    <d v="2025-12-08T00:00:00"/>
    <s v="N/A"/>
    <s v="NET 01/10/26"/>
    <s v="NMC103695844x"/>
    <d v="2025-12-08T00:00:00"/>
    <d v="2025-12-12T00:00:00"/>
    <m/>
    <x v="0"/>
  </r>
  <r>
    <x v="80"/>
    <n v="1008587"/>
    <n v="-3121.61"/>
    <m/>
    <n v="-3121.61"/>
    <m/>
    <n v="-3121.61"/>
    <d v="2025-12-12T00:00:00"/>
    <n v="1008587"/>
    <n v="3781"/>
    <n v="0"/>
    <n v="-3121.61"/>
    <d v="2025-12-08T00:00:00"/>
    <n v="-3121.61"/>
    <n v="0"/>
    <n v="1008587"/>
    <s v="PRO"/>
    <n v="0"/>
    <n v="-3121.61"/>
    <s v="PAID"/>
    <n v="2"/>
    <n v="6182736448266"/>
    <d v="2025-12-12T00:00:00"/>
    <d v="2025-12-08T00:00:00"/>
    <m/>
    <d v="2025-12-12T00:00:00"/>
    <d v="2025-12-11T16:26:00"/>
    <n v="37811008587"/>
    <d v="2025-12-08T00:00:00"/>
    <s v="N/A"/>
    <s v="NET 01/10/26"/>
    <s v="NMCNoINV"/>
    <d v="2025-12-08T00:00:00"/>
    <d v="2025-12-12T00:00:00"/>
    <m/>
    <x v="0"/>
  </r>
  <r>
    <x v="80"/>
    <n v="1008588"/>
    <n v="-1500"/>
    <m/>
    <n v="-1500"/>
    <m/>
    <n v="-1500"/>
    <d v="2025-12-12T00:00:00"/>
    <n v="1008588"/>
    <n v="3781"/>
    <n v="0"/>
    <n v="-1500"/>
    <d v="2025-12-08T00:00:00"/>
    <n v="-1500"/>
    <n v="0"/>
    <n v="1008588"/>
    <s v="PRO"/>
    <n v="0"/>
    <n v="-1500"/>
    <s v="PAID"/>
    <n v="2"/>
    <n v="6182736448266"/>
    <d v="2025-12-12T00:00:00"/>
    <d v="2025-12-08T00:00:00"/>
    <m/>
    <d v="2025-12-12T00:00:00"/>
    <d v="2025-12-11T16:26:00"/>
    <n v="37811008588"/>
    <d v="2025-12-08T00:00:00"/>
    <s v="N/A"/>
    <s v="NET 01/10/26"/>
    <s v="NMCNoINV"/>
    <d v="2025-12-08T00:00:00"/>
    <d v="2025-12-12T00:00:00"/>
    <m/>
    <x v="0"/>
  </r>
  <r>
    <x v="80"/>
    <n v="1008938"/>
    <n v="-639"/>
    <m/>
    <n v="-639"/>
    <m/>
    <n v="-639"/>
    <d v="2025-12-12T00:00:00"/>
    <n v="1008938"/>
    <n v="3781"/>
    <n v="0"/>
    <n v="-639"/>
    <d v="2025-12-09T00:00:00"/>
    <n v="-639"/>
    <n v="0"/>
    <n v="1008938"/>
    <s v="PRO"/>
    <n v="0"/>
    <n v="-639"/>
    <s v="PAID"/>
    <n v="2"/>
    <n v="6182736448266"/>
    <d v="2025-12-12T00:00:00"/>
    <d v="2025-12-09T00:00:00"/>
    <m/>
    <d v="2025-12-12T00:00:00"/>
    <d v="2025-12-11T16:26:00"/>
    <n v="37811008938"/>
    <d v="2025-12-09T00:00:00"/>
    <n v="142087"/>
    <s v="NET 01/10/26"/>
    <n v="53532"/>
    <d v="2025-12-09T00:00:00"/>
    <d v="2025-12-12T00:00:00"/>
    <m/>
    <x v="0"/>
  </r>
  <r>
    <x v="80"/>
    <n v="1008941"/>
    <n v="-179.74"/>
    <m/>
    <n v="-179.74"/>
    <m/>
    <n v="-179.74"/>
    <d v="2025-12-12T00:00:00"/>
    <n v="1008941"/>
    <n v="3781"/>
    <n v="0"/>
    <n v="-179.74"/>
    <d v="2025-12-09T00:00:00"/>
    <n v="-179.74"/>
    <n v="0"/>
    <n v="1008941"/>
    <s v="PRO"/>
    <n v="0"/>
    <n v="-179.74"/>
    <s v="PAID"/>
    <n v="2"/>
    <n v="6182736448266"/>
    <d v="2025-12-12T00:00:00"/>
    <d v="2025-12-09T00:00:00"/>
    <m/>
    <d v="2025-12-12T00:00:00"/>
    <d v="2025-12-11T16:26:00"/>
    <n v="37811008941"/>
    <d v="2025-12-09T00:00:00"/>
    <n v="142087"/>
    <s v="NET 01/10/26"/>
    <n v="53536"/>
    <d v="2025-12-09T00:00:00"/>
    <d v="2025-12-12T00:00:00"/>
    <m/>
    <x v="0"/>
  </r>
  <r>
    <x v="80"/>
    <n v="1008945"/>
    <n v="-1134"/>
    <m/>
    <n v="-1134"/>
    <m/>
    <n v="-1134"/>
    <d v="2025-12-12T00:00:00"/>
    <n v="1008945"/>
    <n v="3781"/>
    <n v="0"/>
    <n v="-1134"/>
    <d v="2025-12-09T00:00:00"/>
    <n v="-1134"/>
    <n v="0"/>
    <n v="1008945"/>
    <s v="PRO"/>
    <n v="0"/>
    <n v="-1134"/>
    <s v="PAID"/>
    <n v="2"/>
    <n v="6182736448266"/>
    <d v="2025-12-12T00:00:00"/>
    <d v="2025-12-09T00:00:00"/>
    <m/>
    <d v="2025-12-12T00:00:00"/>
    <d v="2025-12-11T16:26:00"/>
    <n v="37811008945"/>
    <d v="2025-12-09T00:00:00"/>
    <s v="1335824/N"/>
    <s v="NET 01/10/26"/>
    <s v="OLYM112281"/>
    <d v="2025-12-09T00:00:00"/>
    <d v="2025-12-12T00:00:00"/>
    <m/>
    <x v="0"/>
  </r>
  <r>
    <x v="80"/>
    <n v="1009050"/>
    <n v="-640"/>
    <m/>
    <n v="-640"/>
    <m/>
    <n v="-640"/>
    <d v="2025-12-12T00:00:00"/>
    <n v="1009050"/>
    <n v="3781"/>
    <n v="0"/>
    <n v="-640"/>
    <d v="2025-12-09T00:00:00"/>
    <n v="-640"/>
    <n v="0"/>
    <n v="1009050"/>
    <s v="PRO"/>
    <n v="0"/>
    <n v="-640"/>
    <s v="PAID"/>
    <n v="2"/>
    <n v="6182736448266"/>
    <d v="2025-12-12T00:00:00"/>
    <d v="2025-12-09T00:00:00"/>
    <m/>
    <d v="2025-12-12T00:00:00"/>
    <d v="2025-12-11T16:26:00"/>
    <n v="37811009050"/>
    <d v="2025-12-09T00:00:00"/>
    <n v="1352475"/>
    <s v="NET 01/10/26"/>
    <s v="PANA112528"/>
    <d v="2025-12-09T00:00:00"/>
    <d v="2025-12-12T00:00:00"/>
    <m/>
    <x v="0"/>
  </r>
  <r>
    <x v="80"/>
    <n v="1009051"/>
    <n v="-4379.96"/>
    <m/>
    <n v="-4379.96"/>
    <m/>
    <n v="-4379.96"/>
    <d v="2025-12-12T00:00:00"/>
    <n v="1009051"/>
    <n v="3781"/>
    <n v="0"/>
    <n v="-4379.96"/>
    <d v="2025-12-09T00:00:00"/>
    <n v="-4379.96"/>
    <n v="0"/>
    <n v="1009051"/>
    <s v="PRO"/>
    <n v="0"/>
    <n v="-4379.96"/>
    <s v="PAID"/>
    <n v="2"/>
    <n v="6182736448266"/>
    <d v="2025-12-12T00:00:00"/>
    <d v="2025-12-09T00:00:00"/>
    <m/>
    <d v="2025-12-12T00:00:00"/>
    <d v="2025-12-11T16:26:00"/>
    <n v="37811009051"/>
    <d v="2025-12-09T00:00:00"/>
    <s v="N1352474"/>
    <s v="NET 01/10/26"/>
    <s v="PANA112529"/>
    <d v="2025-12-09T00:00:00"/>
    <d v="2025-12-12T00:00:00"/>
    <m/>
    <x v="0"/>
  </r>
  <r>
    <x v="80"/>
    <n v="1009052"/>
    <n v="-2000"/>
    <m/>
    <n v="-2000"/>
    <m/>
    <n v="-2000"/>
    <d v="2025-12-12T00:00:00"/>
    <n v="1009052"/>
    <n v="3781"/>
    <n v="0"/>
    <n v="-2000"/>
    <d v="2025-12-09T00:00:00"/>
    <n v="-2000"/>
    <n v="0"/>
    <n v="1009052"/>
    <s v="PRO"/>
    <n v="0"/>
    <n v="-2000"/>
    <s v="PAID"/>
    <n v="2"/>
    <n v="6182736448266"/>
    <d v="2025-12-12T00:00:00"/>
    <d v="2025-12-09T00:00:00"/>
    <m/>
    <d v="2025-12-12T00:00:00"/>
    <d v="2025-12-11T16:26:00"/>
    <n v="37811009052"/>
    <d v="2025-12-09T00:00:00"/>
    <s v="N1352474"/>
    <s v="NET 01/10/26"/>
    <s v="PANA112530"/>
    <d v="2025-12-09T00:00:00"/>
    <d v="2025-12-12T00:00:00"/>
    <m/>
    <x v="0"/>
  </r>
  <r>
    <x v="80"/>
    <n v="1009053"/>
    <n v="-160"/>
    <m/>
    <n v="-160"/>
    <m/>
    <n v="-160"/>
    <d v="2025-12-12T00:00:00"/>
    <n v="1009053"/>
    <n v="3781"/>
    <n v="0"/>
    <n v="-160"/>
    <d v="2025-12-09T00:00:00"/>
    <n v="-160"/>
    <n v="0"/>
    <n v="1009053"/>
    <s v="PRO"/>
    <n v="0"/>
    <n v="-160"/>
    <s v="PAID"/>
    <n v="2"/>
    <n v="6182736448266"/>
    <d v="2025-12-12T00:00:00"/>
    <d v="2025-12-09T00:00:00"/>
    <m/>
    <d v="2025-12-12T00:00:00"/>
    <d v="2025-12-11T16:26:00"/>
    <n v="37811009053"/>
    <d v="2025-12-09T00:00:00"/>
    <s v="N1352474"/>
    <s v="NET 01/10/26"/>
    <s v="PANA112531"/>
    <d v="2025-12-09T00:00:00"/>
    <d v="2025-12-12T00:00:00"/>
    <m/>
    <x v="0"/>
  </r>
  <r>
    <x v="80"/>
    <n v="1009054"/>
    <n v="-2399.94"/>
    <m/>
    <n v="-2399.94"/>
    <m/>
    <n v="-2399.94"/>
    <d v="2025-12-12T00:00:00"/>
    <n v="1009054"/>
    <n v="3781"/>
    <n v="0"/>
    <n v="-2399.94"/>
    <d v="2025-12-09T00:00:00"/>
    <n v="-2399.94"/>
    <n v="0"/>
    <n v="1009054"/>
    <s v="PRO"/>
    <n v="0"/>
    <n v="-2399.94"/>
    <s v="PAID"/>
    <n v="2"/>
    <n v="6182736448266"/>
    <d v="2025-12-12T00:00:00"/>
    <d v="2025-12-09T00:00:00"/>
    <m/>
    <d v="2025-12-12T00:00:00"/>
    <d v="2025-12-11T16:26:00"/>
    <n v="37811009054"/>
    <d v="2025-12-09T00:00:00"/>
    <s v="N1352474"/>
    <s v="NET 01/10/26"/>
    <s v="PANA112532"/>
    <d v="2025-12-09T00:00:00"/>
    <d v="2025-12-12T00:00:00"/>
    <m/>
    <x v="0"/>
  </r>
  <r>
    <x v="80"/>
    <n v="1009055"/>
    <n v="-1255.5"/>
    <m/>
    <n v="-1255.5"/>
    <m/>
    <n v="-1255.5"/>
    <d v="2025-12-12T00:00:00"/>
    <n v="1009055"/>
    <n v="3781"/>
    <n v="0"/>
    <n v="-1255.5"/>
    <d v="2025-12-09T00:00:00"/>
    <n v="-1255.5"/>
    <n v="0"/>
    <n v="1009055"/>
    <s v="PRO"/>
    <n v="0"/>
    <n v="-1255.5"/>
    <s v="PAID"/>
    <n v="2"/>
    <n v="6182736448266"/>
    <d v="2025-12-12T00:00:00"/>
    <d v="2025-12-09T00:00:00"/>
    <m/>
    <d v="2025-12-12T00:00:00"/>
    <d v="2025-12-11T16:26:00"/>
    <n v="37811009055"/>
    <d v="2025-12-09T00:00:00"/>
    <s v="N1352476"/>
    <s v="NET 01/10/26"/>
    <s v="OLYM112533"/>
    <d v="2025-12-09T00:00:00"/>
    <d v="2025-12-12T00:00:00"/>
    <m/>
    <x v="0"/>
  </r>
  <r>
    <x v="80"/>
    <n v="1009056"/>
    <n v="-729"/>
    <m/>
    <n v="-729"/>
    <m/>
    <n v="-729"/>
    <d v="2025-12-12T00:00:00"/>
    <n v="1009056"/>
    <n v="3781"/>
    <n v="0"/>
    <n v="-729"/>
    <d v="2025-12-09T00:00:00"/>
    <n v="-729"/>
    <n v="0"/>
    <n v="1009056"/>
    <s v="PRO"/>
    <n v="0"/>
    <n v="-729"/>
    <s v="PAID"/>
    <n v="2"/>
    <n v="6182736448266"/>
    <d v="2025-12-12T00:00:00"/>
    <d v="2025-12-09T00:00:00"/>
    <m/>
    <d v="2025-12-12T00:00:00"/>
    <d v="2025-12-11T16:26:00"/>
    <n v="37811009056"/>
    <d v="2025-12-09T00:00:00"/>
    <s v="N1352476"/>
    <s v="NET 01/10/26"/>
    <s v="OLYM112534"/>
    <d v="2025-12-09T00:00:00"/>
    <d v="2025-12-12T00:00:00"/>
    <m/>
    <x v="0"/>
  </r>
  <r>
    <x v="80"/>
    <n v="1009057"/>
    <n v="-324"/>
    <m/>
    <n v="-324"/>
    <m/>
    <n v="-324"/>
    <d v="2025-12-12T00:00:00"/>
    <n v="1009057"/>
    <n v="3781"/>
    <n v="0"/>
    <n v="-324"/>
    <d v="2025-12-09T00:00:00"/>
    <n v="-324"/>
    <n v="0"/>
    <n v="1009057"/>
    <s v="PRO"/>
    <n v="0"/>
    <n v="-324"/>
    <s v="PAID"/>
    <n v="2"/>
    <n v="6182736448266"/>
    <d v="2025-12-12T00:00:00"/>
    <d v="2025-12-09T00:00:00"/>
    <m/>
    <d v="2025-12-12T00:00:00"/>
    <d v="2025-12-11T16:26:00"/>
    <n v="37811009057"/>
    <d v="2025-12-09T00:00:00"/>
    <n v="1352477"/>
    <s v="NET 01/10/26"/>
    <s v="OLYM112535"/>
    <d v="2025-12-09T00:00:00"/>
    <d v="2025-12-12T00:00:00"/>
    <m/>
    <x v="0"/>
  </r>
  <r>
    <x v="80"/>
    <n v="1009058"/>
    <n v="-850.5"/>
    <m/>
    <n v="-850.5"/>
    <m/>
    <n v="-850.5"/>
    <d v="2025-12-12T00:00:00"/>
    <n v="1009058"/>
    <n v="3781"/>
    <n v="0"/>
    <n v="-850.5"/>
    <d v="2025-12-09T00:00:00"/>
    <n v="-850.5"/>
    <n v="0"/>
    <n v="1009058"/>
    <s v="PRO"/>
    <n v="0"/>
    <n v="-850.5"/>
    <s v="PAID"/>
    <n v="2"/>
    <n v="6182736448266"/>
    <d v="2025-12-12T00:00:00"/>
    <d v="2025-12-09T00:00:00"/>
    <m/>
    <d v="2025-12-12T00:00:00"/>
    <d v="2025-12-11T16:26:00"/>
    <n v="37811009058"/>
    <d v="2025-12-09T00:00:00"/>
    <n v="1352477"/>
    <s v="NET 01/10/26"/>
    <s v="OLYM112536"/>
    <d v="2025-12-09T00:00:00"/>
    <d v="2025-12-12T00:00:00"/>
    <m/>
    <x v="0"/>
  </r>
  <r>
    <x v="80"/>
    <n v="1009059"/>
    <n v="-850.5"/>
    <m/>
    <n v="-850.5"/>
    <m/>
    <n v="-850.5"/>
    <d v="2025-12-12T00:00:00"/>
    <n v="1009059"/>
    <n v="3781"/>
    <n v="0"/>
    <n v="-850.5"/>
    <d v="2025-12-09T00:00:00"/>
    <n v="-850.5"/>
    <n v="0"/>
    <n v="1009059"/>
    <s v="PRO"/>
    <n v="0"/>
    <n v="-850.5"/>
    <s v="PAID"/>
    <n v="2"/>
    <n v="6182736448266"/>
    <d v="2025-12-12T00:00:00"/>
    <d v="2025-12-09T00:00:00"/>
    <m/>
    <d v="2025-12-12T00:00:00"/>
    <d v="2025-12-11T16:26:00"/>
    <n v="37811009059"/>
    <d v="2025-12-09T00:00:00"/>
    <n v="1352477"/>
    <s v="NET 01/10/26"/>
    <s v="OLYM112537"/>
    <d v="2025-12-09T00:00:00"/>
    <d v="2025-12-12T00:00:00"/>
    <m/>
    <x v="0"/>
  </r>
  <r>
    <x v="81"/>
    <n v="1007316"/>
    <n v="77.739999999999995"/>
    <n v="1.55"/>
    <n v="76.19"/>
    <n v="0.78"/>
    <n v="75.41"/>
    <d v="2025-12-12T00:00:00"/>
    <n v="1007316"/>
    <n v="3788"/>
    <n v="1.55"/>
    <n v="77.739999999999995"/>
    <d v="2025-12-01T00:00:00"/>
    <n v="76.19"/>
    <n v="1.55"/>
    <s v="NULL"/>
    <s v="PRO"/>
    <n v="0.78"/>
    <n v="75.41"/>
    <s v="PAID"/>
    <n v="2"/>
    <n v="6020953988843"/>
    <d v="2025-12-12T00:00:00"/>
    <d v="2025-12-01T00:00:00"/>
    <m/>
    <d v="2025-12-12T00:00:00"/>
    <d v="2025-12-08T11:31:00"/>
    <n v="37881007316"/>
    <d v="2025-12-01T00:00:00"/>
    <n v="8505"/>
    <s v="2% 01/10/26"/>
    <n v="205837"/>
    <d v="2025-12-01T00:00:00"/>
    <d v="2025-12-12T00:00:00"/>
    <n v="1.5548"/>
    <x v="0"/>
  </r>
  <r>
    <x v="81"/>
    <n v="1007318"/>
    <n v="66.36"/>
    <n v="1.33"/>
    <n v="65.03"/>
    <n v="0.66"/>
    <n v="64.37"/>
    <d v="2025-12-12T00:00:00"/>
    <n v="1007318"/>
    <n v="3788"/>
    <n v="1.33"/>
    <n v="66.36"/>
    <d v="2025-12-01T00:00:00"/>
    <n v="65.03"/>
    <n v="1.33"/>
    <s v="NULL"/>
    <s v="PRO"/>
    <n v="0.66"/>
    <n v="64.37"/>
    <s v="PAID"/>
    <n v="2"/>
    <n v="6020953988843"/>
    <d v="2025-12-12T00:00:00"/>
    <d v="2025-12-01T00:00:00"/>
    <m/>
    <d v="2025-12-12T00:00:00"/>
    <d v="2025-12-08T11:31:00"/>
    <n v="37881007318"/>
    <d v="2025-12-01T00:00:00"/>
    <s v="8230-1"/>
    <s v="2% 01/10/26"/>
    <n v="205835"/>
    <d v="2025-12-01T00:00:00"/>
    <d v="2025-12-12T00:00:00"/>
    <n v="1.3271999999999999"/>
    <x v="0"/>
  </r>
  <r>
    <x v="81"/>
    <n v="1007324"/>
    <n v="66.36"/>
    <n v="1.33"/>
    <n v="65.03"/>
    <n v="0.66"/>
    <n v="64.37"/>
    <d v="2025-12-12T00:00:00"/>
    <n v="1007324"/>
    <n v="3788"/>
    <n v="1.33"/>
    <n v="66.36"/>
    <d v="2025-12-01T00:00:00"/>
    <n v="65.03"/>
    <n v="1.33"/>
    <s v="NULL"/>
    <s v="PRO"/>
    <n v="0.66"/>
    <n v="64.37"/>
    <s v="PAID"/>
    <n v="2"/>
    <n v="6020953988843"/>
    <d v="2025-12-12T00:00:00"/>
    <d v="2025-12-01T00:00:00"/>
    <m/>
    <d v="2025-12-12T00:00:00"/>
    <d v="2025-12-08T11:31:00"/>
    <n v="37881007324"/>
    <d v="2025-12-01T00:00:00"/>
    <n v="8376"/>
    <s v="2% 01/10/26"/>
    <n v="205836"/>
    <d v="2025-12-01T00:00:00"/>
    <d v="2025-12-12T00:00:00"/>
    <n v="1.3271999999999999"/>
    <x v="0"/>
  </r>
  <r>
    <x v="81"/>
    <n v="1007389"/>
    <n v="31.74"/>
    <n v="0.63"/>
    <n v="31.11"/>
    <n v="0.32"/>
    <n v="30.79"/>
    <d v="2025-12-12T00:00:00"/>
    <n v="1007389"/>
    <n v="3788"/>
    <n v="0.63"/>
    <n v="31.74"/>
    <d v="2025-12-01T00:00:00"/>
    <n v="31.11"/>
    <n v="0.63"/>
    <s v="NULL"/>
    <s v="PRO"/>
    <n v="0.32"/>
    <n v="30.79"/>
    <s v="PAID"/>
    <n v="2"/>
    <n v="6020953988843"/>
    <d v="2025-12-12T00:00:00"/>
    <d v="2025-12-01T00:00:00"/>
    <m/>
    <d v="2025-12-12T00:00:00"/>
    <d v="2025-12-08T11:31:00"/>
    <n v="37881007389"/>
    <d v="2025-12-01T00:00:00"/>
    <n v="8003"/>
    <s v="2% 01/10/26"/>
    <n v="205972"/>
    <d v="2025-12-01T00:00:00"/>
    <d v="2025-12-12T00:00:00"/>
    <n v="0.63480000000000003"/>
    <x v="0"/>
  </r>
  <r>
    <x v="81"/>
    <n v="1007493"/>
    <n v="39.840000000000003"/>
    <n v="0.8"/>
    <n v="39.04"/>
    <n v="0.4"/>
    <n v="38.64"/>
    <d v="2025-12-12T00:00:00"/>
    <n v="1007493"/>
    <n v="3788"/>
    <n v="0.8"/>
    <n v="39.840000000000003"/>
    <d v="2025-12-01T00:00:00"/>
    <n v="39.04"/>
    <n v="0.8"/>
    <s v="NULL"/>
    <s v="PRO"/>
    <n v="0.4"/>
    <n v="38.64"/>
    <s v="PAID"/>
    <n v="2"/>
    <n v="6020953988843"/>
    <d v="2025-12-12T00:00:00"/>
    <d v="2025-12-01T00:00:00"/>
    <m/>
    <d v="2025-12-12T00:00:00"/>
    <d v="2025-12-08T11:31:00"/>
    <n v="37881007493"/>
    <d v="2025-12-01T00:00:00"/>
    <n v="8406"/>
    <s v="2% 01/10/26"/>
    <n v="206014"/>
    <d v="2025-12-01T00:00:00"/>
    <d v="2025-12-12T00:00:00"/>
    <n v="0.79680000000000006"/>
    <x v="0"/>
  </r>
  <r>
    <x v="81"/>
    <n v="1007616"/>
    <n v="350"/>
    <m/>
    <n v="350"/>
    <n v="3.5"/>
    <n v="346.5"/>
    <d v="2025-12-12T00:00:00"/>
    <n v="1007616"/>
    <n v="3788"/>
    <n v="0"/>
    <n v="350"/>
    <d v="2025-12-02T00:00:00"/>
    <n v="350"/>
    <n v="0"/>
    <s v="NULL"/>
    <s v="PRO"/>
    <n v="3.5"/>
    <n v="346.5"/>
    <s v="PAID"/>
    <n v="2"/>
    <n v="6020953988843"/>
    <d v="2025-12-12T00:00:00"/>
    <d v="2025-12-02T00:00:00"/>
    <m/>
    <d v="2025-12-12T00:00:00"/>
    <d v="2025-12-08T11:31:00"/>
    <n v="37881007616"/>
    <d v="2025-12-02T00:00:00"/>
    <s v="NULL"/>
    <s v="NET DUE 10TH"/>
    <s v="NULL"/>
    <d v="2025-12-02T00:00:00"/>
    <d v="2025-12-12T00:00:00"/>
    <m/>
    <x v="0"/>
  </r>
  <r>
    <x v="81"/>
    <n v="1007846"/>
    <n v="5099.84"/>
    <m/>
    <n v="5099.84"/>
    <n v="51"/>
    <n v="5048.84"/>
    <d v="2025-12-12T00:00:00"/>
    <n v="1007846"/>
    <n v="3788"/>
    <n v="0"/>
    <n v="5099.84"/>
    <d v="2025-12-02T00:00:00"/>
    <n v="5099.84"/>
    <n v="0"/>
    <s v="NULL"/>
    <s v="PRO"/>
    <n v="51"/>
    <n v="5048.84"/>
    <s v="PAID"/>
    <n v="2"/>
    <n v="6020953988843"/>
    <d v="2025-12-12T00:00:00"/>
    <d v="2025-12-02T00:00:00"/>
    <m/>
    <d v="2025-12-12T00:00:00"/>
    <d v="2025-12-08T11:31:00"/>
    <n v="37881007846"/>
    <d v="2025-12-02T00:00:00"/>
    <n v="8549"/>
    <s v="NET 01/10/26"/>
    <n v="206120"/>
    <d v="2025-12-02T00:00:00"/>
    <d v="2025-12-12T00:00:00"/>
    <m/>
    <x v="0"/>
  </r>
  <r>
    <x v="81"/>
    <n v="1008045"/>
    <n v="75.84"/>
    <n v="1.52"/>
    <n v="74.319999999999993"/>
    <n v="0.76"/>
    <n v="73.56"/>
    <d v="2025-12-12T00:00:00"/>
    <n v="1008045"/>
    <n v="3788"/>
    <n v="1.52"/>
    <n v="75.84"/>
    <d v="2025-12-03T00:00:00"/>
    <n v="74.319999999999993"/>
    <n v="1.52"/>
    <s v="NULL"/>
    <s v="PRO"/>
    <n v="0.76"/>
    <n v="73.56"/>
    <s v="PAID"/>
    <n v="2"/>
    <n v="6020953988843"/>
    <d v="2025-12-12T00:00:00"/>
    <d v="2025-12-03T00:00:00"/>
    <m/>
    <d v="2025-12-12T00:00:00"/>
    <d v="2025-12-08T11:31:00"/>
    <n v="37881008045"/>
    <d v="2025-12-03T00:00:00"/>
    <n v="8505"/>
    <s v="2% 01/10/26"/>
    <n v="206071"/>
    <d v="2025-12-03T00:00:00"/>
    <d v="2025-12-12T00:00:00"/>
    <n v="1.5168000000000001"/>
    <x v="0"/>
  </r>
  <r>
    <x v="81"/>
    <n v="1008201"/>
    <n v="869.96"/>
    <m/>
    <n v="869.96"/>
    <n v="8.6999999999999993"/>
    <n v="861.26"/>
    <d v="2025-12-12T00:00:00"/>
    <n v="1008201"/>
    <n v="3788"/>
    <n v="0"/>
    <n v="869.96"/>
    <d v="2025-12-04T00:00:00"/>
    <n v="869.96"/>
    <n v="0"/>
    <s v="NULL"/>
    <s v="PRO"/>
    <n v="8.6999999999999993"/>
    <n v="861.26"/>
    <s v="PAID"/>
    <n v="2"/>
    <n v="6020953988843"/>
    <d v="2025-12-12T00:00:00"/>
    <d v="2025-12-04T00:00:00"/>
    <m/>
    <d v="2025-12-12T00:00:00"/>
    <d v="2025-12-08T11:31:00"/>
    <n v="37881008201"/>
    <d v="2025-12-04T00:00:00"/>
    <n v="8549"/>
    <s v="NET 01/10/26"/>
    <n v="206662"/>
    <d v="2025-12-04T00:00:00"/>
    <d v="2025-12-12T00:00:00"/>
    <m/>
    <x v="0"/>
  </r>
  <r>
    <x v="81"/>
    <n v="1008264"/>
    <n v="26.15"/>
    <n v="0.52"/>
    <n v="25.63"/>
    <n v="0.26"/>
    <n v="25.37"/>
    <d v="2025-12-12T00:00:00"/>
    <n v="1008264"/>
    <n v="3788"/>
    <n v="0.52"/>
    <n v="26.15"/>
    <d v="2025-12-04T00:00:00"/>
    <n v="25.63"/>
    <n v="0.52"/>
    <s v="NULL"/>
    <s v="PRO"/>
    <n v="0.26"/>
    <n v="25.37"/>
    <s v="PAID"/>
    <n v="2"/>
    <n v="6020953988843"/>
    <d v="2025-12-12T00:00:00"/>
    <d v="2025-12-04T00:00:00"/>
    <m/>
    <d v="2025-12-12T00:00:00"/>
    <d v="2025-12-08T11:31:00"/>
    <n v="37881008264"/>
    <d v="2025-12-04T00:00:00"/>
    <n v="8584"/>
    <s v="2% 01/10/26"/>
    <n v="206556"/>
    <d v="2025-12-04T00:00:00"/>
    <d v="2025-12-12T00:00:00"/>
    <n v="0.52300000000000002"/>
    <x v="0"/>
  </r>
  <r>
    <x v="81"/>
    <n v="1008268"/>
    <n v="527.38"/>
    <m/>
    <n v="527.38"/>
    <n v="5.27"/>
    <n v="522.11"/>
    <d v="2025-12-12T00:00:00"/>
    <n v="1008268"/>
    <n v="3788"/>
    <n v="0"/>
    <n v="527.38"/>
    <d v="2025-12-04T00:00:00"/>
    <n v="527.38"/>
    <n v="0"/>
    <s v="NULL"/>
    <s v="PRO"/>
    <n v="5.27"/>
    <n v="522.11"/>
    <s v="PAID"/>
    <n v="2"/>
    <n v="6020953988843"/>
    <d v="2025-12-12T00:00:00"/>
    <d v="2025-12-04T00:00:00"/>
    <m/>
    <d v="2025-12-12T00:00:00"/>
    <d v="2025-12-08T11:31:00"/>
    <n v="37881008268"/>
    <d v="2025-12-04T00:00:00"/>
    <n v="8584"/>
    <s v="NET 01/10/26"/>
    <n v="206557"/>
    <d v="2025-12-04T00:00:00"/>
    <d v="2025-12-12T00:00:00"/>
    <m/>
    <x v="0"/>
  </r>
  <r>
    <x v="82"/>
    <n v="1007649"/>
    <n v="3990"/>
    <m/>
    <n v="3990"/>
    <n v="39.9"/>
    <n v="3950.1"/>
    <d v="2025-12-12T00:00:00"/>
    <n v="1007649"/>
    <n v="3795"/>
    <n v="0"/>
    <n v="3990"/>
    <d v="2025-12-02T00:00:00"/>
    <n v="3990"/>
    <n v="0"/>
    <s v="NULL"/>
    <s v="PRO"/>
    <n v="39.9"/>
    <n v="3950.1"/>
    <s v="PAID"/>
    <n v="2"/>
    <n v="3602611374462"/>
    <d v="2025-12-12T00:00:00"/>
    <d v="2025-12-02T00:00:00"/>
    <m/>
    <d v="2025-12-12T00:00:00"/>
    <d v="2025-12-11T15:07:00"/>
    <n v="37951007649"/>
    <d v="2025-12-02T00:00:00"/>
    <s v="NULL"/>
    <s v="NET 02/10/26"/>
    <s v="NULL"/>
    <d v="2025-12-02T00:00:00"/>
    <d v="2025-12-12T00:00:00"/>
    <m/>
    <x v="0"/>
  </r>
  <r>
    <x v="82"/>
    <n v="1007908"/>
    <n v="566.96"/>
    <m/>
    <n v="566.96"/>
    <n v="5.67"/>
    <n v="561.29"/>
    <d v="2025-12-12T00:00:00"/>
    <n v="1007908"/>
    <n v="3795"/>
    <n v="0"/>
    <n v="566.96"/>
    <d v="2025-12-03T00:00:00"/>
    <n v="566.96"/>
    <n v="0"/>
    <s v="NULL"/>
    <s v="PRO"/>
    <n v="5.67"/>
    <n v="561.29"/>
    <s v="PAID"/>
    <n v="2"/>
    <n v="3602611374462"/>
    <d v="2025-12-12T00:00:00"/>
    <d v="2025-12-03T00:00:00"/>
    <m/>
    <d v="2025-12-12T00:00:00"/>
    <d v="2025-12-11T15:07:00"/>
    <n v="37951007908"/>
    <d v="2025-12-03T00:00:00"/>
    <n v="13622"/>
    <s v="NET 01/10/26"/>
    <n v="206445"/>
    <d v="2025-12-03T00:00:00"/>
    <d v="2025-12-12T00:00:00"/>
    <m/>
    <x v="0"/>
  </r>
  <r>
    <x v="82"/>
    <n v="1008571"/>
    <n v="-250"/>
    <m/>
    <n v="-250"/>
    <m/>
    <n v="-250"/>
    <d v="2025-12-12T00:00:00"/>
    <n v="1008571"/>
    <n v="3795"/>
    <n v="0"/>
    <n v="-250"/>
    <d v="2025-12-08T00:00:00"/>
    <n v="-250"/>
    <n v="0"/>
    <n v="1008571"/>
    <s v="PRO"/>
    <n v="0"/>
    <n v="-250"/>
    <s v="PAID"/>
    <n v="2"/>
    <n v="3602611374462"/>
    <d v="2025-12-12T00:00:00"/>
    <d v="2025-12-08T00:00:00"/>
    <m/>
    <d v="2025-12-12T00:00:00"/>
    <d v="2025-12-11T15:07:00"/>
    <n v="37951008571"/>
    <d v="2025-12-08T00:00:00"/>
    <s v="N/A"/>
    <s v="NET 01/10/26"/>
    <s v="NMCNoINV"/>
    <d v="2025-12-08T00:00:00"/>
    <d v="2025-12-12T00:00:00"/>
    <m/>
    <x v="0"/>
  </r>
  <r>
    <x v="82"/>
    <n v="1008572"/>
    <n v="-100"/>
    <m/>
    <n v="-100"/>
    <m/>
    <n v="-100"/>
    <d v="2025-12-12T00:00:00"/>
    <n v="1008572"/>
    <n v="3795"/>
    <n v="0"/>
    <n v="-100"/>
    <d v="2025-12-08T00:00:00"/>
    <n v="-100"/>
    <n v="0"/>
    <n v="1008572"/>
    <s v="PRO"/>
    <n v="0"/>
    <n v="-100"/>
    <s v="PAID"/>
    <n v="2"/>
    <n v="3602611374462"/>
    <d v="2025-12-12T00:00:00"/>
    <d v="2025-12-08T00:00:00"/>
    <m/>
    <d v="2025-12-12T00:00:00"/>
    <d v="2025-12-11T15:07:00"/>
    <n v="37951008572"/>
    <d v="2025-12-08T00:00:00"/>
    <s v="N/A"/>
    <s v="NET 01/10/26"/>
    <s v="NMCNoINV"/>
    <d v="2025-12-08T00:00:00"/>
    <d v="2025-12-12T00:00:00"/>
    <m/>
    <x v="0"/>
  </r>
  <r>
    <x v="82"/>
    <n v="1008575"/>
    <n v="-2800"/>
    <m/>
    <n v="-2800"/>
    <m/>
    <n v="-2800"/>
    <d v="2025-12-12T00:00:00"/>
    <n v="1008575"/>
    <n v="3795"/>
    <n v="0"/>
    <n v="-2800"/>
    <d v="2025-12-08T00:00:00"/>
    <n v="-2800"/>
    <n v="0"/>
    <n v="1008575"/>
    <s v="PRO"/>
    <n v="0"/>
    <n v="-2800"/>
    <s v="PAID"/>
    <n v="2"/>
    <n v="3602611374462"/>
    <d v="2025-12-12T00:00:00"/>
    <d v="2025-12-08T00:00:00"/>
    <m/>
    <d v="2025-12-12T00:00:00"/>
    <d v="2025-12-11T15:07:00"/>
    <n v="37951008575"/>
    <d v="2025-12-08T00:00:00"/>
    <s v="N/A"/>
    <s v="NET 01/10/26"/>
    <s v="NMC103702027x"/>
    <d v="2025-12-08T00:00:00"/>
    <d v="2025-12-12T00:00:00"/>
    <m/>
    <x v="0"/>
  </r>
  <r>
    <x v="83"/>
    <n v="1000900"/>
    <n v="841.6"/>
    <n v="16.829999999999998"/>
    <n v="824.77"/>
    <m/>
    <n v="824.77"/>
    <d v="2025-12-12T00:00:00"/>
    <n v="1000900"/>
    <n v="3816"/>
    <n v="16.829999999999998"/>
    <n v="841.6"/>
    <d v="2025-10-29T00:00:00"/>
    <n v="824.77"/>
    <n v="16.829999999999998"/>
    <s v="NULL"/>
    <s v="PRO"/>
    <n v="0"/>
    <n v="824.77"/>
    <s v="PAID"/>
    <n v="2"/>
    <n v="1463342513677"/>
    <d v="2025-12-12T00:00:00"/>
    <d v="2025-10-29T00:00:00"/>
    <m/>
    <d v="2025-12-12T00:00:00"/>
    <d v="2025-12-08T12:46:00"/>
    <n v="38161000900"/>
    <d v="2025-10-29T00:00:00"/>
    <s v="FPP-PRO-102825"/>
    <s v="2% 12/10/25"/>
    <n v="200535"/>
    <d v="2025-10-29T00:00:00"/>
    <d v="2025-12-12T00:00:00"/>
    <n v="16.832000000000001"/>
    <x v="0"/>
  </r>
  <r>
    <x v="83"/>
    <n v="1001362"/>
    <n v="1511.96"/>
    <m/>
    <n v="1511.96"/>
    <m/>
    <n v="1511.96"/>
    <d v="2025-12-12T00:00:00"/>
    <n v="1001362"/>
    <n v="3816"/>
    <n v="0"/>
    <n v="1511.96"/>
    <d v="2025-10-30T00:00:00"/>
    <n v="1511.96"/>
    <n v="0"/>
    <s v="NULL"/>
    <s v="PRO"/>
    <n v="0"/>
    <n v="1511.96"/>
    <s v="PAID"/>
    <n v="2"/>
    <n v="1463342513677"/>
    <d v="2025-12-12T00:00:00"/>
    <d v="2025-10-30T00:00:00"/>
    <m/>
    <d v="2025-12-12T00:00:00"/>
    <d v="2025-12-08T12:46:00"/>
    <n v="38161001362"/>
    <d v="2025-10-30T00:00:00"/>
    <s v="FPP-PRO-101425"/>
    <s v="NET 12/10/25"/>
    <n v="200641"/>
    <d v="2025-10-30T00:00:00"/>
    <d v="2025-12-12T00:00:00"/>
    <m/>
    <x v="0"/>
  </r>
  <r>
    <x v="83"/>
    <n v="1007575"/>
    <n v="350"/>
    <m/>
    <n v="350"/>
    <n v="3.5"/>
    <n v="346.5"/>
    <d v="2025-12-12T00:00:00"/>
    <n v="1007575"/>
    <n v="3816"/>
    <n v="0"/>
    <n v="350"/>
    <d v="2025-12-02T00:00:00"/>
    <n v="350"/>
    <n v="0"/>
    <s v="NULL"/>
    <s v="PRO"/>
    <n v="3.5"/>
    <n v="346.5"/>
    <s v="PAID"/>
    <n v="2"/>
    <n v="1463342513677"/>
    <d v="2025-12-12T00:00:00"/>
    <d v="2025-12-02T00:00:00"/>
    <m/>
    <d v="2025-12-12T00:00:00"/>
    <d v="2025-12-08T12:46:00"/>
    <n v="38161007575"/>
    <d v="2025-12-02T00:00:00"/>
    <s v="NULL"/>
    <s v="NET DUE 10TH"/>
    <s v="NULL"/>
    <d v="2025-12-02T00:00:00"/>
    <d v="2025-12-12T00:00:00"/>
    <m/>
    <x v="0"/>
  </r>
  <r>
    <x v="83"/>
    <n v="1008362"/>
    <n v="364.77"/>
    <m/>
    <n v="364.77"/>
    <n v="3.65"/>
    <n v="361.12"/>
    <d v="2025-12-12T00:00:00"/>
    <n v="1008362"/>
    <n v="3816"/>
    <n v="0"/>
    <n v="364.77"/>
    <d v="2025-12-05T00:00:00"/>
    <n v="364.77"/>
    <n v="0"/>
    <s v="USW811921"/>
    <s v="NISI"/>
    <n v="3.65"/>
    <n v="361.12"/>
    <s v="PAID"/>
    <n v="2"/>
    <n v="1463342513677"/>
    <d v="2025-12-12T00:00:00"/>
    <d v="2025-12-05T00:00:00"/>
    <m/>
    <d v="2025-12-12T00:00:00"/>
    <d v="2025-12-08T12:46:00"/>
    <n v="38161008362"/>
    <d v="2025-12-05T00:00:00"/>
    <n v="215076"/>
    <s v="NET 01/10/26"/>
    <s v="USW811921"/>
    <d v="2025-12-05T00:00:00"/>
    <d v="2025-12-12T00:00:00"/>
    <m/>
    <x v="0"/>
  </r>
  <r>
    <x v="84"/>
    <n v="1007611"/>
    <n v="350"/>
    <m/>
    <n v="350"/>
    <n v="3.5"/>
    <n v="346.5"/>
    <d v="2025-12-12T00:00:00"/>
    <n v="1007611"/>
    <n v="3823"/>
    <n v="0"/>
    <n v="350"/>
    <d v="2025-12-02T00:00:00"/>
    <n v="350"/>
    <n v="0"/>
    <s v="NULL"/>
    <s v="PRO"/>
    <n v="3.5"/>
    <n v="346.5"/>
    <s v="PAID"/>
    <n v="10"/>
    <s v="Auto459888589866485"/>
    <d v="2025-12-12T00:00:00"/>
    <d v="2025-12-02T00:00:00"/>
    <s v="NULL"/>
    <d v="2025-12-12T00:00:00"/>
    <d v="2025-12-12T13:45:00"/>
    <n v="38231007611"/>
    <d v="2025-12-02T00:00:00"/>
    <s v="NULL"/>
    <s v="NET DUE 10TH"/>
    <s v="NULL"/>
    <d v="2025-12-02T00:00:00"/>
    <d v="2025-12-12T00:00:00"/>
    <m/>
    <x v="0"/>
  </r>
  <r>
    <x v="85"/>
    <n v="1007265"/>
    <n v="41.14"/>
    <m/>
    <n v="41.14"/>
    <n v="0.41"/>
    <n v="41.14"/>
    <d v="2025-12-12T00:00:00"/>
    <n v="1007265"/>
    <n v="3830"/>
    <n v="0"/>
    <n v="41.14"/>
    <d v="2025-12-01T00:00:00"/>
    <n v="41.14"/>
    <n v="0"/>
    <s v="NULL"/>
    <s v="PRO"/>
    <n v="0.41"/>
    <n v="41.14"/>
    <s v="PAID"/>
    <n v="2"/>
    <n v="1250905355508"/>
    <d v="2025-12-12T00:00:00"/>
    <d v="2025-12-01T00:00:00"/>
    <m/>
    <d v="2025-12-12T00:00:00"/>
    <d v="2025-12-12T12:02:00"/>
    <n v="38301007265"/>
    <d v="2025-12-01T00:00:00"/>
    <n v="582"/>
    <s v="2% 01/10/26"/>
    <n v="205769"/>
    <d v="2025-12-01T00:00:00"/>
    <d v="2025-12-12T00:00:00"/>
    <n v="0.82279999999999998"/>
    <x v="1"/>
  </r>
  <r>
    <x v="85"/>
    <n v="1007641"/>
    <n v="3990"/>
    <m/>
    <n v="3990"/>
    <n v="39.9"/>
    <n v="3950.1"/>
    <d v="2025-12-12T00:00:00"/>
    <n v="1007641"/>
    <n v="3830"/>
    <n v="0"/>
    <n v="3990"/>
    <d v="2025-12-02T00:00:00"/>
    <n v="3990"/>
    <n v="0"/>
    <s v="NULL"/>
    <s v="PRO"/>
    <n v="39.9"/>
    <n v="3950.1"/>
    <s v="PAID"/>
    <n v="2"/>
    <n v="1250905355508"/>
    <d v="2025-12-12T00:00:00"/>
    <d v="2025-12-02T00:00:00"/>
    <m/>
    <d v="2025-12-12T00:00:00"/>
    <d v="2025-12-12T12:02:00"/>
    <n v="38301007641"/>
    <d v="2025-12-02T00:00:00"/>
    <s v="NULL"/>
    <s v="NET 02/10/26"/>
    <s v="NULL"/>
    <d v="2025-12-02T00:00:00"/>
    <d v="2025-12-12T00:00:00"/>
    <m/>
    <x v="0"/>
  </r>
  <r>
    <x v="85"/>
    <n v="1007912"/>
    <n v="85.44"/>
    <m/>
    <n v="85.44"/>
    <n v="0.85"/>
    <n v="84.59"/>
    <d v="2025-12-12T00:00:00"/>
    <n v="1007912"/>
    <n v="3830"/>
    <n v="0"/>
    <n v="85.44"/>
    <d v="2025-12-03T00:00:00"/>
    <n v="85.44"/>
    <n v="0"/>
    <s v="NULL"/>
    <s v="PRO"/>
    <n v="0.85"/>
    <n v="84.59"/>
    <s v="PAID"/>
    <n v="2"/>
    <n v="1250905355508"/>
    <d v="2025-12-12T00:00:00"/>
    <d v="2025-12-03T00:00:00"/>
    <m/>
    <d v="2025-12-12T00:00:00"/>
    <d v="2025-12-12T12:02:00"/>
    <n v="38301007912"/>
    <d v="2025-12-03T00:00:00"/>
    <n v="591"/>
    <s v="NET 01/10/26"/>
    <n v="206440"/>
    <d v="2025-12-03T00:00:00"/>
    <d v="2025-12-12T00:00:00"/>
    <m/>
    <x v="0"/>
  </r>
  <r>
    <x v="85"/>
    <n v="1008104"/>
    <n v="17.55"/>
    <m/>
    <n v="17.55"/>
    <n v="0.18"/>
    <n v="17.55"/>
    <d v="2025-12-12T00:00:00"/>
    <n v="1008104"/>
    <n v="3830"/>
    <n v="0"/>
    <n v="17.55"/>
    <d v="2025-12-04T00:00:00"/>
    <n v="17.55"/>
    <n v="0"/>
    <s v="NULL"/>
    <s v="PRO"/>
    <n v="0.18"/>
    <n v="17.55"/>
    <s v="PAID"/>
    <n v="2"/>
    <n v="1250905355508"/>
    <d v="2025-12-12T00:00:00"/>
    <d v="2025-12-04T00:00:00"/>
    <m/>
    <d v="2025-12-12T00:00:00"/>
    <d v="2025-12-12T12:02:00"/>
    <n v="38301008104"/>
    <d v="2025-12-04T00:00:00"/>
    <n v="591"/>
    <s v="2% 01/10/26"/>
    <n v="206387"/>
    <d v="2025-12-04T00:00:00"/>
    <d v="2025-12-12T00:00:00"/>
    <n v="0.35100000000000003"/>
    <x v="1"/>
  </r>
  <r>
    <x v="86"/>
    <n v="1006826"/>
    <n v="295.61"/>
    <n v="5.91"/>
    <n v="289.7"/>
    <m/>
    <n v="289.7"/>
    <d v="2025-12-12T00:00:00"/>
    <n v="1006826"/>
    <n v="3837"/>
    <n v="5.91"/>
    <n v="295.61"/>
    <d v="2025-11-25T00:00:00"/>
    <n v="289.7"/>
    <n v="5.91"/>
    <n v="337050"/>
    <s v="MAC GROUP"/>
    <n v="0"/>
    <n v="289.7"/>
    <s v="PAID"/>
    <n v="2"/>
    <n v="5419049556824"/>
    <d v="2025-12-12T00:00:00"/>
    <d v="2025-11-28T00:00:00"/>
    <m/>
    <d v="2025-12-12T00:00:00"/>
    <d v="2025-12-11T17:10:00"/>
    <n v="38371006826"/>
    <d v="2025-11-25T00:00:00"/>
    <n v="12250"/>
    <s v="2% 01/10/26"/>
    <n v="337050"/>
    <d v="2025-11-28T00:00:00"/>
    <d v="2025-12-12T00:00:00"/>
    <n v="5.9122000000000003"/>
    <x v="0"/>
  </r>
  <r>
    <x v="86"/>
    <n v="1007096"/>
    <n v="628.1"/>
    <n v="12.56"/>
    <n v="615.54"/>
    <m/>
    <n v="615.54"/>
    <d v="2025-12-12T00:00:00"/>
    <n v="1007096"/>
    <n v="3837"/>
    <n v="12.56"/>
    <n v="628.1"/>
    <d v="2025-11-28T00:00:00"/>
    <n v="615.54"/>
    <n v="12.56"/>
    <s v="NULL"/>
    <s v="PRO"/>
    <n v="0"/>
    <n v="615.54"/>
    <s v="PAID"/>
    <n v="2"/>
    <n v="5419049556824"/>
    <d v="2025-12-12T00:00:00"/>
    <d v="2025-11-28T00:00:00"/>
    <m/>
    <d v="2025-12-12T00:00:00"/>
    <d v="2025-12-11T17:10:00"/>
    <n v="38371007096"/>
    <d v="2025-11-28T00:00:00"/>
    <n v="12570"/>
    <s v="2% 01/10/26"/>
    <n v="205655"/>
    <d v="2025-11-28T00:00:00"/>
    <d v="2025-12-12T00:00:00"/>
    <n v="12.562000000000001"/>
    <x v="0"/>
  </r>
  <r>
    <x v="86"/>
    <n v="1007194"/>
    <n v="67.16"/>
    <n v="1.34"/>
    <n v="65.819999999999993"/>
    <n v="0.67"/>
    <n v="65.150000000000006"/>
    <d v="2025-12-12T00:00:00"/>
    <n v="1007194"/>
    <n v="3837"/>
    <n v="1.34"/>
    <n v="67.16"/>
    <d v="2025-12-01T00:00:00"/>
    <n v="65.819999999999993"/>
    <n v="1.34"/>
    <s v="NULL"/>
    <s v="PRO"/>
    <n v="0.67"/>
    <n v="65.150000000000006"/>
    <s v="PAID"/>
    <n v="2"/>
    <n v="6580642599092"/>
    <d v="2025-12-12T00:00:00"/>
    <d v="2025-12-01T00:00:00"/>
    <m/>
    <d v="2025-12-12T00:00:00"/>
    <d v="2025-12-10T21:01:00"/>
    <n v="38371007194"/>
    <d v="2025-12-01T00:00:00"/>
    <n v="12503"/>
    <s v="2% 01/10/26"/>
    <n v="205734"/>
    <d v="2025-12-01T00:00:00"/>
    <d v="2025-12-12T00:00:00"/>
    <n v="1.3431999999999999"/>
    <x v="0"/>
  </r>
  <r>
    <x v="86"/>
    <n v="1007395"/>
    <n v="304.36"/>
    <n v="6.09"/>
    <n v="298.27"/>
    <n v="3.04"/>
    <n v="295.23"/>
    <d v="2025-12-12T00:00:00"/>
    <n v="1007395"/>
    <n v="3837"/>
    <n v="6.09"/>
    <n v="304.36"/>
    <d v="2025-12-01T00:00:00"/>
    <n v="298.27"/>
    <n v="6.09"/>
    <s v="NULL"/>
    <s v="PRO"/>
    <n v="3.04"/>
    <n v="295.23"/>
    <s v="PAID"/>
    <n v="2"/>
    <n v="6580642599092"/>
    <d v="2025-12-12T00:00:00"/>
    <d v="2025-12-01T00:00:00"/>
    <m/>
    <d v="2025-12-12T00:00:00"/>
    <d v="2025-12-10T21:01:00"/>
    <n v="38371007395"/>
    <d v="2025-12-01T00:00:00"/>
    <n v="12556"/>
    <s v="2% 01/10/26"/>
    <n v="205999"/>
    <d v="2025-12-01T00:00:00"/>
    <d v="2025-12-12T00:00:00"/>
    <n v="6.0872000000000002"/>
    <x v="0"/>
  </r>
  <r>
    <x v="86"/>
    <n v="1007399"/>
    <n v="82.46"/>
    <n v="1.65"/>
    <n v="80.81"/>
    <n v="0.82"/>
    <n v="79.989999999999995"/>
    <d v="2025-12-12T00:00:00"/>
    <n v="1007399"/>
    <n v="3837"/>
    <n v="1.65"/>
    <n v="82.46"/>
    <d v="2025-12-01T00:00:00"/>
    <n v="80.81"/>
    <n v="1.65"/>
    <s v="NULL"/>
    <s v="PRO"/>
    <n v="0.82"/>
    <n v="79.989999999999995"/>
    <s v="PAID"/>
    <n v="2"/>
    <n v="6580642599092"/>
    <d v="2025-12-12T00:00:00"/>
    <d v="2025-12-01T00:00:00"/>
    <m/>
    <d v="2025-12-12T00:00:00"/>
    <d v="2025-12-10T21:01:00"/>
    <n v="38371007399"/>
    <d v="2025-12-01T00:00:00"/>
    <n v="12373"/>
    <s v="2% 01/10/26"/>
    <n v="205998"/>
    <d v="2025-12-01T00:00:00"/>
    <d v="2025-12-12T00:00:00"/>
    <n v="1.6492"/>
    <x v="0"/>
  </r>
  <r>
    <x v="86"/>
    <n v="1007416"/>
    <n v="539.55999999999995"/>
    <n v="10.79"/>
    <n v="528.77"/>
    <n v="5.4"/>
    <n v="523.37"/>
    <d v="2025-12-12T00:00:00"/>
    <n v="1007416"/>
    <n v="3837"/>
    <n v="10.79"/>
    <n v="539.55999999999995"/>
    <d v="2025-12-01T00:00:00"/>
    <n v="528.77"/>
    <n v="10.79"/>
    <s v="NULL"/>
    <s v="PRO"/>
    <n v="5.4"/>
    <n v="523.37"/>
    <s v="PAID"/>
    <n v="2"/>
    <n v="6580642599092"/>
    <d v="2025-12-12T00:00:00"/>
    <d v="2025-12-01T00:00:00"/>
    <m/>
    <d v="2025-12-12T00:00:00"/>
    <d v="2025-12-10T21:01:00"/>
    <n v="38371007416"/>
    <d v="2025-12-01T00:00:00"/>
    <n v="12359"/>
    <s v="2% 01/10/26"/>
    <n v="205955"/>
    <d v="2025-12-01T00:00:00"/>
    <d v="2025-12-12T00:00:00"/>
    <n v="10.7912"/>
    <x v="0"/>
  </r>
  <r>
    <x v="86"/>
    <n v="1007417"/>
    <n v="402.1"/>
    <n v="8.0399999999999991"/>
    <n v="394.06"/>
    <n v="4.0199999999999996"/>
    <n v="390.04"/>
    <d v="2025-12-12T00:00:00"/>
    <n v="1007417"/>
    <n v="3837"/>
    <n v="8.0399999999999991"/>
    <n v="402.1"/>
    <d v="2025-12-01T00:00:00"/>
    <n v="394.06"/>
    <n v="8.0399999999999991"/>
    <s v="NULL"/>
    <s v="PRO"/>
    <n v="4.0199999999999996"/>
    <n v="390.04"/>
    <s v="PAID"/>
    <n v="2"/>
    <n v="6580642599092"/>
    <d v="2025-12-12T00:00:00"/>
    <d v="2025-12-01T00:00:00"/>
    <m/>
    <d v="2025-12-12T00:00:00"/>
    <d v="2025-12-10T21:01:00"/>
    <n v="38371007417"/>
    <d v="2025-12-01T00:00:00"/>
    <n v="12297"/>
    <s v="2% 01/10/26"/>
    <n v="205954"/>
    <d v="2025-12-01T00:00:00"/>
    <d v="2025-12-12T00:00:00"/>
    <n v="8.0419999999999998"/>
    <x v="0"/>
  </r>
  <r>
    <x v="86"/>
    <n v="1007885"/>
    <n v="1085.1500000000001"/>
    <n v="21.7"/>
    <n v="1063.45"/>
    <n v="10.85"/>
    <n v="1052.5999999999999"/>
    <d v="2025-12-12T00:00:00"/>
    <n v="1007885"/>
    <n v="3837"/>
    <n v="21.7"/>
    <n v="1085.1500000000001"/>
    <d v="2025-12-03T00:00:00"/>
    <n v="1063.45"/>
    <n v="21.7"/>
    <s v="NULL"/>
    <s v="PRO"/>
    <n v="10.85"/>
    <n v="1052.5999999999999"/>
    <s v="PAID"/>
    <n v="2"/>
    <n v="6580642599092"/>
    <d v="2025-12-12T00:00:00"/>
    <d v="2025-12-03T00:00:00"/>
    <m/>
    <d v="2025-12-12T00:00:00"/>
    <d v="2025-12-10T21:01:00"/>
    <n v="38371007885"/>
    <d v="2025-12-03T00:00:00"/>
    <n v="12604"/>
    <s v="2% 01/10/26"/>
    <n v="206479"/>
    <d v="2025-12-03T00:00:00"/>
    <d v="2025-12-12T00:00:00"/>
    <n v="21.703000000000003"/>
    <x v="0"/>
  </r>
  <r>
    <x v="86"/>
    <n v="1008033"/>
    <n v="106.42"/>
    <n v="2.13"/>
    <n v="104.29"/>
    <n v="1.06"/>
    <n v="103.23"/>
    <d v="2025-12-12T00:00:00"/>
    <n v="1008033"/>
    <n v="3837"/>
    <n v="2.13"/>
    <n v="106.42"/>
    <d v="2025-12-03T00:00:00"/>
    <n v="104.29"/>
    <n v="2.13"/>
    <s v="NULL"/>
    <s v="PRO"/>
    <n v="1.06"/>
    <n v="103.23"/>
    <s v="PAID"/>
    <n v="2"/>
    <n v="6580642599092"/>
    <d v="2025-12-12T00:00:00"/>
    <d v="2025-12-03T00:00:00"/>
    <m/>
    <d v="2025-12-12T00:00:00"/>
    <d v="2025-12-10T21:01:00"/>
    <n v="38371008033"/>
    <d v="2025-12-03T00:00:00"/>
    <n v="12503"/>
    <s v="2% 01/10/26"/>
    <n v="206058"/>
    <d v="2025-12-03T00:00:00"/>
    <d v="2025-12-12T00:00:00"/>
    <n v="2.1284000000000001"/>
    <x v="0"/>
  </r>
  <r>
    <x v="86"/>
    <n v="1008094"/>
    <n v="1689.28"/>
    <n v="33.79"/>
    <n v="1655.49"/>
    <n v="16.89"/>
    <n v="1638.6"/>
    <d v="2025-12-12T00:00:00"/>
    <n v="1008094"/>
    <n v="3837"/>
    <n v="33.79"/>
    <n v="1689.28"/>
    <d v="2025-12-04T00:00:00"/>
    <n v="1655.49"/>
    <n v="33.79"/>
    <s v="NULL"/>
    <s v="PRO"/>
    <n v="16.89"/>
    <n v="1638.6"/>
    <s v="PAID"/>
    <n v="2"/>
    <n v="6580642599092"/>
    <d v="2025-12-12T00:00:00"/>
    <d v="2025-12-04T00:00:00"/>
    <m/>
    <d v="2025-12-12T00:00:00"/>
    <d v="2025-12-10T21:01:00"/>
    <n v="38371008094"/>
    <d v="2025-12-04T00:00:00"/>
    <n v="12604"/>
    <s v="2% 01/10/26"/>
    <n v="206485"/>
    <d v="2025-12-04T00:00:00"/>
    <d v="2025-12-12T00:00:00"/>
    <n v="33.785600000000002"/>
    <x v="0"/>
  </r>
  <r>
    <x v="86"/>
    <n v="1008239"/>
    <n v="2301.6"/>
    <n v="46.03"/>
    <n v="2255.5700000000002"/>
    <n v="23.02"/>
    <n v="2232.5500000000002"/>
    <d v="2025-12-12T00:00:00"/>
    <n v="1008239"/>
    <n v="3837"/>
    <n v="46.03"/>
    <n v="2301.6"/>
    <d v="2025-12-04T00:00:00"/>
    <n v="2255.5700000000002"/>
    <n v="46.03"/>
    <s v="NULL"/>
    <s v="PRO"/>
    <n v="23.02"/>
    <n v="2232.5500000000002"/>
    <s v="PAID"/>
    <n v="2"/>
    <n v="6580642599092"/>
    <d v="2025-12-12T00:00:00"/>
    <d v="2025-12-04T00:00:00"/>
    <m/>
    <d v="2025-12-12T00:00:00"/>
    <d v="2025-12-10T21:01:00"/>
    <n v="38371008239"/>
    <d v="2025-12-04T00:00:00"/>
    <n v="12617"/>
    <s v="2% 01/10/26"/>
    <n v="206506"/>
    <d v="2025-12-04T00:00:00"/>
    <d v="2025-12-12T00:00:00"/>
    <n v="46.031999999999996"/>
    <x v="0"/>
  </r>
  <r>
    <x v="86"/>
    <n v="1008372"/>
    <n v="125.37"/>
    <m/>
    <n v="125.37"/>
    <n v="1.25"/>
    <n v="124.12"/>
    <d v="2025-12-12T00:00:00"/>
    <n v="1008372"/>
    <n v="3837"/>
    <n v="0"/>
    <n v="125.37"/>
    <d v="2025-12-05T00:00:00"/>
    <n v="125.37"/>
    <n v="0"/>
    <s v="USW811963"/>
    <s v="NISI"/>
    <n v="1.25"/>
    <n v="124.12"/>
    <s v="PAID"/>
    <n v="2"/>
    <n v="6580642599092"/>
    <d v="2025-12-12T00:00:00"/>
    <d v="2025-12-05T00:00:00"/>
    <m/>
    <d v="2025-12-12T00:00:00"/>
    <d v="2025-12-10T21:01:00"/>
    <n v="38371008372"/>
    <d v="2025-12-05T00:00:00"/>
    <s v="NULL"/>
    <s v="NET 01/10/26"/>
    <s v="USW811963"/>
    <d v="2025-12-05T00:00:00"/>
    <d v="2025-12-12T00:00:00"/>
    <m/>
    <x v="0"/>
  </r>
  <r>
    <x v="86"/>
    <n v="1008492"/>
    <n v="613.5"/>
    <n v="12.27"/>
    <n v="601.23"/>
    <n v="6.13"/>
    <n v="595.1"/>
    <d v="2025-12-12T00:00:00"/>
    <n v="1008492"/>
    <n v="3837"/>
    <n v="12.27"/>
    <n v="613.5"/>
    <d v="2025-12-05T00:00:00"/>
    <n v="601.23"/>
    <n v="12.27"/>
    <s v="NULL"/>
    <s v="PRO"/>
    <n v="6.13"/>
    <n v="595.1"/>
    <s v="PAID"/>
    <n v="2"/>
    <n v="5419049556824"/>
    <d v="2025-12-12T00:00:00"/>
    <d v="2025-12-05T00:00:00"/>
    <m/>
    <d v="2025-12-12T00:00:00"/>
    <d v="2025-12-11T17:10:00"/>
    <n v="38371008492"/>
    <d v="2025-12-05T00:00:00"/>
    <n v="12621"/>
    <s v="2% 01/10/26"/>
    <n v="206831"/>
    <d v="2025-12-05T00:00:00"/>
    <d v="2025-12-12T00:00:00"/>
    <n v="12.27"/>
    <x v="0"/>
  </r>
  <r>
    <x v="86"/>
    <n v="1008537"/>
    <n v="215"/>
    <n v="4.3"/>
    <n v="210.7"/>
    <n v="2.15"/>
    <n v="208.55"/>
    <d v="2025-12-12T00:00:00"/>
    <n v="1008537"/>
    <n v="3837"/>
    <n v="4.3"/>
    <n v="215"/>
    <d v="2025-12-05T00:00:00"/>
    <n v="210.7"/>
    <n v="4.3"/>
    <s v="NULL"/>
    <s v="PRO"/>
    <n v="2.15"/>
    <n v="208.55"/>
    <s v="PAID"/>
    <n v="2"/>
    <n v="5419049556824"/>
    <d v="2025-12-12T00:00:00"/>
    <d v="2025-12-05T00:00:00"/>
    <m/>
    <d v="2025-12-12T00:00:00"/>
    <d v="2025-12-11T17:10:00"/>
    <n v="38371008537"/>
    <d v="2025-12-05T00:00:00"/>
    <n v="12621"/>
    <s v="2% 01/10/26"/>
    <n v="206823"/>
    <d v="2025-12-05T00:00:00"/>
    <d v="2025-12-12T00:00:00"/>
    <n v="4.3"/>
    <x v="0"/>
  </r>
  <r>
    <x v="86"/>
    <n v="1008558"/>
    <n v="199"/>
    <n v="3.98"/>
    <n v="195.02"/>
    <n v="1.99"/>
    <n v="193.03"/>
    <d v="2025-12-12T00:00:00"/>
    <n v="1008558"/>
    <n v="3837"/>
    <n v="3.98"/>
    <n v="199"/>
    <d v="2025-12-05T00:00:00"/>
    <n v="195.02"/>
    <n v="3.98"/>
    <s v="NULL"/>
    <s v="PRO"/>
    <n v="1.99"/>
    <n v="193.03"/>
    <s v="PAID"/>
    <n v="2"/>
    <n v="5419049556824"/>
    <d v="2025-12-12T00:00:00"/>
    <d v="2025-12-05T00:00:00"/>
    <m/>
    <d v="2025-12-12T00:00:00"/>
    <d v="2025-12-11T17:10:00"/>
    <n v="38371008558"/>
    <d v="2025-12-05T00:00:00"/>
    <n v="12456"/>
    <s v="2% 01/10/26"/>
    <n v="206598"/>
    <d v="2025-12-05T00:00:00"/>
    <d v="2025-12-12T00:00:00"/>
    <n v="3.98"/>
    <x v="0"/>
  </r>
  <r>
    <x v="86"/>
    <n v="1008560"/>
    <n v="199"/>
    <n v="3.98"/>
    <n v="195.02"/>
    <n v="1.99"/>
    <n v="193.03"/>
    <d v="2025-12-12T00:00:00"/>
    <n v="1008560"/>
    <n v="3837"/>
    <n v="3.98"/>
    <n v="199"/>
    <d v="2025-12-05T00:00:00"/>
    <n v="195.02"/>
    <n v="3.98"/>
    <s v="NULL"/>
    <s v="PRO"/>
    <n v="1.99"/>
    <n v="193.03"/>
    <s v="PAID"/>
    <n v="2"/>
    <n v="6580642599092"/>
    <d v="2025-12-12T00:00:00"/>
    <d v="2025-12-05T00:00:00"/>
    <m/>
    <d v="2025-12-12T00:00:00"/>
    <d v="2025-12-10T21:01:00"/>
    <n v="38371008560"/>
    <d v="2025-12-05T00:00:00"/>
    <n v="12359"/>
    <s v="2% 01/10/26"/>
    <n v="206597"/>
    <d v="2025-12-05T00:00:00"/>
    <d v="2025-12-12T00:00:00"/>
    <n v="3.98"/>
    <x v="0"/>
  </r>
  <r>
    <x v="86"/>
    <n v="1008937"/>
    <n v="-19.87"/>
    <m/>
    <n v="-19.87"/>
    <m/>
    <n v="-19.87"/>
    <d v="2025-12-12T00:00:00"/>
    <n v="1008937"/>
    <n v="3837"/>
    <n v="0"/>
    <n v="-19.87"/>
    <d v="2025-12-09T00:00:00"/>
    <n v="-19.87"/>
    <n v="0"/>
    <n v="1008937"/>
    <s v="PRO"/>
    <n v="0"/>
    <n v="-19.87"/>
    <s v="PAID"/>
    <n v="2"/>
    <n v="6580642599092"/>
    <d v="2025-12-12T00:00:00"/>
    <d v="2025-12-09T00:00:00"/>
    <m/>
    <d v="2025-12-12T00:00:00"/>
    <d v="2025-12-10T21:01:00"/>
    <n v="38371008937"/>
    <d v="2025-12-09T00:00:00"/>
    <n v="142094"/>
    <s v="NET 01/10/26"/>
    <n v="53534"/>
    <d v="2025-12-09T00:00:00"/>
    <d v="2025-12-12T00:00:00"/>
    <m/>
    <x v="0"/>
  </r>
  <r>
    <x v="86"/>
    <n v="1009060"/>
    <n v="-40.5"/>
    <m/>
    <n v="-40.5"/>
    <m/>
    <n v="-40.5"/>
    <d v="2025-12-12T00:00:00"/>
    <n v="1009060"/>
    <n v="3837"/>
    <n v="0"/>
    <n v="-40.5"/>
    <d v="2025-12-09T00:00:00"/>
    <n v="-40.5"/>
    <n v="0"/>
    <n v="1009060"/>
    <s v="PRO"/>
    <n v="0"/>
    <n v="-40.5"/>
    <s v="PAID"/>
    <n v="2"/>
    <n v="6580642599092"/>
    <d v="2025-12-12T00:00:00"/>
    <d v="2025-12-09T00:00:00"/>
    <m/>
    <d v="2025-12-12T00:00:00"/>
    <d v="2025-12-10T21:01:00"/>
    <n v="38371009060"/>
    <d v="2025-12-09T00:00:00"/>
    <s v="PL301"/>
    <s v="NET 01/10/26"/>
    <s v="OLYM112538"/>
    <d v="2025-12-09T00:00:00"/>
    <d v="2025-12-12T00:00:00"/>
    <m/>
    <x v="0"/>
  </r>
  <r>
    <x v="86"/>
    <n v="1009062"/>
    <n v="-75"/>
    <m/>
    <n v="-75"/>
    <m/>
    <n v="-75"/>
    <d v="2025-12-12T00:00:00"/>
    <n v="1009062"/>
    <n v="3837"/>
    <n v="0"/>
    <n v="-75"/>
    <d v="2025-12-09T00:00:00"/>
    <n v="-75"/>
    <n v="0"/>
    <n v="1009062"/>
    <s v="PRO"/>
    <n v="0"/>
    <n v="-75"/>
    <s v="PAID"/>
    <n v="2"/>
    <n v="5419049556824"/>
    <d v="2025-12-12T00:00:00"/>
    <d v="2025-12-09T00:00:00"/>
    <m/>
    <d v="2025-12-12T00:00:00"/>
    <d v="2025-12-11T17:10:00"/>
    <n v="38371009062"/>
    <d v="2025-12-09T00:00:00"/>
    <s v="PL308"/>
    <s v="NET 01/10/26"/>
    <s v="PANA112542"/>
    <d v="2025-12-09T00:00:00"/>
    <d v="2025-12-12T00:00:00"/>
    <m/>
    <x v="0"/>
  </r>
  <r>
    <x v="86"/>
    <n v="1009063"/>
    <n v="-395"/>
    <m/>
    <n v="-395"/>
    <m/>
    <n v="-395"/>
    <d v="2025-12-12T00:00:00"/>
    <n v="1009063"/>
    <n v="3837"/>
    <n v="0"/>
    <n v="-395"/>
    <d v="2025-12-09T00:00:00"/>
    <n v="-395"/>
    <n v="0"/>
    <n v="1009063"/>
    <s v="PRO"/>
    <n v="0"/>
    <n v="-395"/>
    <s v="PAID"/>
    <n v="2"/>
    <n v="5419049556824"/>
    <d v="2025-12-12T00:00:00"/>
    <d v="2025-12-09T00:00:00"/>
    <m/>
    <d v="2025-12-12T00:00:00"/>
    <d v="2025-12-11T17:10:00"/>
    <n v="38371009063"/>
    <d v="2025-12-09T00:00:00"/>
    <s v="PL309"/>
    <s v="NET 01/10/26"/>
    <s v="PANA112543"/>
    <d v="2025-12-09T00:00:00"/>
    <d v="2025-12-12T00:00:00"/>
    <m/>
    <x v="0"/>
  </r>
  <r>
    <x v="87"/>
    <n v="992203"/>
    <n v="56.43"/>
    <m/>
    <n v="56.43"/>
    <m/>
    <n v="56.43"/>
    <d v="2025-12-12T00:00:00"/>
    <n v="992203"/>
    <n v="3844"/>
    <n v="0"/>
    <n v="56.43"/>
    <d v="2025-09-24T00:00:00"/>
    <n v="56.43"/>
    <n v="0"/>
    <s v="USW811382"/>
    <s v="NISI"/>
    <n v="0"/>
    <n v="56.43"/>
    <s v="PAID"/>
    <n v="2"/>
    <n v="1133185694979"/>
    <d v="2025-12-12T00:00:00"/>
    <d v="2025-09-24T00:00:00"/>
    <m/>
    <d v="2025-12-12T00:00:00"/>
    <d v="2025-12-11T10:15:00"/>
    <n v="3844992203"/>
    <d v="2025-09-24T00:00:00"/>
    <n v="212459"/>
    <s v="NET 11/10/25"/>
    <s v="USW811382"/>
    <d v="2025-09-24T00:00:00"/>
    <d v="2025-12-12T00:00:00"/>
    <m/>
    <x v="0"/>
  </r>
  <r>
    <x v="87"/>
    <n v="993109"/>
    <n v="1672.68"/>
    <m/>
    <n v="1672.68"/>
    <m/>
    <n v="1672.68"/>
    <d v="2025-12-12T00:00:00"/>
    <n v="993109"/>
    <n v="3844"/>
    <n v="0"/>
    <n v="1672.68"/>
    <d v="2025-09-26T00:00:00"/>
    <n v="1672.68"/>
    <n v="0"/>
    <s v="NULL"/>
    <s v="PRO"/>
    <n v="0"/>
    <n v="1672.68"/>
    <s v="PAID"/>
    <n v="2"/>
    <n v="1133185694979"/>
    <d v="2025-12-12T00:00:00"/>
    <d v="2025-09-26T00:00:00"/>
    <m/>
    <d v="2025-12-12T00:00:00"/>
    <d v="2025-12-11T10:15:00"/>
    <n v="3844993109"/>
    <d v="2025-09-26T00:00:00"/>
    <n v="4176"/>
    <s v="NET 11/10/25"/>
    <n v="193767"/>
    <d v="2025-09-26T00:00:00"/>
    <d v="2025-12-12T00:00:00"/>
    <m/>
    <x v="0"/>
  </r>
  <r>
    <x v="87"/>
    <n v="1001841"/>
    <n v="350"/>
    <m/>
    <n v="350"/>
    <m/>
    <n v="350"/>
    <d v="2025-12-12T00:00:00"/>
    <n v="1001841"/>
    <n v="3844"/>
    <n v="0"/>
    <n v="350"/>
    <d v="2025-11-03T00:00:00"/>
    <n v="350"/>
    <n v="0"/>
    <s v="NULL"/>
    <s v="PRO"/>
    <n v="0"/>
    <n v="350"/>
    <s v="PAID"/>
    <n v="2"/>
    <n v="1133185694979"/>
    <d v="2025-12-12T00:00:00"/>
    <d v="2025-11-03T00:00:00"/>
    <m/>
    <d v="2025-12-12T00:00:00"/>
    <d v="2025-12-11T10:15:00"/>
    <n v="38441001841"/>
    <d v="2025-11-03T00:00:00"/>
    <s v="NULL"/>
    <s v="NET DUE 10TH"/>
    <s v="NULL"/>
    <d v="2025-11-03T00:00:00"/>
    <d v="2025-12-12T00:00:00"/>
    <m/>
    <x v="0"/>
  </r>
  <r>
    <x v="88"/>
    <n v="1007435"/>
    <n v="98.25"/>
    <n v="1.97"/>
    <n v="96.28"/>
    <n v="0.98"/>
    <n v="95.3"/>
    <d v="2025-12-12T00:00:00"/>
    <n v="1007435"/>
    <n v="3851"/>
    <n v="1.97"/>
    <n v="98.25"/>
    <d v="2025-12-01T00:00:00"/>
    <n v="96.28"/>
    <n v="1.97"/>
    <s v="NULL"/>
    <s v="PRO"/>
    <n v="0.98"/>
    <n v="95.3"/>
    <s v="PAID"/>
    <n v="2"/>
    <n v="7500623274974"/>
    <d v="2025-12-12T00:00:00"/>
    <d v="2025-12-01T00:00:00"/>
    <m/>
    <d v="2025-12-12T00:00:00"/>
    <d v="2025-12-10T11:53:00"/>
    <n v="38511007435"/>
    <d v="2025-12-01T00:00:00"/>
    <n v="109952"/>
    <s v="2% 01/10/26"/>
    <n v="205980"/>
    <d v="2025-12-01T00:00:00"/>
    <d v="2025-12-12T00:00:00"/>
    <n v="1.9650000000000001"/>
    <x v="0"/>
  </r>
  <r>
    <x v="88"/>
    <n v="1007479"/>
    <n v="255.61"/>
    <n v="5.1100000000000003"/>
    <n v="250.5"/>
    <n v="2.56"/>
    <n v="247.94"/>
    <d v="2025-12-12T00:00:00"/>
    <n v="1007479"/>
    <n v="3851"/>
    <n v="5.1100000000000003"/>
    <n v="255.61"/>
    <d v="2025-12-01T00:00:00"/>
    <n v="250.5"/>
    <n v="5.1100000000000003"/>
    <s v="NULL"/>
    <s v="PRO"/>
    <n v="2.56"/>
    <n v="247.94"/>
    <s v="PAID"/>
    <n v="2"/>
    <n v="7500623274974"/>
    <d v="2025-12-12T00:00:00"/>
    <d v="2025-12-01T00:00:00"/>
    <m/>
    <d v="2025-12-12T00:00:00"/>
    <d v="2025-12-10T11:53:00"/>
    <n v="38511007479"/>
    <d v="2025-12-01T00:00:00"/>
    <n v="109952"/>
    <s v="2% 01/10/26"/>
    <n v="206020"/>
    <d v="2025-12-01T00:00:00"/>
    <d v="2025-12-12T00:00:00"/>
    <n v="5.1122000000000005"/>
    <x v="0"/>
  </r>
  <r>
    <x v="88"/>
    <n v="1007564"/>
    <n v="3990"/>
    <m/>
    <n v="3990"/>
    <n v="39.9"/>
    <n v="3950.1"/>
    <d v="2025-12-12T00:00:00"/>
    <n v="1007564"/>
    <n v="3851"/>
    <n v="0"/>
    <n v="3990"/>
    <d v="2025-12-02T00:00:00"/>
    <n v="3990"/>
    <n v="0"/>
    <s v="NULL"/>
    <s v="PRO"/>
    <n v="39.9"/>
    <n v="3950.1"/>
    <s v="PAID"/>
    <n v="2"/>
    <n v="7500623274974"/>
    <d v="2025-12-12T00:00:00"/>
    <d v="2025-12-02T00:00:00"/>
    <m/>
    <d v="2025-12-12T00:00:00"/>
    <d v="2025-12-10T11:53:00"/>
    <n v="38511007564"/>
    <d v="2025-12-02T00:00:00"/>
    <s v="NULL"/>
    <s v="NET 02/10/26"/>
    <s v="NULL"/>
    <d v="2025-12-02T00:00:00"/>
    <d v="2025-12-12T00:00:00"/>
    <m/>
    <x v="0"/>
  </r>
  <r>
    <x v="88"/>
    <n v="1008080"/>
    <n v="495"/>
    <m/>
    <n v="495"/>
    <n v="4.95"/>
    <n v="490.05"/>
    <d v="2025-12-12T00:00:00"/>
    <n v="1008080"/>
    <n v="3851"/>
    <n v="0"/>
    <n v="495"/>
    <d v="2025-12-04T00:00:00"/>
    <n v="495"/>
    <n v="0"/>
    <s v="NULL"/>
    <s v="PRO"/>
    <n v="4.95"/>
    <n v="490.05"/>
    <s v="PAID"/>
    <n v="2"/>
    <n v="7500623274974"/>
    <d v="2025-12-12T00:00:00"/>
    <d v="2025-12-04T00:00:00"/>
    <m/>
    <d v="2025-12-12T00:00:00"/>
    <d v="2025-12-10T11:53:00"/>
    <n v="38511008080"/>
    <d v="2025-12-04T00:00:00"/>
    <n v="110003"/>
    <s v="NET 01/10/26"/>
    <n v="206496"/>
    <d v="2025-12-04T00:00:00"/>
    <d v="2025-12-12T00:00:00"/>
    <m/>
    <x v="0"/>
  </r>
  <r>
    <x v="88"/>
    <n v="1008352"/>
    <n v="1247.5"/>
    <m/>
    <n v="1247.5"/>
    <n v="12.47"/>
    <n v="1235.03"/>
    <d v="2025-12-12T00:00:00"/>
    <n v="1008352"/>
    <n v="3851"/>
    <n v="0"/>
    <n v="1247.5"/>
    <d v="2025-12-05T00:00:00"/>
    <n v="1247.5"/>
    <n v="0"/>
    <s v="A113000"/>
    <s v="HAHNEMUHLE"/>
    <n v="12.47"/>
    <n v="1235.03"/>
    <s v="PAID"/>
    <n v="2"/>
    <n v="7500623274974"/>
    <d v="2025-12-12T00:00:00"/>
    <d v="2025-12-05T00:00:00"/>
    <m/>
    <d v="2025-12-12T00:00:00"/>
    <d v="2025-12-10T11:53:00"/>
    <n v="38511008352"/>
    <d v="2025-12-05T00:00:00"/>
    <s v="11000\"/>
    <s v="NET 01/10/26"/>
    <s v="A113000"/>
    <d v="2025-12-05T00:00:00"/>
    <d v="2025-12-12T00:00:00"/>
    <m/>
    <x v="0"/>
  </r>
  <r>
    <x v="88"/>
    <n v="1008425"/>
    <n v="46.58"/>
    <n v="0.93"/>
    <n v="45.65"/>
    <n v="0.47"/>
    <n v="45.18"/>
    <d v="2025-12-12T00:00:00"/>
    <n v="1008425"/>
    <n v="3851"/>
    <n v="0.93"/>
    <n v="46.58"/>
    <d v="2025-12-05T00:00:00"/>
    <n v="45.65"/>
    <n v="0.93"/>
    <s v="NULL"/>
    <s v="PRO"/>
    <n v="0.47"/>
    <n v="45.18"/>
    <s v="PAID"/>
    <n v="2"/>
    <n v="7500623274974"/>
    <d v="2025-12-12T00:00:00"/>
    <d v="2025-12-05T00:00:00"/>
    <m/>
    <d v="2025-12-12T00:00:00"/>
    <d v="2025-12-10T11:53:00"/>
    <n v="38511008425"/>
    <d v="2025-12-05T00:00:00"/>
    <n v="110012"/>
    <s v="2% 01/10/26"/>
    <n v="206754"/>
    <d v="2025-12-05T00:00:00"/>
    <d v="2025-12-12T00:00:00"/>
    <n v="0.93159999999999998"/>
    <x v="0"/>
  </r>
  <r>
    <x v="89"/>
    <n v="1007187"/>
    <n v="182.97"/>
    <m/>
    <n v="182.97"/>
    <n v="1.83"/>
    <n v="182.97"/>
    <d v="2025-12-12T00:00:00"/>
    <n v="1007187"/>
    <n v="3858"/>
    <n v="0"/>
    <n v="182.97"/>
    <d v="2025-12-01T00:00:00"/>
    <n v="182.97"/>
    <n v="0"/>
    <s v="NULL"/>
    <s v="PRO"/>
    <n v="1.83"/>
    <n v="182.97"/>
    <s v="PAID"/>
    <n v="10"/>
    <s v="Auto1658516788516"/>
    <d v="2025-12-12T00:00:00"/>
    <d v="2025-12-01T00:00:00"/>
    <s v="NULL"/>
    <d v="2025-12-12T00:00:00"/>
    <d v="2025-12-12T13:45:00"/>
    <n v="38581007187"/>
    <d v="2025-12-01T00:00:00"/>
    <s v="PG110825"/>
    <s v="2% 01/10/26"/>
    <n v="205735"/>
    <d v="2025-12-01T00:00:00"/>
    <d v="2025-12-12T00:00:00"/>
    <n v="3.6594000000000002"/>
    <x v="1"/>
  </r>
  <r>
    <x v="89"/>
    <n v="1007598"/>
    <n v="350"/>
    <m/>
    <n v="350"/>
    <n v="3.5"/>
    <n v="346.5"/>
    <d v="2025-12-12T00:00:00"/>
    <n v="1007598"/>
    <n v="3858"/>
    <n v="0"/>
    <n v="350"/>
    <d v="2025-12-02T00:00:00"/>
    <n v="350"/>
    <n v="0"/>
    <s v="NULL"/>
    <s v="PRO"/>
    <n v="3.5"/>
    <n v="346.5"/>
    <s v="PAID"/>
    <n v="10"/>
    <s v="Auto1658516788516"/>
    <d v="2025-12-12T00:00:00"/>
    <d v="2025-12-02T00:00:00"/>
    <s v="NULL"/>
    <d v="2025-12-12T00:00:00"/>
    <d v="2025-12-12T13:45:00"/>
    <n v="38581007598"/>
    <d v="2025-12-02T00:00:00"/>
    <s v="NULL"/>
    <s v="NET DUE 10TH"/>
    <s v="NULL"/>
    <d v="2025-12-02T00:00:00"/>
    <d v="2025-12-12T00:00:00"/>
    <m/>
    <x v="0"/>
  </r>
  <r>
    <x v="90"/>
    <n v="1007309"/>
    <n v="801.13"/>
    <m/>
    <n v="801.13"/>
    <n v="8.01"/>
    <n v="801.13"/>
    <d v="2025-12-12T00:00:00"/>
    <n v="1007309"/>
    <n v="3865"/>
    <n v="0"/>
    <n v="801.13"/>
    <d v="2025-12-01T00:00:00"/>
    <n v="801.13"/>
    <n v="0"/>
    <s v="NULL"/>
    <s v="PRO"/>
    <n v="8.01"/>
    <n v="801.13"/>
    <s v="PAID"/>
    <n v="10"/>
    <s v="Auto482560455893109"/>
    <d v="2025-12-12T00:00:00"/>
    <d v="2025-12-01T00:00:00"/>
    <s v="NULL"/>
    <d v="2025-12-12T00:00:00"/>
    <d v="2025-12-12T13:45:00"/>
    <n v="38651007309"/>
    <d v="2025-12-01T00:00:00"/>
    <s v="251128PROLW"/>
    <s v="2% 01/10/26"/>
    <n v="205878"/>
    <d v="2025-12-01T00:00:00"/>
    <d v="2025-12-12T00:00:00"/>
    <n v="16.022600000000001"/>
    <x v="1"/>
  </r>
  <r>
    <x v="90"/>
    <n v="1007313"/>
    <n v="265.77"/>
    <m/>
    <n v="265.77"/>
    <n v="2.66"/>
    <n v="265.77"/>
    <d v="2025-12-12T00:00:00"/>
    <n v="1007313"/>
    <n v="3865"/>
    <n v="0"/>
    <n v="265.77"/>
    <d v="2025-12-01T00:00:00"/>
    <n v="265.77"/>
    <n v="0"/>
    <s v="NULL"/>
    <s v="PRO"/>
    <n v="2.66"/>
    <n v="265.77"/>
    <s v="PAID"/>
    <n v="10"/>
    <s v="Auto482560455893109"/>
    <d v="2025-12-12T00:00:00"/>
    <d v="2025-12-01T00:00:00"/>
    <s v="NULL"/>
    <d v="2025-12-12T00:00:00"/>
    <d v="2025-12-12T13:45:00"/>
    <n v="38651007313"/>
    <d v="2025-12-01T00:00:00"/>
    <s v="251128PROLW"/>
    <s v="2% 01/10/26"/>
    <n v="205873"/>
    <d v="2025-12-01T00:00:00"/>
    <d v="2025-12-12T00:00:00"/>
    <n v="5.3153999999999995"/>
    <x v="1"/>
  </r>
  <r>
    <x v="90"/>
    <n v="1007315"/>
    <n v="1429"/>
    <m/>
    <n v="1429"/>
    <n v="14.29"/>
    <n v="1414.71"/>
    <d v="2025-12-12T00:00:00"/>
    <n v="1007315"/>
    <n v="3865"/>
    <n v="0"/>
    <n v="1429"/>
    <d v="2025-12-01T00:00:00"/>
    <n v="1429"/>
    <n v="0"/>
    <s v="NULL"/>
    <s v="PRO"/>
    <n v="14.29"/>
    <n v="1414.71"/>
    <s v="PAID"/>
    <n v="10"/>
    <s v="Auto482560455893109"/>
    <d v="2025-12-12T00:00:00"/>
    <d v="2025-12-01T00:00:00"/>
    <s v="NULL"/>
    <d v="2025-12-12T00:00:00"/>
    <d v="2025-12-12T13:45:00"/>
    <n v="38651007315"/>
    <d v="2025-12-01T00:00:00"/>
    <s v="251128PROLW"/>
    <s v="NET 01/10/26"/>
    <n v="205879"/>
    <d v="2025-12-01T00:00:00"/>
    <d v="2025-12-12T00:00:00"/>
    <m/>
    <x v="0"/>
  </r>
  <r>
    <x v="90"/>
    <n v="1007354"/>
    <n v="3526.98"/>
    <m/>
    <n v="3526.98"/>
    <n v="35.270000000000003"/>
    <n v="3491.71"/>
    <d v="2025-12-12T00:00:00"/>
    <n v="1007354"/>
    <n v="3865"/>
    <n v="0"/>
    <n v="3526.98"/>
    <d v="2025-12-01T00:00:00"/>
    <n v="3526.98"/>
    <n v="0"/>
    <s v="NULL"/>
    <s v="PRO"/>
    <n v="35.270000000000003"/>
    <n v="3491.71"/>
    <s v="PAID"/>
    <n v="10"/>
    <s v="Auto482560455893109"/>
    <d v="2025-12-12T00:00:00"/>
    <d v="2025-12-01T00:00:00"/>
    <s v="NULL"/>
    <d v="2025-12-12T00:00:00"/>
    <d v="2025-12-12T13:45:00"/>
    <n v="38651007354"/>
    <d v="2025-12-01T00:00:00"/>
    <s v="251128PROJP"/>
    <s v="NET 01/10/26"/>
    <n v="205880"/>
    <d v="2025-12-01T00:00:00"/>
    <d v="2025-12-12T00:00:00"/>
    <m/>
    <x v="0"/>
  </r>
  <r>
    <x v="90"/>
    <n v="1007630"/>
    <n v="3990"/>
    <m/>
    <n v="3990"/>
    <n v="39.9"/>
    <n v="3950.1"/>
    <d v="2025-12-12T00:00:00"/>
    <n v="1007630"/>
    <n v="3865"/>
    <n v="0"/>
    <n v="3990"/>
    <d v="2025-12-02T00:00:00"/>
    <n v="3990"/>
    <n v="0"/>
    <s v="NULL"/>
    <s v="PRO"/>
    <n v="39.9"/>
    <n v="3950.1"/>
    <s v="PAID"/>
    <n v="10"/>
    <s v="Auto482560455893109"/>
    <d v="2025-12-12T00:00:00"/>
    <d v="2025-12-02T00:00:00"/>
    <s v="NULL"/>
    <d v="2025-12-12T00:00:00"/>
    <d v="2025-12-12T13:45:00"/>
    <n v="38651007630"/>
    <d v="2025-12-02T00:00:00"/>
    <s v="NULL"/>
    <s v="NET 02/10/26"/>
    <s v="NULL"/>
    <d v="2025-12-02T00:00:00"/>
    <d v="2025-12-12T00:00:00"/>
    <m/>
    <x v="0"/>
  </r>
  <r>
    <x v="90"/>
    <n v="1007751"/>
    <n v="1253.58"/>
    <m/>
    <n v="1253.58"/>
    <n v="12.54"/>
    <n v="1253.58"/>
    <d v="2025-12-12T00:00:00"/>
    <n v="1007751"/>
    <n v="3865"/>
    <n v="0"/>
    <n v="1253.58"/>
    <d v="2025-12-02T00:00:00"/>
    <n v="1253.58"/>
    <n v="0"/>
    <s v="NULL"/>
    <s v="PRO"/>
    <n v="12.54"/>
    <n v="1253.58"/>
    <s v="PAID"/>
    <n v="10"/>
    <s v="Auto482560455893109"/>
    <d v="2025-12-12T00:00:00"/>
    <d v="2025-12-02T00:00:00"/>
    <s v="NULL"/>
    <d v="2025-12-12T00:00:00"/>
    <d v="2025-12-12T13:45:00"/>
    <n v="38651007751"/>
    <d v="2025-12-02T00:00:00"/>
    <s v="251128NISILW"/>
    <s v="2% 01/10/26"/>
    <n v="206202"/>
    <d v="2025-12-02T00:00:00"/>
    <d v="2025-12-12T00:00:00"/>
    <n v="25.0716"/>
    <x v="1"/>
  </r>
  <r>
    <x v="90"/>
    <n v="1007883"/>
    <n v="2267.92"/>
    <m/>
    <n v="2267.92"/>
    <n v="22.68"/>
    <n v="2245.2399999999998"/>
    <d v="2025-12-12T00:00:00"/>
    <n v="1007883"/>
    <n v="3865"/>
    <n v="0"/>
    <n v="2267.92"/>
    <d v="2025-12-03T00:00:00"/>
    <n v="2267.92"/>
    <n v="0"/>
    <s v="NULL"/>
    <s v="PRO"/>
    <n v="22.68"/>
    <n v="2245.2399999999998"/>
    <s v="PAID"/>
    <n v="10"/>
    <s v="Auto482560455893109"/>
    <d v="2025-12-12T00:00:00"/>
    <d v="2025-12-03T00:00:00"/>
    <s v="NULL"/>
    <d v="2025-12-12T00:00:00"/>
    <d v="2025-12-12T13:45:00"/>
    <n v="38651007883"/>
    <d v="2025-12-03T00:00:00"/>
    <s v="251128FUJILW"/>
    <s v="NET 01/10/26"/>
    <n v="206435"/>
    <d v="2025-12-03T00:00:00"/>
    <d v="2025-12-12T00:00:00"/>
    <m/>
    <x v="0"/>
  </r>
  <r>
    <x v="90"/>
    <n v="1008105"/>
    <n v="70.2"/>
    <m/>
    <n v="70.2"/>
    <n v="0.7"/>
    <n v="70.2"/>
    <d v="2025-12-12T00:00:00"/>
    <n v="1008105"/>
    <n v="3865"/>
    <n v="0"/>
    <n v="70.2"/>
    <d v="2025-12-04T00:00:00"/>
    <n v="70.2"/>
    <n v="0"/>
    <s v="NULL"/>
    <s v="PRO"/>
    <n v="0.7"/>
    <n v="70.2"/>
    <s v="PAID"/>
    <n v="10"/>
    <s v="Auto482560455893109"/>
    <d v="2025-12-12T00:00:00"/>
    <d v="2025-12-04T00:00:00"/>
    <s v="NULL"/>
    <d v="2025-12-12T00:00:00"/>
    <d v="2025-12-12T13:45:00"/>
    <n v="38651008105"/>
    <d v="2025-12-04T00:00:00"/>
    <s v="251128PROLW"/>
    <s v="2% 01/10/26"/>
    <n v="206386"/>
    <d v="2025-12-04T00:00:00"/>
    <d v="2025-12-12T00:00:00"/>
    <n v="1.4040000000000001"/>
    <x v="1"/>
  </r>
  <r>
    <x v="90"/>
    <n v="1008148"/>
    <n v="1576.95"/>
    <m/>
    <n v="1576.95"/>
    <n v="15.77"/>
    <n v="1576.95"/>
    <d v="2025-12-12T00:00:00"/>
    <n v="1008148"/>
    <n v="3865"/>
    <n v="0"/>
    <n v="1576.95"/>
    <d v="2025-12-04T00:00:00"/>
    <n v="1576.95"/>
    <n v="0"/>
    <s v="NULL"/>
    <s v="PRO"/>
    <n v="15.77"/>
    <n v="1576.95"/>
    <s v="PAID"/>
    <n v="10"/>
    <s v="Auto482560455893109"/>
    <d v="2025-12-12T00:00:00"/>
    <d v="2025-12-04T00:00:00"/>
    <s v="NULL"/>
    <d v="2025-12-12T00:00:00"/>
    <d v="2025-12-12T13:45:00"/>
    <n v="38651008148"/>
    <d v="2025-12-04T00:00:00"/>
    <s v="251204PROLW"/>
    <s v="2% 01/10/26"/>
    <n v="206758"/>
    <d v="2025-12-04T00:00:00"/>
    <d v="2025-12-12T00:00:00"/>
    <n v="31.539000000000001"/>
    <x v="1"/>
  </r>
  <r>
    <x v="90"/>
    <n v="1008188"/>
    <n v="869.96"/>
    <m/>
    <n v="869.96"/>
    <n v="8.6999999999999993"/>
    <n v="861.26"/>
    <d v="2025-12-12T00:00:00"/>
    <n v="1008188"/>
    <n v="3865"/>
    <n v="0"/>
    <n v="869.96"/>
    <d v="2025-12-04T00:00:00"/>
    <n v="869.96"/>
    <n v="0"/>
    <s v="NULL"/>
    <s v="PRO"/>
    <n v="8.6999999999999993"/>
    <n v="861.26"/>
    <s v="PAID"/>
    <n v="10"/>
    <s v="Auto482560455893109"/>
    <d v="2025-12-12T00:00:00"/>
    <d v="2025-12-04T00:00:00"/>
    <s v="NULL"/>
    <d v="2025-12-12T00:00:00"/>
    <d v="2025-12-12T13:45:00"/>
    <n v="38651008188"/>
    <d v="2025-12-04T00:00:00"/>
    <s v="251128FUJILW"/>
    <s v="NET 01/10/26"/>
    <n v="206647"/>
    <d v="2025-12-04T00:00:00"/>
    <d v="2025-12-12T00:00:00"/>
    <m/>
    <x v="0"/>
  </r>
  <r>
    <x v="90"/>
    <n v="1008460"/>
    <n v="216.13"/>
    <m/>
    <n v="216.13"/>
    <n v="2.16"/>
    <n v="213.97"/>
    <d v="2025-12-12T00:00:00"/>
    <n v="1008460"/>
    <n v="3865"/>
    <n v="0"/>
    <n v="216.13"/>
    <d v="2025-12-05T00:00:00"/>
    <n v="216.13"/>
    <n v="0"/>
    <s v="NULL"/>
    <s v="PRO"/>
    <n v="2.16"/>
    <n v="213.97"/>
    <s v="PAID"/>
    <n v="10"/>
    <s v="Auto482560455893109"/>
    <d v="2025-12-12T00:00:00"/>
    <d v="2025-12-05T00:00:00"/>
    <s v="NULL"/>
    <d v="2025-12-12T00:00:00"/>
    <d v="2025-12-12T13:45:00"/>
    <n v="38651008460"/>
    <d v="2025-12-05T00:00:00"/>
    <s v="251204PROLW"/>
    <s v="NET 01/10/26"/>
    <n v="206769"/>
    <d v="2025-12-05T00:00:00"/>
    <d v="2025-12-12T00:00:00"/>
    <m/>
    <x v="0"/>
  </r>
  <r>
    <x v="90"/>
    <n v="1008461"/>
    <n v="431.07"/>
    <m/>
    <n v="431.07"/>
    <n v="4.3099999999999996"/>
    <n v="431.07"/>
    <d v="2025-12-12T00:00:00"/>
    <n v="1008461"/>
    <n v="3865"/>
    <n v="0"/>
    <n v="431.07"/>
    <d v="2025-12-05T00:00:00"/>
    <n v="431.07"/>
    <n v="0"/>
    <s v="NULL"/>
    <s v="PRO"/>
    <n v="4.3099999999999996"/>
    <n v="431.07"/>
    <s v="PAID"/>
    <n v="10"/>
    <s v="Auto482560455893109"/>
    <d v="2025-12-12T00:00:00"/>
    <d v="2025-12-05T00:00:00"/>
    <s v="NULL"/>
    <d v="2025-12-12T00:00:00"/>
    <d v="2025-12-12T13:45:00"/>
    <n v="38651008461"/>
    <d v="2025-12-05T00:00:00"/>
    <s v="251204PROLW"/>
    <s v="2% 01/10/26"/>
    <n v="206768"/>
    <d v="2025-12-05T00:00:00"/>
    <d v="2025-12-12T00:00:00"/>
    <n v="8.6213999999999995"/>
    <x v="1"/>
  </r>
  <r>
    <x v="91"/>
    <n v="1007443"/>
    <n v="1573.57"/>
    <m/>
    <n v="1573.57"/>
    <n v="15.74"/>
    <n v="1557.83"/>
    <d v="2025-12-12T00:00:00"/>
    <n v="1007443"/>
    <n v="3886"/>
    <n v="0"/>
    <n v="1573.57"/>
    <d v="2025-12-01T00:00:00"/>
    <n v="1573.57"/>
    <n v="0"/>
    <s v="NULL"/>
    <s v="PRO"/>
    <n v="15.74"/>
    <n v="1557.83"/>
    <s v="PAID"/>
    <n v="2"/>
    <n v="4846579557874"/>
    <d v="2025-12-12T00:00:00"/>
    <d v="2025-12-01T00:00:00"/>
    <m/>
    <d v="2025-12-12T00:00:00"/>
    <d v="2025-12-08T19:55:00"/>
    <n v="38861007443"/>
    <d v="2025-12-01T00:00:00"/>
    <s v="113025BD"/>
    <s v="NET 01/10/26"/>
    <n v="205905"/>
    <d v="2025-12-01T00:00:00"/>
    <d v="2025-12-12T00:00:00"/>
    <m/>
    <x v="0"/>
  </r>
  <r>
    <x v="91"/>
    <n v="1007555"/>
    <n v="350"/>
    <m/>
    <n v="350"/>
    <n v="3.5"/>
    <n v="346.5"/>
    <d v="2025-12-12T00:00:00"/>
    <n v="1007555"/>
    <n v="3886"/>
    <n v="0"/>
    <n v="350"/>
    <d v="2025-12-02T00:00:00"/>
    <n v="350"/>
    <n v="0"/>
    <s v="NULL"/>
    <s v="PRO"/>
    <n v="3.5"/>
    <n v="346.5"/>
    <s v="PAID"/>
    <n v="2"/>
    <n v="4846579557874"/>
    <d v="2025-12-12T00:00:00"/>
    <d v="2025-12-02T00:00:00"/>
    <m/>
    <d v="2025-12-12T00:00:00"/>
    <d v="2025-12-08T19:55:00"/>
    <n v="38861007555"/>
    <d v="2025-12-02T00:00:00"/>
    <s v="NULL"/>
    <s v="NET DUE 10TH"/>
    <s v="NULL"/>
    <d v="2025-12-02T00:00:00"/>
    <d v="2025-12-12T00:00:00"/>
    <m/>
    <x v="0"/>
  </r>
  <r>
    <x v="91"/>
    <n v="1007812"/>
    <n v="3478.42"/>
    <m/>
    <n v="3478.42"/>
    <n v="34.78"/>
    <n v="3443.64"/>
    <d v="2025-12-12T00:00:00"/>
    <n v="1007812"/>
    <n v="3886"/>
    <n v="0"/>
    <n v="3478.42"/>
    <d v="2025-12-02T00:00:00"/>
    <n v="3478.42"/>
    <n v="0"/>
    <s v="NULL"/>
    <s v="PRO"/>
    <n v="34.78"/>
    <n v="3443.64"/>
    <s v="PAID"/>
    <n v="2"/>
    <n v="4846579557874"/>
    <d v="2025-12-12T00:00:00"/>
    <d v="2025-12-02T00:00:00"/>
    <m/>
    <d v="2025-12-12T00:00:00"/>
    <d v="2025-12-08T19:55:00"/>
    <n v="38861007812"/>
    <d v="2025-12-02T00:00:00"/>
    <s v="9232025BD"/>
    <s v="NET 01/10/26"/>
    <n v="206090"/>
    <d v="2025-12-02T00:00:00"/>
    <d v="2025-12-12T00:00:00"/>
    <m/>
    <x v="0"/>
  </r>
  <r>
    <x v="91"/>
    <n v="1007817"/>
    <n v="3312.79"/>
    <m/>
    <n v="3312.79"/>
    <n v="33.130000000000003"/>
    <n v="3279.66"/>
    <d v="2025-12-12T00:00:00"/>
    <n v="1007817"/>
    <n v="3886"/>
    <n v="0"/>
    <n v="3312.79"/>
    <d v="2025-12-02T00:00:00"/>
    <n v="3312.79"/>
    <n v="0"/>
    <s v="NULL"/>
    <s v="PRO"/>
    <n v="33.130000000000003"/>
    <n v="3279.66"/>
    <s v="PAID"/>
    <n v="2"/>
    <n v="4846579557874"/>
    <d v="2025-12-12T00:00:00"/>
    <d v="2025-12-02T00:00:00"/>
    <m/>
    <d v="2025-12-12T00:00:00"/>
    <d v="2025-12-08T19:55:00"/>
    <n v="38861007817"/>
    <d v="2025-12-02T00:00:00"/>
    <n v="321118"/>
    <s v="NET 01/10/26"/>
    <n v="206091"/>
    <d v="2025-12-02T00:00:00"/>
    <d v="2025-12-12T00:00:00"/>
    <m/>
    <x v="0"/>
  </r>
  <r>
    <x v="91"/>
    <n v="1007953"/>
    <n v="447.46"/>
    <n v="8.9499999999999993"/>
    <n v="438.51"/>
    <n v="4.47"/>
    <n v="434.04"/>
    <d v="2025-12-12T00:00:00"/>
    <n v="1007953"/>
    <n v="3886"/>
    <n v="8.9499999999999993"/>
    <n v="447.46"/>
    <d v="2025-12-03T00:00:00"/>
    <n v="438.51"/>
    <n v="8.9499999999999993"/>
    <s v="NULL"/>
    <s v="PRO"/>
    <n v="4.47"/>
    <n v="434.04"/>
    <s v="PAID"/>
    <n v="2"/>
    <n v="4846579557874"/>
    <d v="2025-12-12T00:00:00"/>
    <d v="2025-12-03T00:00:00"/>
    <m/>
    <d v="2025-12-12T00:00:00"/>
    <d v="2025-12-08T19:55:00"/>
    <n v="38861007953"/>
    <d v="2025-12-03T00:00:00"/>
    <s v="120225BD"/>
    <s v="2% 01/10/26"/>
    <n v="206364"/>
    <d v="2025-12-03T00:00:00"/>
    <d v="2025-12-12T00:00:00"/>
    <n v="8.9491999999999994"/>
    <x v="0"/>
  </r>
  <r>
    <x v="91"/>
    <n v="1008010"/>
    <n v="328.78"/>
    <n v="6.58"/>
    <n v="322.2"/>
    <n v="3.29"/>
    <n v="318.91000000000003"/>
    <d v="2025-12-12T00:00:00"/>
    <n v="1008010"/>
    <n v="3886"/>
    <n v="6.58"/>
    <n v="328.78"/>
    <d v="2025-12-03T00:00:00"/>
    <n v="322.2"/>
    <n v="6.58"/>
    <s v="NULL"/>
    <s v="PRO"/>
    <n v="3.29"/>
    <n v="318.91000000000003"/>
    <s v="PAID"/>
    <n v="2"/>
    <n v="4846579557874"/>
    <d v="2025-12-12T00:00:00"/>
    <d v="2025-12-03T00:00:00"/>
    <m/>
    <d v="2025-12-12T00:00:00"/>
    <d v="2025-12-08T19:55:00"/>
    <n v="38861008010"/>
    <d v="2025-12-03T00:00:00"/>
    <s v="120225BD"/>
    <s v="2% 01/10/26"/>
    <n v="206358"/>
    <d v="2025-12-03T00:00:00"/>
    <d v="2025-12-12T00:00:00"/>
    <n v="6.5755999999999997"/>
    <x v="0"/>
  </r>
  <r>
    <x v="91"/>
    <n v="1008286"/>
    <n v="-150"/>
    <m/>
    <n v="-150"/>
    <m/>
    <n v="-150"/>
    <d v="2025-12-12T00:00:00"/>
    <n v="1008286"/>
    <n v="3886"/>
    <n v="0"/>
    <n v="-150"/>
    <d v="2025-12-04T00:00:00"/>
    <n v="-150"/>
    <n v="0"/>
    <s v="NMCNoINV"/>
    <s v="PRO"/>
    <n v="0"/>
    <n v="-150"/>
    <s v="PAID"/>
    <n v="2"/>
    <n v="4846579557874"/>
    <d v="2025-12-12T00:00:00"/>
    <d v="2025-12-04T00:00:00"/>
    <m/>
    <d v="2025-12-12T00:00:00"/>
    <d v="2025-12-08T19:55:00"/>
    <n v="38861008286"/>
    <d v="2025-12-04T00:00:00"/>
    <s v="N/A"/>
    <s v="NET 01/10/26"/>
    <s v="NMCNoINV"/>
    <d v="2025-12-04T00:00:00"/>
    <d v="2025-12-12T00:00:00"/>
    <m/>
    <x v="0"/>
  </r>
  <r>
    <x v="91"/>
    <n v="1008304"/>
    <n v="813.12"/>
    <n v="16.260000000000002"/>
    <n v="796.86"/>
    <n v="8.1300000000000008"/>
    <n v="788.73"/>
    <d v="2025-12-12T00:00:00"/>
    <n v="1008304"/>
    <n v="3886"/>
    <n v="16.260000000000002"/>
    <n v="813.12"/>
    <d v="2025-12-05T00:00:00"/>
    <n v="796.86"/>
    <n v="16.260000000000002"/>
    <s v="INV404143"/>
    <s v="TIFFEN"/>
    <n v="8.1300000000000008"/>
    <n v="788.73"/>
    <s v="PAID"/>
    <n v="2"/>
    <n v="4846579557874"/>
    <d v="2025-12-12T00:00:00"/>
    <d v="2025-12-05T00:00:00"/>
    <m/>
    <d v="2025-12-12T00:00:00"/>
    <d v="2025-12-08T19:55:00"/>
    <n v="38861008304"/>
    <d v="2025-12-05T00:00:00"/>
    <s v="NULL"/>
    <s v="2% 01/10/26"/>
    <s v="INV404143"/>
    <d v="2025-12-05T00:00:00"/>
    <d v="2025-12-12T00:00:00"/>
    <n v="16.2624"/>
    <x v="0"/>
  </r>
  <r>
    <x v="92"/>
    <n v="1007591"/>
    <n v="350"/>
    <m/>
    <n v="350"/>
    <n v="3.5"/>
    <n v="346.5"/>
    <d v="2025-12-12T00:00:00"/>
    <n v="1007591"/>
    <n v="3893"/>
    <n v="0"/>
    <n v="350"/>
    <d v="2025-12-02T00:00:00"/>
    <n v="350"/>
    <n v="0"/>
    <s v="NULL"/>
    <s v="PRO"/>
    <n v="3.5"/>
    <n v="346.5"/>
    <s v="PAID"/>
    <n v="10"/>
    <s v="Auto279849405111777"/>
    <d v="2025-12-12T00:00:00"/>
    <d v="2025-12-02T00:00:00"/>
    <s v="NULL"/>
    <d v="2025-12-12T00:00:00"/>
    <d v="2025-12-12T13:45:00"/>
    <n v="38931007591"/>
    <d v="2025-12-02T00:00:00"/>
    <s v="NULL"/>
    <s v="NET DUE 10TH"/>
    <s v="NULL"/>
    <d v="2025-12-02T00:00:00"/>
    <d v="2025-12-12T00:00:00"/>
    <m/>
    <x v="0"/>
  </r>
  <r>
    <x v="92"/>
    <n v="1007728"/>
    <n v="1185.18"/>
    <m/>
    <n v="1185.18"/>
    <n v="11.85"/>
    <n v="1173.33"/>
    <d v="2025-12-12T00:00:00"/>
    <n v="1007728"/>
    <n v="3893"/>
    <n v="0"/>
    <n v="1185.18"/>
    <d v="2025-12-02T00:00:00"/>
    <n v="1185.18"/>
    <n v="0"/>
    <s v="NULL"/>
    <s v="PRO"/>
    <n v="11.85"/>
    <n v="1173.33"/>
    <s v="PAID"/>
    <n v="10"/>
    <s v="Auto279849405111777"/>
    <d v="2025-12-12T00:00:00"/>
    <d v="2025-12-02T00:00:00"/>
    <s v="NULL"/>
    <d v="2025-12-12T00:00:00"/>
    <d v="2025-12-12T13:45:00"/>
    <n v="38931007728"/>
    <d v="2025-12-02T00:00:00"/>
    <n v="20251201"/>
    <s v="NET 01/10/26"/>
    <n v="206193"/>
    <d v="2025-12-02T00:00:00"/>
    <d v="2025-12-12T00:00:00"/>
    <m/>
    <x v="0"/>
  </r>
  <r>
    <x v="92"/>
    <n v="1007731"/>
    <n v="21.4"/>
    <m/>
    <n v="21.4"/>
    <n v="0.21"/>
    <n v="21.4"/>
    <d v="2025-12-12T00:00:00"/>
    <n v="1007731"/>
    <n v="3893"/>
    <n v="0"/>
    <n v="21.4"/>
    <d v="2025-12-02T00:00:00"/>
    <n v="21.4"/>
    <n v="0"/>
    <s v="NULL"/>
    <s v="PRO"/>
    <n v="0.21"/>
    <n v="21.4"/>
    <s v="PAID"/>
    <n v="10"/>
    <s v="Auto279849405111777"/>
    <d v="2025-12-12T00:00:00"/>
    <d v="2025-12-02T00:00:00"/>
    <s v="NULL"/>
    <d v="2025-12-12T00:00:00"/>
    <d v="2025-12-12T13:45:00"/>
    <n v="38931007731"/>
    <d v="2025-12-02T00:00:00"/>
    <n v="20251201"/>
    <s v="2% 01/10/26"/>
    <n v="206192"/>
    <d v="2025-12-02T00:00:00"/>
    <d v="2025-12-12T00:00:00"/>
    <n v="0.42799999999999999"/>
    <x v="1"/>
  </r>
  <r>
    <x v="92"/>
    <n v="1008063"/>
    <n v="-148.5"/>
    <m/>
    <n v="-148.5"/>
    <m/>
    <n v="-148.5"/>
    <d v="2025-12-12T00:00:00"/>
    <n v="1008063"/>
    <n v="3893"/>
    <n v="0"/>
    <n v="-148.5"/>
    <d v="2025-12-04T00:00:00"/>
    <n v="-148.5"/>
    <n v="0"/>
    <s v="NMCNoINV"/>
    <s v="PRO"/>
    <n v="0"/>
    <n v="-148.5"/>
    <s v="PAID"/>
    <n v="10"/>
    <s v="Auto279849405111777"/>
    <d v="2025-12-12T00:00:00"/>
    <d v="2025-12-04T00:00:00"/>
    <s v="NULL"/>
    <d v="2025-12-12T00:00:00"/>
    <d v="2025-12-12T13:45:00"/>
    <n v="38931008063"/>
    <d v="2025-12-04T00:00:00"/>
    <s v="N/A"/>
    <s v="NET 01/10/26"/>
    <s v="NMCNoINV"/>
    <d v="2025-12-04T00:00:00"/>
    <d v="2025-12-12T00:00:00"/>
    <m/>
    <x v="0"/>
  </r>
  <r>
    <x v="92"/>
    <n v="1008187"/>
    <n v="224.76"/>
    <m/>
    <n v="224.76"/>
    <n v="2.25"/>
    <n v="222.51"/>
    <d v="2025-12-12T00:00:00"/>
    <n v="1008187"/>
    <n v="3893"/>
    <n v="0"/>
    <n v="224.76"/>
    <d v="2025-12-04T00:00:00"/>
    <n v="224.76"/>
    <n v="0"/>
    <s v="NULL"/>
    <s v="PRO"/>
    <n v="2.25"/>
    <n v="222.51"/>
    <s v="PAID"/>
    <n v="10"/>
    <s v="Auto279849405111777"/>
    <d v="2025-12-12T00:00:00"/>
    <d v="2025-12-04T00:00:00"/>
    <s v="NULL"/>
    <d v="2025-12-12T00:00:00"/>
    <d v="2025-12-12T13:45:00"/>
    <n v="38931008187"/>
    <d v="2025-12-04T00:00:00"/>
    <n v="20251201"/>
    <s v="NET 01/10/26"/>
    <n v="206644"/>
    <d v="2025-12-04T00:00:00"/>
    <d v="2025-12-12T00:00:00"/>
    <m/>
    <x v="0"/>
  </r>
  <r>
    <x v="92"/>
    <n v="1008266"/>
    <n v="62.8"/>
    <m/>
    <n v="62.8"/>
    <n v="0.63"/>
    <n v="62.8"/>
    <d v="2025-12-12T00:00:00"/>
    <n v="1008266"/>
    <n v="3893"/>
    <n v="0"/>
    <n v="62.8"/>
    <d v="2025-12-04T00:00:00"/>
    <n v="62.8"/>
    <n v="0"/>
    <s v="NULL"/>
    <s v="PRO"/>
    <n v="0.63"/>
    <n v="62.8"/>
    <s v="PAID"/>
    <n v="10"/>
    <s v="Auto279849405111777"/>
    <d v="2025-12-12T00:00:00"/>
    <d v="2025-12-04T00:00:00"/>
    <s v="NULL"/>
    <d v="2025-12-12T00:00:00"/>
    <d v="2025-12-12T13:45:00"/>
    <n v="38931008266"/>
    <d v="2025-12-04T00:00:00"/>
    <n v="20251203"/>
    <s v="2% 01/10/26"/>
    <n v="206550"/>
    <d v="2025-12-04T00:00:00"/>
    <d v="2025-12-12T00:00:00"/>
    <n v="1.256"/>
    <x v="1"/>
  </r>
  <r>
    <x v="92"/>
    <n v="1008543"/>
    <n v="1776.57"/>
    <m/>
    <n v="1776.57"/>
    <n v="17.77"/>
    <n v="1776.57"/>
    <d v="2025-12-12T00:00:00"/>
    <n v="1008543"/>
    <n v="3893"/>
    <n v="0"/>
    <n v="1776.57"/>
    <d v="2025-12-05T00:00:00"/>
    <n v="1776.57"/>
    <n v="0"/>
    <s v="NULL"/>
    <s v="PRO"/>
    <n v="17.77"/>
    <n v="1776.57"/>
    <s v="PAID"/>
    <n v="10"/>
    <s v="Auto279849405111777"/>
    <d v="2025-12-12T00:00:00"/>
    <d v="2025-12-05T00:00:00"/>
    <s v="NULL"/>
    <d v="2025-12-12T00:00:00"/>
    <d v="2025-12-12T13:45:00"/>
    <n v="38931008543"/>
    <d v="2025-12-05T00:00:00"/>
    <n v="20251204"/>
    <s v="2% 01/10/26"/>
    <n v="206863"/>
    <d v="2025-12-05T00:00:00"/>
    <d v="2025-12-12T00:00:00"/>
    <n v="35.531399999999998"/>
    <x v="1"/>
  </r>
  <r>
    <x v="92"/>
    <n v="1008961"/>
    <n v="-243"/>
    <m/>
    <n v="-243"/>
    <m/>
    <n v="-243"/>
    <d v="2025-12-12T00:00:00"/>
    <n v="1008961"/>
    <n v="3893"/>
    <n v="0"/>
    <n v="-243"/>
    <d v="2025-12-09T00:00:00"/>
    <n v="-243"/>
    <n v="0"/>
    <n v="1008961"/>
    <s v="PRO"/>
    <n v="0"/>
    <n v="-243"/>
    <s v="PAID"/>
    <n v="10"/>
    <s v="Auto279849405111777"/>
    <d v="2025-12-12T00:00:00"/>
    <d v="2025-12-09T00:00:00"/>
    <s v="NULL"/>
    <d v="2025-12-12T00:00:00"/>
    <d v="2025-12-12T13:45:00"/>
    <n v="38931008961"/>
    <d v="2025-12-09T00:00:00"/>
    <s v="20251031om"/>
    <s v="NET 01/10/26"/>
    <s v="OLYM112426"/>
    <d v="2025-12-09T00:00:00"/>
    <d v="2025-12-12T00:00:00"/>
    <m/>
    <x v="0"/>
  </r>
  <r>
    <x v="92"/>
    <n v="1008962"/>
    <n v="-162"/>
    <m/>
    <n v="-162"/>
    <m/>
    <n v="-162"/>
    <d v="2025-12-12T00:00:00"/>
    <n v="1008962"/>
    <n v="3893"/>
    <n v="0"/>
    <n v="-162"/>
    <d v="2025-12-09T00:00:00"/>
    <n v="-162"/>
    <n v="0"/>
    <n v="1008962"/>
    <s v="PRO"/>
    <n v="0"/>
    <n v="-162"/>
    <s v="PAID"/>
    <n v="10"/>
    <s v="Auto279849405111777"/>
    <d v="2025-12-12T00:00:00"/>
    <d v="2025-12-09T00:00:00"/>
    <s v="NULL"/>
    <d v="2025-12-12T00:00:00"/>
    <d v="2025-12-12T13:45:00"/>
    <n v="38931008962"/>
    <d v="2025-12-09T00:00:00"/>
    <n v="2025103112"/>
    <s v="NET 01/10/26"/>
    <s v="OLYM112427"/>
    <d v="2025-12-09T00:00:00"/>
    <d v="2025-12-12T00:00:00"/>
    <m/>
    <x v="0"/>
  </r>
  <r>
    <x v="92"/>
    <n v="1008963"/>
    <n v="-162"/>
    <m/>
    <n v="-162"/>
    <m/>
    <n v="-162"/>
    <d v="2025-12-12T00:00:00"/>
    <n v="1008963"/>
    <n v="3893"/>
    <n v="0"/>
    <n v="-162"/>
    <d v="2025-12-09T00:00:00"/>
    <n v="-162"/>
    <n v="0"/>
    <n v="1008963"/>
    <s v="PRO"/>
    <n v="0"/>
    <n v="-162"/>
    <s v="PAID"/>
    <n v="10"/>
    <s v="Auto279849405111777"/>
    <d v="2025-12-12T00:00:00"/>
    <d v="2025-12-09T00:00:00"/>
    <s v="NULL"/>
    <d v="2025-12-12T00:00:00"/>
    <d v="2025-12-12T13:45:00"/>
    <n v="38931008963"/>
    <d v="2025-12-09T00:00:00"/>
    <n v="2025103171"/>
    <s v="NET 01/10/26"/>
    <s v="OLYM112428"/>
    <d v="2025-12-09T00:00:00"/>
    <d v="2025-12-12T00:00:00"/>
    <m/>
    <x v="0"/>
  </r>
  <r>
    <x v="93"/>
    <n v="1007620"/>
    <n v="3990"/>
    <m/>
    <n v="3990"/>
    <n v="39.9"/>
    <n v="3950.1"/>
    <d v="2025-12-12T00:00:00"/>
    <n v="1007620"/>
    <n v="3900"/>
    <n v="0"/>
    <n v="3990"/>
    <d v="2025-12-02T00:00:00"/>
    <n v="3990"/>
    <n v="0"/>
    <s v="NULL"/>
    <s v="PRO"/>
    <n v="39.9"/>
    <n v="3950.1"/>
    <s v="PAID"/>
    <n v="10"/>
    <s v="Auto804910058740547"/>
    <d v="2025-12-12T00:00:00"/>
    <d v="2025-12-02T00:00:00"/>
    <s v="NULL"/>
    <d v="2025-12-12T00:00:00"/>
    <d v="2025-12-12T13:45:00"/>
    <n v="39001007620"/>
    <d v="2025-12-02T00:00:00"/>
    <s v="NULL"/>
    <s v="NET 02/10/26"/>
    <s v="NULL"/>
    <d v="2025-12-02T00:00:00"/>
    <d v="2025-12-12T00:00:00"/>
    <m/>
    <x v="0"/>
  </r>
  <r>
    <x v="94"/>
    <n v="1007657"/>
    <n v="350"/>
    <m/>
    <n v="350"/>
    <n v="3.5"/>
    <n v="346.5"/>
    <d v="2025-12-12T00:00:00"/>
    <n v="1007657"/>
    <n v="3907"/>
    <n v="0"/>
    <n v="350"/>
    <d v="2025-12-02T00:00:00"/>
    <n v="350"/>
    <n v="0"/>
    <s v="NULL"/>
    <s v="PRO"/>
    <n v="3.5"/>
    <n v="346.5"/>
    <s v="PAID"/>
    <n v="10"/>
    <s v="Auto552195948234428"/>
    <d v="2025-12-12T00:00:00"/>
    <d v="2025-12-02T00:00:00"/>
    <s v="NULL"/>
    <d v="2025-12-12T00:00:00"/>
    <d v="2025-12-12T13:45:00"/>
    <n v="39071007657"/>
    <d v="2025-12-02T00:00:00"/>
    <s v="NULL"/>
    <s v="NET DUE 10TH"/>
    <s v="NULL"/>
    <d v="2025-12-02T00:00:00"/>
    <d v="2025-12-12T00:00:00"/>
    <m/>
    <x v="0"/>
  </r>
  <r>
    <x v="95"/>
    <n v="1007192"/>
    <n v="82.28"/>
    <m/>
    <n v="82.28"/>
    <n v="0.82"/>
    <n v="82.28"/>
    <d v="2025-12-12T00:00:00"/>
    <n v="1007192"/>
    <n v="3921"/>
    <n v="0"/>
    <n v="82.28"/>
    <d v="2025-12-01T00:00:00"/>
    <n v="82.28"/>
    <n v="0"/>
    <s v="NULL"/>
    <s v="PRO"/>
    <n v="0.82"/>
    <n v="82.28"/>
    <s v="PAID"/>
    <n v="10"/>
    <s v="Auto66824443913980"/>
    <d v="2025-12-12T00:00:00"/>
    <d v="2025-12-01T00:00:00"/>
    <s v="NULL"/>
    <d v="2025-12-12T00:00:00"/>
    <d v="2025-12-12T13:45:00"/>
    <n v="39211007192"/>
    <d v="2025-12-01T00:00:00"/>
    <n v="15239"/>
    <s v="2% 01/10/26"/>
    <n v="205736"/>
    <d v="2025-12-01T00:00:00"/>
    <d v="2025-12-12T00:00:00"/>
    <n v="1.6456"/>
    <x v="1"/>
  </r>
  <r>
    <x v="95"/>
    <n v="1007547"/>
    <n v="350"/>
    <m/>
    <n v="350"/>
    <n v="3.5"/>
    <n v="346.5"/>
    <d v="2025-12-12T00:00:00"/>
    <n v="1007547"/>
    <n v="3921"/>
    <n v="0"/>
    <n v="350"/>
    <d v="2025-12-02T00:00:00"/>
    <n v="350"/>
    <n v="0"/>
    <s v="NULL"/>
    <s v="PRO"/>
    <n v="3.5"/>
    <n v="346.5"/>
    <s v="PAID"/>
    <n v="10"/>
    <s v="Auto66824443913980"/>
    <d v="2025-12-12T00:00:00"/>
    <d v="2025-12-02T00:00:00"/>
    <s v="NULL"/>
    <d v="2025-12-12T00:00:00"/>
    <d v="2025-12-12T13:45:00"/>
    <n v="39211007547"/>
    <d v="2025-12-02T00:00:00"/>
    <s v="NULL"/>
    <s v="NET DUE 10TH"/>
    <s v="NULL"/>
    <d v="2025-12-02T00:00:00"/>
    <d v="2025-12-12T00:00:00"/>
    <m/>
    <x v="0"/>
  </r>
  <r>
    <x v="95"/>
    <n v="1007815"/>
    <n v="9203.2800000000007"/>
    <m/>
    <n v="9203.2800000000007"/>
    <n v="92.03"/>
    <n v="9111.25"/>
    <d v="2025-12-12T00:00:00"/>
    <n v="1007815"/>
    <n v="3921"/>
    <n v="0"/>
    <n v="9203.2800000000007"/>
    <d v="2025-12-02T00:00:00"/>
    <n v="9203.2800000000007"/>
    <n v="0"/>
    <s v="NULL"/>
    <s v="PRO"/>
    <n v="92.03"/>
    <n v="9111.25"/>
    <s v="PAID"/>
    <n v="10"/>
    <s v="Auto66824443913980"/>
    <d v="2025-12-12T00:00:00"/>
    <d v="2025-12-02T00:00:00"/>
    <s v="NULL"/>
    <d v="2025-12-12T00:00:00"/>
    <d v="2025-12-12T13:45:00"/>
    <n v="39211007815"/>
    <d v="2025-12-02T00:00:00"/>
    <s v="MH33244-A"/>
    <s v="NET 01/10/26"/>
    <n v="206092"/>
    <d v="2025-12-02T00:00:00"/>
    <d v="2025-12-12T00:00:00"/>
    <m/>
    <x v="0"/>
  </r>
  <r>
    <x v="95"/>
    <n v="1007819"/>
    <n v="3238.6"/>
    <m/>
    <n v="3238.6"/>
    <n v="32.39"/>
    <n v="3206.21"/>
    <d v="2025-12-12T00:00:00"/>
    <n v="1007819"/>
    <n v="3921"/>
    <n v="0"/>
    <n v="3238.6"/>
    <d v="2025-12-02T00:00:00"/>
    <n v="3238.6"/>
    <n v="0"/>
    <s v="NULL"/>
    <s v="PRO"/>
    <n v="32.39"/>
    <n v="3206.21"/>
    <s v="PAID"/>
    <n v="10"/>
    <s v="Auto66824443913980"/>
    <d v="2025-12-12T00:00:00"/>
    <d v="2025-12-02T00:00:00"/>
    <s v="NULL"/>
    <d v="2025-12-12T00:00:00"/>
    <d v="2025-12-12T13:45:00"/>
    <n v="39211007819"/>
    <d v="2025-12-02T00:00:00"/>
    <n v="54447859"/>
    <s v="NET 01/10/26"/>
    <n v="206093"/>
    <d v="2025-12-02T00:00:00"/>
    <d v="2025-12-12T00:00:00"/>
    <m/>
    <x v="0"/>
  </r>
  <r>
    <x v="95"/>
    <n v="1007923"/>
    <n v="566.96"/>
    <m/>
    <n v="566.96"/>
    <n v="5.67"/>
    <n v="561.29"/>
    <d v="2025-12-12T00:00:00"/>
    <n v="1007923"/>
    <n v="3921"/>
    <n v="0"/>
    <n v="566.96"/>
    <d v="2025-12-03T00:00:00"/>
    <n v="566.96"/>
    <n v="0"/>
    <s v="NULL"/>
    <s v="PRO"/>
    <n v="5.67"/>
    <n v="561.29"/>
    <s v="PAID"/>
    <n v="10"/>
    <s v="Auto66824443913980"/>
    <d v="2025-12-12T00:00:00"/>
    <d v="2025-12-03T00:00:00"/>
    <s v="NULL"/>
    <d v="2025-12-12T00:00:00"/>
    <d v="2025-12-12T13:45:00"/>
    <n v="39211007923"/>
    <d v="2025-12-03T00:00:00"/>
    <n v="13430"/>
    <s v="NET 01/10/26"/>
    <n v="206428"/>
    <d v="2025-12-03T00:00:00"/>
    <d v="2025-12-12T00:00:00"/>
    <m/>
    <x v="0"/>
  </r>
  <r>
    <x v="95"/>
    <n v="1008315"/>
    <n v="99.91"/>
    <m/>
    <n v="99.91"/>
    <n v="1"/>
    <n v="99.91"/>
    <d v="2025-12-12T00:00:00"/>
    <n v="1008315"/>
    <n v="3921"/>
    <n v="0"/>
    <n v="99.91"/>
    <d v="2025-12-05T00:00:00"/>
    <n v="99.91"/>
    <n v="0"/>
    <n v="1067808"/>
    <s v="SKB"/>
    <n v="1"/>
    <n v="99.91"/>
    <s v="PAID"/>
    <n v="10"/>
    <s v="Auto66824443913980"/>
    <d v="2025-12-12T00:00:00"/>
    <d v="2025-12-05T00:00:00"/>
    <s v="NULL"/>
    <d v="2025-12-12T00:00:00"/>
    <d v="2025-12-12T13:45:00"/>
    <n v="39211008315"/>
    <d v="2025-12-05T00:00:00"/>
    <n v="15621"/>
    <s v="1% 01/10/26"/>
    <n v="1067808"/>
    <d v="2025-12-05T00:00:00"/>
    <d v="2025-12-12T00:00:00"/>
    <n v="0.99909999999999999"/>
    <x v="1"/>
  </r>
  <r>
    <x v="96"/>
    <n v="1007582"/>
    <n v="350"/>
    <m/>
    <n v="350"/>
    <n v="3.5"/>
    <n v="346.5"/>
    <d v="2025-12-12T00:00:00"/>
    <n v="1007582"/>
    <n v="3928"/>
    <n v="0"/>
    <n v="350"/>
    <d v="2025-12-02T00:00:00"/>
    <n v="350"/>
    <n v="0"/>
    <s v="NULL"/>
    <s v="PRO"/>
    <n v="3.5"/>
    <n v="346.5"/>
    <s v="PAID"/>
    <n v="10"/>
    <s v="Auto522210984181641"/>
    <d v="2025-12-12T00:00:00"/>
    <d v="2025-12-02T00:00:00"/>
    <s v="NULL"/>
    <d v="2025-12-12T00:00:00"/>
    <d v="2025-12-12T13:45:00"/>
    <n v="39281007582"/>
    <d v="2025-12-02T00:00:00"/>
    <s v="NULL"/>
    <s v="NET DUE 10TH"/>
    <s v="NULL"/>
    <d v="2025-12-02T00:00:00"/>
    <d v="2025-12-12T00:00:00"/>
    <m/>
    <x v="0"/>
  </r>
  <r>
    <x v="96"/>
    <n v="1007916"/>
    <n v="208.89"/>
    <m/>
    <n v="208.89"/>
    <n v="2.09"/>
    <n v="208.89"/>
    <d v="2025-12-12T00:00:00"/>
    <n v="1007916"/>
    <n v="3928"/>
    <n v="0"/>
    <n v="208.89"/>
    <d v="2025-12-03T00:00:00"/>
    <n v="208.89"/>
    <n v="0"/>
    <s v="NULL"/>
    <s v="PRO"/>
    <n v="2.09"/>
    <n v="208.89"/>
    <s v="PAID"/>
    <n v="10"/>
    <s v="Auto522210984181641"/>
    <d v="2025-12-12T00:00:00"/>
    <d v="2025-12-03T00:00:00"/>
    <s v="NULL"/>
    <d v="2025-12-12T00:00:00"/>
    <d v="2025-12-12T13:45:00"/>
    <n v="39281007916"/>
    <d v="2025-12-03T00:00:00"/>
    <n v="220"/>
    <s v="2% 01/10/26"/>
    <n v="206487"/>
    <d v="2025-12-03T00:00:00"/>
    <d v="2025-12-12T00:00:00"/>
    <n v="4.1777999999999995"/>
    <x v="1"/>
  </r>
  <r>
    <x v="96"/>
    <n v="1007920"/>
    <n v="648.98"/>
    <m/>
    <n v="648.98"/>
    <n v="6.49"/>
    <n v="642.49"/>
    <d v="2025-12-12T00:00:00"/>
    <n v="1007920"/>
    <n v="3928"/>
    <n v="0"/>
    <n v="648.98"/>
    <d v="2025-12-03T00:00:00"/>
    <n v="648.98"/>
    <n v="0"/>
    <s v="NULL"/>
    <s v="PRO"/>
    <n v="6.49"/>
    <n v="642.49"/>
    <s v="PAID"/>
    <n v="10"/>
    <s v="Auto522210984181641"/>
    <d v="2025-12-12T00:00:00"/>
    <d v="2025-12-03T00:00:00"/>
    <s v="NULL"/>
    <d v="2025-12-12T00:00:00"/>
    <d v="2025-12-12T13:45:00"/>
    <n v="39281007920"/>
    <d v="2025-12-03T00:00:00"/>
    <n v="220"/>
    <s v="NET 01/10/26"/>
    <n v="206488"/>
    <d v="2025-12-03T00:00:00"/>
    <d v="2025-12-12T00:00:00"/>
    <m/>
    <x v="0"/>
  </r>
  <r>
    <x v="96"/>
    <n v="1008072"/>
    <n v="222.76"/>
    <m/>
    <n v="222.76"/>
    <n v="2.23"/>
    <n v="222.76"/>
    <d v="2025-12-12T00:00:00"/>
    <n v="1008072"/>
    <n v="3928"/>
    <n v="0"/>
    <n v="222.76"/>
    <d v="2025-12-04T00:00:00"/>
    <n v="222.76"/>
    <n v="0"/>
    <s v="NULL"/>
    <s v="PRO"/>
    <n v="2.23"/>
    <n v="222.76"/>
    <s v="PAID"/>
    <n v="10"/>
    <s v="Auto522210984181641"/>
    <d v="2025-12-12T00:00:00"/>
    <d v="2025-12-04T00:00:00"/>
    <s v="NULL"/>
    <d v="2025-12-12T00:00:00"/>
    <d v="2025-12-12T13:45:00"/>
    <n v="39281008072"/>
    <d v="2025-12-04T00:00:00"/>
    <n v="204"/>
    <s v="2% 01/10/26"/>
    <n v="206413"/>
    <d v="2025-12-04T00:00:00"/>
    <d v="2025-12-12T00:00:00"/>
    <n v="4.4551999999999996"/>
    <x v="1"/>
  </r>
  <r>
    <x v="96"/>
    <n v="1009040"/>
    <n v="-121.5"/>
    <m/>
    <n v="-121.5"/>
    <m/>
    <n v="-121.5"/>
    <d v="2025-12-12T00:00:00"/>
    <n v="1009040"/>
    <n v="3928"/>
    <n v="0"/>
    <n v="-121.5"/>
    <d v="2025-12-09T00:00:00"/>
    <n v="-121.5"/>
    <n v="0"/>
    <n v="1009040"/>
    <s v="PRO"/>
    <n v="0"/>
    <n v="-121.5"/>
    <s v="PAID"/>
    <n v="10"/>
    <s v="Auto522210984181641"/>
    <d v="2025-12-12T00:00:00"/>
    <d v="2025-12-09T00:00:00"/>
    <s v="NULL"/>
    <d v="2025-12-12T00:00:00"/>
    <d v="2025-12-12T13:45:00"/>
    <n v="39281009040"/>
    <d v="2025-12-09T00:00:00"/>
    <d v="2025-11-23T00:00:00"/>
    <s v="NET 01/10/26"/>
    <s v="OLYM112515"/>
    <d v="2025-12-09T00:00:00"/>
    <d v="2025-12-12T00:00:00"/>
    <m/>
    <x v="0"/>
  </r>
  <r>
    <x v="97"/>
    <n v="1002438"/>
    <n v="3147.52"/>
    <n v="62.95"/>
    <n v="3084.57"/>
    <m/>
    <n v="3084.57"/>
    <d v="2025-12-12T00:00:00"/>
    <n v="1002438"/>
    <n v="5024"/>
    <n v="62.95"/>
    <n v="3147.52"/>
    <d v="2025-11-05T00:00:00"/>
    <n v="3084.57"/>
    <n v="62.95"/>
    <s v="NULL"/>
    <s v="PRO"/>
    <n v="0"/>
    <n v="3084.57"/>
    <s v="PAID"/>
    <n v="2"/>
    <n v="8129018984623"/>
    <d v="2025-12-12T00:00:00"/>
    <d v="2025-11-05T00:00:00"/>
    <m/>
    <d v="2025-12-12T00:00:00"/>
    <d v="2025-12-10T14:05:00"/>
    <n v="50241002438"/>
    <d v="2025-11-05T00:00:00"/>
    <s v="VMSI-PO-01025"/>
    <s v="2% 12/10/25"/>
    <n v="201818"/>
    <d v="2025-11-05T00:00:00"/>
    <d v="2025-12-12T00:00:00"/>
    <n v="62.950400000000002"/>
    <x v="0"/>
  </r>
  <r>
    <x v="97"/>
    <n v="1003554"/>
    <n v="1332.52"/>
    <n v="26.65"/>
    <n v="1305.8699999999999"/>
    <m/>
    <n v="1305.8699999999999"/>
    <d v="2025-12-12T00:00:00"/>
    <n v="1003554"/>
    <n v="5024"/>
    <n v="26.65"/>
    <n v="1332.52"/>
    <d v="2025-11-12T00:00:00"/>
    <n v="1305.8699999999999"/>
    <n v="26.65"/>
    <s v="NULL"/>
    <s v="PRO"/>
    <n v="0"/>
    <n v="1305.8699999999999"/>
    <s v="PAID"/>
    <n v="2"/>
    <n v="8129018984623"/>
    <d v="2025-12-12T00:00:00"/>
    <d v="2025-11-12T00:00:00"/>
    <m/>
    <d v="2025-12-12T00:00:00"/>
    <d v="2025-12-10T14:05:00"/>
    <n v="50241003554"/>
    <d v="2025-11-12T00:00:00"/>
    <s v="VMSI-PO-01030"/>
    <s v="2% 12/10/25"/>
    <n v="202703"/>
    <d v="2025-11-12T00:00:00"/>
    <d v="2025-12-12T00:00:00"/>
    <n v="26.650400000000001"/>
    <x v="0"/>
  </r>
  <r>
    <x v="98"/>
    <n v="1000591"/>
    <n v="76.08"/>
    <n v="1.52"/>
    <n v="74.56"/>
    <m/>
    <n v="74.56"/>
    <d v="2025-12-12T00:00:00"/>
    <n v="1000591"/>
    <n v="5036"/>
    <n v="1.52"/>
    <n v="76.08"/>
    <d v="2025-10-28T00:00:00"/>
    <n v="74.56"/>
    <n v="1.52"/>
    <s v="NULL"/>
    <s v="PRO"/>
    <n v="0"/>
    <n v="74.56"/>
    <s v="PAID"/>
    <n v="2"/>
    <n v="330056339526"/>
    <d v="2025-12-12T00:00:00"/>
    <d v="2025-10-28T00:00:00"/>
    <m/>
    <d v="2025-12-12T00:00:00"/>
    <d v="2025-12-09T12:24:00"/>
    <n v="50361000591"/>
    <d v="2025-10-28T00:00:00"/>
    <n v="3080"/>
    <s v="2% 12/10/25"/>
    <n v="200392"/>
    <d v="2025-10-28T00:00:00"/>
    <d v="2025-12-12T00:00:00"/>
    <n v="1.5216000000000001"/>
    <x v="0"/>
  </r>
  <r>
    <x v="98"/>
    <n v="1002452"/>
    <n v="1108.52"/>
    <n v="22.17"/>
    <n v="1086.3499999999999"/>
    <m/>
    <n v="1086.3499999999999"/>
    <d v="2025-12-12T00:00:00"/>
    <n v="1002452"/>
    <n v="5036"/>
    <n v="22.17"/>
    <n v="1108.52"/>
    <d v="2025-11-05T00:00:00"/>
    <n v="1086.3499999999999"/>
    <n v="22.17"/>
    <s v="NULL"/>
    <s v="PRO"/>
    <n v="0"/>
    <n v="1086.3499999999999"/>
    <s v="PAID"/>
    <n v="2"/>
    <n v="330056339526"/>
    <d v="2025-12-12T00:00:00"/>
    <d v="2025-11-05T00:00:00"/>
    <m/>
    <d v="2025-12-12T00:00:00"/>
    <d v="2025-12-09T12:24:00"/>
    <n v="50361002452"/>
    <d v="2025-11-05T00:00:00"/>
    <n v="251105001"/>
    <s v="2% 12/10/25"/>
    <n v="201837"/>
    <d v="2025-11-05T00:00:00"/>
    <d v="2025-12-12T00:00:00"/>
    <n v="22.170400000000001"/>
    <x v="0"/>
  </r>
  <r>
    <x v="98"/>
    <n v="1003546"/>
    <n v="1074.0999999999999"/>
    <n v="21.48"/>
    <n v="1052.6199999999999"/>
    <m/>
    <n v="1052.6199999999999"/>
    <d v="2025-12-12T00:00:00"/>
    <n v="1003546"/>
    <n v="5036"/>
    <n v="21.48"/>
    <n v="1074.0999999999999"/>
    <d v="2025-11-12T00:00:00"/>
    <n v="1052.6199999999999"/>
    <n v="21.48"/>
    <s v="NULL"/>
    <s v="PRO"/>
    <n v="0"/>
    <n v="1052.6199999999999"/>
    <s v="PAID"/>
    <n v="2"/>
    <n v="330056339526"/>
    <d v="2025-12-12T00:00:00"/>
    <d v="2025-11-12T00:00:00"/>
    <m/>
    <d v="2025-12-12T00:00:00"/>
    <d v="2025-12-09T12:24:00"/>
    <n v="50361003546"/>
    <d v="2025-11-12T00:00:00"/>
    <n v="251111001"/>
    <s v="2% 12/10/25"/>
    <n v="202700"/>
    <d v="2025-11-12T00:00:00"/>
    <d v="2025-12-12T00:00:00"/>
    <n v="21.481999999999999"/>
    <x v="0"/>
  </r>
  <r>
    <x v="99"/>
    <n v="1007486"/>
    <n v="2196.9299999999998"/>
    <n v="43.94"/>
    <n v="2152.9899999999998"/>
    <n v="21.97"/>
    <n v="2131.02"/>
    <d v="2025-12-12T00:00:00"/>
    <n v="1007486"/>
    <n v="5057"/>
    <n v="43.94"/>
    <n v="2196.9299999999998"/>
    <d v="2025-12-01T00:00:00"/>
    <n v="2152.9899999999998"/>
    <n v="43.94"/>
    <s v="NULL"/>
    <s v="PRO"/>
    <n v="21.97"/>
    <n v="2131.02"/>
    <s v="PAID"/>
    <n v="2"/>
    <n v="9197500477107"/>
    <d v="2025-12-12T00:00:00"/>
    <d v="2025-12-01T00:00:00"/>
    <m/>
    <d v="2025-12-12T00:00:00"/>
    <d v="2025-12-09T11:17:00"/>
    <n v="50571007486"/>
    <d v="2025-12-01T00:00:00"/>
    <s v="OB100825"/>
    <s v="2% 01/10/26"/>
    <n v="206015"/>
    <d v="2025-12-01T00:00:00"/>
    <d v="2025-12-12T00:00:00"/>
    <n v="43.938600000000001"/>
    <x v="0"/>
  </r>
  <r>
    <x v="99"/>
    <n v="1008167"/>
    <n v="5170.32"/>
    <n v="3.41"/>
    <n v="5066.91"/>
    <n v="51.7"/>
    <n v="5015.21"/>
    <d v="2025-12-12T00:00:00"/>
    <n v="1008167"/>
    <n v="5057"/>
    <n v="103.41"/>
    <n v="5170.32"/>
    <d v="2025-12-04T00:00:00"/>
    <n v="5066.91"/>
    <n v="103.41"/>
    <s v="NULL"/>
    <s v="PRO"/>
    <n v="51.7"/>
    <n v="5015.21"/>
    <s v="PAID"/>
    <n v="2"/>
    <n v="9197500477107"/>
    <d v="2025-12-12T00:00:00"/>
    <d v="2025-12-04T00:00:00"/>
    <m/>
    <d v="2025-12-12T00:00:00"/>
    <d v="2025-12-09T11:17:00"/>
    <n v="50571008167"/>
    <d v="2025-12-04T00:00:00"/>
    <s v="OB041225"/>
    <s v="2% 01/10/26"/>
    <n v="206731"/>
    <d v="2025-12-04T00:00:00"/>
    <d v="2025-12-12T00:00:00"/>
    <n v="103.40639999999999"/>
    <x v="0"/>
  </r>
  <r>
    <x v="100"/>
    <n v="1002830"/>
    <n v="982.01"/>
    <n v="19.64"/>
    <n v="962.37"/>
    <m/>
    <n v="962.37"/>
    <d v="2025-12-12T00:00:00"/>
    <n v="1002830"/>
    <n v="5105"/>
    <n v="19.64"/>
    <n v="982.01"/>
    <d v="2025-11-07T00:00:00"/>
    <n v="962.37"/>
    <n v="19.64"/>
    <s v="NULL"/>
    <s v="PRO"/>
    <n v="0"/>
    <n v="962.37"/>
    <s v="PAID"/>
    <n v="2"/>
    <n v="6492136810792"/>
    <d v="2025-12-12T00:00:00"/>
    <d v="2025-11-07T00:00:00"/>
    <m/>
    <d v="2025-12-12T00:00:00"/>
    <d v="2025-12-11T14:03:00"/>
    <n v="51051002830"/>
    <d v="2025-11-07T00:00:00"/>
    <s v="PO-8112523"/>
    <s v="2% 12/10/25"/>
    <n v="202166"/>
    <d v="2025-11-07T00:00:00"/>
    <d v="2025-12-12T00:00:00"/>
    <n v="19.6402"/>
    <x v="0"/>
  </r>
  <r>
    <x v="100"/>
    <n v="1002927"/>
    <n v="10.87"/>
    <n v="0.22"/>
    <n v="10.65"/>
    <m/>
    <n v="10.65"/>
    <d v="2025-12-12T00:00:00"/>
    <n v="1002927"/>
    <n v="5105"/>
    <n v="0.22"/>
    <n v="10.87"/>
    <d v="2025-11-10T00:00:00"/>
    <n v="10.65"/>
    <n v="0.22"/>
    <s v="NULL"/>
    <s v="PRO"/>
    <n v="0"/>
    <n v="10.65"/>
    <s v="PAID"/>
    <n v="2"/>
    <n v="6492136810792"/>
    <d v="2025-12-12T00:00:00"/>
    <d v="2025-11-10T00:00:00"/>
    <m/>
    <d v="2025-12-12T00:00:00"/>
    <d v="2025-12-11T14:03:00"/>
    <n v="51051002927"/>
    <d v="2025-11-10T00:00:00"/>
    <s v="PO-8111483"/>
    <s v="2% 12/10/25"/>
    <n v="202411"/>
    <d v="2025-11-10T00:00:00"/>
    <d v="2025-12-12T00:00:00"/>
    <n v="0.21739999999999998"/>
    <x v="0"/>
  </r>
  <r>
    <x v="100"/>
    <n v="1002930"/>
    <n v="271.08999999999997"/>
    <n v="5.42"/>
    <n v="265.67"/>
    <m/>
    <n v="265.67"/>
    <d v="2025-12-12T00:00:00"/>
    <n v="1002930"/>
    <n v="5105"/>
    <n v="5.42"/>
    <n v="271.08999999999997"/>
    <d v="2025-11-10T00:00:00"/>
    <n v="265.67"/>
    <n v="5.42"/>
    <s v="NULL"/>
    <s v="PRO"/>
    <n v="0"/>
    <n v="265.67"/>
    <s v="PAID"/>
    <n v="2"/>
    <n v="6492136810792"/>
    <d v="2025-12-12T00:00:00"/>
    <d v="2025-11-10T00:00:00"/>
    <m/>
    <d v="2025-12-12T00:00:00"/>
    <d v="2025-12-11T14:03:00"/>
    <n v="51051002930"/>
    <d v="2025-11-10T00:00:00"/>
    <s v="PO-8110805"/>
    <s v="2% 12/10/25"/>
    <n v="202410"/>
    <d v="2025-11-10T00:00:00"/>
    <d v="2025-12-12T00:00:00"/>
    <n v="5.4217999999999993"/>
    <x v="0"/>
  </r>
  <r>
    <x v="100"/>
    <n v="1002932"/>
    <n v="203.06"/>
    <n v="4.0599999999999996"/>
    <n v="199"/>
    <m/>
    <n v="199"/>
    <d v="2025-12-12T00:00:00"/>
    <n v="1002932"/>
    <n v="5105"/>
    <n v="4.0599999999999996"/>
    <n v="203.06"/>
    <d v="2025-11-10T00:00:00"/>
    <n v="199"/>
    <n v="4.0599999999999996"/>
    <s v="NULL"/>
    <s v="PRO"/>
    <n v="0"/>
    <n v="199"/>
    <s v="PAID"/>
    <n v="2"/>
    <n v="6492136810792"/>
    <d v="2025-12-12T00:00:00"/>
    <d v="2025-11-10T00:00:00"/>
    <m/>
    <d v="2025-12-12T00:00:00"/>
    <d v="2025-12-11T14:03:00"/>
    <n v="51051002932"/>
    <d v="2025-11-10T00:00:00"/>
    <n v="8110910"/>
    <s v="2% 12/10/25"/>
    <n v="202412"/>
    <d v="2025-11-10T00:00:00"/>
    <d v="2025-12-12T00:00:00"/>
    <n v="4.0612000000000004"/>
    <x v="0"/>
  </r>
  <r>
    <x v="100"/>
    <n v="1003910"/>
    <n v="912.12"/>
    <n v="18.239999999999998"/>
    <n v="893.88"/>
    <m/>
    <n v="893.88"/>
    <d v="2025-12-12T00:00:00"/>
    <n v="1003910"/>
    <n v="5105"/>
    <n v="18.239999999999998"/>
    <n v="912.12"/>
    <d v="2025-11-14T00:00:00"/>
    <n v="893.88"/>
    <n v="18.239999999999998"/>
    <s v="NULL"/>
    <s v="PRO"/>
    <n v="0"/>
    <n v="893.88"/>
    <s v="PAID"/>
    <n v="2"/>
    <n v="6492136810792"/>
    <d v="2025-12-12T00:00:00"/>
    <d v="2025-11-14T00:00:00"/>
    <m/>
    <d v="2025-12-12T00:00:00"/>
    <d v="2025-12-11T14:03:00"/>
    <n v="51051003910"/>
    <d v="2025-11-14T00:00:00"/>
    <n v="8112695"/>
    <s v="2% 12/10/25"/>
    <n v="203356"/>
    <d v="2025-11-14T00:00:00"/>
    <d v="2025-12-12T00:00:00"/>
    <n v="18.2424"/>
    <x v="0"/>
  </r>
  <r>
    <x v="100"/>
    <n v="1004331"/>
    <n v="317.33"/>
    <n v="6.35"/>
    <n v="310.98"/>
    <m/>
    <n v="310.98"/>
    <d v="2025-12-12T00:00:00"/>
    <n v="1004331"/>
    <n v="5105"/>
    <n v="6.35"/>
    <n v="317.33"/>
    <d v="2025-11-17T00:00:00"/>
    <n v="310.98"/>
    <n v="6.35"/>
    <s v="NULL"/>
    <s v="PRO"/>
    <n v="0"/>
    <n v="310.98"/>
    <s v="PAID"/>
    <n v="2"/>
    <n v="6492136810792"/>
    <d v="2025-12-12T00:00:00"/>
    <d v="2025-11-17T00:00:00"/>
    <m/>
    <d v="2025-12-12T00:00:00"/>
    <d v="2025-12-11T14:03:00"/>
    <n v="51051004331"/>
    <d v="2025-11-17T00:00:00"/>
    <s v="PO-8112675"/>
    <s v="2% 12/10/25"/>
    <n v="203489"/>
    <d v="2025-11-17T00:00:00"/>
    <d v="2025-12-12T00:00:00"/>
    <n v="6.3465999999999996"/>
    <x v="0"/>
  </r>
  <r>
    <x v="100"/>
    <n v="1004393"/>
    <n v="303.24"/>
    <n v="6.06"/>
    <n v="297.18"/>
    <m/>
    <n v="297.18"/>
    <d v="2025-12-12T00:00:00"/>
    <n v="1004393"/>
    <n v="5105"/>
    <n v="6.06"/>
    <n v="303.24"/>
    <d v="2025-11-17T00:00:00"/>
    <n v="297.18"/>
    <n v="6.06"/>
    <s v="NULL"/>
    <s v="PRO"/>
    <n v="0"/>
    <n v="297.18"/>
    <s v="PAID"/>
    <n v="2"/>
    <n v="6492136810792"/>
    <d v="2025-12-12T00:00:00"/>
    <d v="2025-11-17T00:00:00"/>
    <m/>
    <d v="2025-12-12T00:00:00"/>
    <d v="2025-12-11T14:03:00"/>
    <n v="51051004393"/>
    <d v="2025-11-17T00:00:00"/>
    <s v="PO-8112675"/>
    <s v="2% 12/10/25"/>
    <n v="203513"/>
    <d v="2025-11-17T00:00:00"/>
    <d v="2025-12-12T00:00:00"/>
    <n v="6.0648"/>
    <x v="0"/>
  </r>
  <r>
    <x v="100"/>
    <n v="1004519"/>
    <n v="-159.83000000000001"/>
    <m/>
    <n v="-159.83000000000001"/>
    <m/>
    <n v="-159.83000000000001"/>
    <d v="2025-12-12T00:00:00"/>
    <n v="1004519"/>
    <n v="5105"/>
    <n v="0"/>
    <n v="-159.83000000000001"/>
    <d v="2025-11-18T00:00:00"/>
    <n v="-159.83000000000001"/>
    <n v="0"/>
    <n v="1004519"/>
    <s v="PRO"/>
    <n v="0"/>
    <n v="-159.83000000000001"/>
    <s v="PAID"/>
    <n v="2"/>
    <n v="6492136810792"/>
    <d v="2025-12-12T00:00:00"/>
    <d v="2025-11-18T00:00:00"/>
    <m/>
    <d v="2025-12-12T00:00:00"/>
    <d v="2025-12-11T14:03:00"/>
    <n v="51051004519"/>
    <d v="2025-11-18T00:00:00"/>
    <n v="141925"/>
    <s v="NET 12/10/25"/>
    <n v="53455"/>
    <d v="2025-11-18T00:00:00"/>
    <d v="2025-12-12T00:00:00"/>
    <m/>
    <x v="0"/>
  </r>
  <r>
    <x v="101"/>
    <n v="1007786"/>
    <n v="9942.39"/>
    <n v="98.85"/>
    <n v="9743.5400000000009"/>
    <n v="99.42"/>
    <n v="9644.1200000000008"/>
    <d v="2025-12-12T00:00:00"/>
    <n v="1007786"/>
    <n v="5108"/>
    <n v="198.85"/>
    <n v="9942.39"/>
    <d v="2025-12-02T00:00:00"/>
    <n v="9743.5400000000009"/>
    <n v="198.85"/>
    <s v="NULL"/>
    <s v="PRO"/>
    <n v="99.42"/>
    <n v="9644.1200000000008"/>
    <s v="PAID"/>
    <n v="2"/>
    <n v="8528594168162"/>
    <d v="2025-12-12T00:00:00"/>
    <d v="2025-12-02T00:00:00"/>
    <m/>
    <d v="2025-12-12T00:00:00"/>
    <d v="2025-12-08T15:47:00"/>
    <n v="51081007786"/>
    <d v="2025-12-02T00:00:00"/>
    <n v="22370"/>
    <s v="2% 01/10/26"/>
    <n v="205964"/>
    <d v="2025-12-02T00:00:00"/>
    <d v="2025-12-12T00:00:00"/>
    <n v="198.84780000000001"/>
    <x v="0"/>
  </r>
  <r>
    <x v="102"/>
    <n v="1007477"/>
    <n v="242.46"/>
    <n v="4.8499999999999996"/>
    <n v="237.61"/>
    <n v="2.42"/>
    <n v="235.19"/>
    <d v="2025-12-12T00:00:00"/>
    <n v="1007477"/>
    <n v="5132"/>
    <n v="4.8499999999999996"/>
    <n v="242.46"/>
    <d v="2025-12-01T00:00:00"/>
    <n v="237.61"/>
    <n v="4.8499999999999996"/>
    <s v="NULL"/>
    <s v="PRO"/>
    <n v="2.42"/>
    <n v="235.19"/>
    <s v="PAID"/>
    <n v="2"/>
    <n v="9106531087537"/>
    <d v="2025-12-12T00:00:00"/>
    <d v="2025-12-01T00:00:00"/>
    <m/>
    <d v="2025-12-12T00:00:00"/>
    <d v="2025-12-09T13:38:00"/>
    <n v="51321007477"/>
    <d v="2025-12-01T00:00:00"/>
    <s v="110725SS"/>
    <s v="2% 01/10/26"/>
    <n v="206026"/>
    <d v="2025-12-01T00:00:00"/>
    <d v="2025-12-12T00:00:00"/>
    <n v="4.8492000000000006"/>
    <x v="0"/>
  </r>
  <r>
    <x v="102"/>
    <n v="1007825"/>
    <n v="659.52"/>
    <n v="13.19"/>
    <n v="646.33000000000004"/>
    <n v="6.6"/>
    <n v="639.73"/>
    <d v="2025-12-12T00:00:00"/>
    <n v="1007825"/>
    <n v="5132"/>
    <n v="13.19"/>
    <n v="659.52"/>
    <d v="2025-12-02T00:00:00"/>
    <n v="646.33000000000004"/>
    <n v="13.19"/>
    <s v="NULL"/>
    <s v="PRO"/>
    <n v="6.6"/>
    <n v="639.73"/>
    <s v="PAID"/>
    <n v="2"/>
    <n v="9106531087537"/>
    <d v="2025-12-12T00:00:00"/>
    <d v="2025-12-02T00:00:00"/>
    <m/>
    <d v="2025-12-12T00:00:00"/>
    <d v="2025-12-09T13:38:00"/>
    <n v="51321007825"/>
    <d v="2025-12-02T00:00:00"/>
    <s v="110725SS"/>
    <s v="2% 01/10/26"/>
    <n v="206035"/>
    <d v="2025-12-02T00:00:00"/>
    <d v="2025-12-12T00:00:00"/>
    <n v="13.1904"/>
    <x v="0"/>
  </r>
  <r>
    <x v="103"/>
    <n v="999580"/>
    <n v="582.08000000000004"/>
    <n v="11.64"/>
    <n v="570.44000000000005"/>
    <m/>
    <n v="570.44000000000005"/>
    <d v="2025-12-12T00:00:00"/>
    <n v="999580"/>
    <n v="5219"/>
    <n v="11.64"/>
    <n v="582.08000000000004"/>
    <d v="2025-10-22T00:00:00"/>
    <n v="570.44000000000005"/>
    <n v="11.64"/>
    <s v="NULL"/>
    <s v="PRO"/>
    <n v="0"/>
    <n v="570.44000000000005"/>
    <s v="PAID"/>
    <n v="2"/>
    <n v="7907247050227"/>
    <d v="2025-12-12T00:00:00"/>
    <d v="2025-10-22T00:00:00"/>
    <m/>
    <d v="2025-12-12T00:00:00"/>
    <d v="2025-12-10T16:41:00"/>
    <n v="5219999580"/>
    <d v="2025-10-22T00:00:00"/>
    <n v="34889"/>
    <s v="2% 12/10/25"/>
    <n v="199551"/>
    <d v="2025-10-22T00:00:00"/>
    <d v="2025-12-12T00:00:00"/>
    <n v="11.6416"/>
    <x v="0"/>
  </r>
  <r>
    <x v="103"/>
    <n v="999942"/>
    <n v="61.41"/>
    <n v="1.23"/>
    <n v="60.18"/>
    <m/>
    <n v="60.18"/>
    <d v="2025-12-12T00:00:00"/>
    <n v="999942"/>
    <n v="5219"/>
    <n v="1.23"/>
    <n v="61.41"/>
    <d v="2025-10-23T00:00:00"/>
    <n v="60.18"/>
    <n v="1.23"/>
    <s v="NULL"/>
    <s v="PRO"/>
    <n v="0"/>
    <n v="60.18"/>
    <s v="PAID"/>
    <n v="2"/>
    <n v="7907247050227"/>
    <d v="2025-12-12T00:00:00"/>
    <d v="2025-10-23T00:00:00"/>
    <m/>
    <d v="2025-12-12T00:00:00"/>
    <d v="2025-12-10T16:41:00"/>
    <n v="5219999942"/>
    <d v="2025-10-23T00:00:00"/>
    <n v="34507"/>
    <s v="2% 12/10/25"/>
    <n v="199344"/>
    <d v="2025-10-23T00:00:00"/>
    <d v="2025-12-12T00:00:00"/>
    <n v="1.2282"/>
    <x v="0"/>
  </r>
  <r>
    <x v="103"/>
    <n v="999974"/>
    <n v="420.79"/>
    <n v="8.42"/>
    <n v="412.37"/>
    <m/>
    <n v="412.37"/>
    <d v="2025-12-12T00:00:00"/>
    <n v="999974"/>
    <n v="5219"/>
    <n v="8.42"/>
    <n v="420.79"/>
    <d v="2025-10-23T00:00:00"/>
    <n v="412.37"/>
    <n v="8.42"/>
    <s v="NULL"/>
    <s v="PRO"/>
    <n v="0"/>
    <n v="412.37"/>
    <s v="PAID"/>
    <n v="2"/>
    <n v="7907247050227"/>
    <d v="2025-12-12T00:00:00"/>
    <d v="2025-10-23T00:00:00"/>
    <m/>
    <d v="2025-12-12T00:00:00"/>
    <d v="2025-12-10T16:41:00"/>
    <n v="5219999974"/>
    <d v="2025-10-23T00:00:00"/>
    <n v="34889"/>
    <s v="2% 12/10/25"/>
    <n v="199558"/>
    <d v="2025-10-23T00:00:00"/>
    <d v="2025-12-12T00:00:00"/>
    <n v="8.4158000000000008"/>
    <x v="0"/>
  </r>
  <r>
    <x v="103"/>
    <n v="1005328"/>
    <n v="1431"/>
    <n v="28.62"/>
    <n v="1402.38"/>
    <m/>
    <n v="1402.38"/>
    <d v="2025-12-12T00:00:00"/>
    <n v="1005328"/>
    <n v="5219"/>
    <n v="28.62"/>
    <n v="1431"/>
    <d v="2025-11-20T00:00:00"/>
    <n v="1402.38"/>
    <n v="28.62"/>
    <s v="NULL"/>
    <s v="PRO"/>
    <n v="0"/>
    <n v="1402.38"/>
    <s v="PAID"/>
    <n v="2"/>
    <n v="7907247050227"/>
    <d v="2025-12-12T00:00:00"/>
    <d v="2025-11-20T00:00:00"/>
    <m/>
    <d v="2025-12-12T00:00:00"/>
    <d v="2025-12-10T16:41:00"/>
    <n v="52191005328"/>
    <d v="2025-11-20T00:00:00"/>
    <n v="35129"/>
    <s v="2% 12/10/25"/>
    <n v="204178"/>
    <d v="2025-11-20T00:00:00"/>
    <d v="2025-12-12T00:00:00"/>
    <n v="28.6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12078-4101-4E57-8AD8-C8979F4472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 rowPageCount="1" colPageCount="1"/>
  <pivotFields count="36">
    <pivotField axis="axisRow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numFmtId="14" showAll="0"/>
    <pivotField numFmtId="22" showAll="0"/>
    <pivotField showAll="0"/>
    <pivotField numFmtId="47" showAll="0"/>
    <pivotField showAll="0"/>
    <pivotField showAll="0"/>
    <pivotField showAll="0"/>
    <pivotField numFmtId="14" showAll="0"/>
    <pivotField numFmtId="14" showAll="0"/>
    <pivotField dataField="1" showAll="0"/>
    <pivotField axis="axisPage" showAll="0">
      <items count="3">
        <item x="1"/>
        <item x="0"/>
        <item t="default"/>
      </items>
    </pivotField>
  </pivotFields>
  <rowFields count="1">
    <field x="0"/>
  </rowFields>
  <rowItems count="28">
    <i>
      <x v="1"/>
    </i>
    <i>
      <x v="3"/>
    </i>
    <i>
      <x v="4"/>
    </i>
    <i>
      <x v="9"/>
    </i>
    <i>
      <x v="12"/>
    </i>
    <i>
      <x v="14"/>
    </i>
    <i>
      <x v="20"/>
    </i>
    <i>
      <x v="22"/>
    </i>
    <i>
      <x v="37"/>
    </i>
    <i>
      <x v="39"/>
    </i>
    <i>
      <x v="41"/>
    </i>
    <i>
      <x v="44"/>
    </i>
    <i>
      <x v="51"/>
    </i>
    <i>
      <x v="57"/>
    </i>
    <i>
      <x v="63"/>
    </i>
    <i>
      <x v="64"/>
    </i>
    <i>
      <x v="71"/>
    </i>
    <i>
      <x v="72"/>
    </i>
    <i>
      <x v="73"/>
    </i>
    <i>
      <x v="76"/>
    </i>
    <i>
      <x v="79"/>
    </i>
    <i>
      <x v="85"/>
    </i>
    <i>
      <x v="89"/>
    </i>
    <i>
      <x v="90"/>
    </i>
    <i>
      <x v="92"/>
    </i>
    <i>
      <x v="95"/>
    </i>
    <i>
      <x v="96"/>
    </i>
    <i t="grand">
      <x/>
    </i>
  </rowItems>
  <colItems count="1">
    <i/>
  </colItems>
  <pageFields count="1">
    <pageField fld="35" item="0" hier="-1"/>
  </pageFields>
  <dataFields count="1">
    <dataField name="Sum of Discount3" fld="34" baseField="0" baseItem="0" numFmtId="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E996-FB67-4C77-9D14-CE133BF2C63A}">
  <sheetPr filterMode="1"/>
  <dimension ref="A1:AM1622"/>
  <sheetViews>
    <sheetView tabSelected="1" topLeftCell="E1" workbookViewId="0">
      <pane ySplit="2" topLeftCell="A15" activePane="bottomLeft" state="frozen"/>
      <selection pane="bottomLeft" activeCell="AM18" sqref="AM18"/>
    </sheetView>
  </sheetViews>
  <sheetFormatPr defaultRowHeight="14.4" x14ac:dyDescent="0.55000000000000004"/>
  <cols>
    <col min="4" max="4" width="8.83984375" style="4"/>
    <col min="8" max="8" width="12.7890625" style="14" bestFit="1" customWidth="1"/>
    <col min="9" max="9" width="8.734375" style="14" bestFit="1" customWidth="1"/>
    <col min="10" max="10" width="9.9453125" bestFit="1" customWidth="1"/>
    <col min="11" max="11" width="7.68359375" style="5" bestFit="1" customWidth="1"/>
    <col min="12" max="13" width="8.83984375" style="5"/>
    <col min="14" max="14" width="8.68359375" style="5" customWidth="1"/>
    <col min="15" max="15" width="0.47265625" style="5" hidden="1" customWidth="1"/>
    <col min="16" max="17" width="8.83984375" style="5" hidden="1" customWidth="1"/>
    <col min="18" max="18" width="0.20703125" style="5" hidden="1" customWidth="1"/>
    <col min="19" max="23" width="8.83984375" style="5" hidden="1" customWidth="1"/>
    <col min="24" max="24" width="20.41796875" style="5" hidden="1" customWidth="1"/>
    <col min="25" max="25" width="8.83984375" style="5" hidden="1" customWidth="1"/>
    <col min="26" max="26" width="8.20703125" style="5" hidden="1" customWidth="1"/>
    <col min="27" max="27" width="8.83984375" style="5" hidden="1" customWidth="1"/>
    <col min="28" max="28" width="9.9453125" style="5" hidden="1" customWidth="1"/>
    <col min="29" max="31" width="8.83984375" style="5" hidden="1" customWidth="1"/>
    <col min="32" max="32" width="0.68359375" style="5" hidden="1" customWidth="1"/>
    <col min="33" max="33" width="15.41796875" style="5" customWidth="1"/>
    <col min="34" max="34" width="8.83984375" style="5"/>
    <col min="35" max="36" width="9.9453125" style="6" bestFit="1" customWidth="1"/>
    <col min="37" max="37" width="8.83984375" style="1"/>
    <col min="38" max="38" width="10.3125" bestFit="1" customWidth="1"/>
  </cols>
  <sheetData>
    <row r="1" spans="1:39" x14ac:dyDescent="0.55000000000000004">
      <c r="A1" s="3" t="s">
        <v>3</v>
      </c>
      <c r="B1" s="3" t="s">
        <v>4</v>
      </c>
      <c r="C1" s="3" t="s">
        <v>5</v>
      </c>
      <c r="D1" s="4" t="s">
        <v>2</v>
      </c>
      <c r="E1" s="3" t="s">
        <v>6</v>
      </c>
      <c r="F1" s="3" t="s">
        <v>7</v>
      </c>
      <c r="G1" s="3" t="s">
        <v>8</v>
      </c>
      <c r="H1" s="13" t="s">
        <v>677</v>
      </c>
      <c r="I1" s="13" t="s">
        <v>678</v>
      </c>
      <c r="J1" s="3" t="s">
        <v>9</v>
      </c>
      <c r="K1" s="5" t="s">
        <v>13</v>
      </c>
      <c r="L1" s="5" t="s">
        <v>11</v>
      </c>
      <c r="M1" s="5" t="s">
        <v>2</v>
      </c>
      <c r="N1" s="5" t="s">
        <v>5</v>
      </c>
      <c r="O1" s="5" t="s">
        <v>12</v>
      </c>
      <c r="P1" s="5" t="s">
        <v>8</v>
      </c>
      <c r="Q1" s="5" t="s">
        <v>14</v>
      </c>
      <c r="R1" s="5" t="s">
        <v>15</v>
      </c>
      <c r="S1" s="5" t="s">
        <v>16</v>
      </c>
      <c r="T1" s="5" t="s">
        <v>7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10</v>
      </c>
      <c r="AE1" s="5" t="s">
        <v>26</v>
      </c>
      <c r="AF1" s="5" t="s">
        <v>27</v>
      </c>
      <c r="AG1" s="5" t="s">
        <v>28</v>
      </c>
      <c r="AH1" s="5" t="s">
        <v>29</v>
      </c>
      <c r="AI1" s="6" t="s">
        <v>30</v>
      </c>
      <c r="AJ1" s="6" t="s">
        <v>31</v>
      </c>
      <c r="AK1" s="10" t="s">
        <v>2</v>
      </c>
      <c r="AL1" t="s">
        <v>672</v>
      </c>
      <c r="AM1" t="s">
        <v>7</v>
      </c>
    </row>
    <row r="2" spans="1:39" hidden="1" x14ac:dyDescent="0.55000000000000004">
      <c r="A2">
        <v>1675</v>
      </c>
      <c r="B2">
        <v>1007597</v>
      </c>
      <c r="C2" s="1">
        <v>3990</v>
      </c>
      <c r="E2" s="1">
        <v>3990</v>
      </c>
      <c r="F2">
        <v>39.9</v>
      </c>
      <c r="G2" s="1">
        <v>3950.1</v>
      </c>
      <c r="H2" s="1"/>
      <c r="I2" s="1"/>
      <c r="J2" s="2">
        <v>46003</v>
      </c>
      <c r="K2" s="5">
        <v>1007597</v>
      </c>
      <c r="L2" s="5">
        <v>1675</v>
      </c>
      <c r="M2" s="5">
        <v>0</v>
      </c>
      <c r="N2" s="5">
        <v>3990</v>
      </c>
      <c r="O2" s="7">
        <v>45993</v>
      </c>
      <c r="P2" s="5">
        <v>3990</v>
      </c>
      <c r="Q2" s="5">
        <v>0</v>
      </c>
      <c r="R2" s="5" t="s">
        <v>32</v>
      </c>
      <c r="S2" s="5" t="s">
        <v>33</v>
      </c>
      <c r="T2" s="5">
        <v>39.9</v>
      </c>
      <c r="U2" s="5">
        <v>3950.1</v>
      </c>
      <c r="V2" s="5" t="s">
        <v>34</v>
      </c>
      <c r="W2" s="5">
        <v>2</v>
      </c>
      <c r="X2" s="5">
        <v>8945150433196</v>
      </c>
      <c r="Y2" s="7">
        <v>46003</v>
      </c>
      <c r="Z2" s="7">
        <v>45993</v>
      </c>
      <c r="AB2" s="6">
        <v>46003</v>
      </c>
      <c r="AC2" s="7">
        <v>46002.513194444444</v>
      </c>
      <c r="AD2" s="5">
        <v>16751007597</v>
      </c>
      <c r="AE2" s="8">
        <v>45993</v>
      </c>
      <c r="AF2" s="5" t="s">
        <v>32</v>
      </c>
      <c r="AG2" s="5" t="s">
        <v>35</v>
      </c>
      <c r="AH2" s="5" t="s">
        <v>32</v>
      </c>
      <c r="AI2" s="6">
        <v>45993</v>
      </c>
      <c r="AJ2" s="6">
        <v>46003</v>
      </c>
    </row>
    <row r="3" spans="1:39" x14ac:dyDescent="0.55000000000000004">
      <c r="A3">
        <v>1675</v>
      </c>
      <c r="B3">
        <v>1007952</v>
      </c>
      <c r="C3">
        <v>144.83000000000001</v>
      </c>
      <c r="D3" s="4">
        <v>2.9</v>
      </c>
      <c r="E3">
        <v>141.93</v>
      </c>
      <c r="F3">
        <v>1.45</v>
      </c>
      <c r="G3">
        <v>140.47999999999999</v>
      </c>
      <c r="H3" s="14">
        <f>C3-D3-F3</f>
        <v>140.48000000000002</v>
      </c>
      <c r="I3" s="14" t="b">
        <f>G3=H3</f>
        <v>1</v>
      </c>
      <c r="J3" s="2">
        <v>46003</v>
      </c>
      <c r="K3" s="5">
        <v>1007952</v>
      </c>
      <c r="L3" s="5">
        <v>1675</v>
      </c>
      <c r="M3" s="5">
        <v>2.9</v>
      </c>
      <c r="N3" s="5">
        <v>144.83000000000001</v>
      </c>
      <c r="O3" s="7">
        <v>45994</v>
      </c>
      <c r="P3" s="5">
        <v>141.93</v>
      </c>
      <c r="Q3" s="5">
        <v>2.9</v>
      </c>
      <c r="R3" s="5" t="s">
        <v>32</v>
      </c>
      <c r="S3" s="5" t="s">
        <v>33</v>
      </c>
      <c r="T3" s="5">
        <v>1.45</v>
      </c>
      <c r="U3" s="5">
        <v>140.47999999999999</v>
      </c>
      <c r="V3" s="5" t="s">
        <v>34</v>
      </c>
      <c r="W3" s="5">
        <v>2</v>
      </c>
      <c r="X3" s="5">
        <v>8945150433196</v>
      </c>
      <c r="Y3" s="7">
        <v>46003</v>
      </c>
      <c r="Z3" s="7">
        <v>45994</v>
      </c>
      <c r="AB3" s="6">
        <v>46003</v>
      </c>
      <c r="AC3" s="7">
        <v>46002.513194444444</v>
      </c>
      <c r="AD3" s="5">
        <v>16751007952</v>
      </c>
      <c r="AE3" s="8">
        <v>45994</v>
      </c>
      <c r="AF3" s="5" t="s">
        <v>36</v>
      </c>
      <c r="AG3" s="5" t="s">
        <v>37</v>
      </c>
      <c r="AH3" s="5">
        <v>206360</v>
      </c>
      <c r="AI3" s="6">
        <v>45994</v>
      </c>
      <c r="AJ3" s="6">
        <v>46003</v>
      </c>
      <c r="AK3" s="1">
        <f t="shared" ref="AK3:AK6" si="0">0.02*C3</f>
        <v>2.8966000000000003</v>
      </c>
      <c r="AM3" t="s">
        <v>679</v>
      </c>
    </row>
    <row r="4" spans="1:39" x14ac:dyDescent="0.55000000000000004">
      <c r="A4">
        <v>1675</v>
      </c>
      <c r="B4">
        <v>1008099</v>
      </c>
      <c r="C4">
        <v>295.64</v>
      </c>
      <c r="D4" s="4">
        <v>5.91</v>
      </c>
      <c r="E4">
        <v>289.73</v>
      </c>
      <c r="F4">
        <v>2.96</v>
      </c>
      <c r="G4">
        <v>286.77</v>
      </c>
      <c r="H4" s="14">
        <f>C4-D4-F4</f>
        <v>286.77</v>
      </c>
      <c r="I4" s="14" t="b">
        <f>G4=H4</f>
        <v>1</v>
      </c>
      <c r="J4" s="2">
        <v>46003</v>
      </c>
      <c r="K4" s="5">
        <v>1008099</v>
      </c>
      <c r="L4" s="5">
        <v>1675</v>
      </c>
      <c r="M4" s="5">
        <v>5.91</v>
      </c>
      <c r="N4" s="5">
        <v>295.64</v>
      </c>
      <c r="O4" s="7">
        <v>45995</v>
      </c>
      <c r="P4" s="5">
        <v>289.73</v>
      </c>
      <c r="Q4" s="5">
        <v>5.91</v>
      </c>
      <c r="R4" s="5" t="s">
        <v>32</v>
      </c>
      <c r="S4" s="5" t="s">
        <v>33</v>
      </c>
      <c r="T4" s="5">
        <v>2.96</v>
      </c>
      <c r="U4" s="5">
        <v>286.77</v>
      </c>
      <c r="V4" s="5" t="s">
        <v>34</v>
      </c>
      <c r="W4" s="5">
        <v>2</v>
      </c>
      <c r="X4" s="5">
        <v>8945150433196</v>
      </c>
      <c r="Y4" s="7">
        <v>46003</v>
      </c>
      <c r="Z4" s="7">
        <v>45995</v>
      </c>
      <c r="AB4" s="6">
        <v>46003</v>
      </c>
      <c r="AC4" s="7">
        <v>46002.513194444444</v>
      </c>
      <c r="AD4" s="5">
        <v>16751008099</v>
      </c>
      <c r="AE4" s="8">
        <v>45995</v>
      </c>
      <c r="AF4" s="5" t="s">
        <v>36</v>
      </c>
      <c r="AG4" s="5" t="s">
        <v>37</v>
      </c>
      <c r="AH4" s="5">
        <v>206367</v>
      </c>
      <c r="AI4" s="6">
        <v>45995</v>
      </c>
      <c r="AJ4" s="6">
        <v>46003</v>
      </c>
      <c r="AK4" s="1">
        <f t="shared" si="0"/>
        <v>5.9127999999999998</v>
      </c>
    </row>
    <row r="5" spans="1:39" hidden="1" x14ac:dyDescent="0.55000000000000004">
      <c r="A5">
        <v>1675</v>
      </c>
      <c r="B5">
        <v>1008532</v>
      </c>
      <c r="C5">
        <v>208.2</v>
      </c>
      <c r="E5">
        <v>208.2</v>
      </c>
      <c r="F5">
        <v>2.08</v>
      </c>
      <c r="G5">
        <v>206.12</v>
      </c>
      <c r="H5"/>
      <c r="I5"/>
      <c r="J5" s="2">
        <v>46003</v>
      </c>
      <c r="K5" s="5">
        <v>1008532</v>
      </c>
      <c r="L5" s="5">
        <v>1675</v>
      </c>
      <c r="M5" s="5">
        <v>0</v>
      </c>
      <c r="N5" s="5">
        <v>208.2</v>
      </c>
      <c r="O5" s="7">
        <v>45996</v>
      </c>
      <c r="P5" s="5">
        <v>208.2</v>
      </c>
      <c r="Q5" s="5">
        <v>0</v>
      </c>
      <c r="R5" s="5" t="s">
        <v>32</v>
      </c>
      <c r="S5" s="5" t="s">
        <v>33</v>
      </c>
      <c r="T5" s="5">
        <v>2.08</v>
      </c>
      <c r="U5" s="5">
        <v>206.12</v>
      </c>
      <c r="V5" s="5" t="s">
        <v>34</v>
      </c>
      <c r="W5" s="5">
        <v>2</v>
      </c>
      <c r="X5" s="5">
        <v>8945150433196</v>
      </c>
      <c r="Y5" s="7">
        <v>46003</v>
      </c>
      <c r="Z5" s="7">
        <v>45996</v>
      </c>
      <c r="AB5" s="6">
        <v>46003</v>
      </c>
      <c r="AC5" s="7">
        <v>46002.513194444444</v>
      </c>
      <c r="AD5" s="5">
        <v>16751008532</v>
      </c>
      <c r="AE5" s="8">
        <v>45996</v>
      </c>
      <c r="AF5" s="5" t="s">
        <v>36</v>
      </c>
      <c r="AG5" s="5" t="s">
        <v>38</v>
      </c>
      <c r="AH5" s="5">
        <v>206808</v>
      </c>
      <c r="AI5" s="6">
        <v>45996</v>
      </c>
      <c r="AJ5" s="6">
        <v>46003</v>
      </c>
    </row>
    <row r="6" spans="1:39" x14ac:dyDescent="0.55000000000000004">
      <c r="A6">
        <v>1720</v>
      </c>
      <c r="B6">
        <v>1007215</v>
      </c>
      <c r="C6">
        <v>143.99</v>
      </c>
      <c r="E6">
        <v>143.99</v>
      </c>
      <c r="F6">
        <v>1.44</v>
      </c>
      <c r="G6">
        <v>143.99</v>
      </c>
      <c r="H6" s="14">
        <f>C6-D6-F6</f>
        <v>142.55000000000001</v>
      </c>
      <c r="I6" s="14" t="b">
        <f>G6=H6</f>
        <v>0</v>
      </c>
      <c r="J6" s="2">
        <v>46003</v>
      </c>
      <c r="K6" s="5">
        <v>1007215</v>
      </c>
      <c r="L6" s="5">
        <v>1720</v>
      </c>
      <c r="M6" s="5">
        <v>0</v>
      </c>
      <c r="N6" s="5">
        <v>143.99</v>
      </c>
      <c r="O6" s="7">
        <v>45992</v>
      </c>
      <c r="P6" s="5">
        <v>143.99</v>
      </c>
      <c r="Q6" s="5">
        <v>0</v>
      </c>
      <c r="R6" s="5" t="s">
        <v>32</v>
      </c>
      <c r="S6" s="5" t="s">
        <v>33</v>
      </c>
      <c r="T6" s="5">
        <v>1.44</v>
      </c>
      <c r="U6" s="5">
        <v>143.99</v>
      </c>
      <c r="V6" s="5" t="s">
        <v>34</v>
      </c>
      <c r="W6" s="5">
        <v>10</v>
      </c>
      <c r="X6" s="5" t="s">
        <v>39</v>
      </c>
      <c r="Y6" s="7">
        <v>46003</v>
      </c>
      <c r="Z6" s="7">
        <v>45992</v>
      </c>
      <c r="AA6" s="5" t="s">
        <v>32</v>
      </c>
      <c r="AB6" s="6">
        <v>46003</v>
      </c>
      <c r="AC6" s="7">
        <v>46003.572916666664</v>
      </c>
      <c r="AD6" s="5">
        <v>17201007215</v>
      </c>
      <c r="AE6" s="8">
        <v>45992</v>
      </c>
      <c r="AF6" s="5">
        <v>1570</v>
      </c>
      <c r="AG6" s="5" t="s">
        <v>37</v>
      </c>
      <c r="AH6" s="5">
        <v>205797</v>
      </c>
      <c r="AI6" s="6">
        <v>45992</v>
      </c>
      <c r="AJ6" s="6">
        <v>46003</v>
      </c>
      <c r="AK6" s="1">
        <f t="shared" si="0"/>
        <v>2.8798000000000004</v>
      </c>
      <c r="AL6" t="s">
        <v>673</v>
      </c>
      <c r="AM6">
        <f>F6</f>
        <v>1.44</v>
      </c>
    </row>
    <row r="7" spans="1:39" hidden="1" x14ac:dyDescent="0.55000000000000004">
      <c r="A7">
        <v>1720</v>
      </c>
      <c r="B7">
        <v>1007638</v>
      </c>
      <c r="C7" s="1">
        <v>3990</v>
      </c>
      <c r="E7" s="1">
        <v>3990</v>
      </c>
      <c r="F7">
        <v>39.9</v>
      </c>
      <c r="G7" s="1">
        <v>3950.1</v>
      </c>
      <c r="H7" s="1"/>
      <c r="I7" s="1"/>
      <c r="J7" s="2">
        <v>46003</v>
      </c>
      <c r="K7" s="5">
        <v>1007638</v>
      </c>
      <c r="L7" s="5">
        <v>1720</v>
      </c>
      <c r="M7" s="5">
        <v>0</v>
      </c>
      <c r="N7" s="5">
        <v>3990</v>
      </c>
      <c r="O7" s="7">
        <v>45993</v>
      </c>
      <c r="P7" s="5">
        <v>3990</v>
      </c>
      <c r="Q7" s="5">
        <v>0</v>
      </c>
      <c r="R7" s="5" t="s">
        <v>32</v>
      </c>
      <c r="S7" s="5" t="s">
        <v>33</v>
      </c>
      <c r="T7" s="5">
        <v>39.9</v>
      </c>
      <c r="U7" s="5">
        <v>3950.1</v>
      </c>
      <c r="V7" s="5" t="s">
        <v>34</v>
      </c>
      <c r="W7" s="5">
        <v>10</v>
      </c>
      <c r="X7" s="5" t="s">
        <v>39</v>
      </c>
      <c r="Y7" s="7">
        <v>46003</v>
      </c>
      <c r="Z7" s="7">
        <v>45993</v>
      </c>
      <c r="AA7" s="5" t="s">
        <v>32</v>
      </c>
      <c r="AB7" s="6">
        <v>46003</v>
      </c>
      <c r="AC7" s="7">
        <v>46003.572916666664</v>
      </c>
      <c r="AD7" s="5">
        <v>17201007638</v>
      </c>
      <c r="AE7" s="8">
        <v>45993</v>
      </c>
      <c r="AF7" s="5" t="s">
        <v>32</v>
      </c>
      <c r="AG7" s="5" t="s">
        <v>35</v>
      </c>
      <c r="AH7" s="5" t="s">
        <v>32</v>
      </c>
      <c r="AI7" s="6">
        <v>45993</v>
      </c>
      <c r="AJ7" s="6">
        <v>46003</v>
      </c>
    </row>
    <row r="8" spans="1:39" hidden="1" x14ac:dyDescent="0.55000000000000004">
      <c r="A8">
        <v>1720</v>
      </c>
      <c r="B8">
        <v>1007906</v>
      </c>
      <c r="C8">
        <v>364.46</v>
      </c>
      <c r="E8">
        <v>364.46</v>
      </c>
      <c r="F8">
        <v>3.64</v>
      </c>
      <c r="G8">
        <v>360.82</v>
      </c>
      <c r="H8"/>
      <c r="I8"/>
      <c r="J8" s="2">
        <v>46003</v>
      </c>
      <c r="K8" s="5">
        <v>1007906</v>
      </c>
      <c r="L8" s="5">
        <v>1720</v>
      </c>
      <c r="M8" s="5">
        <v>0</v>
      </c>
      <c r="N8" s="5">
        <v>364.46</v>
      </c>
      <c r="O8" s="7">
        <v>45994</v>
      </c>
      <c r="P8" s="5">
        <v>364.46</v>
      </c>
      <c r="Q8" s="5">
        <v>0</v>
      </c>
      <c r="R8" s="5" t="s">
        <v>32</v>
      </c>
      <c r="S8" s="5" t="s">
        <v>33</v>
      </c>
      <c r="T8" s="5">
        <v>3.64</v>
      </c>
      <c r="U8" s="5">
        <v>360.82</v>
      </c>
      <c r="V8" s="5" t="s">
        <v>34</v>
      </c>
      <c r="W8" s="5">
        <v>10</v>
      </c>
      <c r="X8" s="5" t="s">
        <v>39</v>
      </c>
      <c r="Y8" s="7">
        <v>46003</v>
      </c>
      <c r="Z8" s="7">
        <v>45994</v>
      </c>
      <c r="AA8" s="5" t="s">
        <v>32</v>
      </c>
      <c r="AB8" s="6">
        <v>46003</v>
      </c>
      <c r="AC8" s="7">
        <v>46003.572916666664</v>
      </c>
      <c r="AD8" s="5">
        <v>17201007906</v>
      </c>
      <c r="AE8" s="8">
        <v>45994</v>
      </c>
      <c r="AF8" s="5">
        <v>1638</v>
      </c>
      <c r="AG8" s="5" t="s">
        <v>38</v>
      </c>
      <c r="AH8" s="5">
        <v>206447</v>
      </c>
      <c r="AI8" s="6">
        <v>45994</v>
      </c>
      <c r="AJ8" s="6">
        <v>46003</v>
      </c>
    </row>
    <row r="9" spans="1:39" hidden="1" x14ac:dyDescent="0.55000000000000004">
      <c r="A9">
        <v>1720</v>
      </c>
      <c r="B9">
        <v>1007914</v>
      </c>
      <c r="C9">
        <v>162.4</v>
      </c>
      <c r="E9">
        <v>162.4</v>
      </c>
      <c r="F9">
        <v>1.62</v>
      </c>
      <c r="G9">
        <v>160.78</v>
      </c>
      <c r="H9"/>
      <c r="I9"/>
      <c r="J9" s="2">
        <v>46003</v>
      </c>
      <c r="K9" s="5">
        <v>1007914</v>
      </c>
      <c r="L9" s="5">
        <v>1720</v>
      </c>
      <c r="M9" s="5">
        <v>0</v>
      </c>
      <c r="N9" s="5">
        <v>162.4</v>
      </c>
      <c r="O9" s="7">
        <v>45994</v>
      </c>
      <c r="P9" s="5">
        <v>162.4</v>
      </c>
      <c r="Q9" s="5">
        <v>0</v>
      </c>
      <c r="R9" s="5" t="s">
        <v>32</v>
      </c>
      <c r="S9" s="5" t="s">
        <v>33</v>
      </c>
      <c r="T9" s="5">
        <v>1.62</v>
      </c>
      <c r="U9" s="5">
        <v>160.78</v>
      </c>
      <c r="V9" s="5" t="s">
        <v>34</v>
      </c>
      <c r="W9" s="5">
        <v>10</v>
      </c>
      <c r="X9" s="5" t="s">
        <v>39</v>
      </c>
      <c r="Y9" s="7">
        <v>46003</v>
      </c>
      <c r="Z9" s="7">
        <v>45994</v>
      </c>
      <c r="AA9" s="5" t="s">
        <v>32</v>
      </c>
      <c r="AB9" s="6">
        <v>46003</v>
      </c>
      <c r="AC9" s="7">
        <v>46003.572916666664</v>
      </c>
      <c r="AD9" s="5">
        <v>17201007914</v>
      </c>
      <c r="AE9" s="8">
        <v>45994</v>
      </c>
      <c r="AF9" s="5">
        <v>1633</v>
      </c>
      <c r="AG9" s="5" t="s">
        <v>38</v>
      </c>
      <c r="AH9" s="5">
        <v>206446</v>
      </c>
      <c r="AI9" s="6">
        <v>45994</v>
      </c>
      <c r="AJ9" s="6">
        <v>46003</v>
      </c>
    </row>
    <row r="10" spans="1:39" x14ac:dyDescent="0.55000000000000004">
      <c r="A10">
        <v>1720</v>
      </c>
      <c r="B10">
        <v>1008144</v>
      </c>
      <c r="C10" s="1">
        <v>1149.42</v>
      </c>
      <c r="E10" s="1">
        <v>1149.42</v>
      </c>
      <c r="F10">
        <v>11.49</v>
      </c>
      <c r="G10" s="1">
        <v>1149.42</v>
      </c>
      <c r="H10" s="14">
        <f>C10-D10-F10</f>
        <v>1137.93</v>
      </c>
      <c r="I10" s="14" t="b">
        <f>G10=H10</f>
        <v>0</v>
      </c>
      <c r="J10" s="2">
        <v>46003</v>
      </c>
      <c r="K10" s="5">
        <v>1008144</v>
      </c>
      <c r="L10" s="5">
        <v>1720</v>
      </c>
      <c r="M10" s="5">
        <v>0</v>
      </c>
      <c r="N10" s="5">
        <v>1149.42</v>
      </c>
      <c r="O10" s="7">
        <v>45995</v>
      </c>
      <c r="P10" s="5">
        <v>1149.42</v>
      </c>
      <c r="Q10" s="5">
        <v>0</v>
      </c>
      <c r="R10" s="5" t="s">
        <v>32</v>
      </c>
      <c r="S10" s="5" t="s">
        <v>33</v>
      </c>
      <c r="T10" s="5">
        <v>11.49</v>
      </c>
      <c r="U10" s="5">
        <v>1149.42</v>
      </c>
      <c r="V10" s="5" t="s">
        <v>34</v>
      </c>
      <c r="W10" s="5">
        <v>10</v>
      </c>
      <c r="X10" s="5" t="s">
        <v>39</v>
      </c>
      <c r="Y10" s="7">
        <v>46003</v>
      </c>
      <c r="Z10" s="7">
        <v>45995</v>
      </c>
      <c r="AA10" s="5" t="s">
        <v>32</v>
      </c>
      <c r="AB10" s="6">
        <v>46003</v>
      </c>
      <c r="AC10" s="7">
        <v>46003.572916666664</v>
      </c>
      <c r="AD10" s="5">
        <v>17201008144</v>
      </c>
      <c r="AE10" s="8">
        <v>45995</v>
      </c>
      <c r="AF10" s="5">
        <v>1640</v>
      </c>
      <c r="AG10" s="5" t="s">
        <v>37</v>
      </c>
      <c r="AH10" s="5">
        <v>206759</v>
      </c>
      <c r="AI10" s="6">
        <v>45995</v>
      </c>
      <c r="AJ10" s="6">
        <v>46003</v>
      </c>
      <c r="AK10" s="1">
        <f t="shared" ref="AK10" si="1">0.02*C10</f>
        <v>22.988400000000002</v>
      </c>
      <c r="AL10" t="s">
        <v>673</v>
      </c>
      <c r="AM10">
        <f>F10</f>
        <v>11.49</v>
      </c>
    </row>
    <row r="11" spans="1:39" hidden="1" x14ac:dyDescent="0.55000000000000004">
      <c r="A11">
        <v>1720</v>
      </c>
      <c r="B11">
        <v>1008277</v>
      </c>
      <c r="C11">
        <v>-50</v>
      </c>
      <c r="E11">
        <v>-50</v>
      </c>
      <c r="G11">
        <v>-50</v>
      </c>
      <c r="H11"/>
      <c r="I11"/>
      <c r="J11" s="2">
        <v>46003</v>
      </c>
      <c r="K11" s="5">
        <v>1008277</v>
      </c>
      <c r="L11" s="5">
        <v>1720</v>
      </c>
      <c r="M11" s="5">
        <v>0</v>
      </c>
      <c r="N11" s="5">
        <v>-50</v>
      </c>
      <c r="O11" s="7">
        <v>45995</v>
      </c>
      <c r="P11" s="5">
        <v>-50</v>
      </c>
      <c r="Q11" s="5">
        <v>0</v>
      </c>
      <c r="R11" s="5" t="s">
        <v>40</v>
      </c>
      <c r="S11" s="5" t="s">
        <v>33</v>
      </c>
      <c r="T11" s="5">
        <v>0</v>
      </c>
      <c r="U11" s="5">
        <v>-50</v>
      </c>
      <c r="V11" s="5" t="s">
        <v>34</v>
      </c>
      <c r="W11" s="5">
        <v>10</v>
      </c>
      <c r="X11" s="5" t="s">
        <v>39</v>
      </c>
      <c r="Y11" s="7">
        <v>46003</v>
      </c>
      <c r="Z11" s="7">
        <v>45995</v>
      </c>
      <c r="AA11" s="5" t="s">
        <v>32</v>
      </c>
      <c r="AB11" s="6">
        <v>46003</v>
      </c>
      <c r="AC11" s="7">
        <v>46003.572916666664</v>
      </c>
      <c r="AD11" s="5">
        <v>17201008277</v>
      </c>
      <c r="AE11" s="8">
        <v>45995</v>
      </c>
      <c r="AF11" s="5" t="s">
        <v>41</v>
      </c>
      <c r="AG11" s="5" t="s">
        <v>38</v>
      </c>
      <c r="AH11" s="5" t="s">
        <v>40</v>
      </c>
      <c r="AI11" s="6">
        <v>45995</v>
      </c>
      <c r="AJ11" s="6">
        <v>46003</v>
      </c>
    </row>
    <row r="12" spans="1:39" hidden="1" x14ac:dyDescent="0.55000000000000004">
      <c r="A12">
        <v>1720</v>
      </c>
      <c r="B12">
        <v>1008353</v>
      </c>
      <c r="C12" s="1">
        <v>1384.98</v>
      </c>
      <c r="E12" s="1">
        <v>1384.98</v>
      </c>
      <c r="F12">
        <v>13.85</v>
      </c>
      <c r="G12" s="1">
        <v>1371.13</v>
      </c>
      <c r="H12" s="1"/>
      <c r="I12" s="1"/>
      <c r="J12" s="2">
        <v>46003</v>
      </c>
      <c r="K12" s="5">
        <v>1008353</v>
      </c>
      <c r="L12" s="5">
        <v>1720</v>
      </c>
      <c r="M12" s="5">
        <v>0</v>
      </c>
      <c r="N12" s="5">
        <v>1384.98</v>
      </c>
      <c r="O12" s="7">
        <v>45996</v>
      </c>
      <c r="P12" s="5">
        <v>1384.98</v>
      </c>
      <c r="Q12" s="5">
        <v>0</v>
      </c>
      <c r="R12" s="5" t="s">
        <v>42</v>
      </c>
      <c r="S12" s="5" t="s">
        <v>43</v>
      </c>
      <c r="T12" s="5">
        <v>13.85</v>
      </c>
      <c r="U12" s="5">
        <v>1371.13</v>
      </c>
      <c r="V12" s="5" t="s">
        <v>34</v>
      </c>
      <c r="W12" s="5">
        <v>10</v>
      </c>
      <c r="X12" s="5" t="s">
        <v>39</v>
      </c>
      <c r="Y12" s="7">
        <v>46003</v>
      </c>
      <c r="Z12" s="7">
        <v>45996</v>
      </c>
      <c r="AA12" s="5" t="s">
        <v>32</v>
      </c>
      <c r="AB12" s="6">
        <v>46003</v>
      </c>
      <c r="AC12" s="7">
        <v>46003.572916666664</v>
      </c>
      <c r="AD12" s="5">
        <v>17201008353</v>
      </c>
      <c r="AE12" s="8">
        <v>45996</v>
      </c>
      <c r="AF12" s="5">
        <v>12042025</v>
      </c>
      <c r="AG12" s="5" t="s">
        <v>38</v>
      </c>
      <c r="AH12" s="5" t="s">
        <v>42</v>
      </c>
      <c r="AI12" s="6">
        <v>45996</v>
      </c>
      <c r="AJ12" s="6">
        <v>46003</v>
      </c>
    </row>
    <row r="13" spans="1:39" hidden="1" x14ac:dyDescent="0.55000000000000004">
      <c r="A13">
        <v>1720</v>
      </c>
      <c r="B13">
        <v>1008427</v>
      </c>
      <c r="C13" s="1">
        <v>1777.1</v>
      </c>
      <c r="E13" s="1">
        <v>1777.1</v>
      </c>
      <c r="F13">
        <v>17.77</v>
      </c>
      <c r="G13" s="1">
        <v>1759.33</v>
      </c>
      <c r="H13" s="1"/>
      <c r="I13" s="1"/>
      <c r="J13" s="2">
        <v>46003</v>
      </c>
      <c r="K13" s="5">
        <v>1008427</v>
      </c>
      <c r="L13" s="5">
        <v>1720</v>
      </c>
      <c r="M13" s="5">
        <v>0</v>
      </c>
      <c r="N13" s="5">
        <v>1777.1</v>
      </c>
      <c r="O13" s="7">
        <v>45996</v>
      </c>
      <c r="P13" s="5">
        <v>1777.1</v>
      </c>
      <c r="Q13" s="5">
        <v>0</v>
      </c>
      <c r="R13" s="5" t="s">
        <v>32</v>
      </c>
      <c r="S13" s="5" t="s">
        <v>33</v>
      </c>
      <c r="T13" s="5">
        <v>17.77</v>
      </c>
      <c r="U13" s="5">
        <v>1759.33</v>
      </c>
      <c r="V13" s="5" t="s">
        <v>34</v>
      </c>
      <c r="W13" s="5">
        <v>10</v>
      </c>
      <c r="X13" s="5" t="s">
        <v>39</v>
      </c>
      <c r="Y13" s="7">
        <v>46003</v>
      </c>
      <c r="Z13" s="7">
        <v>45996</v>
      </c>
      <c r="AA13" s="5" t="s">
        <v>32</v>
      </c>
      <c r="AB13" s="6">
        <v>46003</v>
      </c>
      <c r="AC13" s="7">
        <v>46003.572916666664</v>
      </c>
      <c r="AD13" s="5">
        <v>17201008427</v>
      </c>
      <c r="AE13" s="8">
        <v>45996</v>
      </c>
      <c r="AF13" s="5">
        <v>1640</v>
      </c>
      <c r="AG13" s="5" t="s">
        <v>38</v>
      </c>
      <c r="AH13" s="5">
        <v>206771</v>
      </c>
      <c r="AI13" s="6">
        <v>45996</v>
      </c>
      <c r="AJ13" s="6">
        <v>46003</v>
      </c>
    </row>
    <row r="14" spans="1:39" x14ac:dyDescent="0.55000000000000004">
      <c r="A14">
        <v>1720</v>
      </c>
      <c r="B14">
        <v>1008433</v>
      </c>
      <c r="C14" s="1">
        <v>2395.5</v>
      </c>
      <c r="E14" s="1">
        <v>2395.5</v>
      </c>
      <c r="F14">
        <v>23.96</v>
      </c>
      <c r="G14" s="1">
        <v>2395.5</v>
      </c>
      <c r="H14" s="14">
        <f t="shared" ref="H14:H18" si="2">C14-D14-F14</f>
        <v>2371.54</v>
      </c>
      <c r="I14" s="14" t="b">
        <f t="shared" ref="I14:I18" si="3">G14=H14</f>
        <v>0</v>
      </c>
      <c r="J14" s="2">
        <v>46003</v>
      </c>
      <c r="K14" s="5">
        <v>1008433</v>
      </c>
      <c r="L14" s="5">
        <v>1720</v>
      </c>
      <c r="M14" s="5">
        <v>0</v>
      </c>
      <c r="N14" s="5">
        <v>2395.5</v>
      </c>
      <c r="O14" s="7">
        <v>45996</v>
      </c>
      <c r="P14" s="5">
        <v>2395.5</v>
      </c>
      <c r="Q14" s="5">
        <v>0</v>
      </c>
      <c r="R14" s="5" t="s">
        <v>32</v>
      </c>
      <c r="S14" s="5" t="s">
        <v>33</v>
      </c>
      <c r="T14" s="5">
        <v>23.96</v>
      </c>
      <c r="U14" s="5">
        <v>2395.5</v>
      </c>
      <c r="V14" s="5" t="s">
        <v>34</v>
      </c>
      <c r="W14" s="5">
        <v>10</v>
      </c>
      <c r="X14" s="5" t="s">
        <v>39</v>
      </c>
      <c r="Y14" s="7">
        <v>46003</v>
      </c>
      <c r="Z14" s="7">
        <v>45996</v>
      </c>
      <c r="AA14" s="5" t="s">
        <v>32</v>
      </c>
      <c r="AB14" s="6">
        <v>46003</v>
      </c>
      <c r="AC14" s="7">
        <v>46003.572916666664</v>
      </c>
      <c r="AD14" s="5">
        <v>17201008433</v>
      </c>
      <c r="AE14" s="8">
        <v>45996</v>
      </c>
      <c r="AF14" s="5">
        <v>1640</v>
      </c>
      <c r="AG14" s="5" t="s">
        <v>37</v>
      </c>
      <c r="AH14" s="5">
        <v>206770</v>
      </c>
      <c r="AI14" s="6">
        <v>45996</v>
      </c>
      <c r="AJ14" s="6">
        <v>46003</v>
      </c>
      <c r="AK14" s="1">
        <f t="shared" ref="AK14:AK18" si="4">0.02*C14</f>
        <v>47.910000000000004</v>
      </c>
      <c r="AL14" t="s">
        <v>673</v>
      </c>
      <c r="AM14">
        <f>F14</f>
        <v>23.96</v>
      </c>
    </row>
    <row r="15" spans="1:39" x14ac:dyDescent="0.55000000000000004">
      <c r="A15">
        <v>1810</v>
      </c>
      <c r="B15">
        <v>1007364</v>
      </c>
      <c r="C15">
        <v>165.9</v>
      </c>
      <c r="D15" s="4">
        <v>3.32</v>
      </c>
      <c r="E15">
        <v>162.58000000000001</v>
      </c>
      <c r="F15">
        <v>1.66</v>
      </c>
      <c r="G15">
        <v>160.91999999999999</v>
      </c>
      <c r="H15" s="14">
        <f t="shared" si="2"/>
        <v>160.92000000000002</v>
      </c>
      <c r="I15" s="14" t="b">
        <f t="shared" si="3"/>
        <v>1</v>
      </c>
      <c r="J15" s="2">
        <v>46003</v>
      </c>
      <c r="K15" s="5">
        <v>1007364</v>
      </c>
      <c r="L15" s="5">
        <v>1810</v>
      </c>
      <c r="M15" s="5">
        <v>3.32</v>
      </c>
      <c r="N15" s="5">
        <v>165.9</v>
      </c>
      <c r="O15" s="7">
        <v>45992</v>
      </c>
      <c r="P15" s="5">
        <v>162.58000000000001</v>
      </c>
      <c r="Q15" s="5">
        <v>3.32</v>
      </c>
      <c r="R15" s="5" t="s">
        <v>32</v>
      </c>
      <c r="S15" s="5" t="s">
        <v>33</v>
      </c>
      <c r="T15" s="5">
        <v>1.66</v>
      </c>
      <c r="U15" s="5">
        <v>160.91999999999999</v>
      </c>
      <c r="V15" s="5" t="s">
        <v>34</v>
      </c>
      <c r="W15" s="5">
        <v>2</v>
      </c>
      <c r="X15" s="5">
        <v>6915605625952</v>
      </c>
      <c r="Y15" s="7">
        <v>46003</v>
      </c>
      <c r="Z15" s="7">
        <v>45992</v>
      </c>
      <c r="AB15" s="6">
        <v>46003</v>
      </c>
      <c r="AC15" s="7">
        <v>46000.52847222222</v>
      </c>
      <c r="AD15" s="5">
        <v>18101007364</v>
      </c>
      <c r="AE15" s="8">
        <v>45992</v>
      </c>
      <c r="AF15" s="5" t="s">
        <v>44</v>
      </c>
      <c r="AG15" s="5" t="s">
        <v>37</v>
      </c>
      <c r="AH15" s="5">
        <v>205845</v>
      </c>
      <c r="AI15" s="6">
        <v>45992</v>
      </c>
      <c r="AJ15" s="6">
        <v>46003</v>
      </c>
      <c r="AK15" s="1">
        <f t="shared" si="4"/>
        <v>3.3180000000000001</v>
      </c>
    </row>
    <row r="16" spans="1:39" x14ac:dyDescent="0.55000000000000004">
      <c r="A16">
        <v>1810</v>
      </c>
      <c r="B16">
        <v>1007366</v>
      </c>
      <c r="C16">
        <v>331.8</v>
      </c>
      <c r="D16" s="4">
        <v>6.64</v>
      </c>
      <c r="E16">
        <v>325.16000000000003</v>
      </c>
      <c r="F16">
        <v>3.32</v>
      </c>
      <c r="G16">
        <v>321.83999999999997</v>
      </c>
      <c r="H16" s="14">
        <f t="shared" si="2"/>
        <v>321.84000000000003</v>
      </c>
      <c r="I16" s="14" t="b">
        <f t="shared" si="3"/>
        <v>1</v>
      </c>
      <c r="J16" s="2">
        <v>46003</v>
      </c>
      <c r="K16" s="5">
        <v>1007366</v>
      </c>
      <c r="L16" s="5">
        <v>1810</v>
      </c>
      <c r="M16" s="5">
        <v>6.64</v>
      </c>
      <c r="N16" s="5">
        <v>331.8</v>
      </c>
      <c r="O16" s="7">
        <v>45992</v>
      </c>
      <c r="P16" s="5">
        <v>325.16000000000003</v>
      </c>
      <c r="Q16" s="5">
        <v>6.64</v>
      </c>
      <c r="R16" s="5" t="s">
        <v>32</v>
      </c>
      <c r="S16" s="5" t="s">
        <v>33</v>
      </c>
      <c r="T16" s="5">
        <v>3.32</v>
      </c>
      <c r="U16" s="5">
        <v>321.83999999999997</v>
      </c>
      <c r="V16" s="5" t="s">
        <v>34</v>
      </c>
      <c r="W16" s="5">
        <v>2</v>
      </c>
      <c r="X16" s="5">
        <v>6915605625952</v>
      </c>
      <c r="Y16" s="7">
        <v>46003</v>
      </c>
      <c r="Z16" s="7">
        <v>45992</v>
      </c>
      <c r="AB16" s="6">
        <v>46003</v>
      </c>
      <c r="AC16" s="7">
        <v>46000.52847222222</v>
      </c>
      <c r="AD16" s="5">
        <v>18101007366</v>
      </c>
      <c r="AE16" s="8">
        <v>45992</v>
      </c>
      <c r="AF16" s="5" t="s">
        <v>45</v>
      </c>
      <c r="AG16" s="5" t="s">
        <v>37</v>
      </c>
      <c r="AH16" s="5">
        <v>205843</v>
      </c>
      <c r="AI16" s="6">
        <v>45992</v>
      </c>
      <c r="AJ16" s="6">
        <v>46003</v>
      </c>
      <c r="AK16" s="1">
        <f t="shared" si="4"/>
        <v>6.6360000000000001</v>
      </c>
    </row>
    <row r="17" spans="1:37" x14ac:dyDescent="0.55000000000000004">
      <c r="A17">
        <v>1810</v>
      </c>
      <c r="B17">
        <v>1007371</v>
      </c>
      <c r="C17">
        <v>398.16</v>
      </c>
      <c r="D17" s="4">
        <v>7.96</v>
      </c>
      <c r="E17">
        <v>390.2</v>
      </c>
      <c r="F17">
        <v>3.98</v>
      </c>
      <c r="G17">
        <v>386.22</v>
      </c>
      <c r="H17" s="14">
        <f t="shared" si="2"/>
        <v>386.22</v>
      </c>
      <c r="I17" s="14" t="b">
        <f t="shared" si="3"/>
        <v>1</v>
      </c>
      <c r="J17" s="2">
        <v>46003</v>
      </c>
      <c r="K17" s="5">
        <v>1007371</v>
      </c>
      <c r="L17" s="5">
        <v>1810</v>
      </c>
      <c r="M17" s="5">
        <v>7.96</v>
      </c>
      <c r="N17" s="5">
        <v>398.16</v>
      </c>
      <c r="O17" s="7">
        <v>45992</v>
      </c>
      <c r="P17" s="5">
        <v>390.2</v>
      </c>
      <c r="Q17" s="5">
        <v>7.96</v>
      </c>
      <c r="R17" s="5" t="s">
        <v>32</v>
      </c>
      <c r="S17" s="5" t="s">
        <v>33</v>
      </c>
      <c r="T17" s="5">
        <v>3.98</v>
      </c>
      <c r="U17" s="5">
        <v>386.22</v>
      </c>
      <c r="V17" s="5" t="s">
        <v>34</v>
      </c>
      <c r="W17" s="5">
        <v>2</v>
      </c>
      <c r="X17" s="5">
        <v>6915605625952</v>
      </c>
      <c r="Y17" s="7">
        <v>46003</v>
      </c>
      <c r="Z17" s="7">
        <v>45992</v>
      </c>
      <c r="AB17" s="6">
        <v>46003</v>
      </c>
      <c r="AC17" s="7">
        <v>46000.52847222222</v>
      </c>
      <c r="AD17" s="5">
        <v>18101007371</v>
      </c>
      <c r="AE17" s="8">
        <v>45992</v>
      </c>
      <c r="AF17" s="5" t="s">
        <v>46</v>
      </c>
      <c r="AG17" s="5" t="s">
        <v>37</v>
      </c>
      <c r="AH17" s="5">
        <v>205844</v>
      </c>
      <c r="AI17" s="6">
        <v>45992</v>
      </c>
      <c r="AJ17" s="6">
        <v>46003</v>
      </c>
      <c r="AK17" s="1">
        <f t="shared" si="4"/>
        <v>7.9632000000000005</v>
      </c>
    </row>
    <row r="18" spans="1:37" x14ac:dyDescent="0.55000000000000004">
      <c r="A18">
        <v>1810</v>
      </c>
      <c r="B18">
        <v>1007450</v>
      </c>
      <c r="C18">
        <v>140</v>
      </c>
      <c r="D18" s="4">
        <v>2.8</v>
      </c>
      <c r="E18">
        <v>137.19999999999999</v>
      </c>
      <c r="F18">
        <v>1.4</v>
      </c>
      <c r="G18">
        <v>135.80000000000001</v>
      </c>
      <c r="H18" s="14">
        <f t="shared" si="2"/>
        <v>135.79999999999998</v>
      </c>
      <c r="I18" s="14" t="b">
        <f t="shared" si="3"/>
        <v>1</v>
      </c>
      <c r="J18" s="2">
        <v>46003</v>
      </c>
      <c r="K18" s="5">
        <v>1007450</v>
      </c>
      <c r="L18" s="5">
        <v>1810</v>
      </c>
      <c r="M18" s="5">
        <v>2.8</v>
      </c>
      <c r="N18" s="5">
        <v>140</v>
      </c>
      <c r="O18" s="7">
        <v>45992</v>
      </c>
      <c r="P18" s="5">
        <v>137.19999999999999</v>
      </c>
      <c r="Q18" s="5">
        <v>2.8</v>
      </c>
      <c r="R18" s="5" t="s">
        <v>32</v>
      </c>
      <c r="S18" s="5" t="s">
        <v>33</v>
      </c>
      <c r="T18" s="5">
        <v>1.4</v>
      </c>
      <c r="U18" s="5">
        <v>135.80000000000001</v>
      </c>
      <c r="V18" s="5" t="s">
        <v>34</v>
      </c>
      <c r="W18" s="5">
        <v>2</v>
      </c>
      <c r="X18" s="5">
        <v>6915605625952</v>
      </c>
      <c r="Y18" s="7">
        <v>46003</v>
      </c>
      <c r="Z18" s="7">
        <v>45992</v>
      </c>
      <c r="AB18" s="6">
        <v>46003</v>
      </c>
      <c r="AC18" s="7">
        <v>46000.52847222222</v>
      </c>
      <c r="AD18" s="5">
        <v>18101007450</v>
      </c>
      <c r="AE18" s="8">
        <v>45992</v>
      </c>
      <c r="AF18" s="5" t="s">
        <v>47</v>
      </c>
      <c r="AG18" s="5" t="s">
        <v>37</v>
      </c>
      <c r="AH18" s="5">
        <v>205922</v>
      </c>
      <c r="AI18" s="6">
        <v>45992</v>
      </c>
      <c r="AJ18" s="6">
        <v>46003</v>
      </c>
      <c r="AK18" s="1">
        <f t="shared" si="4"/>
        <v>2.8000000000000003</v>
      </c>
    </row>
    <row r="19" spans="1:37" hidden="1" x14ac:dyDescent="0.55000000000000004">
      <c r="A19">
        <v>1810</v>
      </c>
      <c r="B19">
        <v>1007454</v>
      </c>
      <c r="C19" s="1">
        <v>1656.39</v>
      </c>
      <c r="E19" s="1">
        <v>1656.39</v>
      </c>
      <c r="F19">
        <v>16.559999999999999</v>
      </c>
      <c r="G19" s="1">
        <v>1639.83</v>
      </c>
      <c r="H19" s="1"/>
      <c r="I19" s="1"/>
      <c r="J19" s="2">
        <v>46003</v>
      </c>
      <c r="K19" s="5">
        <v>1007454</v>
      </c>
      <c r="L19" s="5">
        <v>1810</v>
      </c>
      <c r="M19" s="5">
        <v>0</v>
      </c>
      <c r="N19" s="5">
        <v>1656.39</v>
      </c>
      <c r="O19" s="7">
        <v>45992</v>
      </c>
      <c r="P19" s="5">
        <v>1656.39</v>
      </c>
      <c r="Q19" s="5">
        <v>0</v>
      </c>
      <c r="R19" s="5" t="s">
        <v>32</v>
      </c>
      <c r="S19" s="5" t="s">
        <v>33</v>
      </c>
      <c r="T19" s="5">
        <v>16.559999999999999</v>
      </c>
      <c r="U19" s="5">
        <v>1639.83</v>
      </c>
      <c r="V19" s="5" t="s">
        <v>34</v>
      </c>
      <c r="W19" s="5">
        <v>2</v>
      </c>
      <c r="X19" s="5">
        <v>6915605625952</v>
      </c>
      <c r="Y19" s="7">
        <v>46003</v>
      </c>
      <c r="Z19" s="7">
        <v>45992</v>
      </c>
      <c r="AB19" s="6">
        <v>46003</v>
      </c>
      <c r="AC19" s="7">
        <v>46000.52847222222</v>
      </c>
      <c r="AD19" s="5">
        <v>18101007454</v>
      </c>
      <c r="AE19" s="8">
        <v>45992</v>
      </c>
      <c r="AF19" s="5" t="s">
        <v>48</v>
      </c>
      <c r="AG19" s="5" t="s">
        <v>38</v>
      </c>
      <c r="AH19" s="5">
        <v>205642</v>
      </c>
      <c r="AI19" s="6">
        <v>45992</v>
      </c>
      <c r="AJ19" s="6">
        <v>46003</v>
      </c>
    </row>
    <row r="20" spans="1:37" hidden="1" x14ac:dyDescent="0.55000000000000004">
      <c r="A20">
        <v>1810</v>
      </c>
      <c r="B20">
        <v>1007455</v>
      </c>
      <c r="C20">
        <v>95.05</v>
      </c>
      <c r="E20">
        <v>95.05</v>
      </c>
      <c r="F20">
        <v>0.95</v>
      </c>
      <c r="G20">
        <v>94.1</v>
      </c>
      <c r="H20"/>
      <c r="I20"/>
      <c r="J20" s="2">
        <v>46003</v>
      </c>
      <c r="K20" s="5">
        <v>1007455</v>
      </c>
      <c r="L20" s="5">
        <v>1810</v>
      </c>
      <c r="M20" s="5">
        <v>0</v>
      </c>
      <c r="N20" s="5">
        <v>95.05</v>
      </c>
      <c r="O20" s="7">
        <v>45992</v>
      </c>
      <c r="P20" s="5">
        <v>95.05</v>
      </c>
      <c r="Q20" s="5">
        <v>0</v>
      </c>
      <c r="R20" s="5" t="s">
        <v>32</v>
      </c>
      <c r="S20" s="5" t="s">
        <v>33</v>
      </c>
      <c r="T20" s="5">
        <v>0.95</v>
      </c>
      <c r="U20" s="5">
        <v>94.1</v>
      </c>
      <c r="V20" s="5" t="s">
        <v>34</v>
      </c>
      <c r="W20" s="5">
        <v>2</v>
      </c>
      <c r="X20" s="5">
        <v>6915605625952</v>
      </c>
      <c r="Y20" s="7">
        <v>46003</v>
      </c>
      <c r="Z20" s="7">
        <v>45992</v>
      </c>
      <c r="AB20" s="6">
        <v>46003</v>
      </c>
      <c r="AC20" s="7">
        <v>46000.52847222222</v>
      </c>
      <c r="AD20" s="5">
        <v>18101007455</v>
      </c>
      <c r="AE20" s="8">
        <v>45992</v>
      </c>
      <c r="AF20" s="5" t="s">
        <v>49</v>
      </c>
      <c r="AG20" s="5" t="s">
        <v>38</v>
      </c>
      <c r="AH20" s="5">
        <v>205643</v>
      </c>
      <c r="AI20" s="6">
        <v>45992</v>
      </c>
      <c r="AJ20" s="6">
        <v>46003</v>
      </c>
    </row>
    <row r="21" spans="1:37" x14ac:dyDescent="0.55000000000000004">
      <c r="A21">
        <v>1810</v>
      </c>
      <c r="B21">
        <v>1007456</v>
      </c>
      <c r="C21">
        <v>674.4</v>
      </c>
      <c r="D21" s="4">
        <v>13.49</v>
      </c>
      <c r="E21">
        <v>660.91</v>
      </c>
      <c r="F21">
        <v>6.74</v>
      </c>
      <c r="G21">
        <v>654.16999999999996</v>
      </c>
      <c r="H21" s="14">
        <f>C21-D21-F21</f>
        <v>654.16999999999996</v>
      </c>
      <c r="I21" s="14" t="b">
        <f>G21=H21</f>
        <v>1</v>
      </c>
      <c r="J21" s="2">
        <v>46003</v>
      </c>
      <c r="K21" s="5">
        <v>1007456</v>
      </c>
      <c r="L21" s="5">
        <v>1810</v>
      </c>
      <c r="M21" s="5">
        <v>13.49</v>
      </c>
      <c r="N21" s="5">
        <v>674.4</v>
      </c>
      <c r="O21" s="7">
        <v>45992</v>
      </c>
      <c r="P21" s="5">
        <v>660.91</v>
      </c>
      <c r="Q21" s="5">
        <v>13.49</v>
      </c>
      <c r="R21" s="5" t="s">
        <v>32</v>
      </c>
      <c r="S21" s="5" t="s">
        <v>33</v>
      </c>
      <c r="T21" s="5">
        <v>6.74</v>
      </c>
      <c r="U21" s="5">
        <v>654.16999999999996</v>
      </c>
      <c r="V21" s="5" t="s">
        <v>34</v>
      </c>
      <c r="W21" s="5">
        <v>2</v>
      </c>
      <c r="X21" s="5">
        <v>6915605625952</v>
      </c>
      <c r="Y21" s="7">
        <v>46003</v>
      </c>
      <c r="Z21" s="7">
        <v>45992</v>
      </c>
      <c r="AB21" s="6">
        <v>46003</v>
      </c>
      <c r="AC21" s="7">
        <v>46000.52847222222</v>
      </c>
      <c r="AD21" s="5">
        <v>18101007456</v>
      </c>
      <c r="AE21" s="8">
        <v>45992</v>
      </c>
      <c r="AF21" s="5" t="s">
        <v>48</v>
      </c>
      <c r="AG21" s="5" t="s">
        <v>37</v>
      </c>
      <c r="AH21" s="5">
        <v>205641</v>
      </c>
      <c r="AI21" s="6">
        <v>45992</v>
      </c>
      <c r="AJ21" s="6">
        <v>46003</v>
      </c>
      <c r="AK21" s="1">
        <f t="shared" ref="AK21" si="5">0.02*C21</f>
        <v>13.488</v>
      </c>
    </row>
    <row r="22" spans="1:37" hidden="1" x14ac:dyDescent="0.55000000000000004">
      <c r="A22">
        <v>1810</v>
      </c>
      <c r="B22">
        <v>1007537</v>
      </c>
      <c r="C22" s="1">
        <v>3990</v>
      </c>
      <c r="E22" s="1">
        <v>3990</v>
      </c>
      <c r="F22">
        <v>39.9</v>
      </c>
      <c r="G22" s="1">
        <v>3950.1</v>
      </c>
      <c r="H22" s="1"/>
      <c r="I22" s="1"/>
      <c r="J22" s="2">
        <v>46003</v>
      </c>
      <c r="K22" s="5">
        <v>1007537</v>
      </c>
      <c r="L22" s="5">
        <v>1810</v>
      </c>
      <c r="M22" s="5">
        <v>0</v>
      </c>
      <c r="N22" s="5">
        <v>3990</v>
      </c>
      <c r="O22" s="7">
        <v>45993</v>
      </c>
      <c r="P22" s="5">
        <v>3990</v>
      </c>
      <c r="Q22" s="5">
        <v>0</v>
      </c>
      <c r="R22" s="5" t="s">
        <v>32</v>
      </c>
      <c r="S22" s="5" t="s">
        <v>33</v>
      </c>
      <c r="T22" s="5">
        <v>39.9</v>
      </c>
      <c r="U22" s="5">
        <v>3950.1</v>
      </c>
      <c r="V22" s="5" t="s">
        <v>34</v>
      </c>
      <c r="W22" s="5">
        <v>2</v>
      </c>
      <c r="X22" s="5">
        <v>6915605625952</v>
      </c>
      <c r="Y22" s="7">
        <v>46003</v>
      </c>
      <c r="Z22" s="7">
        <v>45993</v>
      </c>
      <c r="AB22" s="6">
        <v>46003</v>
      </c>
      <c r="AC22" s="7">
        <v>46000.52847222222</v>
      </c>
      <c r="AD22" s="5">
        <v>18101007537</v>
      </c>
      <c r="AE22" s="8">
        <v>45993</v>
      </c>
      <c r="AF22" s="5" t="s">
        <v>32</v>
      </c>
      <c r="AG22" s="5" t="s">
        <v>35</v>
      </c>
      <c r="AH22" s="5" t="s">
        <v>32</v>
      </c>
      <c r="AI22" s="6">
        <v>45993</v>
      </c>
      <c r="AJ22" s="6">
        <v>46003</v>
      </c>
    </row>
    <row r="23" spans="1:37" x14ac:dyDescent="0.55000000000000004">
      <c r="A23">
        <v>1810</v>
      </c>
      <c r="B23">
        <v>1007837</v>
      </c>
      <c r="C23">
        <v>511.37</v>
      </c>
      <c r="D23" s="4">
        <v>10.23</v>
      </c>
      <c r="E23">
        <v>501.14</v>
      </c>
      <c r="F23">
        <v>5.1100000000000003</v>
      </c>
      <c r="G23">
        <v>496.03</v>
      </c>
      <c r="H23" s="14">
        <f>C23-D23-F23</f>
        <v>496.03</v>
      </c>
      <c r="I23" s="14" t="b">
        <f>G23=H23</f>
        <v>1</v>
      </c>
      <c r="J23" s="2">
        <v>46003</v>
      </c>
      <c r="K23" s="5">
        <v>1007837</v>
      </c>
      <c r="L23" s="5">
        <v>1810</v>
      </c>
      <c r="M23" s="5">
        <v>10.23</v>
      </c>
      <c r="N23" s="5">
        <v>511.37</v>
      </c>
      <c r="O23" s="7">
        <v>45993</v>
      </c>
      <c r="P23" s="5">
        <v>501.14</v>
      </c>
      <c r="Q23" s="5">
        <v>10.23</v>
      </c>
      <c r="R23" s="5" t="s">
        <v>32</v>
      </c>
      <c r="S23" s="5" t="s">
        <v>33</v>
      </c>
      <c r="T23" s="5">
        <v>5.1100000000000003</v>
      </c>
      <c r="U23" s="5">
        <v>496.03</v>
      </c>
      <c r="V23" s="5" t="s">
        <v>34</v>
      </c>
      <c r="W23" s="5">
        <v>2</v>
      </c>
      <c r="X23" s="5">
        <v>6915605625952</v>
      </c>
      <c r="Y23" s="7">
        <v>46003</v>
      </c>
      <c r="Z23" s="7">
        <v>45993</v>
      </c>
      <c r="AB23" s="6">
        <v>46003</v>
      </c>
      <c r="AC23" s="7">
        <v>46000.52847222222</v>
      </c>
      <c r="AD23" s="5">
        <v>18101007837</v>
      </c>
      <c r="AE23" s="8">
        <v>45993</v>
      </c>
      <c r="AF23" s="5" t="s">
        <v>50</v>
      </c>
      <c r="AG23" s="5" t="s">
        <v>37</v>
      </c>
      <c r="AH23" s="5">
        <v>206160</v>
      </c>
      <c r="AI23" s="6">
        <v>45993</v>
      </c>
      <c r="AJ23" s="6">
        <v>46003</v>
      </c>
      <c r="AK23" s="1">
        <f t="shared" ref="AK23" si="6">0.02*C23</f>
        <v>10.227400000000001</v>
      </c>
    </row>
    <row r="24" spans="1:37" hidden="1" x14ac:dyDescent="0.55000000000000004">
      <c r="A24">
        <v>1810</v>
      </c>
      <c r="B24">
        <v>1007843</v>
      </c>
      <c r="C24" s="1">
        <v>2733.03</v>
      </c>
      <c r="E24" s="1">
        <v>2733.03</v>
      </c>
      <c r="F24">
        <v>27.33</v>
      </c>
      <c r="G24" s="1">
        <v>2705.7</v>
      </c>
      <c r="H24" s="1"/>
      <c r="I24" s="1"/>
      <c r="J24" s="2">
        <v>46003</v>
      </c>
      <c r="K24" s="5">
        <v>1007843</v>
      </c>
      <c r="L24" s="5">
        <v>1810</v>
      </c>
      <c r="M24" s="5">
        <v>0</v>
      </c>
      <c r="N24" s="5">
        <v>2733.03</v>
      </c>
      <c r="O24" s="7">
        <v>45993</v>
      </c>
      <c r="P24" s="5">
        <v>2733.03</v>
      </c>
      <c r="Q24" s="5">
        <v>0</v>
      </c>
      <c r="R24" s="5" t="s">
        <v>32</v>
      </c>
      <c r="S24" s="5" t="s">
        <v>33</v>
      </c>
      <c r="T24" s="5">
        <v>27.33</v>
      </c>
      <c r="U24" s="5">
        <v>2705.7</v>
      </c>
      <c r="V24" s="5" t="s">
        <v>34</v>
      </c>
      <c r="W24" s="5">
        <v>2</v>
      </c>
      <c r="X24" s="5">
        <v>6915605625952</v>
      </c>
      <c r="Y24" s="7">
        <v>46003</v>
      </c>
      <c r="Z24" s="7">
        <v>45993</v>
      </c>
      <c r="AB24" s="6">
        <v>46003</v>
      </c>
      <c r="AC24" s="7">
        <v>46000.52847222222</v>
      </c>
      <c r="AD24" s="5">
        <v>18101007843</v>
      </c>
      <c r="AE24" s="8">
        <v>45993</v>
      </c>
      <c r="AF24" s="5" t="s">
        <v>51</v>
      </c>
      <c r="AG24" s="5" t="s">
        <v>38</v>
      </c>
      <c r="AH24" s="5">
        <v>206125</v>
      </c>
      <c r="AI24" s="6">
        <v>45993</v>
      </c>
      <c r="AJ24" s="6">
        <v>46003</v>
      </c>
    </row>
    <row r="25" spans="1:37" hidden="1" x14ac:dyDescent="0.55000000000000004">
      <c r="A25">
        <v>1810</v>
      </c>
      <c r="B25">
        <v>1007849</v>
      </c>
      <c r="C25" s="1">
        <v>3478.42</v>
      </c>
      <c r="E25" s="1">
        <v>3478.42</v>
      </c>
      <c r="F25">
        <v>34.78</v>
      </c>
      <c r="G25" s="1">
        <v>3443.64</v>
      </c>
      <c r="H25" s="1"/>
      <c r="I25" s="1"/>
      <c r="J25" s="2">
        <v>46003</v>
      </c>
      <c r="K25" s="5">
        <v>1007849</v>
      </c>
      <c r="L25" s="5">
        <v>1810</v>
      </c>
      <c r="M25" s="5">
        <v>0</v>
      </c>
      <c r="N25" s="5">
        <v>3478.42</v>
      </c>
      <c r="O25" s="7">
        <v>45993</v>
      </c>
      <c r="P25" s="5">
        <v>3478.42</v>
      </c>
      <c r="Q25" s="5">
        <v>0</v>
      </c>
      <c r="R25" s="5" t="s">
        <v>32</v>
      </c>
      <c r="S25" s="5" t="s">
        <v>33</v>
      </c>
      <c r="T25" s="5">
        <v>34.78</v>
      </c>
      <c r="U25" s="5">
        <v>3443.64</v>
      </c>
      <c r="V25" s="5" t="s">
        <v>34</v>
      </c>
      <c r="W25" s="5">
        <v>2</v>
      </c>
      <c r="X25" s="5">
        <v>6915605625952</v>
      </c>
      <c r="Y25" s="7">
        <v>46003</v>
      </c>
      <c r="Z25" s="7">
        <v>45993</v>
      </c>
      <c r="AB25" s="6">
        <v>46003</v>
      </c>
      <c r="AC25" s="7">
        <v>46000.52847222222</v>
      </c>
      <c r="AD25" s="5">
        <v>18101007849</v>
      </c>
      <c r="AE25" s="8">
        <v>45993</v>
      </c>
      <c r="AF25" s="5" t="s">
        <v>52</v>
      </c>
      <c r="AG25" s="5" t="s">
        <v>38</v>
      </c>
      <c r="AH25" s="5">
        <v>206126</v>
      </c>
      <c r="AI25" s="6">
        <v>45993</v>
      </c>
      <c r="AJ25" s="6">
        <v>46003</v>
      </c>
    </row>
    <row r="26" spans="1:37" hidden="1" x14ac:dyDescent="0.55000000000000004">
      <c r="A26">
        <v>1810</v>
      </c>
      <c r="B26">
        <v>1007931</v>
      </c>
      <c r="C26" s="1">
        <v>1343.96</v>
      </c>
      <c r="E26" s="1">
        <v>1343.96</v>
      </c>
      <c r="F26">
        <v>13.44</v>
      </c>
      <c r="G26" s="1">
        <v>1330.52</v>
      </c>
      <c r="H26" s="1"/>
      <c r="I26" s="1"/>
      <c r="J26" s="2">
        <v>46003</v>
      </c>
      <c r="K26" s="5">
        <v>1007931</v>
      </c>
      <c r="L26" s="5">
        <v>1810</v>
      </c>
      <c r="M26" s="5">
        <v>0</v>
      </c>
      <c r="N26" s="5">
        <v>1343.96</v>
      </c>
      <c r="O26" s="7">
        <v>45994</v>
      </c>
      <c r="P26" s="5">
        <v>1343.96</v>
      </c>
      <c r="Q26" s="5">
        <v>0</v>
      </c>
      <c r="R26" s="5" t="s">
        <v>32</v>
      </c>
      <c r="S26" s="5" t="s">
        <v>33</v>
      </c>
      <c r="T26" s="5">
        <v>13.44</v>
      </c>
      <c r="U26" s="5">
        <v>1330.52</v>
      </c>
      <c r="V26" s="5" t="s">
        <v>34</v>
      </c>
      <c r="W26" s="5">
        <v>2</v>
      </c>
      <c r="X26" s="5">
        <v>6915605625952</v>
      </c>
      <c r="Y26" s="7">
        <v>46003</v>
      </c>
      <c r="Z26" s="7">
        <v>45994</v>
      </c>
      <c r="AB26" s="6">
        <v>46003</v>
      </c>
      <c r="AC26" s="7">
        <v>46000.52847222222</v>
      </c>
      <c r="AD26" s="5">
        <v>18101007931</v>
      </c>
      <c r="AE26" s="8">
        <v>45994</v>
      </c>
      <c r="AF26" s="5" t="s">
        <v>53</v>
      </c>
      <c r="AG26" s="5" t="s">
        <v>38</v>
      </c>
      <c r="AH26" s="5">
        <v>206463</v>
      </c>
      <c r="AI26" s="6">
        <v>45994</v>
      </c>
      <c r="AJ26" s="6">
        <v>46003</v>
      </c>
    </row>
    <row r="27" spans="1:37" hidden="1" x14ac:dyDescent="0.55000000000000004">
      <c r="A27">
        <v>1810</v>
      </c>
      <c r="B27">
        <v>1007935</v>
      </c>
      <c r="C27" s="1">
        <v>2923.84</v>
      </c>
      <c r="E27" s="1">
        <v>2923.84</v>
      </c>
      <c r="F27">
        <v>29.24</v>
      </c>
      <c r="G27" s="1">
        <v>2894.6</v>
      </c>
      <c r="H27" s="1"/>
      <c r="I27" s="1"/>
      <c r="J27" s="2">
        <v>46003</v>
      </c>
      <c r="K27" s="5">
        <v>1007935</v>
      </c>
      <c r="L27" s="5">
        <v>1810</v>
      </c>
      <c r="M27" s="5">
        <v>0</v>
      </c>
      <c r="N27" s="5">
        <v>2923.84</v>
      </c>
      <c r="O27" s="7">
        <v>45994</v>
      </c>
      <c r="P27" s="5">
        <v>2923.84</v>
      </c>
      <c r="Q27" s="5">
        <v>0</v>
      </c>
      <c r="R27" s="5" t="s">
        <v>32</v>
      </c>
      <c r="S27" s="5" t="s">
        <v>33</v>
      </c>
      <c r="T27" s="5">
        <v>29.24</v>
      </c>
      <c r="U27" s="5">
        <v>2894.6</v>
      </c>
      <c r="V27" s="5" t="s">
        <v>34</v>
      </c>
      <c r="W27" s="5">
        <v>2</v>
      </c>
      <c r="X27" s="5">
        <v>6915605625952</v>
      </c>
      <c r="Y27" s="7">
        <v>46003</v>
      </c>
      <c r="Z27" s="7">
        <v>45994</v>
      </c>
      <c r="AB27" s="6">
        <v>46003</v>
      </c>
      <c r="AC27" s="7">
        <v>46000.52847222222</v>
      </c>
      <c r="AD27" s="5">
        <v>18101007935</v>
      </c>
      <c r="AE27" s="8">
        <v>45994</v>
      </c>
      <c r="AF27" s="5" t="s">
        <v>47</v>
      </c>
      <c r="AG27" s="5" t="s">
        <v>38</v>
      </c>
      <c r="AH27" s="5">
        <v>206464</v>
      </c>
      <c r="AI27" s="6">
        <v>45994</v>
      </c>
      <c r="AJ27" s="6">
        <v>46003</v>
      </c>
    </row>
    <row r="28" spans="1:37" hidden="1" x14ac:dyDescent="0.55000000000000004">
      <c r="A28">
        <v>1810</v>
      </c>
      <c r="B28">
        <v>1007938</v>
      </c>
      <c r="C28" s="1">
        <v>1656.38</v>
      </c>
      <c r="E28" s="1">
        <v>1656.38</v>
      </c>
      <c r="F28">
        <v>16.559999999999999</v>
      </c>
      <c r="G28" s="1">
        <v>1639.82</v>
      </c>
      <c r="H28" s="1"/>
      <c r="I28" s="1"/>
      <c r="J28" s="2">
        <v>46003</v>
      </c>
      <c r="K28" s="5">
        <v>1007938</v>
      </c>
      <c r="L28" s="5">
        <v>1810</v>
      </c>
      <c r="M28" s="5">
        <v>0</v>
      </c>
      <c r="N28" s="5">
        <v>1656.38</v>
      </c>
      <c r="O28" s="7">
        <v>45994</v>
      </c>
      <c r="P28" s="5">
        <v>1656.38</v>
      </c>
      <c r="Q28" s="5">
        <v>0</v>
      </c>
      <c r="R28" s="5" t="s">
        <v>32</v>
      </c>
      <c r="S28" s="5" t="s">
        <v>33</v>
      </c>
      <c r="T28" s="5">
        <v>16.559999999999999</v>
      </c>
      <c r="U28" s="5">
        <v>1639.82</v>
      </c>
      <c r="V28" s="5" t="s">
        <v>34</v>
      </c>
      <c r="W28" s="5">
        <v>2</v>
      </c>
      <c r="X28" s="5">
        <v>6915605625952</v>
      </c>
      <c r="Y28" s="7">
        <v>46003</v>
      </c>
      <c r="Z28" s="7">
        <v>45994</v>
      </c>
      <c r="AB28" s="6">
        <v>46003</v>
      </c>
      <c r="AC28" s="7">
        <v>46000.52847222222</v>
      </c>
      <c r="AD28" s="5">
        <v>18101007938</v>
      </c>
      <c r="AE28" s="8">
        <v>45994</v>
      </c>
      <c r="AF28" s="5" t="s">
        <v>51</v>
      </c>
      <c r="AG28" s="5" t="s">
        <v>38</v>
      </c>
      <c r="AH28" s="5">
        <v>206462</v>
      </c>
      <c r="AI28" s="6">
        <v>45994</v>
      </c>
      <c r="AJ28" s="6">
        <v>46003</v>
      </c>
    </row>
    <row r="29" spans="1:37" hidden="1" x14ac:dyDescent="0.55000000000000004">
      <c r="A29">
        <v>1810</v>
      </c>
      <c r="B29">
        <v>1007955</v>
      </c>
      <c r="C29" s="1">
        <v>2733.05</v>
      </c>
      <c r="E29" s="1">
        <v>2733.05</v>
      </c>
      <c r="F29">
        <v>27.33</v>
      </c>
      <c r="G29" s="1">
        <v>2705.72</v>
      </c>
      <c r="H29" s="1"/>
      <c r="I29" s="1"/>
      <c r="J29" s="2">
        <v>46003</v>
      </c>
      <c r="K29" s="5">
        <v>1007955</v>
      </c>
      <c r="L29" s="5">
        <v>1810</v>
      </c>
      <c r="M29" s="5">
        <v>0</v>
      </c>
      <c r="N29" s="5">
        <v>2733.05</v>
      </c>
      <c r="O29" s="7">
        <v>45994</v>
      </c>
      <c r="P29" s="5">
        <v>2733.05</v>
      </c>
      <c r="Q29" s="5">
        <v>0</v>
      </c>
      <c r="R29" s="5" t="s">
        <v>32</v>
      </c>
      <c r="S29" s="5" t="s">
        <v>33</v>
      </c>
      <c r="T29" s="5">
        <v>27.33</v>
      </c>
      <c r="U29" s="5">
        <v>2705.72</v>
      </c>
      <c r="V29" s="5" t="s">
        <v>34</v>
      </c>
      <c r="W29" s="5">
        <v>2</v>
      </c>
      <c r="X29" s="5">
        <v>6915605625952</v>
      </c>
      <c r="Y29" s="7">
        <v>46003</v>
      </c>
      <c r="Z29" s="7">
        <v>45994</v>
      </c>
      <c r="AB29" s="6">
        <v>46003</v>
      </c>
      <c r="AC29" s="7">
        <v>46000.52847222222</v>
      </c>
      <c r="AD29" s="5">
        <v>18101007955</v>
      </c>
      <c r="AE29" s="8">
        <v>45994</v>
      </c>
      <c r="AF29" s="5" t="s">
        <v>54</v>
      </c>
      <c r="AG29" s="5" t="s">
        <v>38</v>
      </c>
      <c r="AH29" s="5">
        <v>206241</v>
      </c>
      <c r="AI29" s="6">
        <v>45994</v>
      </c>
      <c r="AJ29" s="6">
        <v>46003</v>
      </c>
    </row>
    <row r="30" spans="1:37" x14ac:dyDescent="0.55000000000000004">
      <c r="A30">
        <v>1810</v>
      </c>
      <c r="B30">
        <v>1007962</v>
      </c>
      <c r="C30" s="1">
        <v>1810.47</v>
      </c>
      <c r="D30" s="4">
        <v>36.21</v>
      </c>
      <c r="E30" s="1">
        <v>1774.26</v>
      </c>
      <c r="F30">
        <v>18.100000000000001</v>
      </c>
      <c r="G30" s="1">
        <v>1756.16</v>
      </c>
      <c r="H30" s="14">
        <f t="shared" ref="H30:H31" si="7">C30-D30-F30</f>
        <v>1756.16</v>
      </c>
      <c r="I30" s="14" t="b">
        <f t="shared" ref="I30:I31" si="8">G30=H30</f>
        <v>1</v>
      </c>
      <c r="J30" s="2">
        <v>46003</v>
      </c>
      <c r="K30" s="5">
        <v>1007962</v>
      </c>
      <c r="L30" s="5">
        <v>1810</v>
      </c>
      <c r="M30" s="5">
        <v>36.21</v>
      </c>
      <c r="N30" s="5">
        <v>1810.47</v>
      </c>
      <c r="O30" s="7">
        <v>45994</v>
      </c>
      <c r="P30" s="5">
        <v>1774.26</v>
      </c>
      <c r="Q30" s="5">
        <v>36.21</v>
      </c>
      <c r="R30" s="5" t="s">
        <v>32</v>
      </c>
      <c r="S30" s="5" t="s">
        <v>33</v>
      </c>
      <c r="T30" s="5">
        <v>18.100000000000001</v>
      </c>
      <c r="U30" s="5">
        <v>1756.16</v>
      </c>
      <c r="V30" s="5" t="s">
        <v>34</v>
      </c>
      <c r="W30" s="5">
        <v>2</v>
      </c>
      <c r="X30" s="5">
        <v>6915605625952</v>
      </c>
      <c r="Y30" s="7">
        <v>46003</v>
      </c>
      <c r="Z30" s="7">
        <v>45994</v>
      </c>
      <c r="AB30" s="6">
        <v>46003</v>
      </c>
      <c r="AC30" s="7">
        <v>46000.52847222222</v>
      </c>
      <c r="AD30" s="5">
        <v>18101007962</v>
      </c>
      <c r="AE30" s="8">
        <v>45994</v>
      </c>
      <c r="AF30" s="5" t="s">
        <v>50</v>
      </c>
      <c r="AG30" s="5" t="s">
        <v>37</v>
      </c>
      <c r="AH30" s="5">
        <v>206240</v>
      </c>
      <c r="AI30" s="6">
        <v>45994</v>
      </c>
      <c r="AJ30" s="6">
        <v>46003</v>
      </c>
      <c r="AK30" s="1">
        <f t="shared" ref="AK30:AK31" si="9">0.02*C30</f>
        <v>36.209400000000002</v>
      </c>
    </row>
    <row r="31" spans="1:37" x14ac:dyDescent="0.55000000000000004">
      <c r="A31">
        <v>1810</v>
      </c>
      <c r="B31">
        <v>1008058</v>
      </c>
      <c r="C31">
        <v>142.65</v>
      </c>
      <c r="D31" s="4">
        <v>2.85</v>
      </c>
      <c r="E31">
        <v>139.80000000000001</v>
      </c>
      <c r="F31">
        <v>1.43</v>
      </c>
      <c r="G31">
        <v>138.37</v>
      </c>
      <c r="H31" s="14">
        <f t="shared" si="7"/>
        <v>138.37</v>
      </c>
      <c r="I31" s="14" t="b">
        <f t="shared" si="8"/>
        <v>1</v>
      </c>
      <c r="J31" s="2">
        <v>46003</v>
      </c>
      <c r="K31" s="5">
        <v>1008058</v>
      </c>
      <c r="L31" s="5">
        <v>1810</v>
      </c>
      <c r="M31" s="5">
        <v>2.85</v>
      </c>
      <c r="N31" s="5">
        <v>142.65</v>
      </c>
      <c r="O31" s="7">
        <v>45994</v>
      </c>
      <c r="P31" s="5">
        <v>139.80000000000001</v>
      </c>
      <c r="Q31" s="5">
        <v>2.85</v>
      </c>
      <c r="R31" s="5" t="s">
        <v>32</v>
      </c>
      <c r="S31" s="5" t="s">
        <v>33</v>
      </c>
      <c r="T31" s="5">
        <v>1.43</v>
      </c>
      <c r="U31" s="5">
        <v>138.37</v>
      </c>
      <c r="V31" s="5" t="s">
        <v>34</v>
      </c>
      <c r="W31" s="5">
        <v>2</v>
      </c>
      <c r="X31" s="5">
        <v>6915605625952</v>
      </c>
      <c r="Y31" s="7">
        <v>46003</v>
      </c>
      <c r="Z31" s="7">
        <v>45994</v>
      </c>
      <c r="AB31" s="6">
        <v>46003</v>
      </c>
      <c r="AC31" s="7">
        <v>46000.52847222222</v>
      </c>
      <c r="AD31" s="5">
        <v>18101008058</v>
      </c>
      <c r="AE31" s="8">
        <v>45994</v>
      </c>
      <c r="AF31" s="5" t="s">
        <v>55</v>
      </c>
      <c r="AG31" s="5" t="s">
        <v>37</v>
      </c>
      <c r="AH31" s="5">
        <v>206504</v>
      </c>
      <c r="AI31" s="6">
        <v>45994</v>
      </c>
      <c r="AJ31" s="6">
        <v>46003</v>
      </c>
      <c r="AK31" s="1">
        <f t="shared" si="9"/>
        <v>2.8530000000000002</v>
      </c>
    </row>
    <row r="32" spans="1:37" hidden="1" x14ac:dyDescent="0.55000000000000004">
      <c r="A32">
        <v>1810</v>
      </c>
      <c r="B32">
        <v>1008213</v>
      </c>
      <c r="C32">
        <v>767.88</v>
      </c>
      <c r="E32">
        <v>767.88</v>
      </c>
      <c r="F32">
        <v>7.68</v>
      </c>
      <c r="G32">
        <v>760.2</v>
      </c>
      <c r="H32"/>
      <c r="I32"/>
      <c r="J32" s="2">
        <v>46003</v>
      </c>
      <c r="K32" s="5">
        <v>1008213</v>
      </c>
      <c r="L32" s="5">
        <v>1810</v>
      </c>
      <c r="M32" s="5">
        <v>0</v>
      </c>
      <c r="N32" s="5">
        <v>767.88</v>
      </c>
      <c r="O32" s="7">
        <v>45995</v>
      </c>
      <c r="P32" s="5">
        <v>767.88</v>
      </c>
      <c r="Q32" s="5">
        <v>0</v>
      </c>
      <c r="R32" s="5" t="s">
        <v>32</v>
      </c>
      <c r="S32" s="5" t="s">
        <v>33</v>
      </c>
      <c r="T32" s="5">
        <v>7.68</v>
      </c>
      <c r="U32" s="5">
        <v>760.2</v>
      </c>
      <c r="V32" s="5" t="s">
        <v>34</v>
      </c>
      <c r="W32" s="5">
        <v>2</v>
      </c>
      <c r="X32" s="5">
        <v>6915605625952</v>
      </c>
      <c r="Y32" s="7">
        <v>46003</v>
      </c>
      <c r="Z32" s="7">
        <v>45995</v>
      </c>
      <c r="AB32" s="6">
        <v>46003</v>
      </c>
      <c r="AC32" s="7">
        <v>46000.52847222222</v>
      </c>
      <c r="AD32" s="5">
        <v>18101008213</v>
      </c>
      <c r="AE32" s="8">
        <v>45995</v>
      </c>
      <c r="AF32" s="5" t="s">
        <v>56</v>
      </c>
      <c r="AG32" s="5" t="s">
        <v>38</v>
      </c>
      <c r="AH32" s="5">
        <v>206708</v>
      </c>
      <c r="AI32" s="6">
        <v>45995</v>
      </c>
      <c r="AJ32" s="6">
        <v>46003</v>
      </c>
    </row>
    <row r="33" spans="1:39" hidden="1" x14ac:dyDescent="0.55000000000000004">
      <c r="A33">
        <v>1810</v>
      </c>
      <c r="B33">
        <v>1008256</v>
      </c>
      <c r="C33">
        <v>432.9</v>
      </c>
      <c r="E33">
        <v>432.9</v>
      </c>
      <c r="F33">
        <v>4.33</v>
      </c>
      <c r="G33">
        <v>428.57</v>
      </c>
      <c r="H33"/>
      <c r="I33"/>
      <c r="J33" s="2">
        <v>46003</v>
      </c>
      <c r="K33" s="5">
        <v>1008256</v>
      </c>
      <c r="L33" s="5">
        <v>1810</v>
      </c>
      <c r="M33" s="5">
        <v>0</v>
      </c>
      <c r="N33" s="5">
        <v>432.9</v>
      </c>
      <c r="O33" s="7">
        <v>45995</v>
      </c>
      <c r="P33" s="5">
        <v>432.9</v>
      </c>
      <c r="Q33" s="5">
        <v>0</v>
      </c>
      <c r="R33" s="5" t="s">
        <v>32</v>
      </c>
      <c r="S33" s="5" t="s">
        <v>33</v>
      </c>
      <c r="T33" s="5">
        <v>4.33</v>
      </c>
      <c r="U33" s="5">
        <v>428.57</v>
      </c>
      <c r="V33" s="5" t="s">
        <v>34</v>
      </c>
      <c r="W33" s="5">
        <v>2</v>
      </c>
      <c r="X33" s="5">
        <v>6915605625952</v>
      </c>
      <c r="Y33" s="7">
        <v>46003</v>
      </c>
      <c r="Z33" s="7">
        <v>45995</v>
      </c>
      <c r="AB33" s="6">
        <v>46003</v>
      </c>
      <c r="AC33" s="7">
        <v>46000.52847222222</v>
      </c>
      <c r="AD33" s="5">
        <v>18101008256</v>
      </c>
      <c r="AE33" s="8">
        <v>45995</v>
      </c>
      <c r="AF33" s="5" t="s">
        <v>55</v>
      </c>
      <c r="AG33" s="5" t="s">
        <v>38</v>
      </c>
      <c r="AH33" s="5">
        <v>206515</v>
      </c>
      <c r="AI33" s="6">
        <v>45995</v>
      </c>
      <c r="AJ33" s="6">
        <v>46003</v>
      </c>
    </row>
    <row r="34" spans="1:39" x14ac:dyDescent="0.55000000000000004">
      <c r="A34">
        <v>1810</v>
      </c>
      <c r="B34">
        <v>1008260</v>
      </c>
      <c r="C34">
        <v>64.5</v>
      </c>
      <c r="D34" s="4">
        <v>1.29</v>
      </c>
      <c r="E34">
        <v>63.21</v>
      </c>
      <c r="F34">
        <v>0.65</v>
      </c>
      <c r="G34">
        <v>62.56</v>
      </c>
      <c r="H34" s="14">
        <f>C34-D34-F34</f>
        <v>62.56</v>
      </c>
      <c r="I34" s="14" t="b">
        <f>G34=H34</f>
        <v>1</v>
      </c>
      <c r="J34" s="2">
        <v>46003</v>
      </c>
      <c r="K34" s="5">
        <v>1008260</v>
      </c>
      <c r="L34" s="5">
        <v>1810</v>
      </c>
      <c r="M34" s="5">
        <v>1.29</v>
      </c>
      <c r="N34" s="5">
        <v>64.5</v>
      </c>
      <c r="O34" s="7">
        <v>45995</v>
      </c>
      <c r="P34" s="5">
        <v>63.21</v>
      </c>
      <c r="Q34" s="5">
        <v>1.29</v>
      </c>
      <c r="R34" s="5" t="s">
        <v>32</v>
      </c>
      <c r="S34" s="5" t="s">
        <v>33</v>
      </c>
      <c r="T34" s="5">
        <v>0.65</v>
      </c>
      <c r="U34" s="5">
        <v>62.56</v>
      </c>
      <c r="V34" s="5" t="s">
        <v>34</v>
      </c>
      <c r="W34" s="5">
        <v>2</v>
      </c>
      <c r="X34" s="5">
        <v>6915605625952</v>
      </c>
      <c r="Y34" s="7">
        <v>46003</v>
      </c>
      <c r="Z34" s="7">
        <v>45995</v>
      </c>
      <c r="AB34" s="6">
        <v>46003</v>
      </c>
      <c r="AC34" s="7">
        <v>46000.52847222222</v>
      </c>
      <c r="AD34" s="5">
        <v>18101008260</v>
      </c>
      <c r="AE34" s="8">
        <v>45995</v>
      </c>
      <c r="AF34" s="5" t="s">
        <v>55</v>
      </c>
      <c r="AG34" s="5" t="s">
        <v>37</v>
      </c>
      <c r="AH34" s="5">
        <v>206514</v>
      </c>
      <c r="AI34" s="6">
        <v>45995</v>
      </c>
      <c r="AJ34" s="6">
        <v>46003</v>
      </c>
      <c r="AK34" s="1">
        <f t="shared" ref="AK34" si="10">0.02*C34</f>
        <v>1.29</v>
      </c>
    </row>
    <row r="35" spans="1:39" hidden="1" x14ac:dyDescent="0.55000000000000004">
      <c r="A35">
        <v>1810</v>
      </c>
      <c r="B35">
        <v>1008261</v>
      </c>
      <c r="C35" s="1">
        <v>1547.07</v>
      </c>
      <c r="E35" s="1">
        <v>1547.07</v>
      </c>
      <c r="F35">
        <v>15.47</v>
      </c>
      <c r="G35" s="1">
        <v>1531.6</v>
      </c>
      <c r="H35" s="1"/>
      <c r="I35" s="1"/>
      <c r="J35" s="2">
        <v>46003</v>
      </c>
      <c r="K35" s="5">
        <v>1008261</v>
      </c>
      <c r="L35" s="5">
        <v>1810</v>
      </c>
      <c r="M35" s="5">
        <v>0</v>
      </c>
      <c r="N35" s="5">
        <v>1547.07</v>
      </c>
      <c r="O35" s="7">
        <v>45995</v>
      </c>
      <c r="P35" s="5">
        <v>1547.07</v>
      </c>
      <c r="Q35" s="5">
        <v>0</v>
      </c>
      <c r="R35" s="5" t="s">
        <v>32</v>
      </c>
      <c r="S35" s="5" t="s">
        <v>33</v>
      </c>
      <c r="T35" s="5">
        <v>15.47</v>
      </c>
      <c r="U35" s="5">
        <v>1531.6</v>
      </c>
      <c r="V35" s="5" t="s">
        <v>34</v>
      </c>
      <c r="W35" s="5">
        <v>2</v>
      </c>
      <c r="X35" s="5">
        <v>6915605625952</v>
      </c>
      <c r="Y35" s="7">
        <v>46003</v>
      </c>
      <c r="Z35" s="7">
        <v>45995</v>
      </c>
      <c r="AB35" s="6">
        <v>46003</v>
      </c>
      <c r="AC35" s="7">
        <v>46000.52847222222</v>
      </c>
      <c r="AD35" s="5">
        <v>18101008261</v>
      </c>
      <c r="AE35" s="8">
        <v>45995</v>
      </c>
      <c r="AF35" s="5" t="s">
        <v>57</v>
      </c>
      <c r="AG35" s="5" t="s">
        <v>38</v>
      </c>
      <c r="AH35" s="5">
        <v>206516</v>
      </c>
      <c r="AI35" s="6">
        <v>45995</v>
      </c>
      <c r="AJ35" s="6">
        <v>46003</v>
      </c>
    </row>
    <row r="36" spans="1:39" hidden="1" x14ac:dyDescent="0.55000000000000004">
      <c r="A36">
        <v>1810</v>
      </c>
      <c r="B36">
        <v>1008271</v>
      </c>
      <c r="C36">
        <v>11.58</v>
      </c>
      <c r="E36">
        <v>11.58</v>
      </c>
      <c r="F36">
        <v>0.12</v>
      </c>
      <c r="G36">
        <v>11.46</v>
      </c>
      <c r="H36"/>
      <c r="I36"/>
      <c r="J36" s="2">
        <v>46003</v>
      </c>
      <c r="K36" s="5">
        <v>1008271</v>
      </c>
      <c r="L36" s="5">
        <v>1810</v>
      </c>
      <c r="M36" s="5">
        <v>0</v>
      </c>
      <c r="N36" s="5">
        <v>11.58</v>
      </c>
      <c r="O36" s="7">
        <v>45995</v>
      </c>
      <c r="P36" s="5">
        <v>11.58</v>
      </c>
      <c r="Q36" s="5">
        <v>0</v>
      </c>
      <c r="R36" s="5" t="s">
        <v>32</v>
      </c>
      <c r="S36" s="5" t="s">
        <v>33</v>
      </c>
      <c r="T36" s="5">
        <v>0.12</v>
      </c>
      <c r="U36" s="5">
        <v>11.46</v>
      </c>
      <c r="V36" s="5" t="s">
        <v>34</v>
      </c>
      <c r="W36" s="5">
        <v>2</v>
      </c>
      <c r="X36" s="5">
        <v>6915605625952</v>
      </c>
      <c r="Y36" s="7">
        <v>46003</v>
      </c>
      <c r="Z36" s="7">
        <v>45995</v>
      </c>
      <c r="AB36" s="6">
        <v>46003</v>
      </c>
      <c r="AC36" s="7">
        <v>46000.52847222222</v>
      </c>
      <c r="AD36" s="5">
        <v>18101008271</v>
      </c>
      <c r="AE36" s="8">
        <v>45995</v>
      </c>
      <c r="AF36" s="5" t="s">
        <v>58</v>
      </c>
      <c r="AG36" s="5" t="s">
        <v>38</v>
      </c>
      <c r="AH36" s="5">
        <v>206559</v>
      </c>
      <c r="AI36" s="6">
        <v>45995</v>
      </c>
      <c r="AJ36" s="6">
        <v>46003</v>
      </c>
    </row>
    <row r="37" spans="1:39" hidden="1" x14ac:dyDescent="0.55000000000000004">
      <c r="A37">
        <v>1810</v>
      </c>
      <c r="B37">
        <v>1008335</v>
      </c>
      <c r="C37">
        <v>665</v>
      </c>
      <c r="E37">
        <v>665</v>
      </c>
      <c r="F37">
        <v>6.65</v>
      </c>
      <c r="G37">
        <v>658.35</v>
      </c>
      <c r="H37"/>
      <c r="I37"/>
      <c r="J37" s="2">
        <v>46003</v>
      </c>
      <c r="K37" s="5">
        <v>1008335</v>
      </c>
      <c r="L37" s="5">
        <v>1810</v>
      </c>
      <c r="M37" s="5">
        <v>0</v>
      </c>
      <c r="N37" s="5">
        <v>665</v>
      </c>
      <c r="O37" s="7">
        <v>45996</v>
      </c>
      <c r="P37" s="5">
        <v>665</v>
      </c>
      <c r="Q37" s="5">
        <v>0</v>
      </c>
      <c r="R37" s="5">
        <v>1042443</v>
      </c>
      <c r="S37" s="5" t="s">
        <v>59</v>
      </c>
      <c r="T37" s="5">
        <v>6.65</v>
      </c>
      <c r="U37" s="5">
        <v>658.35</v>
      </c>
      <c r="V37" s="5" t="s">
        <v>34</v>
      </c>
      <c r="W37" s="5">
        <v>2</v>
      </c>
      <c r="X37" s="5">
        <v>6915605625952</v>
      </c>
      <c r="Y37" s="7">
        <v>46003</v>
      </c>
      <c r="Z37" s="7">
        <v>45996</v>
      </c>
      <c r="AB37" s="6">
        <v>46003</v>
      </c>
      <c r="AC37" s="7">
        <v>46000.52847222222</v>
      </c>
      <c r="AD37" s="5">
        <v>18101008335</v>
      </c>
      <c r="AE37" s="8">
        <v>45996</v>
      </c>
      <c r="AF37" s="5">
        <v>215311</v>
      </c>
      <c r="AG37" s="5" t="s">
        <v>38</v>
      </c>
      <c r="AH37" s="5">
        <v>1042443</v>
      </c>
      <c r="AI37" s="6">
        <v>45996</v>
      </c>
      <c r="AJ37" s="6">
        <v>46003</v>
      </c>
    </row>
    <row r="38" spans="1:39" hidden="1" x14ac:dyDescent="0.55000000000000004">
      <c r="A38">
        <v>1810</v>
      </c>
      <c r="B38">
        <v>1008336</v>
      </c>
      <c r="C38">
        <v>622.25</v>
      </c>
      <c r="E38">
        <v>622.25</v>
      </c>
      <c r="F38">
        <v>6.22</v>
      </c>
      <c r="G38">
        <v>616.03</v>
      </c>
      <c r="H38"/>
      <c r="I38"/>
      <c r="J38" s="2">
        <v>46003</v>
      </c>
      <c r="K38" s="5">
        <v>1008336</v>
      </c>
      <c r="L38" s="5">
        <v>1810</v>
      </c>
      <c r="M38" s="5">
        <v>0</v>
      </c>
      <c r="N38" s="5">
        <v>622.25</v>
      </c>
      <c r="O38" s="7">
        <v>45996</v>
      </c>
      <c r="P38" s="5">
        <v>622.25</v>
      </c>
      <c r="Q38" s="5">
        <v>0</v>
      </c>
      <c r="R38" s="5">
        <v>1042442</v>
      </c>
      <c r="S38" s="5" t="s">
        <v>59</v>
      </c>
      <c r="T38" s="5">
        <v>6.22</v>
      </c>
      <c r="U38" s="5">
        <v>616.03</v>
      </c>
      <c r="V38" s="5" t="s">
        <v>34</v>
      </c>
      <c r="W38" s="5">
        <v>2</v>
      </c>
      <c r="X38" s="5">
        <v>6915605625952</v>
      </c>
      <c r="Y38" s="7">
        <v>46003</v>
      </c>
      <c r="Z38" s="7">
        <v>45996</v>
      </c>
      <c r="AB38" s="6">
        <v>46003</v>
      </c>
      <c r="AC38" s="7">
        <v>46000.52847222222</v>
      </c>
      <c r="AD38" s="5">
        <v>18101008336</v>
      </c>
      <c r="AE38" s="8">
        <v>45996</v>
      </c>
      <c r="AF38" s="5">
        <v>215309</v>
      </c>
      <c r="AG38" s="5" t="s">
        <v>38</v>
      </c>
      <c r="AH38" s="5">
        <v>1042442</v>
      </c>
      <c r="AI38" s="6">
        <v>45996</v>
      </c>
      <c r="AJ38" s="6">
        <v>46003</v>
      </c>
    </row>
    <row r="39" spans="1:39" hidden="1" x14ac:dyDescent="0.55000000000000004">
      <c r="A39">
        <v>1810</v>
      </c>
      <c r="B39">
        <v>1008341</v>
      </c>
      <c r="C39">
        <v>625</v>
      </c>
      <c r="E39">
        <v>625</v>
      </c>
      <c r="F39">
        <v>6.25</v>
      </c>
      <c r="G39">
        <v>618.75</v>
      </c>
      <c r="H39"/>
      <c r="I39"/>
      <c r="J39" s="2">
        <v>46003</v>
      </c>
      <c r="K39" s="5">
        <v>1008341</v>
      </c>
      <c r="L39" s="5">
        <v>1810</v>
      </c>
      <c r="M39" s="5">
        <v>0</v>
      </c>
      <c r="N39" s="5">
        <v>625</v>
      </c>
      <c r="O39" s="7">
        <v>45996</v>
      </c>
      <c r="P39" s="5">
        <v>625</v>
      </c>
      <c r="Q39" s="5">
        <v>0</v>
      </c>
      <c r="R39" s="5">
        <v>210</v>
      </c>
      <c r="S39" s="5" t="s">
        <v>33</v>
      </c>
      <c r="T39" s="5">
        <v>6.25</v>
      </c>
      <c r="U39" s="5">
        <v>618.75</v>
      </c>
      <c r="V39" s="5" t="s">
        <v>34</v>
      </c>
      <c r="W39" s="5">
        <v>2</v>
      </c>
      <c r="X39" s="5">
        <v>6915605625952</v>
      </c>
      <c r="Y39" s="7">
        <v>46003</v>
      </c>
      <c r="Z39" s="7">
        <v>45996</v>
      </c>
      <c r="AB39" s="6">
        <v>46003</v>
      </c>
      <c r="AC39" s="7">
        <v>46000.52847222222</v>
      </c>
      <c r="AD39" s="5">
        <v>18101008341</v>
      </c>
      <c r="AE39" s="8">
        <v>45996</v>
      </c>
      <c r="AF39" s="5" t="s">
        <v>32</v>
      </c>
      <c r="AG39" s="5" t="s">
        <v>38</v>
      </c>
      <c r="AH39" s="5">
        <v>210</v>
      </c>
      <c r="AI39" s="6">
        <v>45996</v>
      </c>
      <c r="AJ39" s="6">
        <v>46003</v>
      </c>
    </row>
    <row r="40" spans="1:39" hidden="1" x14ac:dyDescent="0.55000000000000004">
      <c r="A40">
        <v>1810</v>
      </c>
      <c r="B40">
        <v>1008406</v>
      </c>
      <c r="C40" s="1">
        <v>1896.28</v>
      </c>
      <c r="E40" s="1">
        <v>1896.28</v>
      </c>
      <c r="F40">
        <v>18.96</v>
      </c>
      <c r="G40" s="1">
        <v>1877.32</v>
      </c>
      <c r="H40" s="1"/>
      <c r="I40" s="1"/>
      <c r="J40" s="2">
        <v>46003</v>
      </c>
      <c r="K40" s="5">
        <v>1008406</v>
      </c>
      <c r="L40" s="5">
        <v>1810</v>
      </c>
      <c r="M40" s="5">
        <v>0</v>
      </c>
      <c r="N40" s="5">
        <v>1896.28</v>
      </c>
      <c r="O40" s="7">
        <v>45996</v>
      </c>
      <c r="P40" s="5">
        <v>1896.28</v>
      </c>
      <c r="Q40" s="5">
        <v>0</v>
      </c>
      <c r="R40" s="5" t="s">
        <v>32</v>
      </c>
      <c r="S40" s="5" t="s">
        <v>33</v>
      </c>
      <c r="T40" s="5">
        <v>18.96</v>
      </c>
      <c r="U40" s="5">
        <v>1877.32</v>
      </c>
      <c r="V40" s="5" t="s">
        <v>34</v>
      </c>
      <c r="W40" s="5">
        <v>2</v>
      </c>
      <c r="X40" s="5">
        <v>6915605625952</v>
      </c>
      <c r="Y40" s="7">
        <v>46003</v>
      </c>
      <c r="Z40" s="7">
        <v>45996</v>
      </c>
      <c r="AB40" s="6">
        <v>46003</v>
      </c>
      <c r="AC40" s="7">
        <v>46000.52847222222</v>
      </c>
      <c r="AD40" s="5">
        <v>18101008406</v>
      </c>
      <c r="AE40" s="8">
        <v>45996</v>
      </c>
      <c r="AF40" s="5" t="s">
        <v>60</v>
      </c>
      <c r="AG40" s="5" t="s">
        <v>38</v>
      </c>
      <c r="AH40" s="5">
        <v>206790</v>
      </c>
      <c r="AI40" s="6">
        <v>45996</v>
      </c>
      <c r="AJ40" s="6">
        <v>46003</v>
      </c>
    </row>
    <row r="41" spans="1:39" x14ac:dyDescent="0.55000000000000004">
      <c r="A41">
        <v>1810</v>
      </c>
      <c r="B41">
        <v>1008473</v>
      </c>
      <c r="C41">
        <v>398</v>
      </c>
      <c r="D41" s="4">
        <v>7.96</v>
      </c>
      <c r="E41">
        <v>390.04</v>
      </c>
      <c r="F41">
        <v>3.98</v>
      </c>
      <c r="G41">
        <v>386.06</v>
      </c>
      <c r="H41" s="14">
        <f t="shared" ref="H41:H42" si="11">C41-D41-F41</f>
        <v>386.06</v>
      </c>
      <c r="I41" s="14" t="b">
        <f t="shared" ref="I41:I42" si="12">G41=H41</f>
        <v>1</v>
      </c>
      <c r="J41" s="2">
        <v>46003</v>
      </c>
      <c r="K41" s="5">
        <v>1008473</v>
      </c>
      <c r="L41" s="5">
        <v>1810</v>
      </c>
      <c r="M41" s="5">
        <v>7.96</v>
      </c>
      <c r="N41" s="5">
        <v>398</v>
      </c>
      <c r="O41" s="7">
        <v>45996</v>
      </c>
      <c r="P41" s="5">
        <v>390.04</v>
      </c>
      <c r="Q41" s="5">
        <v>7.96</v>
      </c>
      <c r="R41" s="5" t="s">
        <v>32</v>
      </c>
      <c r="S41" s="5" t="s">
        <v>33</v>
      </c>
      <c r="T41" s="5">
        <v>3.98</v>
      </c>
      <c r="U41" s="5">
        <v>386.06</v>
      </c>
      <c r="V41" s="5" t="s">
        <v>34</v>
      </c>
      <c r="W41" s="5">
        <v>2</v>
      </c>
      <c r="X41" s="5">
        <v>6915605625952</v>
      </c>
      <c r="Y41" s="7">
        <v>46003</v>
      </c>
      <c r="Z41" s="7">
        <v>45996</v>
      </c>
      <c r="AB41" s="6">
        <v>46003</v>
      </c>
      <c r="AC41" s="7">
        <v>46000.52847222222</v>
      </c>
      <c r="AD41" s="5">
        <v>18101008473</v>
      </c>
      <c r="AE41" s="8">
        <v>45996</v>
      </c>
      <c r="AF41" s="5" t="s">
        <v>50</v>
      </c>
      <c r="AG41" s="5" t="s">
        <v>37</v>
      </c>
      <c r="AH41" s="5">
        <v>206622</v>
      </c>
      <c r="AI41" s="6">
        <v>45996</v>
      </c>
      <c r="AJ41" s="6">
        <v>46003</v>
      </c>
      <c r="AK41" s="1">
        <f t="shared" ref="AK41:AK42" si="13">0.02*C41</f>
        <v>7.96</v>
      </c>
    </row>
    <row r="42" spans="1:39" x14ac:dyDescent="0.55000000000000004">
      <c r="A42">
        <v>1810</v>
      </c>
      <c r="B42">
        <v>1008478</v>
      </c>
      <c r="C42">
        <v>550.58000000000004</v>
      </c>
      <c r="D42" s="4">
        <v>11.01</v>
      </c>
      <c r="E42">
        <v>539.57000000000005</v>
      </c>
      <c r="F42">
        <v>5.51</v>
      </c>
      <c r="G42">
        <v>534.05999999999995</v>
      </c>
      <c r="H42" s="14">
        <f t="shared" si="11"/>
        <v>534.06000000000006</v>
      </c>
      <c r="I42" s="14" t="b">
        <f t="shared" si="12"/>
        <v>1</v>
      </c>
      <c r="J42" s="2">
        <v>46003</v>
      </c>
      <c r="K42" s="5">
        <v>1008478</v>
      </c>
      <c r="L42" s="5">
        <v>1810</v>
      </c>
      <c r="M42" s="5">
        <v>11.01</v>
      </c>
      <c r="N42" s="5">
        <v>550.58000000000004</v>
      </c>
      <c r="O42" s="7">
        <v>45996</v>
      </c>
      <c r="P42" s="5">
        <v>539.57000000000005</v>
      </c>
      <c r="Q42" s="5">
        <v>11.01</v>
      </c>
      <c r="R42" s="5" t="s">
        <v>32</v>
      </c>
      <c r="S42" s="5" t="s">
        <v>33</v>
      </c>
      <c r="T42" s="5">
        <v>5.51</v>
      </c>
      <c r="U42" s="5">
        <v>534.05999999999995</v>
      </c>
      <c r="V42" s="5" t="s">
        <v>34</v>
      </c>
      <c r="W42" s="5">
        <v>2</v>
      </c>
      <c r="X42" s="5">
        <v>6915605625952</v>
      </c>
      <c r="Y42" s="7">
        <v>46003</v>
      </c>
      <c r="Z42" s="7">
        <v>45996</v>
      </c>
      <c r="AB42" s="6">
        <v>46003</v>
      </c>
      <c r="AC42" s="7">
        <v>46000.52847222222</v>
      </c>
      <c r="AD42" s="5">
        <v>18101008478</v>
      </c>
      <c r="AE42" s="8">
        <v>45996</v>
      </c>
      <c r="AF42" s="5" t="s">
        <v>61</v>
      </c>
      <c r="AG42" s="5" t="s">
        <v>37</v>
      </c>
      <c r="AH42" s="5">
        <v>206621</v>
      </c>
      <c r="AI42" s="6">
        <v>45996</v>
      </c>
      <c r="AJ42" s="6">
        <v>46003</v>
      </c>
      <c r="AK42" s="1">
        <f t="shared" si="13"/>
        <v>11.011600000000001</v>
      </c>
    </row>
    <row r="43" spans="1:39" hidden="1" x14ac:dyDescent="0.55000000000000004">
      <c r="A43">
        <v>1810</v>
      </c>
      <c r="B43">
        <v>1008490</v>
      </c>
      <c r="C43">
        <v>948.14</v>
      </c>
      <c r="E43">
        <v>948.14</v>
      </c>
      <c r="F43">
        <v>9.48</v>
      </c>
      <c r="G43">
        <v>938.66</v>
      </c>
      <c r="H43"/>
      <c r="I43"/>
      <c r="J43" s="2">
        <v>46003</v>
      </c>
      <c r="K43" s="5">
        <v>1008490</v>
      </c>
      <c r="L43" s="5">
        <v>1810</v>
      </c>
      <c r="M43" s="5">
        <v>0</v>
      </c>
      <c r="N43" s="5">
        <v>948.14</v>
      </c>
      <c r="O43" s="7">
        <v>45996</v>
      </c>
      <c r="P43" s="5">
        <v>948.14</v>
      </c>
      <c r="Q43" s="5">
        <v>0</v>
      </c>
      <c r="R43" s="5" t="s">
        <v>32</v>
      </c>
      <c r="S43" s="5" t="s">
        <v>33</v>
      </c>
      <c r="T43" s="5">
        <v>9.48</v>
      </c>
      <c r="U43" s="5">
        <v>938.66</v>
      </c>
      <c r="V43" s="5" t="s">
        <v>34</v>
      </c>
      <c r="W43" s="5">
        <v>2</v>
      </c>
      <c r="X43" s="5">
        <v>6915605625952</v>
      </c>
      <c r="Y43" s="7">
        <v>46003</v>
      </c>
      <c r="Z43" s="7">
        <v>45996</v>
      </c>
      <c r="AB43" s="6">
        <v>46003</v>
      </c>
      <c r="AC43" s="7">
        <v>46000.52847222222</v>
      </c>
      <c r="AD43" s="5">
        <v>18101008490</v>
      </c>
      <c r="AE43" s="8">
        <v>45996</v>
      </c>
      <c r="AF43" s="5" t="s">
        <v>62</v>
      </c>
      <c r="AG43" s="5" t="s">
        <v>38</v>
      </c>
      <c r="AH43" s="5">
        <v>206833</v>
      </c>
      <c r="AI43" s="6">
        <v>45996</v>
      </c>
      <c r="AJ43" s="6">
        <v>46003</v>
      </c>
    </row>
    <row r="44" spans="1:39" hidden="1" x14ac:dyDescent="0.55000000000000004">
      <c r="A44">
        <v>1810</v>
      </c>
      <c r="B44">
        <v>1008573</v>
      </c>
      <c r="C44">
        <v>-750</v>
      </c>
      <c r="E44">
        <v>-750</v>
      </c>
      <c r="G44">
        <v>-750</v>
      </c>
      <c r="H44"/>
      <c r="I44"/>
      <c r="J44" s="2">
        <v>46003</v>
      </c>
      <c r="K44" s="5">
        <v>1008573</v>
      </c>
      <c r="L44" s="5">
        <v>1810</v>
      </c>
      <c r="M44" s="5">
        <v>0</v>
      </c>
      <c r="N44" s="5">
        <v>-750</v>
      </c>
      <c r="O44" s="7">
        <v>45999</v>
      </c>
      <c r="P44" s="5">
        <v>-750</v>
      </c>
      <c r="Q44" s="5">
        <v>0</v>
      </c>
      <c r="R44" s="5">
        <v>1008573</v>
      </c>
      <c r="S44" s="5" t="s">
        <v>33</v>
      </c>
      <c r="T44" s="5">
        <v>0</v>
      </c>
      <c r="U44" s="5">
        <v>-750</v>
      </c>
      <c r="V44" s="5" t="s">
        <v>34</v>
      </c>
      <c r="W44" s="5">
        <v>2</v>
      </c>
      <c r="X44" s="5">
        <v>6915605625952</v>
      </c>
      <c r="Y44" s="7">
        <v>46003</v>
      </c>
      <c r="Z44" s="7">
        <v>45999</v>
      </c>
      <c r="AB44" s="6">
        <v>46003</v>
      </c>
      <c r="AC44" s="7">
        <v>46000.52847222222</v>
      </c>
      <c r="AD44" s="5">
        <v>18101008573</v>
      </c>
      <c r="AE44" s="8">
        <v>45999</v>
      </c>
      <c r="AF44" s="5" t="s">
        <v>41</v>
      </c>
      <c r="AG44" s="5" t="s">
        <v>38</v>
      </c>
      <c r="AH44" s="5" t="s">
        <v>40</v>
      </c>
      <c r="AI44" s="6">
        <v>45999</v>
      </c>
      <c r="AJ44" s="6">
        <v>46003</v>
      </c>
    </row>
    <row r="45" spans="1:39" x14ac:dyDescent="0.55000000000000004">
      <c r="A45">
        <v>2035</v>
      </c>
      <c r="B45">
        <v>1007764</v>
      </c>
      <c r="C45">
        <v>127.63</v>
      </c>
      <c r="E45">
        <v>127.63</v>
      </c>
      <c r="F45">
        <v>1.28</v>
      </c>
      <c r="G45">
        <v>127.63</v>
      </c>
      <c r="H45" s="14">
        <f t="shared" ref="H45:H48" si="14">C45-D45-F45</f>
        <v>126.35</v>
      </c>
      <c r="I45" s="14" t="b">
        <f t="shared" ref="I45:I48" si="15">G45=H45</f>
        <v>0</v>
      </c>
      <c r="J45" s="2">
        <v>46003</v>
      </c>
      <c r="K45" s="5">
        <v>1007764</v>
      </c>
      <c r="L45" s="5">
        <v>2035</v>
      </c>
      <c r="M45" s="5">
        <v>0</v>
      </c>
      <c r="N45" s="5">
        <v>127.63</v>
      </c>
      <c r="O45" s="7">
        <v>45993</v>
      </c>
      <c r="P45" s="5">
        <v>127.63</v>
      </c>
      <c r="Q45" s="5">
        <v>0</v>
      </c>
      <c r="R45" s="5" t="s">
        <v>32</v>
      </c>
      <c r="S45" s="5" t="s">
        <v>33</v>
      </c>
      <c r="T45" s="5">
        <v>1.28</v>
      </c>
      <c r="U45" s="5">
        <v>127.63</v>
      </c>
      <c r="V45" s="5" t="s">
        <v>34</v>
      </c>
      <c r="W45" s="5">
        <v>10</v>
      </c>
      <c r="X45" s="5" t="s">
        <v>63</v>
      </c>
      <c r="Y45" s="7">
        <v>46003</v>
      </c>
      <c r="Z45" s="7">
        <v>45993</v>
      </c>
      <c r="AA45" s="5" t="s">
        <v>32</v>
      </c>
      <c r="AB45" s="6">
        <v>46003</v>
      </c>
      <c r="AC45" s="7">
        <v>46003.572916666664</v>
      </c>
      <c r="AD45" s="5">
        <v>20351007764</v>
      </c>
      <c r="AE45" s="8">
        <v>45993</v>
      </c>
      <c r="AF45" s="5">
        <v>415497</v>
      </c>
      <c r="AG45" s="5" t="s">
        <v>37</v>
      </c>
      <c r="AH45" s="5">
        <v>206210</v>
      </c>
      <c r="AI45" s="6">
        <v>45993</v>
      </c>
      <c r="AJ45" s="6">
        <v>46003</v>
      </c>
      <c r="AK45" s="1">
        <f t="shared" ref="AK45:AK48" si="16">0.02*C45</f>
        <v>2.5526</v>
      </c>
      <c r="AL45" t="s">
        <v>673</v>
      </c>
      <c r="AM45">
        <f t="shared" ref="AM45:AM48" si="17">F45</f>
        <v>1.28</v>
      </c>
    </row>
    <row r="46" spans="1:39" x14ac:dyDescent="0.55000000000000004">
      <c r="A46">
        <v>2035</v>
      </c>
      <c r="B46">
        <v>1007853</v>
      </c>
      <c r="C46">
        <v>774</v>
      </c>
      <c r="E46">
        <v>774</v>
      </c>
      <c r="F46">
        <v>7.74</v>
      </c>
      <c r="G46">
        <v>774</v>
      </c>
      <c r="H46" s="14">
        <f t="shared" si="14"/>
        <v>766.26</v>
      </c>
      <c r="I46" s="14" t="b">
        <f t="shared" si="15"/>
        <v>0</v>
      </c>
      <c r="J46" s="2">
        <v>46003</v>
      </c>
      <c r="K46" s="5">
        <v>1007853</v>
      </c>
      <c r="L46" s="5">
        <v>2035</v>
      </c>
      <c r="M46" s="5">
        <v>0</v>
      </c>
      <c r="N46" s="5">
        <v>774</v>
      </c>
      <c r="O46" s="7">
        <v>45993</v>
      </c>
      <c r="P46" s="5">
        <v>774</v>
      </c>
      <c r="Q46" s="5">
        <v>0</v>
      </c>
      <c r="R46" s="5" t="s">
        <v>32</v>
      </c>
      <c r="S46" s="5" t="s">
        <v>33</v>
      </c>
      <c r="T46" s="5">
        <v>7.74</v>
      </c>
      <c r="U46" s="5">
        <v>774</v>
      </c>
      <c r="V46" s="5" t="s">
        <v>34</v>
      </c>
      <c r="W46" s="5">
        <v>10</v>
      </c>
      <c r="X46" s="5" t="s">
        <v>63</v>
      </c>
      <c r="Y46" s="7">
        <v>46003</v>
      </c>
      <c r="Z46" s="7">
        <v>45993</v>
      </c>
      <c r="AA46" s="5" t="s">
        <v>32</v>
      </c>
      <c r="AB46" s="6">
        <v>46003</v>
      </c>
      <c r="AC46" s="7">
        <v>46003.572916666664</v>
      </c>
      <c r="AD46" s="5">
        <v>20351007853</v>
      </c>
      <c r="AE46" s="8">
        <v>45993</v>
      </c>
      <c r="AF46" s="5">
        <v>415497</v>
      </c>
      <c r="AG46" s="5" t="s">
        <v>37</v>
      </c>
      <c r="AH46" s="5">
        <v>206149</v>
      </c>
      <c r="AI46" s="6">
        <v>45993</v>
      </c>
      <c r="AJ46" s="6">
        <v>46003</v>
      </c>
      <c r="AK46" s="1">
        <f t="shared" si="16"/>
        <v>15.48</v>
      </c>
      <c r="AL46" t="s">
        <v>673</v>
      </c>
      <c r="AM46">
        <f t="shared" si="17"/>
        <v>7.74</v>
      </c>
    </row>
    <row r="47" spans="1:39" x14ac:dyDescent="0.55000000000000004">
      <c r="A47">
        <v>2035</v>
      </c>
      <c r="B47">
        <v>1008027</v>
      </c>
      <c r="C47">
        <v>219</v>
      </c>
      <c r="E47">
        <v>219</v>
      </c>
      <c r="F47">
        <v>2.19</v>
      </c>
      <c r="G47">
        <v>219</v>
      </c>
      <c r="H47" s="14">
        <f t="shared" si="14"/>
        <v>216.81</v>
      </c>
      <c r="I47" s="14" t="b">
        <f t="shared" si="15"/>
        <v>0</v>
      </c>
      <c r="J47" s="2">
        <v>46003</v>
      </c>
      <c r="K47" s="5">
        <v>1008027</v>
      </c>
      <c r="L47" s="5">
        <v>2035</v>
      </c>
      <c r="M47" s="5">
        <v>0</v>
      </c>
      <c r="N47" s="5">
        <v>219</v>
      </c>
      <c r="O47" s="7">
        <v>45994</v>
      </c>
      <c r="P47" s="5">
        <v>219</v>
      </c>
      <c r="Q47" s="5">
        <v>0</v>
      </c>
      <c r="R47" s="5" t="s">
        <v>32</v>
      </c>
      <c r="S47" s="5" t="s">
        <v>33</v>
      </c>
      <c r="T47" s="5">
        <v>2.19</v>
      </c>
      <c r="U47" s="5">
        <v>219</v>
      </c>
      <c r="V47" s="5" t="s">
        <v>34</v>
      </c>
      <c r="W47" s="5">
        <v>10</v>
      </c>
      <c r="X47" s="5" t="s">
        <v>63</v>
      </c>
      <c r="Y47" s="7">
        <v>46003</v>
      </c>
      <c r="Z47" s="7">
        <v>45994</v>
      </c>
      <c r="AA47" s="5" t="s">
        <v>32</v>
      </c>
      <c r="AB47" s="6">
        <v>46003</v>
      </c>
      <c r="AC47" s="7">
        <v>46003.572916666664</v>
      </c>
      <c r="AD47" s="5">
        <v>20351008027</v>
      </c>
      <c r="AE47" s="8">
        <v>45994</v>
      </c>
      <c r="AF47" s="5">
        <v>415245</v>
      </c>
      <c r="AG47" s="5" t="s">
        <v>37</v>
      </c>
      <c r="AH47" s="5">
        <v>206064</v>
      </c>
      <c r="AI47" s="6">
        <v>45994</v>
      </c>
      <c r="AJ47" s="6">
        <v>46003</v>
      </c>
      <c r="AK47" s="1">
        <f t="shared" si="16"/>
        <v>4.38</v>
      </c>
      <c r="AL47" t="s">
        <v>673</v>
      </c>
      <c r="AM47">
        <f t="shared" si="17"/>
        <v>2.19</v>
      </c>
    </row>
    <row r="48" spans="1:39" x14ac:dyDescent="0.55000000000000004">
      <c r="A48">
        <v>2035</v>
      </c>
      <c r="B48">
        <v>1008029</v>
      </c>
      <c r="C48">
        <v>170</v>
      </c>
      <c r="E48">
        <v>170</v>
      </c>
      <c r="F48">
        <v>1.7</v>
      </c>
      <c r="G48">
        <v>170</v>
      </c>
      <c r="H48" s="14">
        <f t="shared" si="14"/>
        <v>168.3</v>
      </c>
      <c r="I48" s="14" t="b">
        <f t="shared" si="15"/>
        <v>0</v>
      </c>
      <c r="J48" s="2">
        <v>46003</v>
      </c>
      <c r="K48" s="5">
        <v>1008029</v>
      </c>
      <c r="L48" s="5">
        <v>2035</v>
      </c>
      <c r="M48" s="5">
        <v>0</v>
      </c>
      <c r="N48" s="5">
        <v>170</v>
      </c>
      <c r="O48" s="7">
        <v>45994</v>
      </c>
      <c r="P48" s="5">
        <v>170</v>
      </c>
      <c r="Q48" s="5">
        <v>0</v>
      </c>
      <c r="R48" s="5" t="s">
        <v>32</v>
      </c>
      <c r="S48" s="5" t="s">
        <v>33</v>
      </c>
      <c r="T48" s="5">
        <v>1.7</v>
      </c>
      <c r="U48" s="5">
        <v>170</v>
      </c>
      <c r="V48" s="5" t="s">
        <v>34</v>
      </c>
      <c r="W48" s="5">
        <v>10</v>
      </c>
      <c r="X48" s="5" t="s">
        <v>63</v>
      </c>
      <c r="Y48" s="7">
        <v>46003</v>
      </c>
      <c r="Z48" s="7">
        <v>45994</v>
      </c>
      <c r="AA48" s="5" t="s">
        <v>32</v>
      </c>
      <c r="AB48" s="6">
        <v>46003</v>
      </c>
      <c r="AC48" s="7">
        <v>46003.572916666664</v>
      </c>
      <c r="AD48" s="5">
        <v>20351008029</v>
      </c>
      <c r="AE48" s="8">
        <v>45994</v>
      </c>
      <c r="AF48" s="5">
        <v>413860</v>
      </c>
      <c r="AG48" s="5" t="s">
        <v>37</v>
      </c>
      <c r="AH48" s="5">
        <v>206063</v>
      </c>
      <c r="AI48" s="6">
        <v>45994</v>
      </c>
      <c r="AJ48" s="6">
        <v>46003</v>
      </c>
      <c r="AK48" s="1">
        <f t="shared" si="16"/>
        <v>3.4</v>
      </c>
      <c r="AL48" t="s">
        <v>673</v>
      </c>
      <c r="AM48">
        <f t="shared" si="17"/>
        <v>1.7</v>
      </c>
    </row>
    <row r="49" spans="1:38" hidden="1" x14ac:dyDescent="0.55000000000000004">
      <c r="A49">
        <v>2451</v>
      </c>
      <c r="B49">
        <v>1000120</v>
      </c>
      <c r="C49">
        <v>561.20000000000005</v>
      </c>
      <c r="E49">
        <v>561.20000000000005</v>
      </c>
      <c r="G49">
        <v>561.20000000000005</v>
      </c>
      <c r="H49"/>
      <c r="I49"/>
      <c r="J49" s="2">
        <v>46003</v>
      </c>
      <c r="K49" s="5">
        <v>1000120</v>
      </c>
      <c r="L49" s="5">
        <v>2451</v>
      </c>
      <c r="M49" s="5">
        <v>0</v>
      </c>
      <c r="N49" s="5">
        <v>561.20000000000005</v>
      </c>
      <c r="O49" s="7">
        <v>45954</v>
      </c>
      <c r="P49" s="5">
        <v>561.20000000000005</v>
      </c>
      <c r="Q49" s="5">
        <v>0</v>
      </c>
      <c r="R49" s="5" t="s">
        <v>32</v>
      </c>
      <c r="S49" s="5" t="s">
        <v>33</v>
      </c>
      <c r="T49" s="5">
        <v>0</v>
      </c>
      <c r="U49" s="5">
        <v>561.20000000000005</v>
      </c>
      <c r="V49" s="5" t="s">
        <v>34</v>
      </c>
      <c r="W49" s="5">
        <v>2</v>
      </c>
      <c r="X49" s="5">
        <v>1019752048416</v>
      </c>
      <c r="Y49" s="7">
        <v>46003</v>
      </c>
      <c r="Z49" s="7">
        <v>45954</v>
      </c>
      <c r="AB49" s="6">
        <v>46003</v>
      </c>
      <c r="AC49" s="7">
        <v>46003.472222222219</v>
      </c>
      <c r="AD49" s="5">
        <v>24511000120</v>
      </c>
      <c r="AE49" s="8">
        <v>45954</v>
      </c>
      <c r="AF49" s="5" t="s">
        <v>64</v>
      </c>
      <c r="AG49" s="5" t="s">
        <v>65</v>
      </c>
      <c r="AH49" s="5">
        <v>199950</v>
      </c>
      <c r="AI49" s="6">
        <v>45954</v>
      </c>
      <c r="AJ49" s="6">
        <v>46003</v>
      </c>
    </row>
    <row r="50" spans="1:38" x14ac:dyDescent="0.55000000000000004">
      <c r="A50">
        <v>2451</v>
      </c>
      <c r="B50">
        <v>1001434</v>
      </c>
      <c r="C50">
        <v>796.32</v>
      </c>
      <c r="E50">
        <v>796.32</v>
      </c>
      <c r="G50">
        <v>796.32</v>
      </c>
      <c r="H50" s="14">
        <f t="shared" ref="H50:H52" si="18">C50-D50-F50</f>
        <v>796.32</v>
      </c>
      <c r="I50" s="14" t="b">
        <f t="shared" ref="I50:I52" si="19">G50=H50</f>
        <v>1</v>
      </c>
      <c r="J50" s="2">
        <v>46003</v>
      </c>
      <c r="K50" s="5">
        <v>1001434</v>
      </c>
      <c r="L50" s="5">
        <v>2451</v>
      </c>
      <c r="M50" s="5">
        <v>0</v>
      </c>
      <c r="N50" s="5">
        <v>796.32</v>
      </c>
      <c r="O50" s="7">
        <v>45959</v>
      </c>
      <c r="P50" s="5">
        <v>796.32</v>
      </c>
      <c r="Q50" s="5">
        <v>0</v>
      </c>
      <c r="R50" s="5" t="s">
        <v>66</v>
      </c>
      <c r="S50" s="5" t="s">
        <v>67</v>
      </c>
      <c r="T50" s="5">
        <v>0</v>
      </c>
      <c r="U50" s="5">
        <v>796.32</v>
      </c>
      <c r="V50" s="5" t="s">
        <v>34</v>
      </c>
      <c r="W50" s="5">
        <v>2</v>
      </c>
      <c r="X50" s="5">
        <v>1019752048416</v>
      </c>
      <c r="Y50" s="7">
        <v>46003</v>
      </c>
      <c r="Z50" s="7">
        <v>45960</v>
      </c>
      <c r="AB50" s="6">
        <v>46003</v>
      </c>
      <c r="AC50" s="7">
        <v>46003.472222222219</v>
      </c>
      <c r="AD50" s="5">
        <v>24511001434</v>
      </c>
      <c r="AE50" s="8">
        <v>45959</v>
      </c>
      <c r="AF50" s="5" t="s">
        <v>68</v>
      </c>
      <c r="AG50" s="5" t="s">
        <v>69</v>
      </c>
      <c r="AH50" s="5" t="s">
        <v>66</v>
      </c>
      <c r="AI50" s="6">
        <v>45960</v>
      </c>
      <c r="AJ50" s="6">
        <v>46003</v>
      </c>
      <c r="AK50" s="1">
        <f>C50*0.01</f>
        <v>7.9632000000000005</v>
      </c>
      <c r="AL50" t="s">
        <v>673</v>
      </c>
    </row>
    <row r="51" spans="1:38" x14ac:dyDescent="0.55000000000000004">
      <c r="A51">
        <v>2451</v>
      </c>
      <c r="B51">
        <v>1002114</v>
      </c>
      <c r="C51">
        <v>232.01</v>
      </c>
      <c r="E51">
        <v>232.01</v>
      </c>
      <c r="G51">
        <v>232.01</v>
      </c>
      <c r="H51" s="14">
        <f t="shared" si="18"/>
        <v>232.01</v>
      </c>
      <c r="I51" s="14" t="b">
        <f t="shared" si="19"/>
        <v>1</v>
      </c>
      <c r="J51" s="2">
        <v>46003</v>
      </c>
      <c r="K51" s="5">
        <v>1002114</v>
      </c>
      <c r="L51" s="5">
        <v>2451</v>
      </c>
      <c r="M51" s="5">
        <v>0</v>
      </c>
      <c r="N51" s="5">
        <v>232.01</v>
      </c>
      <c r="O51" s="7">
        <v>45964</v>
      </c>
      <c r="P51" s="5">
        <v>232.01</v>
      </c>
      <c r="Q51" s="5">
        <v>0</v>
      </c>
      <c r="R51" s="5" t="s">
        <v>32</v>
      </c>
      <c r="S51" s="5" t="s">
        <v>33</v>
      </c>
      <c r="T51" s="5">
        <v>0</v>
      </c>
      <c r="U51" s="5">
        <v>232.01</v>
      </c>
      <c r="V51" s="5" t="s">
        <v>34</v>
      </c>
      <c r="W51" s="5">
        <v>2</v>
      </c>
      <c r="X51" s="5">
        <v>1019752048416</v>
      </c>
      <c r="Y51" s="7">
        <v>46003</v>
      </c>
      <c r="Z51" s="7">
        <v>45964</v>
      </c>
      <c r="AB51" s="6">
        <v>46003</v>
      </c>
      <c r="AC51" s="7">
        <v>46003.472222222219</v>
      </c>
      <c r="AD51" s="5">
        <v>24511002114</v>
      </c>
      <c r="AE51" s="8">
        <v>45964</v>
      </c>
      <c r="AF51" s="5" t="s">
        <v>70</v>
      </c>
      <c r="AG51" s="5" t="s">
        <v>71</v>
      </c>
      <c r="AH51" s="5">
        <v>201363</v>
      </c>
      <c r="AI51" s="6">
        <v>45964</v>
      </c>
      <c r="AJ51" s="6">
        <v>46003</v>
      </c>
      <c r="AK51" s="1">
        <f t="shared" ref="AK51:AK52" si="20">0.02*C51</f>
        <v>4.6402000000000001</v>
      </c>
      <c r="AL51" t="s">
        <v>673</v>
      </c>
    </row>
    <row r="52" spans="1:38" x14ac:dyDescent="0.55000000000000004">
      <c r="A52">
        <v>2451</v>
      </c>
      <c r="B52">
        <v>1002194</v>
      </c>
      <c r="C52">
        <v>56.92</v>
      </c>
      <c r="E52">
        <v>56.92</v>
      </c>
      <c r="G52">
        <v>56.92</v>
      </c>
      <c r="H52" s="14">
        <f t="shared" si="18"/>
        <v>56.92</v>
      </c>
      <c r="I52" s="14" t="b">
        <f t="shared" si="19"/>
        <v>1</v>
      </c>
      <c r="J52" s="2">
        <v>46003</v>
      </c>
      <c r="K52" s="5">
        <v>1002194</v>
      </c>
      <c r="L52" s="5">
        <v>2451</v>
      </c>
      <c r="M52" s="5">
        <v>0</v>
      </c>
      <c r="N52" s="5">
        <v>56.92</v>
      </c>
      <c r="O52" s="7">
        <v>45965</v>
      </c>
      <c r="P52" s="5">
        <v>56.92</v>
      </c>
      <c r="Q52" s="5">
        <v>0</v>
      </c>
      <c r="R52" s="5" t="s">
        <v>32</v>
      </c>
      <c r="S52" s="5" t="s">
        <v>33</v>
      </c>
      <c r="T52" s="5">
        <v>0</v>
      </c>
      <c r="U52" s="5">
        <v>56.92</v>
      </c>
      <c r="V52" s="5" t="s">
        <v>34</v>
      </c>
      <c r="W52" s="5">
        <v>2</v>
      </c>
      <c r="X52" s="5">
        <v>1019752048416</v>
      </c>
      <c r="Y52" s="7">
        <v>46003</v>
      </c>
      <c r="Z52" s="7">
        <v>45965</v>
      </c>
      <c r="AB52" s="6">
        <v>46003</v>
      </c>
      <c r="AC52" s="7">
        <v>46003.472222222219</v>
      </c>
      <c r="AD52" s="5">
        <v>24511002194</v>
      </c>
      <c r="AE52" s="8">
        <v>45965</v>
      </c>
      <c r="AF52" s="5" t="s">
        <v>70</v>
      </c>
      <c r="AG52" s="5" t="s">
        <v>71</v>
      </c>
      <c r="AH52" s="5">
        <v>201413</v>
      </c>
      <c r="AI52" s="6">
        <v>45965</v>
      </c>
      <c r="AJ52" s="6">
        <v>46003</v>
      </c>
      <c r="AK52" s="1">
        <f t="shared" si="20"/>
        <v>1.1384000000000001</v>
      </c>
      <c r="AL52" t="s">
        <v>673</v>
      </c>
    </row>
    <row r="53" spans="1:38" hidden="1" x14ac:dyDescent="0.55000000000000004">
      <c r="A53">
        <v>2451</v>
      </c>
      <c r="B53">
        <v>1002198</v>
      </c>
      <c r="C53">
        <v>151.91999999999999</v>
      </c>
      <c r="E53">
        <v>151.91999999999999</v>
      </c>
      <c r="G53">
        <v>151.91999999999999</v>
      </c>
      <c r="H53"/>
      <c r="I53"/>
      <c r="J53" s="2">
        <v>46003</v>
      </c>
      <c r="K53" s="5">
        <v>1002198</v>
      </c>
      <c r="L53" s="5">
        <v>2451</v>
      </c>
      <c r="M53" s="5">
        <v>0</v>
      </c>
      <c r="N53" s="5">
        <v>151.91999999999999</v>
      </c>
      <c r="O53" s="7">
        <v>45965</v>
      </c>
      <c r="P53" s="5">
        <v>151.91999999999999</v>
      </c>
      <c r="Q53" s="5">
        <v>0</v>
      </c>
      <c r="R53" s="5" t="s">
        <v>32</v>
      </c>
      <c r="S53" s="5" t="s">
        <v>33</v>
      </c>
      <c r="T53" s="5">
        <v>0</v>
      </c>
      <c r="U53" s="5">
        <v>151.91999999999999</v>
      </c>
      <c r="V53" s="5" t="s">
        <v>34</v>
      </c>
      <c r="W53" s="5">
        <v>2</v>
      </c>
      <c r="X53" s="5">
        <v>1019752048416</v>
      </c>
      <c r="Y53" s="7">
        <v>46003</v>
      </c>
      <c r="Z53" s="7">
        <v>45965</v>
      </c>
      <c r="AB53" s="6">
        <v>46003</v>
      </c>
      <c r="AC53" s="7">
        <v>46003.472222222219</v>
      </c>
      <c r="AD53" s="5">
        <v>24511002198</v>
      </c>
      <c r="AE53" s="8">
        <v>45965</v>
      </c>
      <c r="AF53" s="5" t="s">
        <v>70</v>
      </c>
      <c r="AG53" s="5" t="s">
        <v>65</v>
      </c>
      <c r="AH53" s="5">
        <v>201414</v>
      </c>
      <c r="AI53" s="6">
        <v>45965</v>
      </c>
      <c r="AJ53" s="6">
        <v>46003</v>
      </c>
    </row>
    <row r="54" spans="1:38" hidden="1" x14ac:dyDescent="0.55000000000000004">
      <c r="A54">
        <v>2451</v>
      </c>
      <c r="B54">
        <v>1002588</v>
      </c>
      <c r="C54">
        <v>73.48</v>
      </c>
      <c r="E54">
        <v>73.48</v>
      </c>
      <c r="G54">
        <v>73.48</v>
      </c>
      <c r="H54"/>
      <c r="I54"/>
      <c r="J54" s="2">
        <v>46003</v>
      </c>
      <c r="K54" s="5">
        <v>1002588</v>
      </c>
      <c r="L54" s="5">
        <v>2451</v>
      </c>
      <c r="M54" s="5">
        <v>0</v>
      </c>
      <c r="N54" s="5">
        <v>73.48</v>
      </c>
      <c r="O54" s="7">
        <v>45967</v>
      </c>
      <c r="P54" s="5">
        <v>73.48</v>
      </c>
      <c r="Q54" s="5">
        <v>0</v>
      </c>
      <c r="R54" s="5" t="s">
        <v>32</v>
      </c>
      <c r="S54" s="5" t="s">
        <v>33</v>
      </c>
      <c r="T54" s="5">
        <v>0</v>
      </c>
      <c r="U54" s="5">
        <v>73.48</v>
      </c>
      <c r="V54" s="5" t="s">
        <v>34</v>
      </c>
      <c r="W54" s="5">
        <v>2</v>
      </c>
      <c r="X54" s="5">
        <v>1019752048416</v>
      </c>
      <c r="Y54" s="7">
        <v>46003</v>
      </c>
      <c r="Z54" s="7">
        <v>45967</v>
      </c>
      <c r="AB54" s="6">
        <v>46003</v>
      </c>
      <c r="AC54" s="7">
        <v>46003.472222222219</v>
      </c>
      <c r="AD54" s="5">
        <v>24511002588</v>
      </c>
      <c r="AE54" s="8">
        <v>45967</v>
      </c>
      <c r="AF54" s="5" t="s">
        <v>64</v>
      </c>
      <c r="AG54" s="5" t="s">
        <v>65</v>
      </c>
      <c r="AH54" s="5">
        <v>201891</v>
      </c>
      <c r="AI54" s="6">
        <v>45967</v>
      </c>
      <c r="AJ54" s="6">
        <v>46003</v>
      </c>
    </row>
    <row r="55" spans="1:38" x14ac:dyDescent="0.55000000000000004">
      <c r="A55">
        <v>2451</v>
      </c>
      <c r="B55">
        <v>1003793</v>
      </c>
      <c r="C55">
        <v>96.36</v>
      </c>
      <c r="E55">
        <v>96.36</v>
      </c>
      <c r="G55">
        <v>96.36</v>
      </c>
      <c r="H55" s="14">
        <f>C55-D55-F55</f>
        <v>96.36</v>
      </c>
      <c r="I55" s="14" t="b">
        <f>G55=H55</f>
        <v>1</v>
      </c>
      <c r="J55" s="2">
        <v>46003</v>
      </c>
      <c r="K55" s="5">
        <v>1003793</v>
      </c>
      <c r="L55" s="5">
        <v>2451</v>
      </c>
      <c r="M55" s="5">
        <v>0</v>
      </c>
      <c r="N55" s="5">
        <v>96.36</v>
      </c>
      <c r="O55" s="7">
        <v>45974</v>
      </c>
      <c r="P55" s="5">
        <v>96.36</v>
      </c>
      <c r="Q55" s="5">
        <v>0</v>
      </c>
      <c r="R55" s="5" t="s">
        <v>32</v>
      </c>
      <c r="S55" s="5" t="s">
        <v>33</v>
      </c>
      <c r="T55" s="5">
        <v>0</v>
      </c>
      <c r="U55" s="5">
        <v>96.36</v>
      </c>
      <c r="V55" s="5" t="s">
        <v>34</v>
      </c>
      <c r="W55" s="5">
        <v>2</v>
      </c>
      <c r="X55" s="5">
        <v>1019752048416</v>
      </c>
      <c r="Y55" s="7">
        <v>46003</v>
      </c>
      <c r="Z55" s="7">
        <v>45974</v>
      </c>
      <c r="AB55" s="6">
        <v>46003</v>
      </c>
      <c r="AC55" s="7">
        <v>46003.472222222219</v>
      </c>
      <c r="AD55" s="5">
        <v>24511003793</v>
      </c>
      <c r="AE55" s="8">
        <v>45974</v>
      </c>
      <c r="AF55" s="5" t="s">
        <v>72</v>
      </c>
      <c r="AG55" s="5" t="s">
        <v>71</v>
      </c>
      <c r="AH55" s="5">
        <v>202831</v>
      </c>
      <c r="AI55" s="6">
        <v>45974</v>
      </c>
      <c r="AJ55" s="6">
        <v>46003</v>
      </c>
      <c r="AK55" s="1">
        <f t="shared" ref="AK55" si="21">0.02*C55</f>
        <v>1.9272</v>
      </c>
      <c r="AL55" t="s">
        <v>673</v>
      </c>
    </row>
    <row r="56" spans="1:38" hidden="1" x14ac:dyDescent="0.55000000000000004">
      <c r="A56">
        <v>2451</v>
      </c>
      <c r="B56">
        <v>1004021</v>
      </c>
      <c r="C56">
        <v>441.2</v>
      </c>
      <c r="E56">
        <v>441.2</v>
      </c>
      <c r="G56">
        <v>441.2</v>
      </c>
      <c r="H56"/>
      <c r="I56"/>
      <c r="J56" s="2">
        <v>46003</v>
      </c>
      <c r="K56" s="5">
        <v>1004021</v>
      </c>
      <c r="L56" s="5">
        <v>2451</v>
      </c>
      <c r="M56" s="5">
        <v>0</v>
      </c>
      <c r="N56" s="5">
        <v>441.2</v>
      </c>
      <c r="O56" s="7">
        <v>45975</v>
      </c>
      <c r="P56" s="5">
        <v>441.2</v>
      </c>
      <c r="Q56" s="5">
        <v>0</v>
      </c>
      <c r="R56" s="5" t="s">
        <v>32</v>
      </c>
      <c r="S56" s="5" t="s">
        <v>33</v>
      </c>
      <c r="T56" s="5">
        <v>0</v>
      </c>
      <c r="U56" s="5">
        <v>441.2</v>
      </c>
      <c r="V56" s="5" t="s">
        <v>34</v>
      </c>
      <c r="W56" s="5">
        <v>2</v>
      </c>
      <c r="X56" s="5">
        <v>1019752048416</v>
      </c>
      <c r="Y56" s="7">
        <v>46003</v>
      </c>
      <c r="Z56" s="7">
        <v>45975</v>
      </c>
      <c r="AB56" s="6">
        <v>46003</v>
      </c>
      <c r="AC56" s="7">
        <v>46003.472222222219</v>
      </c>
      <c r="AD56" s="5">
        <v>24511004021</v>
      </c>
      <c r="AE56" s="8">
        <v>45975</v>
      </c>
      <c r="AF56" s="5" t="s">
        <v>64</v>
      </c>
      <c r="AG56" s="5" t="s">
        <v>65</v>
      </c>
      <c r="AH56" s="5">
        <v>203099</v>
      </c>
      <c r="AI56" s="6">
        <v>45975</v>
      </c>
      <c r="AJ56" s="6">
        <v>46003</v>
      </c>
    </row>
    <row r="57" spans="1:38" hidden="1" x14ac:dyDescent="0.55000000000000004">
      <c r="A57">
        <v>2451</v>
      </c>
      <c r="B57">
        <v>1004349</v>
      </c>
      <c r="C57">
        <v>227.9</v>
      </c>
      <c r="E57">
        <v>227.9</v>
      </c>
      <c r="G57">
        <v>227.9</v>
      </c>
      <c r="H57"/>
      <c r="I57"/>
      <c r="J57" s="2">
        <v>46003</v>
      </c>
      <c r="K57" s="5">
        <v>1004349</v>
      </c>
      <c r="L57" s="5">
        <v>2451</v>
      </c>
      <c r="M57" s="5">
        <v>0</v>
      </c>
      <c r="N57" s="5">
        <v>227.9</v>
      </c>
      <c r="O57" s="7">
        <v>45978</v>
      </c>
      <c r="P57" s="5">
        <v>227.9</v>
      </c>
      <c r="Q57" s="5">
        <v>0</v>
      </c>
      <c r="R57" s="5" t="s">
        <v>32</v>
      </c>
      <c r="S57" s="5" t="s">
        <v>33</v>
      </c>
      <c r="T57" s="5">
        <v>0</v>
      </c>
      <c r="U57" s="5">
        <v>227.9</v>
      </c>
      <c r="V57" s="5" t="s">
        <v>34</v>
      </c>
      <c r="W57" s="5">
        <v>2</v>
      </c>
      <c r="X57" s="5">
        <v>1019752048416</v>
      </c>
      <c r="Y57" s="7">
        <v>46003</v>
      </c>
      <c r="Z57" s="7">
        <v>45978</v>
      </c>
      <c r="AB57" s="6">
        <v>46003</v>
      </c>
      <c r="AC57" s="7">
        <v>46003.472222222219</v>
      </c>
      <c r="AD57" s="5">
        <v>24511004349</v>
      </c>
      <c r="AE57" s="8">
        <v>45978</v>
      </c>
      <c r="AF57" s="5" t="s">
        <v>64</v>
      </c>
      <c r="AG57" s="5" t="s">
        <v>65</v>
      </c>
      <c r="AH57" s="5">
        <v>203448</v>
      </c>
      <c r="AI57" s="6">
        <v>45978</v>
      </c>
      <c r="AJ57" s="6">
        <v>46003</v>
      </c>
    </row>
    <row r="58" spans="1:38" hidden="1" x14ac:dyDescent="0.55000000000000004">
      <c r="A58">
        <v>2451</v>
      </c>
      <c r="B58">
        <v>1004478</v>
      </c>
      <c r="C58">
        <v>553.54</v>
      </c>
      <c r="E58">
        <v>553.54</v>
      </c>
      <c r="G58">
        <v>553.54</v>
      </c>
      <c r="H58"/>
      <c r="I58"/>
      <c r="J58" s="2">
        <v>46003</v>
      </c>
      <c r="K58" s="5">
        <v>1004478</v>
      </c>
      <c r="L58" s="5">
        <v>2451</v>
      </c>
      <c r="M58" s="5">
        <v>0</v>
      </c>
      <c r="N58" s="5">
        <v>553.54</v>
      </c>
      <c r="O58" s="7">
        <v>45979</v>
      </c>
      <c r="P58" s="5">
        <v>553.54</v>
      </c>
      <c r="Q58" s="5">
        <v>0</v>
      </c>
      <c r="R58" s="5">
        <v>832691</v>
      </c>
      <c r="S58" s="5" t="s">
        <v>73</v>
      </c>
      <c r="T58" s="5">
        <v>0</v>
      </c>
      <c r="U58" s="5">
        <v>553.54</v>
      </c>
      <c r="V58" s="5" t="s">
        <v>34</v>
      </c>
      <c r="W58" s="5">
        <v>2</v>
      </c>
      <c r="X58" s="5">
        <v>1019752048416</v>
      </c>
      <c r="Y58" s="7">
        <v>46003</v>
      </c>
      <c r="Z58" s="7">
        <v>45979</v>
      </c>
      <c r="AB58" s="6">
        <v>46003</v>
      </c>
      <c r="AC58" s="7">
        <v>46003.472222222219</v>
      </c>
      <c r="AD58" s="5">
        <v>24511004478</v>
      </c>
      <c r="AE58" s="8">
        <v>45979</v>
      </c>
      <c r="AF58" s="5" t="s">
        <v>32</v>
      </c>
      <c r="AG58" s="5" t="s">
        <v>65</v>
      </c>
      <c r="AH58" s="5">
        <v>832691</v>
      </c>
      <c r="AI58" s="6">
        <v>45979</v>
      </c>
      <c r="AJ58" s="6">
        <v>46003</v>
      </c>
    </row>
    <row r="59" spans="1:38" x14ac:dyDescent="0.55000000000000004">
      <c r="A59">
        <v>2451</v>
      </c>
      <c r="B59">
        <v>1004555</v>
      </c>
      <c r="C59">
        <v>362.4</v>
      </c>
      <c r="E59">
        <v>362.4</v>
      </c>
      <c r="G59">
        <v>362.4</v>
      </c>
      <c r="H59" s="14">
        <f>C59-D59-F59</f>
        <v>362.4</v>
      </c>
      <c r="I59" s="14" t="b">
        <f>G59=H59</f>
        <v>1</v>
      </c>
      <c r="J59" s="2">
        <v>46003</v>
      </c>
      <c r="K59" s="5">
        <v>1004555</v>
      </c>
      <c r="L59" s="5">
        <v>2451</v>
      </c>
      <c r="M59" s="5">
        <v>0</v>
      </c>
      <c r="N59" s="5">
        <v>362.4</v>
      </c>
      <c r="O59" s="7">
        <v>45979</v>
      </c>
      <c r="P59" s="5">
        <v>362.4</v>
      </c>
      <c r="Q59" s="5">
        <v>0</v>
      </c>
      <c r="R59" s="5" t="s">
        <v>32</v>
      </c>
      <c r="S59" s="5" t="s">
        <v>33</v>
      </c>
      <c r="T59" s="5">
        <v>0</v>
      </c>
      <c r="U59" s="5">
        <v>362.4</v>
      </c>
      <c r="V59" s="5" t="s">
        <v>34</v>
      </c>
      <c r="W59" s="5">
        <v>2</v>
      </c>
      <c r="X59" s="5">
        <v>1019752048416</v>
      </c>
      <c r="Y59" s="7">
        <v>46003</v>
      </c>
      <c r="Z59" s="7">
        <v>45979</v>
      </c>
      <c r="AB59" s="6">
        <v>46003</v>
      </c>
      <c r="AC59" s="7">
        <v>46003.472222222219</v>
      </c>
      <c r="AD59" s="5">
        <v>24511004555</v>
      </c>
      <c r="AE59" s="8">
        <v>45979</v>
      </c>
      <c r="AF59" s="5" t="s">
        <v>74</v>
      </c>
      <c r="AG59" s="5" t="s">
        <v>71</v>
      </c>
      <c r="AH59" s="5">
        <v>203678</v>
      </c>
      <c r="AI59" s="6">
        <v>45979</v>
      </c>
      <c r="AJ59" s="6">
        <v>46003</v>
      </c>
      <c r="AK59" s="1">
        <f t="shared" ref="AK59" si="22">0.02*C59</f>
        <v>7.2479999999999993</v>
      </c>
      <c r="AL59" t="s">
        <v>673</v>
      </c>
    </row>
    <row r="60" spans="1:38" hidden="1" x14ac:dyDescent="0.55000000000000004">
      <c r="A60">
        <v>2451</v>
      </c>
      <c r="B60">
        <v>1004717</v>
      </c>
      <c r="C60">
        <v>199.87</v>
      </c>
      <c r="E60">
        <v>199.87</v>
      </c>
      <c r="G60">
        <v>199.87</v>
      </c>
      <c r="H60"/>
      <c r="I60"/>
      <c r="J60" s="2">
        <v>46003</v>
      </c>
      <c r="K60" s="5">
        <v>1004717</v>
      </c>
      <c r="L60" s="5">
        <v>2451</v>
      </c>
      <c r="M60" s="5">
        <v>0</v>
      </c>
      <c r="N60" s="5">
        <v>199.87</v>
      </c>
      <c r="O60" s="7">
        <v>45979</v>
      </c>
      <c r="P60" s="5">
        <v>199.87</v>
      </c>
      <c r="Q60" s="5">
        <v>0</v>
      </c>
      <c r="R60" s="5" t="s">
        <v>32</v>
      </c>
      <c r="S60" s="5" t="s">
        <v>33</v>
      </c>
      <c r="T60" s="5">
        <v>0</v>
      </c>
      <c r="U60" s="5">
        <v>199.87</v>
      </c>
      <c r="V60" s="5" t="s">
        <v>34</v>
      </c>
      <c r="W60" s="5">
        <v>2</v>
      </c>
      <c r="X60" s="5">
        <v>1019752048416</v>
      </c>
      <c r="Y60" s="7">
        <v>46003</v>
      </c>
      <c r="Z60" s="7">
        <v>45979</v>
      </c>
      <c r="AB60" s="6">
        <v>46003</v>
      </c>
      <c r="AC60" s="7">
        <v>46003.472222222219</v>
      </c>
      <c r="AD60" s="5">
        <v>24511004717</v>
      </c>
      <c r="AE60" s="8">
        <v>45979</v>
      </c>
      <c r="AF60" s="5" t="s">
        <v>74</v>
      </c>
      <c r="AG60" s="5" t="s">
        <v>65</v>
      </c>
      <c r="AH60" s="5">
        <v>203705</v>
      </c>
      <c r="AI60" s="6">
        <v>45979</v>
      </c>
      <c r="AJ60" s="6">
        <v>46003</v>
      </c>
    </row>
    <row r="61" spans="1:38" hidden="1" x14ac:dyDescent="0.55000000000000004">
      <c r="A61">
        <v>2542</v>
      </c>
      <c r="B61">
        <v>1007498</v>
      </c>
      <c r="C61" s="1">
        <v>3990</v>
      </c>
      <c r="E61" s="1">
        <v>3990</v>
      </c>
      <c r="F61">
        <v>39.9</v>
      </c>
      <c r="G61" s="1">
        <v>3950.1</v>
      </c>
      <c r="H61" s="1"/>
      <c r="I61" s="1"/>
      <c r="J61" s="2">
        <v>46003</v>
      </c>
      <c r="K61" s="5">
        <v>1007498</v>
      </c>
      <c r="L61" s="5">
        <v>2542</v>
      </c>
      <c r="M61" s="5">
        <v>0</v>
      </c>
      <c r="N61" s="5">
        <v>3990</v>
      </c>
      <c r="O61" s="7">
        <v>45993</v>
      </c>
      <c r="P61" s="5">
        <v>3990</v>
      </c>
      <c r="Q61" s="5">
        <v>0</v>
      </c>
      <c r="R61" s="5" t="s">
        <v>32</v>
      </c>
      <c r="S61" s="5" t="s">
        <v>33</v>
      </c>
      <c r="T61" s="5">
        <v>39.9</v>
      </c>
      <c r="U61" s="5">
        <v>3950.1</v>
      </c>
      <c r="V61" s="5" t="s">
        <v>34</v>
      </c>
      <c r="W61" s="5">
        <v>2</v>
      </c>
      <c r="X61" s="5">
        <v>1106967724540</v>
      </c>
      <c r="Y61" s="7">
        <v>46003</v>
      </c>
      <c r="Z61" s="7">
        <v>45993</v>
      </c>
      <c r="AB61" s="6">
        <v>46003</v>
      </c>
      <c r="AC61" s="7">
        <v>46001.454861111109</v>
      </c>
      <c r="AD61" s="5">
        <v>25421007498</v>
      </c>
      <c r="AE61" s="8">
        <v>45993</v>
      </c>
      <c r="AF61" s="5" t="s">
        <v>32</v>
      </c>
      <c r="AG61" s="5" t="s">
        <v>35</v>
      </c>
      <c r="AH61" s="5" t="s">
        <v>32</v>
      </c>
      <c r="AI61" s="6">
        <v>45993</v>
      </c>
      <c r="AJ61" s="6">
        <v>46003</v>
      </c>
    </row>
    <row r="62" spans="1:38" x14ac:dyDescent="0.55000000000000004">
      <c r="A62">
        <v>2542</v>
      </c>
      <c r="B62">
        <v>1007748</v>
      </c>
      <c r="C62">
        <v>290.06</v>
      </c>
      <c r="D62" s="4">
        <v>5.8</v>
      </c>
      <c r="E62">
        <v>284.26</v>
      </c>
      <c r="F62">
        <v>2.9</v>
      </c>
      <c r="G62">
        <v>281.36</v>
      </c>
      <c r="H62" s="14">
        <f>C62-D62-F62</f>
        <v>281.36</v>
      </c>
      <c r="I62" s="14" t="b">
        <f>G62=H62</f>
        <v>1</v>
      </c>
      <c r="J62" s="2">
        <v>46003</v>
      </c>
      <c r="K62" s="5">
        <v>1007748</v>
      </c>
      <c r="L62" s="5">
        <v>2542</v>
      </c>
      <c r="M62" s="5">
        <v>5.8</v>
      </c>
      <c r="N62" s="5">
        <v>290.06</v>
      </c>
      <c r="O62" s="7">
        <v>45993</v>
      </c>
      <c r="P62" s="5">
        <v>284.26</v>
      </c>
      <c r="Q62" s="5">
        <v>5.8</v>
      </c>
      <c r="R62" s="5" t="s">
        <v>32</v>
      </c>
      <c r="S62" s="5" t="s">
        <v>33</v>
      </c>
      <c r="T62" s="5">
        <v>2.9</v>
      </c>
      <c r="U62" s="5">
        <v>281.36</v>
      </c>
      <c r="V62" s="5" t="s">
        <v>34</v>
      </c>
      <c r="W62" s="5">
        <v>2</v>
      </c>
      <c r="X62" s="5">
        <v>1106967724540</v>
      </c>
      <c r="Y62" s="7">
        <v>46003</v>
      </c>
      <c r="Z62" s="7">
        <v>45993</v>
      </c>
      <c r="AB62" s="6">
        <v>46003</v>
      </c>
      <c r="AC62" s="7">
        <v>46001.454861111109</v>
      </c>
      <c r="AD62" s="5">
        <v>25421007748</v>
      </c>
      <c r="AE62" s="8">
        <v>45993</v>
      </c>
      <c r="AF62" s="5">
        <v>25538</v>
      </c>
      <c r="AG62" s="5" t="s">
        <v>37</v>
      </c>
      <c r="AH62" s="5">
        <v>206203</v>
      </c>
      <c r="AI62" s="6">
        <v>45993</v>
      </c>
      <c r="AJ62" s="6">
        <v>46003</v>
      </c>
      <c r="AK62" s="1">
        <f t="shared" ref="AK62" si="23">0.02*C62</f>
        <v>5.8012000000000006</v>
      </c>
    </row>
    <row r="63" spans="1:38" hidden="1" x14ac:dyDescent="0.55000000000000004">
      <c r="A63">
        <v>2542</v>
      </c>
      <c r="B63">
        <v>1007752</v>
      </c>
      <c r="C63">
        <v>331.91</v>
      </c>
      <c r="E63">
        <v>331.91</v>
      </c>
      <c r="F63">
        <v>3.32</v>
      </c>
      <c r="G63">
        <v>328.59</v>
      </c>
      <c r="H63"/>
      <c r="I63"/>
      <c r="J63" s="2">
        <v>46003</v>
      </c>
      <c r="K63" s="5">
        <v>1007752</v>
      </c>
      <c r="L63" s="5">
        <v>2542</v>
      </c>
      <c r="M63" s="5">
        <v>0</v>
      </c>
      <c r="N63" s="5">
        <v>331.91</v>
      </c>
      <c r="O63" s="7">
        <v>45993</v>
      </c>
      <c r="P63" s="5">
        <v>331.91</v>
      </c>
      <c r="Q63" s="5">
        <v>0</v>
      </c>
      <c r="R63" s="5" t="s">
        <v>32</v>
      </c>
      <c r="S63" s="5" t="s">
        <v>33</v>
      </c>
      <c r="T63" s="5">
        <v>3.32</v>
      </c>
      <c r="U63" s="5">
        <v>328.59</v>
      </c>
      <c r="V63" s="5" t="s">
        <v>34</v>
      </c>
      <c r="W63" s="5">
        <v>2</v>
      </c>
      <c r="X63" s="5">
        <v>1106967724540</v>
      </c>
      <c r="Y63" s="7">
        <v>46003</v>
      </c>
      <c r="Z63" s="7">
        <v>45993</v>
      </c>
      <c r="AB63" s="6">
        <v>46003</v>
      </c>
      <c r="AC63" s="7">
        <v>46001.454861111109</v>
      </c>
      <c r="AD63" s="5">
        <v>25421007752</v>
      </c>
      <c r="AE63" s="8">
        <v>45993</v>
      </c>
      <c r="AF63" s="5">
        <v>25538</v>
      </c>
      <c r="AG63" s="5" t="s">
        <v>38</v>
      </c>
      <c r="AH63" s="5">
        <v>206204</v>
      </c>
      <c r="AI63" s="6">
        <v>45993</v>
      </c>
      <c r="AJ63" s="6">
        <v>46003</v>
      </c>
    </row>
    <row r="64" spans="1:38" x14ac:dyDescent="0.55000000000000004">
      <c r="A64">
        <v>2542</v>
      </c>
      <c r="B64">
        <v>1007860</v>
      </c>
      <c r="C64">
        <v>51.05</v>
      </c>
      <c r="D64" s="4">
        <v>1.02</v>
      </c>
      <c r="E64">
        <v>50.03</v>
      </c>
      <c r="F64">
        <v>0.51</v>
      </c>
      <c r="G64">
        <v>49.52</v>
      </c>
      <c r="H64" s="14">
        <f>C64-D64-F64</f>
        <v>49.519999999999996</v>
      </c>
      <c r="I64" s="14" t="b">
        <f>G64=H64</f>
        <v>1</v>
      </c>
      <c r="J64" s="2">
        <v>46003</v>
      </c>
      <c r="K64" s="5">
        <v>1007860</v>
      </c>
      <c r="L64" s="5">
        <v>2542</v>
      </c>
      <c r="M64" s="5">
        <v>1.02</v>
      </c>
      <c r="N64" s="5">
        <v>51.05</v>
      </c>
      <c r="O64" s="7">
        <v>45993</v>
      </c>
      <c r="P64" s="5">
        <v>50.03</v>
      </c>
      <c r="Q64" s="5">
        <v>1.02</v>
      </c>
      <c r="R64" s="5" t="s">
        <v>32</v>
      </c>
      <c r="S64" s="5" t="s">
        <v>33</v>
      </c>
      <c r="T64" s="5">
        <v>0.51</v>
      </c>
      <c r="U64" s="5">
        <v>49.52</v>
      </c>
      <c r="V64" s="5" t="s">
        <v>34</v>
      </c>
      <c r="W64" s="5">
        <v>2</v>
      </c>
      <c r="X64" s="5">
        <v>1106967724540</v>
      </c>
      <c r="Y64" s="7">
        <v>46003</v>
      </c>
      <c r="Z64" s="7">
        <v>45993</v>
      </c>
      <c r="AB64" s="6">
        <v>46003</v>
      </c>
      <c r="AC64" s="7">
        <v>46001.454861111109</v>
      </c>
      <c r="AD64" s="5">
        <v>25421007860</v>
      </c>
      <c r="AE64" s="8">
        <v>45993</v>
      </c>
      <c r="AF64" s="5">
        <v>25538</v>
      </c>
      <c r="AG64" s="5" t="s">
        <v>37</v>
      </c>
      <c r="AH64" s="5">
        <v>206146</v>
      </c>
      <c r="AI64" s="6">
        <v>45993</v>
      </c>
      <c r="AJ64" s="6">
        <v>46003</v>
      </c>
      <c r="AK64" s="1">
        <f t="shared" ref="AK64" si="24">0.02*C64</f>
        <v>1.0209999999999999</v>
      </c>
    </row>
    <row r="65" spans="1:39" hidden="1" x14ac:dyDescent="0.55000000000000004">
      <c r="A65">
        <v>2542</v>
      </c>
      <c r="B65">
        <v>1008342</v>
      </c>
      <c r="C65" s="1">
        <v>1104.55</v>
      </c>
      <c r="E65" s="1">
        <v>1104.55</v>
      </c>
      <c r="F65">
        <v>11.05</v>
      </c>
      <c r="G65" s="1">
        <v>1093.5</v>
      </c>
      <c r="H65" s="1"/>
      <c r="I65" s="1"/>
      <c r="J65" s="2">
        <v>46003</v>
      </c>
      <c r="K65" s="5">
        <v>1008342</v>
      </c>
      <c r="L65" s="5">
        <v>2542</v>
      </c>
      <c r="M65" s="5">
        <v>0</v>
      </c>
      <c r="N65" s="5">
        <v>1104.55</v>
      </c>
      <c r="O65" s="7">
        <v>45996</v>
      </c>
      <c r="P65" s="5">
        <v>1104.55</v>
      </c>
      <c r="Q65" s="5">
        <v>0</v>
      </c>
      <c r="R65" s="5" t="s">
        <v>75</v>
      </c>
      <c r="S65" s="5" t="s">
        <v>43</v>
      </c>
      <c r="T65" s="5">
        <v>11.05</v>
      </c>
      <c r="U65" s="5">
        <v>1093.5</v>
      </c>
      <c r="V65" s="5" t="s">
        <v>34</v>
      </c>
      <c r="W65" s="5">
        <v>2</v>
      </c>
      <c r="X65" s="5">
        <v>1106967724540</v>
      </c>
      <c r="Y65" s="7">
        <v>46003</v>
      </c>
      <c r="Z65" s="7">
        <v>45996</v>
      </c>
      <c r="AB65" s="6">
        <v>46003</v>
      </c>
      <c r="AC65" s="7">
        <v>46001.454861111109</v>
      </c>
      <c r="AD65" s="5">
        <v>25421008342</v>
      </c>
      <c r="AE65" s="8">
        <v>45996</v>
      </c>
      <c r="AF65" s="5">
        <v>1584342</v>
      </c>
      <c r="AG65" s="5" t="s">
        <v>38</v>
      </c>
      <c r="AH65" s="5" t="s">
        <v>75</v>
      </c>
      <c r="AI65" s="6">
        <v>45996</v>
      </c>
      <c r="AJ65" s="6">
        <v>46003</v>
      </c>
    </row>
    <row r="66" spans="1:39" x14ac:dyDescent="0.55000000000000004">
      <c r="A66">
        <v>2591</v>
      </c>
      <c r="B66">
        <v>1007347</v>
      </c>
      <c r="C66">
        <v>132.72</v>
      </c>
      <c r="D66" s="4">
        <v>2.65</v>
      </c>
      <c r="E66">
        <v>130.07</v>
      </c>
      <c r="F66">
        <v>1.33</v>
      </c>
      <c r="G66">
        <v>128.74</v>
      </c>
      <c r="H66" s="14">
        <f>C66-D66-F66</f>
        <v>128.73999999999998</v>
      </c>
      <c r="I66" s="14" t="b">
        <f>G66=H66</f>
        <v>1</v>
      </c>
      <c r="J66" s="2">
        <v>46003</v>
      </c>
      <c r="K66" s="5">
        <v>1007347</v>
      </c>
      <c r="L66" s="5">
        <v>2591</v>
      </c>
      <c r="M66" s="5">
        <v>2.65</v>
      </c>
      <c r="N66" s="5">
        <v>132.72</v>
      </c>
      <c r="O66" s="7">
        <v>45992</v>
      </c>
      <c r="P66" s="5">
        <v>130.07</v>
      </c>
      <c r="Q66" s="5">
        <v>2.65</v>
      </c>
      <c r="R66" s="5" t="s">
        <v>32</v>
      </c>
      <c r="S66" s="5" t="s">
        <v>33</v>
      </c>
      <c r="T66" s="5">
        <v>1.33</v>
      </c>
      <c r="U66" s="5">
        <v>128.74</v>
      </c>
      <c r="V66" s="5" t="s">
        <v>34</v>
      </c>
      <c r="W66" s="5">
        <v>2</v>
      </c>
      <c r="X66" s="5">
        <v>3900356853246</v>
      </c>
      <c r="Y66" s="7">
        <v>46003</v>
      </c>
      <c r="Z66" s="7">
        <v>45992</v>
      </c>
      <c r="AB66" s="6">
        <v>46003</v>
      </c>
      <c r="AC66" s="7">
        <v>46000.602083333331</v>
      </c>
      <c r="AD66" s="5">
        <v>25911007347</v>
      </c>
      <c r="AE66" s="8">
        <v>45992</v>
      </c>
      <c r="AF66" s="5" t="s">
        <v>76</v>
      </c>
      <c r="AG66" s="5" t="s">
        <v>37</v>
      </c>
      <c r="AH66" s="5">
        <v>205802</v>
      </c>
      <c r="AI66" s="6">
        <v>45992</v>
      </c>
      <c r="AJ66" s="6">
        <v>46003</v>
      </c>
      <c r="AK66" s="1">
        <f t="shared" ref="AK66" si="25">0.02*C66</f>
        <v>2.6543999999999999</v>
      </c>
    </row>
    <row r="67" spans="1:39" hidden="1" x14ac:dyDescent="0.55000000000000004">
      <c r="A67">
        <v>2591</v>
      </c>
      <c r="B67">
        <v>1007554</v>
      </c>
      <c r="C67" s="1">
        <v>3990</v>
      </c>
      <c r="E67" s="1">
        <v>3990</v>
      </c>
      <c r="F67">
        <v>39.9</v>
      </c>
      <c r="G67" s="1">
        <v>3950.1</v>
      </c>
      <c r="H67" s="1"/>
      <c r="I67" s="1"/>
      <c r="J67" s="2">
        <v>46003</v>
      </c>
      <c r="K67" s="5">
        <v>1007554</v>
      </c>
      <c r="L67" s="5">
        <v>2591</v>
      </c>
      <c r="M67" s="5">
        <v>0</v>
      </c>
      <c r="N67" s="5">
        <v>3990</v>
      </c>
      <c r="O67" s="7">
        <v>45993</v>
      </c>
      <c r="P67" s="5">
        <v>3990</v>
      </c>
      <c r="Q67" s="5">
        <v>0</v>
      </c>
      <c r="R67" s="5" t="s">
        <v>32</v>
      </c>
      <c r="S67" s="5" t="s">
        <v>33</v>
      </c>
      <c r="T67" s="5">
        <v>39.9</v>
      </c>
      <c r="U67" s="5">
        <v>3950.1</v>
      </c>
      <c r="V67" s="5" t="s">
        <v>34</v>
      </c>
      <c r="W67" s="5">
        <v>2</v>
      </c>
      <c r="X67" s="5">
        <v>3900356853246</v>
      </c>
      <c r="Y67" s="7">
        <v>46003</v>
      </c>
      <c r="Z67" s="7">
        <v>45993</v>
      </c>
      <c r="AB67" s="6">
        <v>46003</v>
      </c>
      <c r="AC67" s="7">
        <v>46000.602083333331</v>
      </c>
      <c r="AD67" s="5">
        <v>25911007554</v>
      </c>
      <c r="AE67" s="8">
        <v>45993</v>
      </c>
      <c r="AF67" s="5" t="s">
        <v>32</v>
      </c>
      <c r="AG67" s="5" t="s">
        <v>35</v>
      </c>
      <c r="AH67" s="5" t="s">
        <v>32</v>
      </c>
      <c r="AI67" s="6">
        <v>45993</v>
      </c>
      <c r="AJ67" s="6">
        <v>46003</v>
      </c>
    </row>
    <row r="68" spans="1:39" hidden="1" x14ac:dyDescent="0.55000000000000004">
      <c r="A68">
        <v>2591</v>
      </c>
      <c r="B68">
        <v>1007911</v>
      </c>
      <c r="C68">
        <v>81.2</v>
      </c>
      <c r="E68">
        <v>81.2</v>
      </c>
      <c r="F68">
        <v>0.81</v>
      </c>
      <c r="G68">
        <v>80.39</v>
      </c>
      <c r="H68"/>
      <c r="I68"/>
      <c r="J68" s="2">
        <v>46003</v>
      </c>
      <c r="K68" s="5">
        <v>1007911</v>
      </c>
      <c r="L68" s="5">
        <v>2591</v>
      </c>
      <c r="M68" s="5">
        <v>0</v>
      </c>
      <c r="N68" s="5">
        <v>81.2</v>
      </c>
      <c r="O68" s="7">
        <v>45994</v>
      </c>
      <c r="P68" s="5">
        <v>81.2</v>
      </c>
      <c r="Q68" s="5">
        <v>0</v>
      </c>
      <c r="R68" s="5" t="s">
        <v>32</v>
      </c>
      <c r="S68" s="5" t="s">
        <v>33</v>
      </c>
      <c r="T68" s="5">
        <v>0.81</v>
      </c>
      <c r="U68" s="5">
        <v>80.39</v>
      </c>
      <c r="V68" s="5" t="s">
        <v>34</v>
      </c>
      <c r="W68" s="5">
        <v>2</v>
      </c>
      <c r="X68" s="5">
        <v>3900356853246</v>
      </c>
      <c r="Y68" s="7">
        <v>46003</v>
      </c>
      <c r="Z68" s="7">
        <v>45994</v>
      </c>
      <c r="AB68" s="6">
        <v>46003</v>
      </c>
      <c r="AC68" s="7">
        <v>46000.602083333331</v>
      </c>
      <c r="AD68" s="5">
        <v>25911007911</v>
      </c>
      <c r="AE68" s="8">
        <v>45994</v>
      </c>
      <c r="AF68" s="5" t="s">
        <v>77</v>
      </c>
      <c r="AG68" s="5" t="s">
        <v>38</v>
      </c>
      <c r="AH68" s="5">
        <v>206448</v>
      </c>
      <c r="AI68" s="6">
        <v>45994</v>
      </c>
      <c r="AJ68" s="6">
        <v>46003</v>
      </c>
    </row>
    <row r="69" spans="1:39" x14ac:dyDescent="0.55000000000000004">
      <c r="A69">
        <v>2591</v>
      </c>
      <c r="B69">
        <v>1007972</v>
      </c>
      <c r="C69">
        <v>541.95000000000005</v>
      </c>
      <c r="D69" s="4">
        <v>10.84</v>
      </c>
      <c r="E69">
        <v>531.11</v>
      </c>
      <c r="F69">
        <v>5.42</v>
      </c>
      <c r="G69">
        <v>525.69000000000005</v>
      </c>
      <c r="H69" s="14">
        <f>C69-D69-F69</f>
        <v>525.69000000000005</v>
      </c>
      <c r="I69" s="14" t="b">
        <f>G69=H69</f>
        <v>1</v>
      </c>
      <c r="J69" s="2">
        <v>46003</v>
      </c>
      <c r="K69" s="5">
        <v>1007972</v>
      </c>
      <c r="L69" s="5">
        <v>2591</v>
      </c>
      <c r="M69" s="5">
        <v>10.84</v>
      </c>
      <c r="N69" s="5">
        <v>541.95000000000005</v>
      </c>
      <c r="O69" s="7">
        <v>45994</v>
      </c>
      <c r="P69" s="5">
        <v>531.11</v>
      </c>
      <c r="Q69" s="5">
        <v>10.84</v>
      </c>
      <c r="R69" s="5" t="s">
        <v>32</v>
      </c>
      <c r="S69" s="5" t="s">
        <v>33</v>
      </c>
      <c r="T69" s="5">
        <v>5.42</v>
      </c>
      <c r="U69" s="5">
        <v>525.69000000000005</v>
      </c>
      <c r="V69" s="5" t="s">
        <v>34</v>
      </c>
      <c r="W69" s="5">
        <v>2</v>
      </c>
      <c r="X69" s="5">
        <v>3900356853246</v>
      </c>
      <c r="Y69" s="7">
        <v>46003</v>
      </c>
      <c r="Z69" s="7">
        <v>45994</v>
      </c>
      <c r="AB69" s="6">
        <v>46003</v>
      </c>
      <c r="AC69" s="7">
        <v>46000.602083333331</v>
      </c>
      <c r="AD69" s="5">
        <v>25911007972</v>
      </c>
      <c r="AE69" s="8">
        <v>45994</v>
      </c>
      <c r="AF69" s="5" t="s">
        <v>78</v>
      </c>
      <c r="AG69" s="5" t="s">
        <v>37</v>
      </c>
      <c r="AH69" s="5">
        <v>206227</v>
      </c>
      <c r="AI69" s="6">
        <v>45994</v>
      </c>
      <c r="AJ69" s="6">
        <v>46003</v>
      </c>
      <c r="AK69" s="1">
        <f t="shared" ref="AK69" si="26">0.02*C69</f>
        <v>10.839</v>
      </c>
    </row>
    <row r="70" spans="1:39" hidden="1" x14ac:dyDescent="0.55000000000000004">
      <c r="A70">
        <v>2591</v>
      </c>
      <c r="B70">
        <v>1007976</v>
      </c>
      <c r="C70">
        <v>123.6</v>
      </c>
      <c r="E70">
        <v>123.6</v>
      </c>
      <c r="F70">
        <v>1.24</v>
      </c>
      <c r="G70">
        <v>122.36</v>
      </c>
      <c r="H70"/>
      <c r="I70"/>
      <c r="J70" s="2">
        <v>46003</v>
      </c>
      <c r="K70" s="5">
        <v>1007976</v>
      </c>
      <c r="L70" s="5">
        <v>2591</v>
      </c>
      <c r="M70" s="5">
        <v>0</v>
      </c>
      <c r="N70" s="5">
        <v>123.6</v>
      </c>
      <c r="O70" s="7">
        <v>45994</v>
      </c>
      <c r="P70" s="5">
        <v>123.6</v>
      </c>
      <c r="Q70" s="5">
        <v>0</v>
      </c>
      <c r="R70" s="5" t="s">
        <v>32</v>
      </c>
      <c r="S70" s="5" t="s">
        <v>33</v>
      </c>
      <c r="T70" s="5">
        <v>1.24</v>
      </c>
      <c r="U70" s="5">
        <v>122.36</v>
      </c>
      <c r="V70" s="5" t="s">
        <v>34</v>
      </c>
      <c r="W70" s="5">
        <v>2</v>
      </c>
      <c r="X70" s="5">
        <v>3900356853246</v>
      </c>
      <c r="Y70" s="7">
        <v>46003</v>
      </c>
      <c r="Z70" s="7">
        <v>45994</v>
      </c>
      <c r="AB70" s="6">
        <v>46003</v>
      </c>
      <c r="AC70" s="7">
        <v>46000.602083333331</v>
      </c>
      <c r="AD70" s="5">
        <v>25911007976</v>
      </c>
      <c r="AE70" s="8">
        <v>45994</v>
      </c>
      <c r="AF70" s="5" t="s">
        <v>78</v>
      </c>
      <c r="AG70" s="5" t="s">
        <v>38</v>
      </c>
      <c r="AH70" s="5">
        <v>206228</v>
      </c>
      <c r="AI70" s="6">
        <v>45994</v>
      </c>
      <c r="AJ70" s="6">
        <v>46003</v>
      </c>
    </row>
    <row r="71" spans="1:39" x14ac:dyDescent="0.55000000000000004">
      <c r="A71">
        <v>2591</v>
      </c>
      <c r="B71">
        <v>1008090</v>
      </c>
      <c r="C71">
        <v>140.4</v>
      </c>
      <c r="D71" s="4">
        <v>2.81</v>
      </c>
      <c r="E71">
        <v>137.59</v>
      </c>
      <c r="F71">
        <v>1.4</v>
      </c>
      <c r="G71">
        <v>136.19</v>
      </c>
      <c r="H71" s="14">
        <f t="shared" ref="H71:H72" si="27">C71-D71-F71</f>
        <v>136.19</v>
      </c>
      <c r="I71" s="14" t="b">
        <f t="shared" ref="I71:I72" si="28">G71=H71</f>
        <v>1</v>
      </c>
      <c r="J71" s="2">
        <v>46003</v>
      </c>
      <c r="K71" s="5">
        <v>1008090</v>
      </c>
      <c r="L71" s="5">
        <v>2591</v>
      </c>
      <c r="M71" s="5">
        <v>2.81</v>
      </c>
      <c r="N71" s="5">
        <v>140.4</v>
      </c>
      <c r="O71" s="7">
        <v>45995</v>
      </c>
      <c r="P71" s="5">
        <v>137.59</v>
      </c>
      <c r="Q71" s="5">
        <v>2.81</v>
      </c>
      <c r="R71" s="5" t="s">
        <v>32</v>
      </c>
      <c r="S71" s="5" t="s">
        <v>33</v>
      </c>
      <c r="T71" s="5">
        <v>1.4</v>
      </c>
      <c r="U71" s="5">
        <v>136.19</v>
      </c>
      <c r="V71" s="5" t="s">
        <v>34</v>
      </c>
      <c r="W71" s="5">
        <v>2</v>
      </c>
      <c r="X71" s="5">
        <v>3900356853246</v>
      </c>
      <c r="Y71" s="7">
        <v>46003</v>
      </c>
      <c r="Z71" s="7">
        <v>45995</v>
      </c>
      <c r="AB71" s="6">
        <v>46003</v>
      </c>
      <c r="AC71" s="7">
        <v>46000.602083333331</v>
      </c>
      <c r="AD71" s="5">
        <v>25911008090</v>
      </c>
      <c r="AE71" s="8">
        <v>45995</v>
      </c>
      <c r="AF71" s="5" t="s">
        <v>79</v>
      </c>
      <c r="AG71" s="5" t="s">
        <v>37</v>
      </c>
      <c r="AH71" s="5">
        <v>206401</v>
      </c>
      <c r="AI71" s="6">
        <v>45995</v>
      </c>
      <c r="AJ71" s="6">
        <v>46003</v>
      </c>
      <c r="AK71" s="1">
        <f t="shared" ref="AK71:AK72" si="29">0.02*C71</f>
        <v>2.8080000000000003</v>
      </c>
    </row>
    <row r="72" spans="1:39" x14ac:dyDescent="0.55000000000000004">
      <c r="A72">
        <v>2626</v>
      </c>
      <c r="B72">
        <v>1007368</v>
      </c>
      <c r="C72">
        <v>66.36</v>
      </c>
      <c r="D72" s="4">
        <v>1.33</v>
      </c>
      <c r="E72">
        <v>65.03</v>
      </c>
      <c r="F72">
        <v>0.66</v>
      </c>
      <c r="G72">
        <v>64.37</v>
      </c>
      <c r="H72" s="14">
        <f t="shared" si="27"/>
        <v>64.37</v>
      </c>
      <c r="I72" s="14" t="b">
        <f t="shared" si="28"/>
        <v>1</v>
      </c>
      <c r="J72" s="2">
        <v>46003</v>
      </c>
      <c r="K72" s="5">
        <v>1007368</v>
      </c>
      <c r="L72" s="5">
        <v>2626</v>
      </c>
      <c r="M72" s="5">
        <v>1.33</v>
      </c>
      <c r="N72" s="5">
        <v>66.36</v>
      </c>
      <c r="O72" s="7">
        <v>45992</v>
      </c>
      <c r="P72" s="5">
        <v>65.03</v>
      </c>
      <c r="Q72" s="5">
        <v>1.33</v>
      </c>
      <c r="R72" s="5" t="s">
        <v>32</v>
      </c>
      <c r="S72" s="5" t="s">
        <v>33</v>
      </c>
      <c r="T72" s="5">
        <v>0.66</v>
      </c>
      <c r="U72" s="5">
        <v>64.37</v>
      </c>
      <c r="V72" s="5" t="s">
        <v>34</v>
      </c>
      <c r="W72" s="5">
        <v>2</v>
      </c>
      <c r="X72" s="5">
        <v>2912900577082</v>
      </c>
      <c r="Y72" s="7">
        <v>46003</v>
      </c>
      <c r="Z72" s="7">
        <v>45992</v>
      </c>
      <c r="AB72" s="6">
        <v>46003</v>
      </c>
      <c r="AC72" s="7">
        <v>46001.497916666667</v>
      </c>
      <c r="AD72" s="5">
        <v>26261007368</v>
      </c>
      <c r="AE72" s="8">
        <v>45992</v>
      </c>
      <c r="AF72" s="5">
        <v>144454</v>
      </c>
      <c r="AG72" s="5" t="s">
        <v>37</v>
      </c>
      <c r="AH72" s="5">
        <v>205846</v>
      </c>
      <c r="AI72" s="6">
        <v>45992</v>
      </c>
      <c r="AJ72" s="6">
        <v>46003</v>
      </c>
      <c r="AK72" s="1">
        <f t="shared" si="29"/>
        <v>1.3271999999999999</v>
      </c>
    </row>
    <row r="73" spans="1:39" hidden="1" x14ac:dyDescent="0.55000000000000004">
      <c r="A73">
        <v>2626</v>
      </c>
      <c r="B73">
        <v>1007543</v>
      </c>
      <c r="C73" s="1">
        <v>3990</v>
      </c>
      <c r="E73" s="1">
        <v>3990</v>
      </c>
      <c r="F73">
        <v>39.9</v>
      </c>
      <c r="G73" s="1">
        <v>3950.1</v>
      </c>
      <c r="H73" s="1"/>
      <c r="I73" s="1"/>
      <c r="J73" s="2">
        <v>46003</v>
      </c>
      <c r="K73" s="5">
        <v>1007543</v>
      </c>
      <c r="L73" s="5">
        <v>2626</v>
      </c>
      <c r="M73" s="5">
        <v>0</v>
      </c>
      <c r="N73" s="5">
        <v>3990</v>
      </c>
      <c r="O73" s="7">
        <v>45993</v>
      </c>
      <c r="P73" s="5">
        <v>3990</v>
      </c>
      <c r="Q73" s="5">
        <v>0</v>
      </c>
      <c r="R73" s="5" t="s">
        <v>32</v>
      </c>
      <c r="S73" s="5" t="s">
        <v>33</v>
      </c>
      <c r="T73" s="5">
        <v>39.9</v>
      </c>
      <c r="U73" s="5">
        <v>3950.1</v>
      </c>
      <c r="V73" s="5" t="s">
        <v>34</v>
      </c>
      <c r="W73" s="5">
        <v>2</v>
      </c>
      <c r="X73" s="5">
        <v>2912900577082</v>
      </c>
      <c r="Y73" s="7">
        <v>46003</v>
      </c>
      <c r="Z73" s="7">
        <v>45993</v>
      </c>
      <c r="AB73" s="6">
        <v>46003</v>
      </c>
      <c r="AC73" s="7">
        <v>46001.497916666667</v>
      </c>
      <c r="AD73" s="5">
        <v>26261007543</v>
      </c>
      <c r="AE73" s="8">
        <v>45993</v>
      </c>
      <c r="AF73" s="5" t="s">
        <v>32</v>
      </c>
      <c r="AG73" s="5" t="s">
        <v>35</v>
      </c>
      <c r="AH73" s="5" t="s">
        <v>32</v>
      </c>
      <c r="AI73" s="6">
        <v>45993</v>
      </c>
      <c r="AJ73" s="6">
        <v>46003</v>
      </c>
    </row>
    <row r="74" spans="1:39" x14ac:dyDescent="0.55000000000000004">
      <c r="A74">
        <v>2626</v>
      </c>
      <c r="B74">
        <v>1008132</v>
      </c>
      <c r="C74">
        <v>343.88</v>
      </c>
      <c r="D74" s="4">
        <v>6.88</v>
      </c>
      <c r="E74">
        <v>337</v>
      </c>
      <c r="F74">
        <v>3.44</v>
      </c>
      <c r="G74">
        <v>333.56</v>
      </c>
      <c r="H74" s="14">
        <f>C74-D74-F74</f>
        <v>333.56</v>
      </c>
      <c r="I74" s="14" t="b">
        <f>G74=H74</f>
        <v>1</v>
      </c>
      <c r="J74" s="2">
        <v>46003</v>
      </c>
      <c r="K74" s="5">
        <v>1008132</v>
      </c>
      <c r="L74" s="5">
        <v>2626</v>
      </c>
      <c r="M74" s="5">
        <v>6.88</v>
      </c>
      <c r="N74" s="5">
        <v>343.88</v>
      </c>
      <c r="O74" s="7">
        <v>45995</v>
      </c>
      <c r="P74" s="5">
        <v>337</v>
      </c>
      <c r="Q74" s="5">
        <v>6.88</v>
      </c>
      <c r="R74" s="5" t="s">
        <v>32</v>
      </c>
      <c r="S74" s="5" t="s">
        <v>33</v>
      </c>
      <c r="T74" s="5">
        <v>3.44</v>
      </c>
      <c r="U74" s="5">
        <v>333.56</v>
      </c>
      <c r="V74" s="5" t="s">
        <v>34</v>
      </c>
      <c r="W74" s="5">
        <v>2</v>
      </c>
      <c r="X74" s="5">
        <v>2912900577082</v>
      </c>
      <c r="Y74" s="7">
        <v>46003</v>
      </c>
      <c r="Z74" s="7">
        <v>45995</v>
      </c>
      <c r="AB74" s="6">
        <v>46003</v>
      </c>
      <c r="AC74" s="7">
        <v>46001.497916666667</v>
      </c>
      <c r="AD74" s="5">
        <v>26261008132</v>
      </c>
      <c r="AE74" s="8">
        <v>45995</v>
      </c>
      <c r="AF74" s="5">
        <v>144523</v>
      </c>
      <c r="AG74" s="5" t="s">
        <v>37</v>
      </c>
      <c r="AH74" s="5">
        <v>206676</v>
      </c>
      <c r="AI74" s="6">
        <v>45995</v>
      </c>
      <c r="AJ74" s="6">
        <v>46003</v>
      </c>
      <c r="AK74" s="1">
        <f t="shared" ref="AK74" si="30">0.02*C74</f>
        <v>6.8776000000000002</v>
      </c>
    </row>
    <row r="75" spans="1:39" hidden="1" x14ac:dyDescent="0.55000000000000004">
      <c r="A75">
        <v>2626</v>
      </c>
      <c r="B75">
        <v>1008162</v>
      </c>
      <c r="C75" s="1">
        <v>2372.16</v>
      </c>
      <c r="E75" s="1">
        <v>2372.16</v>
      </c>
      <c r="F75">
        <v>23.72</v>
      </c>
      <c r="G75" s="1">
        <v>2348.44</v>
      </c>
      <c r="H75" s="1"/>
      <c r="I75" s="1"/>
      <c r="J75" s="2">
        <v>46003</v>
      </c>
      <c r="K75" s="5">
        <v>1008162</v>
      </c>
      <c r="L75" s="5">
        <v>2626</v>
      </c>
      <c r="M75" s="5">
        <v>0</v>
      </c>
      <c r="N75" s="5">
        <v>2372.16</v>
      </c>
      <c r="O75" s="7">
        <v>45995</v>
      </c>
      <c r="P75" s="5">
        <v>2372.16</v>
      </c>
      <c r="Q75" s="5">
        <v>0</v>
      </c>
      <c r="R75" s="5" t="s">
        <v>32</v>
      </c>
      <c r="S75" s="5" t="s">
        <v>33</v>
      </c>
      <c r="T75" s="5">
        <v>23.72</v>
      </c>
      <c r="U75" s="5">
        <v>2348.44</v>
      </c>
      <c r="V75" s="5" t="s">
        <v>34</v>
      </c>
      <c r="W75" s="5">
        <v>2</v>
      </c>
      <c r="X75" s="5">
        <v>2912900577082</v>
      </c>
      <c r="Y75" s="7">
        <v>46003</v>
      </c>
      <c r="Z75" s="7">
        <v>45995</v>
      </c>
      <c r="AB75" s="6">
        <v>46003</v>
      </c>
      <c r="AC75" s="7">
        <v>46001.497916666667</v>
      </c>
      <c r="AD75" s="5">
        <v>26261008162</v>
      </c>
      <c r="AE75" s="8">
        <v>45995</v>
      </c>
      <c r="AF75" s="5">
        <v>144523</v>
      </c>
      <c r="AG75" s="5" t="s">
        <v>38</v>
      </c>
      <c r="AH75" s="5">
        <v>206692</v>
      </c>
      <c r="AI75" s="6">
        <v>45995</v>
      </c>
      <c r="AJ75" s="6">
        <v>46003</v>
      </c>
    </row>
    <row r="76" spans="1:39" x14ac:dyDescent="0.55000000000000004">
      <c r="A76">
        <v>2626</v>
      </c>
      <c r="B76">
        <v>1008164</v>
      </c>
      <c r="C76">
        <v>116.31</v>
      </c>
      <c r="D76" s="4">
        <v>2.33</v>
      </c>
      <c r="E76">
        <v>113.98</v>
      </c>
      <c r="F76">
        <v>1.1599999999999999</v>
      </c>
      <c r="G76">
        <v>112.82</v>
      </c>
      <c r="H76" s="14">
        <f>C76-D76-F76</f>
        <v>112.82000000000001</v>
      </c>
      <c r="I76" s="14" t="b">
        <f>G76=H76</f>
        <v>1</v>
      </c>
      <c r="J76" s="2">
        <v>46003</v>
      </c>
      <c r="K76" s="5">
        <v>1008164</v>
      </c>
      <c r="L76" s="5">
        <v>2626</v>
      </c>
      <c r="M76" s="5">
        <v>2.33</v>
      </c>
      <c r="N76" s="5">
        <v>116.31</v>
      </c>
      <c r="O76" s="7">
        <v>45995</v>
      </c>
      <c r="P76" s="5">
        <v>113.98</v>
      </c>
      <c r="Q76" s="5">
        <v>2.33</v>
      </c>
      <c r="R76" s="5" t="s">
        <v>32</v>
      </c>
      <c r="S76" s="5" t="s">
        <v>33</v>
      </c>
      <c r="T76" s="5">
        <v>1.1599999999999999</v>
      </c>
      <c r="U76" s="5">
        <v>112.82</v>
      </c>
      <c r="V76" s="5" t="s">
        <v>34</v>
      </c>
      <c r="W76" s="5">
        <v>2</v>
      </c>
      <c r="X76" s="5">
        <v>2912900577082</v>
      </c>
      <c r="Y76" s="7">
        <v>46003</v>
      </c>
      <c r="Z76" s="7">
        <v>45995</v>
      </c>
      <c r="AB76" s="6">
        <v>46003</v>
      </c>
      <c r="AC76" s="7">
        <v>46001.497916666667</v>
      </c>
      <c r="AD76" s="5">
        <v>26261008164</v>
      </c>
      <c r="AE76" s="8">
        <v>45995</v>
      </c>
      <c r="AF76" s="5">
        <v>144523</v>
      </c>
      <c r="AG76" s="5" t="s">
        <v>37</v>
      </c>
      <c r="AH76" s="5">
        <v>206691</v>
      </c>
      <c r="AI76" s="6">
        <v>45995</v>
      </c>
      <c r="AJ76" s="6">
        <v>46003</v>
      </c>
      <c r="AK76" s="1">
        <f t="shared" ref="AK76" si="31">0.02*C76</f>
        <v>2.3262</v>
      </c>
    </row>
    <row r="77" spans="1:39" hidden="1" x14ac:dyDescent="0.55000000000000004">
      <c r="A77">
        <v>2626</v>
      </c>
      <c r="B77">
        <v>1008999</v>
      </c>
      <c r="C77">
        <v>-405</v>
      </c>
      <c r="E77">
        <v>-405</v>
      </c>
      <c r="G77">
        <v>-405</v>
      </c>
      <c r="H77"/>
      <c r="I77"/>
      <c r="J77" s="2">
        <v>46003</v>
      </c>
      <c r="K77" s="5">
        <v>1008999</v>
      </c>
      <c r="L77" s="5">
        <v>2626</v>
      </c>
      <c r="M77" s="5">
        <v>0</v>
      </c>
      <c r="N77" s="5">
        <v>-405</v>
      </c>
      <c r="O77" s="7">
        <v>46000</v>
      </c>
      <c r="P77" s="5">
        <v>-405</v>
      </c>
      <c r="Q77" s="5">
        <v>0</v>
      </c>
      <c r="R77" s="5">
        <v>1008999</v>
      </c>
      <c r="S77" s="5" t="s">
        <v>33</v>
      </c>
      <c r="T77" s="5">
        <v>0</v>
      </c>
      <c r="U77" s="5">
        <v>-405</v>
      </c>
      <c r="V77" s="5" t="s">
        <v>34</v>
      </c>
      <c r="W77" s="5">
        <v>2</v>
      </c>
      <c r="X77" s="5">
        <v>2912900577082</v>
      </c>
      <c r="Y77" s="7">
        <v>46003</v>
      </c>
      <c r="Z77" s="7">
        <v>46000</v>
      </c>
      <c r="AB77" s="6">
        <v>46003</v>
      </c>
      <c r="AC77" s="7">
        <v>46001.497916666667</v>
      </c>
      <c r="AD77" s="5">
        <v>26261008999</v>
      </c>
      <c r="AE77" s="8">
        <v>46000</v>
      </c>
      <c r="AF77" s="5">
        <v>42</v>
      </c>
      <c r="AG77" s="5" t="s">
        <v>38</v>
      </c>
      <c r="AH77" s="5" t="s">
        <v>80</v>
      </c>
      <c r="AI77" s="6">
        <v>46000</v>
      </c>
      <c r="AJ77" s="6">
        <v>46003</v>
      </c>
    </row>
    <row r="78" spans="1:39" hidden="1" x14ac:dyDescent="0.55000000000000004">
      <c r="A78">
        <v>2626</v>
      </c>
      <c r="B78">
        <v>1009049</v>
      </c>
      <c r="C78">
        <v>-283.5</v>
      </c>
      <c r="E78">
        <v>-283.5</v>
      </c>
      <c r="G78">
        <v>-283.5</v>
      </c>
      <c r="H78"/>
      <c r="I78"/>
      <c r="J78" s="2">
        <v>46003</v>
      </c>
      <c r="K78" s="5">
        <v>1009049</v>
      </c>
      <c r="L78" s="5">
        <v>2626</v>
      </c>
      <c r="M78" s="5">
        <v>0</v>
      </c>
      <c r="N78" s="5">
        <v>-283.5</v>
      </c>
      <c r="O78" s="7">
        <v>46000</v>
      </c>
      <c r="P78" s="5">
        <v>-283.5</v>
      </c>
      <c r="Q78" s="5">
        <v>0</v>
      </c>
      <c r="R78" s="5">
        <v>1009049</v>
      </c>
      <c r="S78" s="5" t="s">
        <v>33</v>
      </c>
      <c r="T78" s="5">
        <v>0</v>
      </c>
      <c r="U78" s="5">
        <v>-283.5</v>
      </c>
      <c r="V78" s="5" t="s">
        <v>34</v>
      </c>
      <c r="W78" s="5">
        <v>2</v>
      </c>
      <c r="X78" s="5">
        <v>2912900577082</v>
      </c>
      <c r="Y78" s="7">
        <v>46003</v>
      </c>
      <c r="Z78" s="7">
        <v>46000</v>
      </c>
      <c r="AB78" s="6">
        <v>46003</v>
      </c>
      <c r="AC78" s="7">
        <v>46001.497916666667</v>
      </c>
      <c r="AD78" s="5">
        <v>26261009049</v>
      </c>
      <c r="AE78" s="8">
        <v>46000</v>
      </c>
      <c r="AF78" s="5">
        <v>43</v>
      </c>
      <c r="AG78" s="5" t="s">
        <v>38</v>
      </c>
      <c r="AH78" s="5" t="s">
        <v>81</v>
      </c>
      <c r="AI78" s="6">
        <v>46000</v>
      </c>
      <c r="AJ78" s="6">
        <v>46003</v>
      </c>
    </row>
    <row r="79" spans="1:39" hidden="1" x14ac:dyDescent="0.55000000000000004">
      <c r="A79">
        <v>2633</v>
      </c>
      <c r="B79">
        <v>1007579</v>
      </c>
      <c r="C79">
        <v>350</v>
      </c>
      <c r="E79">
        <v>350</v>
      </c>
      <c r="F79">
        <v>3.5</v>
      </c>
      <c r="G79">
        <v>346.5</v>
      </c>
      <c r="H79"/>
      <c r="I79"/>
      <c r="J79" s="2">
        <v>46003</v>
      </c>
      <c r="K79" s="5">
        <v>1007579</v>
      </c>
      <c r="L79" s="5">
        <v>2633</v>
      </c>
      <c r="M79" s="5">
        <v>0</v>
      </c>
      <c r="N79" s="5">
        <v>350</v>
      </c>
      <c r="O79" s="7">
        <v>45993</v>
      </c>
      <c r="P79" s="5">
        <v>350</v>
      </c>
      <c r="Q79" s="5">
        <v>0</v>
      </c>
      <c r="R79" s="5" t="s">
        <v>32</v>
      </c>
      <c r="S79" s="5" t="s">
        <v>33</v>
      </c>
      <c r="T79" s="5">
        <v>3.5</v>
      </c>
      <c r="U79" s="5">
        <v>346.5</v>
      </c>
      <c r="V79" s="5" t="s">
        <v>34</v>
      </c>
      <c r="W79" s="5">
        <v>2</v>
      </c>
      <c r="X79" s="5">
        <v>7670023639481</v>
      </c>
      <c r="Y79" s="7">
        <v>46003</v>
      </c>
      <c r="Z79" s="7">
        <v>45993</v>
      </c>
      <c r="AB79" s="6">
        <v>46003</v>
      </c>
      <c r="AC79" s="7">
        <v>46003.40625</v>
      </c>
      <c r="AD79" s="5">
        <v>26331007579</v>
      </c>
      <c r="AE79" s="8">
        <v>45993</v>
      </c>
      <c r="AF79" s="5" t="s">
        <v>32</v>
      </c>
      <c r="AG79" s="5" t="s">
        <v>82</v>
      </c>
      <c r="AH79" s="5" t="s">
        <v>32</v>
      </c>
      <c r="AI79" s="6">
        <v>45993</v>
      </c>
      <c r="AJ79" s="6">
        <v>46003</v>
      </c>
    </row>
    <row r="80" spans="1:39" x14ac:dyDescent="0.55000000000000004">
      <c r="A80">
        <v>2661</v>
      </c>
      <c r="B80">
        <v>1007177</v>
      </c>
      <c r="C80">
        <v>33.18</v>
      </c>
      <c r="E80">
        <v>33.18</v>
      </c>
      <c r="F80">
        <v>0.33</v>
      </c>
      <c r="G80">
        <v>33.18</v>
      </c>
      <c r="H80" s="14">
        <f t="shared" ref="H80:H87" si="32">C80-D80-F80</f>
        <v>32.85</v>
      </c>
      <c r="I80" s="14" t="b">
        <f t="shared" ref="I80:I87" si="33">G80=H80</f>
        <v>0</v>
      </c>
      <c r="J80" s="2">
        <v>46003</v>
      </c>
      <c r="K80" s="5">
        <v>1007177</v>
      </c>
      <c r="L80" s="5">
        <v>2661</v>
      </c>
      <c r="M80" s="5">
        <v>0</v>
      </c>
      <c r="N80" s="5">
        <v>33.18</v>
      </c>
      <c r="O80" s="7">
        <v>45992</v>
      </c>
      <c r="P80" s="5">
        <v>33.18</v>
      </c>
      <c r="Q80" s="5">
        <v>0</v>
      </c>
      <c r="R80" s="5" t="s">
        <v>32</v>
      </c>
      <c r="S80" s="5" t="s">
        <v>33</v>
      </c>
      <c r="T80" s="5">
        <v>0.33</v>
      </c>
      <c r="U80" s="5">
        <v>33.18</v>
      </c>
      <c r="V80" s="5" t="s">
        <v>34</v>
      </c>
      <c r="W80" s="5">
        <v>10</v>
      </c>
      <c r="X80" s="5" t="s">
        <v>83</v>
      </c>
      <c r="Y80" s="7">
        <v>46003</v>
      </c>
      <c r="Z80" s="7">
        <v>45992</v>
      </c>
      <c r="AA80" s="5" t="s">
        <v>32</v>
      </c>
      <c r="AB80" s="6">
        <v>46003</v>
      </c>
      <c r="AC80" s="7">
        <v>46003.572916666664</v>
      </c>
      <c r="AD80" s="5">
        <v>26611007177</v>
      </c>
      <c r="AE80" s="8">
        <v>45992</v>
      </c>
      <c r="AF80" s="5">
        <v>2894</v>
      </c>
      <c r="AG80" s="5" t="s">
        <v>37</v>
      </c>
      <c r="AH80" s="5">
        <v>205770</v>
      </c>
      <c r="AI80" s="6">
        <v>45992</v>
      </c>
      <c r="AJ80" s="6">
        <v>46003</v>
      </c>
      <c r="AK80" s="1">
        <f t="shared" ref="AK80:AK87" si="34">0.02*C80</f>
        <v>0.66359999999999997</v>
      </c>
      <c r="AL80" t="s">
        <v>673</v>
      </c>
      <c r="AM80">
        <f t="shared" ref="AM80:AM87" si="35">F80</f>
        <v>0.33</v>
      </c>
    </row>
    <row r="81" spans="1:39" x14ac:dyDescent="0.55000000000000004">
      <c r="A81">
        <v>2661</v>
      </c>
      <c r="B81">
        <v>1007179</v>
      </c>
      <c r="C81">
        <v>33.18</v>
      </c>
      <c r="E81">
        <v>33.18</v>
      </c>
      <c r="F81">
        <v>0.33</v>
      </c>
      <c r="G81">
        <v>33.18</v>
      </c>
      <c r="H81" s="14">
        <f t="shared" si="32"/>
        <v>32.85</v>
      </c>
      <c r="I81" s="14" t="b">
        <f t="shared" si="33"/>
        <v>0</v>
      </c>
      <c r="J81" s="2">
        <v>46003</v>
      </c>
      <c r="K81" s="5">
        <v>1007179</v>
      </c>
      <c r="L81" s="5">
        <v>2661</v>
      </c>
      <c r="M81" s="5">
        <v>0</v>
      </c>
      <c r="N81" s="5">
        <v>33.18</v>
      </c>
      <c r="O81" s="7">
        <v>45992</v>
      </c>
      <c r="P81" s="5">
        <v>33.18</v>
      </c>
      <c r="Q81" s="5">
        <v>0</v>
      </c>
      <c r="R81" s="5" t="s">
        <v>32</v>
      </c>
      <c r="S81" s="5" t="s">
        <v>33</v>
      </c>
      <c r="T81" s="5">
        <v>0.33</v>
      </c>
      <c r="U81" s="5">
        <v>33.18</v>
      </c>
      <c r="V81" s="5" t="s">
        <v>34</v>
      </c>
      <c r="W81" s="5">
        <v>10</v>
      </c>
      <c r="X81" s="5" t="s">
        <v>83</v>
      </c>
      <c r="Y81" s="7">
        <v>46003</v>
      </c>
      <c r="Z81" s="7">
        <v>45992</v>
      </c>
      <c r="AA81" s="5" t="s">
        <v>32</v>
      </c>
      <c r="AB81" s="6">
        <v>46003</v>
      </c>
      <c r="AC81" s="7">
        <v>46003.572916666664</v>
      </c>
      <c r="AD81" s="5">
        <v>26611007179</v>
      </c>
      <c r="AE81" s="8">
        <v>45992</v>
      </c>
      <c r="AF81" s="5">
        <v>2960</v>
      </c>
      <c r="AG81" s="5" t="s">
        <v>37</v>
      </c>
      <c r="AH81" s="5">
        <v>205774</v>
      </c>
      <c r="AI81" s="6">
        <v>45992</v>
      </c>
      <c r="AJ81" s="6">
        <v>46003</v>
      </c>
      <c r="AK81" s="1">
        <f t="shared" si="34"/>
        <v>0.66359999999999997</v>
      </c>
      <c r="AL81" t="s">
        <v>673</v>
      </c>
      <c r="AM81">
        <f t="shared" si="35"/>
        <v>0.33</v>
      </c>
    </row>
    <row r="82" spans="1:39" x14ac:dyDescent="0.55000000000000004">
      <c r="A82">
        <v>2661</v>
      </c>
      <c r="B82">
        <v>1007181</v>
      </c>
      <c r="C82">
        <v>20.57</v>
      </c>
      <c r="E82">
        <v>20.57</v>
      </c>
      <c r="F82">
        <v>0.21</v>
      </c>
      <c r="G82">
        <v>20.57</v>
      </c>
      <c r="H82" s="14">
        <f t="shared" si="32"/>
        <v>20.36</v>
      </c>
      <c r="I82" s="14" t="b">
        <f t="shared" si="33"/>
        <v>0</v>
      </c>
      <c r="J82" s="2">
        <v>46003</v>
      </c>
      <c r="K82" s="5">
        <v>1007181</v>
      </c>
      <c r="L82" s="5">
        <v>2661</v>
      </c>
      <c r="M82" s="5">
        <v>0</v>
      </c>
      <c r="N82" s="5">
        <v>20.57</v>
      </c>
      <c r="O82" s="7">
        <v>45992</v>
      </c>
      <c r="P82" s="5">
        <v>20.57</v>
      </c>
      <c r="Q82" s="5">
        <v>0</v>
      </c>
      <c r="R82" s="5" t="s">
        <v>32</v>
      </c>
      <c r="S82" s="5" t="s">
        <v>33</v>
      </c>
      <c r="T82" s="5">
        <v>0.21</v>
      </c>
      <c r="U82" s="5">
        <v>20.57</v>
      </c>
      <c r="V82" s="5" t="s">
        <v>34</v>
      </c>
      <c r="W82" s="5">
        <v>10</v>
      </c>
      <c r="X82" s="5" t="s">
        <v>83</v>
      </c>
      <c r="Y82" s="7">
        <v>46003</v>
      </c>
      <c r="Z82" s="7">
        <v>45992</v>
      </c>
      <c r="AA82" s="5" t="s">
        <v>32</v>
      </c>
      <c r="AB82" s="6">
        <v>46003</v>
      </c>
      <c r="AC82" s="7">
        <v>46003.572916666664</v>
      </c>
      <c r="AD82" s="5">
        <v>26611007181</v>
      </c>
      <c r="AE82" s="8">
        <v>45992</v>
      </c>
      <c r="AF82" s="5" t="s">
        <v>84</v>
      </c>
      <c r="AG82" s="5" t="s">
        <v>37</v>
      </c>
      <c r="AH82" s="5">
        <v>205772</v>
      </c>
      <c r="AI82" s="6">
        <v>45992</v>
      </c>
      <c r="AJ82" s="6">
        <v>46003</v>
      </c>
      <c r="AK82" s="1">
        <f t="shared" si="34"/>
        <v>0.41139999999999999</v>
      </c>
      <c r="AL82" t="s">
        <v>673</v>
      </c>
      <c r="AM82">
        <f t="shared" si="35"/>
        <v>0.21</v>
      </c>
    </row>
    <row r="83" spans="1:39" x14ac:dyDescent="0.55000000000000004">
      <c r="A83">
        <v>2661</v>
      </c>
      <c r="B83">
        <v>1007182</v>
      </c>
      <c r="C83">
        <v>33.18</v>
      </c>
      <c r="E83">
        <v>33.18</v>
      </c>
      <c r="F83">
        <v>0.33</v>
      </c>
      <c r="G83">
        <v>33.18</v>
      </c>
      <c r="H83" s="14">
        <f t="shared" si="32"/>
        <v>32.85</v>
      </c>
      <c r="I83" s="14" t="b">
        <f t="shared" si="33"/>
        <v>0</v>
      </c>
      <c r="J83" s="2">
        <v>46003</v>
      </c>
      <c r="K83" s="5">
        <v>1007182</v>
      </c>
      <c r="L83" s="5">
        <v>2661</v>
      </c>
      <c r="M83" s="5">
        <v>0</v>
      </c>
      <c r="N83" s="5">
        <v>33.18</v>
      </c>
      <c r="O83" s="7">
        <v>45992</v>
      </c>
      <c r="P83" s="5">
        <v>33.18</v>
      </c>
      <c r="Q83" s="5">
        <v>0</v>
      </c>
      <c r="R83" s="5" t="s">
        <v>32</v>
      </c>
      <c r="S83" s="5" t="s">
        <v>33</v>
      </c>
      <c r="T83" s="5">
        <v>0.33</v>
      </c>
      <c r="U83" s="5">
        <v>33.18</v>
      </c>
      <c r="V83" s="5" t="s">
        <v>34</v>
      </c>
      <c r="W83" s="5">
        <v>10</v>
      </c>
      <c r="X83" s="5" t="s">
        <v>83</v>
      </c>
      <c r="Y83" s="7">
        <v>46003</v>
      </c>
      <c r="Z83" s="7">
        <v>45992</v>
      </c>
      <c r="AA83" s="5" t="s">
        <v>32</v>
      </c>
      <c r="AB83" s="6">
        <v>46003</v>
      </c>
      <c r="AC83" s="7">
        <v>46003.572916666664</v>
      </c>
      <c r="AD83" s="5">
        <v>26611007182</v>
      </c>
      <c r="AE83" s="8">
        <v>45992</v>
      </c>
      <c r="AF83" s="5">
        <v>3004</v>
      </c>
      <c r="AG83" s="5" t="s">
        <v>37</v>
      </c>
      <c r="AH83" s="5">
        <v>205775</v>
      </c>
      <c r="AI83" s="6">
        <v>45992</v>
      </c>
      <c r="AJ83" s="6">
        <v>46003</v>
      </c>
      <c r="AK83" s="1">
        <f t="shared" si="34"/>
        <v>0.66359999999999997</v>
      </c>
      <c r="AL83" t="s">
        <v>673</v>
      </c>
      <c r="AM83">
        <f t="shared" si="35"/>
        <v>0.33</v>
      </c>
    </row>
    <row r="84" spans="1:39" x14ac:dyDescent="0.55000000000000004">
      <c r="A84">
        <v>2661</v>
      </c>
      <c r="B84">
        <v>1007184</v>
      </c>
      <c r="C84">
        <v>33.18</v>
      </c>
      <c r="E84">
        <v>33.18</v>
      </c>
      <c r="F84">
        <v>0.33</v>
      </c>
      <c r="G84">
        <v>33.18</v>
      </c>
      <c r="H84" s="14">
        <f t="shared" si="32"/>
        <v>32.85</v>
      </c>
      <c r="I84" s="14" t="b">
        <f t="shared" si="33"/>
        <v>0</v>
      </c>
      <c r="J84" s="2">
        <v>46003</v>
      </c>
      <c r="K84" s="5">
        <v>1007184</v>
      </c>
      <c r="L84" s="5">
        <v>2661</v>
      </c>
      <c r="M84" s="5">
        <v>0</v>
      </c>
      <c r="N84" s="5">
        <v>33.18</v>
      </c>
      <c r="O84" s="7">
        <v>45992</v>
      </c>
      <c r="P84" s="5">
        <v>33.18</v>
      </c>
      <c r="Q84" s="5">
        <v>0</v>
      </c>
      <c r="R84" s="5" t="s">
        <v>32</v>
      </c>
      <c r="S84" s="5" t="s">
        <v>33</v>
      </c>
      <c r="T84" s="5">
        <v>0.33</v>
      </c>
      <c r="U84" s="5">
        <v>33.18</v>
      </c>
      <c r="V84" s="5" t="s">
        <v>34</v>
      </c>
      <c r="W84" s="5">
        <v>10</v>
      </c>
      <c r="X84" s="5" t="s">
        <v>83</v>
      </c>
      <c r="Y84" s="7">
        <v>46003</v>
      </c>
      <c r="Z84" s="7">
        <v>45992</v>
      </c>
      <c r="AA84" s="5" t="s">
        <v>32</v>
      </c>
      <c r="AB84" s="6">
        <v>46003</v>
      </c>
      <c r="AC84" s="7">
        <v>46003.572916666664</v>
      </c>
      <c r="AD84" s="5">
        <v>26611007184</v>
      </c>
      <c r="AE84" s="8">
        <v>45992</v>
      </c>
      <c r="AF84" s="5">
        <v>2943</v>
      </c>
      <c r="AG84" s="5" t="s">
        <v>37</v>
      </c>
      <c r="AH84" s="5">
        <v>205771</v>
      </c>
      <c r="AI84" s="6">
        <v>45992</v>
      </c>
      <c r="AJ84" s="6">
        <v>46003</v>
      </c>
      <c r="AK84" s="1">
        <f t="shared" si="34"/>
        <v>0.66359999999999997</v>
      </c>
      <c r="AL84" t="s">
        <v>673</v>
      </c>
      <c r="AM84">
        <f t="shared" si="35"/>
        <v>0.33</v>
      </c>
    </row>
    <row r="85" spans="1:39" x14ac:dyDescent="0.55000000000000004">
      <c r="A85">
        <v>2661</v>
      </c>
      <c r="B85">
        <v>1007185</v>
      </c>
      <c r="C85">
        <v>33.18</v>
      </c>
      <c r="E85">
        <v>33.18</v>
      </c>
      <c r="F85">
        <v>0.33</v>
      </c>
      <c r="G85">
        <v>33.18</v>
      </c>
      <c r="H85" s="14">
        <f t="shared" si="32"/>
        <v>32.85</v>
      </c>
      <c r="I85" s="14" t="b">
        <f t="shared" si="33"/>
        <v>0</v>
      </c>
      <c r="J85" s="2">
        <v>46003</v>
      </c>
      <c r="K85" s="5">
        <v>1007185</v>
      </c>
      <c r="L85" s="5">
        <v>2661</v>
      </c>
      <c r="M85" s="5">
        <v>0</v>
      </c>
      <c r="N85" s="5">
        <v>33.18</v>
      </c>
      <c r="O85" s="7">
        <v>45992</v>
      </c>
      <c r="P85" s="5">
        <v>33.18</v>
      </c>
      <c r="Q85" s="5">
        <v>0</v>
      </c>
      <c r="R85" s="5" t="s">
        <v>32</v>
      </c>
      <c r="S85" s="5" t="s">
        <v>33</v>
      </c>
      <c r="T85" s="5">
        <v>0.33</v>
      </c>
      <c r="U85" s="5">
        <v>33.18</v>
      </c>
      <c r="V85" s="5" t="s">
        <v>34</v>
      </c>
      <c r="W85" s="5">
        <v>10</v>
      </c>
      <c r="X85" s="5" t="s">
        <v>83</v>
      </c>
      <c r="Y85" s="7">
        <v>46003</v>
      </c>
      <c r="Z85" s="7">
        <v>45992</v>
      </c>
      <c r="AA85" s="5" t="s">
        <v>32</v>
      </c>
      <c r="AB85" s="6">
        <v>46003</v>
      </c>
      <c r="AC85" s="7">
        <v>46003.572916666664</v>
      </c>
      <c r="AD85" s="5">
        <v>26611007185</v>
      </c>
      <c r="AE85" s="8">
        <v>45992</v>
      </c>
      <c r="AF85" s="5">
        <v>2945</v>
      </c>
      <c r="AG85" s="5" t="s">
        <v>37</v>
      </c>
      <c r="AH85" s="5">
        <v>205773</v>
      </c>
      <c r="AI85" s="6">
        <v>45992</v>
      </c>
      <c r="AJ85" s="6">
        <v>46003</v>
      </c>
      <c r="AK85" s="1">
        <f t="shared" si="34"/>
        <v>0.66359999999999997</v>
      </c>
      <c r="AL85" t="s">
        <v>673</v>
      </c>
      <c r="AM85">
        <f t="shared" si="35"/>
        <v>0.33</v>
      </c>
    </row>
    <row r="86" spans="1:39" x14ac:dyDescent="0.55000000000000004">
      <c r="A86">
        <v>2661</v>
      </c>
      <c r="B86">
        <v>1007290</v>
      </c>
      <c r="C86">
        <v>328.75</v>
      </c>
      <c r="E86">
        <v>328.75</v>
      </c>
      <c r="F86">
        <v>3.29</v>
      </c>
      <c r="G86">
        <v>328.75</v>
      </c>
      <c r="H86" s="14">
        <f t="shared" si="32"/>
        <v>325.45999999999998</v>
      </c>
      <c r="I86" s="14" t="b">
        <f t="shared" si="33"/>
        <v>0</v>
      </c>
      <c r="J86" s="2">
        <v>46003</v>
      </c>
      <c r="K86" s="5">
        <v>1007290</v>
      </c>
      <c r="L86" s="5">
        <v>2661</v>
      </c>
      <c r="M86" s="5">
        <v>0</v>
      </c>
      <c r="N86" s="5">
        <v>328.75</v>
      </c>
      <c r="O86" s="7">
        <v>45992</v>
      </c>
      <c r="P86" s="5">
        <v>328.75</v>
      </c>
      <c r="Q86" s="5">
        <v>0</v>
      </c>
      <c r="R86" s="5" t="s">
        <v>32</v>
      </c>
      <c r="S86" s="5" t="s">
        <v>33</v>
      </c>
      <c r="T86" s="5">
        <v>3.29</v>
      </c>
      <c r="U86" s="5">
        <v>328.75</v>
      </c>
      <c r="V86" s="5" t="s">
        <v>34</v>
      </c>
      <c r="W86" s="5">
        <v>10</v>
      </c>
      <c r="X86" s="5" t="s">
        <v>83</v>
      </c>
      <c r="Y86" s="7">
        <v>46003</v>
      </c>
      <c r="Z86" s="7">
        <v>45992</v>
      </c>
      <c r="AA86" s="5" t="s">
        <v>32</v>
      </c>
      <c r="AB86" s="6">
        <v>46003</v>
      </c>
      <c r="AC86" s="7">
        <v>46003.572916666664</v>
      </c>
      <c r="AD86" s="5">
        <v>26611007290</v>
      </c>
      <c r="AE86" s="8">
        <v>45992</v>
      </c>
      <c r="AF86" s="5">
        <v>3018</v>
      </c>
      <c r="AG86" s="5" t="s">
        <v>37</v>
      </c>
      <c r="AH86" s="5">
        <v>205890</v>
      </c>
      <c r="AI86" s="6">
        <v>45992</v>
      </c>
      <c r="AJ86" s="6">
        <v>46003</v>
      </c>
      <c r="AK86" s="1">
        <f t="shared" si="34"/>
        <v>6.5750000000000002</v>
      </c>
      <c r="AL86" t="s">
        <v>673</v>
      </c>
      <c r="AM86">
        <f t="shared" si="35"/>
        <v>3.29</v>
      </c>
    </row>
    <row r="87" spans="1:39" x14ac:dyDescent="0.55000000000000004">
      <c r="A87">
        <v>2661</v>
      </c>
      <c r="B87">
        <v>1007405</v>
      </c>
      <c r="C87">
        <v>128.79</v>
      </c>
      <c r="E87">
        <v>128.79</v>
      </c>
      <c r="F87">
        <v>1.29</v>
      </c>
      <c r="G87">
        <v>128.79</v>
      </c>
      <c r="H87" s="14">
        <f t="shared" si="32"/>
        <v>127.49999999999999</v>
      </c>
      <c r="I87" s="14" t="b">
        <f t="shared" si="33"/>
        <v>0</v>
      </c>
      <c r="J87" s="2">
        <v>46003</v>
      </c>
      <c r="K87" s="5">
        <v>1007405</v>
      </c>
      <c r="L87" s="5">
        <v>2661</v>
      </c>
      <c r="M87" s="5">
        <v>0</v>
      </c>
      <c r="N87" s="5">
        <v>128.79</v>
      </c>
      <c r="O87" s="7">
        <v>45992</v>
      </c>
      <c r="P87" s="5">
        <v>128.79</v>
      </c>
      <c r="Q87" s="5">
        <v>0</v>
      </c>
      <c r="R87" s="5" t="s">
        <v>32</v>
      </c>
      <c r="S87" s="5" t="s">
        <v>33</v>
      </c>
      <c r="T87" s="5">
        <v>1.29</v>
      </c>
      <c r="U87" s="5">
        <v>128.79</v>
      </c>
      <c r="V87" s="5" t="s">
        <v>34</v>
      </c>
      <c r="W87" s="5">
        <v>10</v>
      </c>
      <c r="X87" s="5" t="s">
        <v>83</v>
      </c>
      <c r="Y87" s="7">
        <v>46003</v>
      </c>
      <c r="Z87" s="7">
        <v>45992</v>
      </c>
      <c r="AA87" s="5" t="s">
        <v>32</v>
      </c>
      <c r="AB87" s="6">
        <v>46003</v>
      </c>
      <c r="AC87" s="7">
        <v>46003.572916666664</v>
      </c>
      <c r="AD87" s="5">
        <v>26611007405</v>
      </c>
      <c r="AE87" s="8">
        <v>45992</v>
      </c>
      <c r="AF87" s="5">
        <v>3018</v>
      </c>
      <c r="AG87" s="5" t="s">
        <v>37</v>
      </c>
      <c r="AH87" s="5">
        <v>205910</v>
      </c>
      <c r="AI87" s="6">
        <v>45992</v>
      </c>
      <c r="AJ87" s="6">
        <v>46003</v>
      </c>
      <c r="AK87" s="1">
        <f t="shared" si="34"/>
        <v>2.5758000000000001</v>
      </c>
      <c r="AL87" t="s">
        <v>673</v>
      </c>
      <c r="AM87">
        <f t="shared" si="35"/>
        <v>1.29</v>
      </c>
    </row>
    <row r="88" spans="1:39" hidden="1" x14ac:dyDescent="0.55000000000000004">
      <c r="A88">
        <v>2661</v>
      </c>
      <c r="B88">
        <v>1007409</v>
      </c>
      <c r="C88">
        <v>349.44</v>
      </c>
      <c r="E88">
        <v>349.44</v>
      </c>
      <c r="F88">
        <v>3.49</v>
      </c>
      <c r="G88">
        <v>345.95</v>
      </c>
      <c r="H88"/>
      <c r="I88"/>
      <c r="J88" s="2">
        <v>46003</v>
      </c>
      <c r="K88" s="5">
        <v>1007409</v>
      </c>
      <c r="L88" s="5">
        <v>2661</v>
      </c>
      <c r="M88" s="5">
        <v>0</v>
      </c>
      <c r="N88" s="5">
        <v>349.44</v>
      </c>
      <c r="O88" s="7">
        <v>45992</v>
      </c>
      <c r="P88" s="5">
        <v>349.44</v>
      </c>
      <c r="Q88" s="5">
        <v>0</v>
      </c>
      <c r="R88" s="5" t="s">
        <v>32</v>
      </c>
      <c r="S88" s="5" t="s">
        <v>33</v>
      </c>
      <c r="T88" s="5">
        <v>3.49</v>
      </c>
      <c r="U88" s="5">
        <v>345.95</v>
      </c>
      <c r="V88" s="5" t="s">
        <v>34</v>
      </c>
      <c r="W88" s="5">
        <v>10</v>
      </c>
      <c r="X88" s="5" t="s">
        <v>83</v>
      </c>
      <c r="Y88" s="7">
        <v>46003</v>
      </c>
      <c r="Z88" s="7">
        <v>45992</v>
      </c>
      <c r="AA88" s="5" t="s">
        <v>32</v>
      </c>
      <c r="AB88" s="6">
        <v>46003</v>
      </c>
      <c r="AC88" s="7">
        <v>46003.572916666664</v>
      </c>
      <c r="AD88" s="5">
        <v>26611007409</v>
      </c>
      <c r="AE88" s="8">
        <v>45992</v>
      </c>
      <c r="AF88" s="5">
        <v>3018</v>
      </c>
      <c r="AG88" s="5" t="s">
        <v>38</v>
      </c>
      <c r="AH88" s="5">
        <v>205911</v>
      </c>
      <c r="AI88" s="6">
        <v>45992</v>
      </c>
      <c r="AJ88" s="6">
        <v>46003</v>
      </c>
    </row>
    <row r="89" spans="1:39" hidden="1" x14ac:dyDescent="0.55000000000000004">
      <c r="A89">
        <v>2661</v>
      </c>
      <c r="B89">
        <v>1007536</v>
      </c>
      <c r="C89">
        <v>350</v>
      </c>
      <c r="E89">
        <v>350</v>
      </c>
      <c r="F89">
        <v>3.5</v>
      </c>
      <c r="G89">
        <v>346.5</v>
      </c>
      <c r="H89"/>
      <c r="I89"/>
      <c r="J89" s="2">
        <v>46003</v>
      </c>
      <c r="K89" s="5">
        <v>1007536</v>
      </c>
      <c r="L89" s="5">
        <v>2661</v>
      </c>
      <c r="M89" s="5">
        <v>0</v>
      </c>
      <c r="N89" s="5">
        <v>350</v>
      </c>
      <c r="O89" s="7">
        <v>45993</v>
      </c>
      <c r="P89" s="5">
        <v>350</v>
      </c>
      <c r="Q89" s="5">
        <v>0</v>
      </c>
      <c r="R89" s="5" t="s">
        <v>32</v>
      </c>
      <c r="S89" s="5" t="s">
        <v>33</v>
      </c>
      <c r="T89" s="5">
        <v>3.5</v>
      </c>
      <c r="U89" s="5">
        <v>346.5</v>
      </c>
      <c r="V89" s="5" t="s">
        <v>34</v>
      </c>
      <c r="W89" s="5">
        <v>10</v>
      </c>
      <c r="X89" s="5" t="s">
        <v>83</v>
      </c>
      <c r="Y89" s="7">
        <v>46003</v>
      </c>
      <c r="Z89" s="7">
        <v>45993</v>
      </c>
      <c r="AA89" s="5" t="s">
        <v>32</v>
      </c>
      <c r="AB89" s="6">
        <v>46003</v>
      </c>
      <c r="AC89" s="7">
        <v>46003.572916666664</v>
      </c>
      <c r="AD89" s="5">
        <v>26611007536</v>
      </c>
      <c r="AE89" s="8">
        <v>45993</v>
      </c>
      <c r="AF89" s="5" t="s">
        <v>32</v>
      </c>
      <c r="AG89" s="5" t="s">
        <v>82</v>
      </c>
      <c r="AH89" s="5" t="s">
        <v>32</v>
      </c>
      <c r="AI89" s="6">
        <v>45993</v>
      </c>
      <c r="AJ89" s="6">
        <v>46003</v>
      </c>
    </row>
    <row r="90" spans="1:39" x14ac:dyDescent="0.55000000000000004">
      <c r="A90">
        <v>2661</v>
      </c>
      <c r="B90">
        <v>1008109</v>
      </c>
      <c r="C90">
        <v>17.55</v>
      </c>
      <c r="E90">
        <v>17.55</v>
      </c>
      <c r="F90">
        <v>0.18</v>
      </c>
      <c r="G90">
        <v>17.55</v>
      </c>
      <c r="H90" s="14">
        <f t="shared" ref="H90:H99" si="36">C90-D90-F90</f>
        <v>17.37</v>
      </c>
      <c r="I90" s="14" t="b">
        <f t="shared" ref="I90:I99" si="37">G90=H90</f>
        <v>0</v>
      </c>
      <c r="J90" s="2">
        <v>46003</v>
      </c>
      <c r="K90" s="5">
        <v>1008109</v>
      </c>
      <c r="L90" s="5">
        <v>2661</v>
      </c>
      <c r="M90" s="5">
        <v>0</v>
      </c>
      <c r="N90" s="5">
        <v>17.55</v>
      </c>
      <c r="O90" s="7">
        <v>45995</v>
      </c>
      <c r="P90" s="5">
        <v>17.55</v>
      </c>
      <c r="Q90" s="5">
        <v>0</v>
      </c>
      <c r="R90" s="5" t="s">
        <v>32</v>
      </c>
      <c r="S90" s="5" t="s">
        <v>33</v>
      </c>
      <c r="T90" s="5">
        <v>0.18</v>
      </c>
      <c r="U90" s="5">
        <v>17.55</v>
      </c>
      <c r="V90" s="5" t="s">
        <v>34</v>
      </c>
      <c r="W90" s="5">
        <v>10</v>
      </c>
      <c r="X90" s="5" t="s">
        <v>83</v>
      </c>
      <c r="Y90" s="7">
        <v>46003</v>
      </c>
      <c r="Z90" s="7">
        <v>45995</v>
      </c>
      <c r="AA90" s="5" t="s">
        <v>32</v>
      </c>
      <c r="AB90" s="6">
        <v>46003</v>
      </c>
      <c r="AC90" s="7">
        <v>46003.572916666664</v>
      </c>
      <c r="AD90" s="5">
        <v>26611008109</v>
      </c>
      <c r="AE90" s="8">
        <v>45995</v>
      </c>
      <c r="AF90" s="5">
        <v>2998</v>
      </c>
      <c r="AG90" s="5" t="s">
        <v>37</v>
      </c>
      <c r="AH90" s="5">
        <v>206388</v>
      </c>
      <c r="AI90" s="6">
        <v>45995</v>
      </c>
      <c r="AJ90" s="6">
        <v>46003</v>
      </c>
      <c r="AK90" s="1">
        <f t="shared" ref="AK90:AK99" si="38">0.02*C90</f>
        <v>0.35100000000000003</v>
      </c>
      <c r="AL90" t="s">
        <v>673</v>
      </c>
      <c r="AM90">
        <f>F90</f>
        <v>0.18</v>
      </c>
    </row>
    <row r="91" spans="1:39" x14ac:dyDescent="0.55000000000000004">
      <c r="A91">
        <v>2668</v>
      </c>
      <c r="B91">
        <v>1007178</v>
      </c>
      <c r="C91">
        <v>66.36</v>
      </c>
      <c r="D91" s="4">
        <v>1.33</v>
      </c>
      <c r="E91">
        <v>65.03</v>
      </c>
      <c r="F91">
        <v>0.66</v>
      </c>
      <c r="G91">
        <v>64.37</v>
      </c>
      <c r="H91" s="14">
        <f t="shared" si="36"/>
        <v>64.37</v>
      </c>
      <c r="I91" s="14" t="b">
        <f t="shared" si="37"/>
        <v>1</v>
      </c>
      <c r="J91" s="2">
        <v>46003</v>
      </c>
      <c r="K91" s="5">
        <v>1007178</v>
      </c>
      <c r="L91" s="5">
        <v>2668</v>
      </c>
      <c r="M91" s="5">
        <v>1.33</v>
      </c>
      <c r="N91" s="5">
        <v>66.36</v>
      </c>
      <c r="O91" s="7">
        <v>45992</v>
      </c>
      <c r="P91" s="5">
        <v>65.03</v>
      </c>
      <c r="Q91" s="5">
        <v>1.33</v>
      </c>
      <c r="R91" s="5" t="s">
        <v>32</v>
      </c>
      <c r="S91" s="5" t="s">
        <v>33</v>
      </c>
      <c r="T91" s="5">
        <v>0.66</v>
      </c>
      <c r="U91" s="5">
        <v>64.37</v>
      </c>
      <c r="V91" s="5" t="s">
        <v>34</v>
      </c>
      <c r="W91" s="5">
        <v>2</v>
      </c>
      <c r="X91" s="5">
        <v>3294433910953</v>
      </c>
      <c r="Y91" s="7">
        <v>46003</v>
      </c>
      <c r="Z91" s="7">
        <v>45992</v>
      </c>
      <c r="AB91" s="6">
        <v>46003</v>
      </c>
      <c r="AC91" s="7">
        <v>46001.370138888888</v>
      </c>
      <c r="AD91" s="5">
        <v>26681007178</v>
      </c>
      <c r="AE91" s="8">
        <v>45992</v>
      </c>
      <c r="AF91" s="5">
        <v>52268</v>
      </c>
      <c r="AG91" s="5" t="s">
        <v>37</v>
      </c>
      <c r="AH91" s="5">
        <v>205778</v>
      </c>
      <c r="AI91" s="6">
        <v>45992</v>
      </c>
      <c r="AJ91" s="6">
        <v>46003</v>
      </c>
      <c r="AK91" s="1">
        <f t="shared" si="38"/>
        <v>1.3271999999999999</v>
      </c>
    </row>
    <row r="92" spans="1:39" x14ac:dyDescent="0.55000000000000004">
      <c r="A92">
        <v>2668</v>
      </c>
      <c r="B92">
        <v>1007180</v>
      </c>
      <c r="C92">
        <v>66.36</v>
      </c>
      <c r="D92" s="4">
        <v>1.33</v>
      </c>
      <c r="E92">
        <v>65.03</v>
      </c>
      <c r="F92">
        <v>0.66</v>
      </c>
      <c r="G92">
        <v>64.37</v>
      </c>
      <c r="H92" s="14">
        <f t="shared" si="36"/>
        <v>64.37</v>
      </c>
      <c r="I92" s="14" t="b">
        <f t="shared" si="37"/>
        <v>1</v>
      </c>
      <c r="J92" s="2">
        <v>46003</v>
      </c>
      <c r="K92" s="5">
        <v>1007180</v>
      </c>
      <c r="L92" s="5">
        <v>2668</v>
      </c>
      <c r="M92" s="5">
        <v>1.33</v>
      </c>
      <c r="N92" s="5">
        <v>66.36</v>
      </c>
      <c r="O92" s="7">
        <v>45992</v>
      </c>
      <c r="P92" s="5">
        <v>65.03</v>
      </c>
      <c r="Q92" s="5">
        <v>1.33</v>
      </c>
      <c r="R92" s="5" t="s">
        <v>32</v>
      </c>
      <c r="S92" s="5" t="s">
        <v>33</v>
      </c>
      <c r="T92" s="5">
        <v>0.66</v>
      </c>
      <c r="U92" s="5">
        <v>64.37</v>
      </c>
      <c r="V92" s="5" t="s">
        <v>34</v>
      </c>
      <c r="W92" s="5">
        <v>2</v>
      </c>
      <c r="X92" s="5">
        <v>3294433910953</v>
      </c>
      <c r="Y92" s="7">
        <v>46003</v>
      </c>
      <c r="Z92" s="7">
        <v>45992</v>
      </c>
      <c r="AB92" s="6">
        <v>46003</v>
      </c>
      <c r="AC92" s="7">
        <v>46001.370138888888</v>
      </c>
      <c r="AD92" s="5">
        <v>26681007180</v>
      </c>
      <c r="AE92" s="8">
        <v>45992</v>
      </c>
      <c r="AF92" s="5">
        <v>52041</v>
      </c>
      <c r="AG92" s="5" t="s">
        <v>37</v>
      </c>
      <c r="AH92" s="5">
        <v>205776</v>
      </c>
      <c r="AI92" s="6">
        <v>45992</v>
      </c>
      <c r="AJ92" s="6">
        <v>46003</v>
      </c>
      <c r="AK92" s="1">
        <f t="shared" si="38"/>
        <v>1.3271999999999999</v>
      </c>
    </row>
    <row r="93" spans="1:39" x14ac:dyDescent="0.55000000000000004">
      <c r="A93">
        <v>2668</v>
      </c>
      <c r="B93">
        <v>1007183</v>
      </c>
      <c r="C93">
        <v>66.36</v>
      </c>
      <c r="D93" s="4">
        <v>1.33</v>
      </c>
      <c r="E93">
        <v>65.03</v>
      </c>
      <c r="F93">
        <v>0.66</v>
      </c>
      <c r="G93">
        <v>64.37</v>
      </c>
      <c r="H93" s="14">
        <f t="shared" si="36"/>
        <v>64.37</v>
      </c>
      <c r="I93" s="14" t="b">
        <f t="shared" si="37"/>
        <v>1</v>
      </c>
      <c r="J93" s="2">
        <v>46003</v>
      </c>
      <c r="K93" s="5">
        <v>1007183</v>
      </c>
      <c r="L93" s="5">
        <v>2668</v>
      </c>
      <c r="M93" s="5">
        <v>1.33</v>
      </c>
      <c r="N93" s="5">
        <v>66.36</v>
      </c>
      <c r="O93" s="7">
        <v>45992</v>
      </c>
      <c r="P93" s="5">
        <v>65.03</v>
      </c>
      <c r="Q93" s="5">
        <v>1.33</v>
      </c>
      <c r="R93" s="5" t="s">
        <v>32</v>
      </c>
      <c r="S93" s="5" t="s">
        <v>33</v>
      </c>
      <c r="T93" s="5">
        <v>0.66</v>
      </c>
      <c r="U93" s="5">
        <v>64.37</v>
      </c>
      <c r="V93" s="5" t="s">
        <v>34</v>
      </c>
      <c r="W93" s="5">
        <v>2</v>
      </c>
      <c r="X93" s="5">
        <v>3294433910953</v>
      </c>
      <c r="Y93" s="7">
        <v>46003</v>
      </c>
      <c r="Z93" s="7">
        <v>45992</v>
      </c>
      <c r="AB93" s="6">
        <v>46003</v>
      </c>
      <c r="AC93" s="7">
        <v>46001.370138888888</v>
      </c>
      <c r="AD93" s="5">
        <v>26681007183</v>
      </c>
      <c r="AE93" s="8">
        <v>45992</v>
      </c>
      <c r="AF93" s="5">
        <v>52295</v>
      </c>
      <c r="AG93" s="5" t="s">
        <v>37</v>
      </c>
      <c r="AH93" s="5">
        <v>205779</v>
      </c>
      <c r="AI93" s="6">
        <v>45992</v>
      </c>
      <c r="AJ93" s="6">
        <v>46003</v>
      </c>
      <c r="AK93" s="1">
        <f t="shared" si="38"/>
        <v>1.3271999999999999</v>
      </c>
    </row>
    <row r="94" spans="1:39" x14ac:dyDescent="0.55000000000000004">
      <c r="A94">
        <v>2668</v>
      </c>
      <c r="B94">
        <v>1007186</v>
      </c>
      <c r="C94">
        <v>66.36</v>
      </c>
      <c r="D94" s="4">
        <v>1.33</v>
      </c>
      <c r="E94">
        <v>65.03</v>
      </c>
      <c r="F94">
        <v>0.66</v>
      </c>
      <c r="G94">
        <v>64.37</v>
      </c>
      <c r="H94" s="14">
        <f t="shared" si="36"/>
        <v>64.37</v>
      </c>
      <c r="I94" s="14" t="b">
        <f t="shared" si="37"/>
        <v>1</v>
      </c>
      <c r="J94" s="2">
        <v>46003</v>
      </c>
      <c r="K94" s="5">
        <v>1007186</v>
      </c>
      <c r="L94" s="5">
        <v>2668</v>
      </c>
      <c r="M94" s="5">
        <v>1.33</v>
      </c>
      <c r="N94" s="5">
        <v>66.36</v>
      </c>
      <c r="O94" s="7">
        <v>45992</v>
      </c>
      <c r="P94" s="5">
        <v>65.03</v>
      </c>
      <c r="Q94" s="5">
        <v>1.33</v>
      </c>
      <c r="R94" s="5" t="s">
        <v>32</v>
      </c>
      <c r="S94" s="5" t="s">
        <v>33</v>
      </c>
      <c r="T94" s="5">
        <v>0.66</v>
      </c>
      <c r="U94" s="5">
        <v>64.37</v>
      </c>
      <c r="V94" s="5" t="s">
        <v>34</v>
      </c>
      <c r="W94" s="5">
        <v>2</v>
      </c>
      <c r="X94" s="5">
        <v>3294433910953</v>
      </c>
      <c r="Y94" s="7">
        <v>46003</v>
      </c>
      <c r="Z94" s="7">
        <v>45992</v>
      </c>
      <c r="AB94" s="6">
        <v>46003</v>
      </c>
      <c r="AC94" s="7">
        <v>46001.370138888888</v>
      </c>
      <c r="AD94" s="5">
        <v>26681007186</v>
      </c>
      <c r="AE94" s="8">
        <v>45992</v>
      </c>
      <c r="AF94" s="5">
        <v>52114</v>
      </c>
      <c r="AG94" s="5" t="s">
        <v>37</v>
      </c>
      <c r="AH94" s="5">
        <v>205777</v>
      </c>
      <c r="AI94" s="6">
        <v>45992</v>
      </c>
      <c r="AJ94" s="6">
        <v>46003</v>
      </c>
      <c r="AK94" s="1">
        <f t="shared" si="38"/>
        <v>1.3271999999999999</v>
      </c>
    </row>
    <row r="95" spans="1:39" x14ac:dyDescent="0.55000000000000004">
      <c r="A95">
        <v>2668</v>
      </c>
      <c r="B95">
        <v>1007237</v>
      </c>
      <c r="C95">
        <v>24.12</v>
      </c>
      <c r="D95" s="4">
        <v>0.48</v>
      </c>
      <c r="E95">
        <v>23.64</v>
      </c>
      <c r="F95">
        <v>0.24</v>
      </c>
      <c r="G95">
        <v>23.4</v>
      </c>
      <c r="H95" s="14">
        <f t="shared" si="36"/>
        <v>23.400000000000002</v>
      </c>
      <c r="I95" s="14" t="b">
        <f t="shared" si="37"/>
        <v>1</v>
      </c>
      <c r="J95" s="2">
        <v>46003</v>
      </c>
      <c r="K95" s="5">
        <v>1007237</v>
      </c>
      <c r="L95" s="5">
        <v>2668</v>
      </c>
      <c r="M95" s="5">
        <v>0.48</v>
      </c>
      <c r="N95" s="5">
        <v>24.12</v>
      </c>
      <c r="O95" s="7">
        <v>45992</v>
      </c>
      <c r="P95" s="5">
        <v>23.64</v>
      </c>
      <c r="Q95" s="5">
        <v>0.48</v>
      </c>
      <c r="R95" s="5" t="s">
        <v>32</v>
      </c>
      <c r="S95" s="5" t="s">
        <v>33</v>
      </c>
      <c r="T95" s="5">
        <v>0.24</v>
      </c>
      <c r="U95" s="5">
        <v>23.4</v>
      </c>
      <c r="V95" s="5" t="s">
        <v>34</v>
      </c>
      <c r="W95" s="5">
        <v>2</v>
      </c>
      <c r="X95" s="5">
        <v>3294433910953</v>
      </c>
      <c r="Y95" s="7">
        <v>46003</v>
      </c>
      <c r="Z95" s="7">
        <v>45992</v>
      </c>
      <c r="AB95" s="6">
        <v>46003</v>
      </c>
      <c r="AC95" s="7">
        <v>46001.370138888888</v>
      </c>
      <c r="AD95" s="5">
        <v>26681007237</v>
      </c>
      <c r="AE95" s="8">
        <v>45992</v>
      </c>
      <c r="AF95" s="5">
        <v>52623</v>
      </c>
      <c r="AG95" s="5" t="s">
        <v>37</v>
      </c>
      <c r="AH95" s="5">
        <v>205782</v>
      </c>
      <c r="AI95" s="6">
        <v>45992</v>
      </c>
      <c r="AJ95" s="6">
        <v>46003</v>
      </c>
      <c r="AK95" s="1">
        <f t="shared" si="38"/>
        <v>0.48240000000000005</v>
      </c>
    </row>
    <row r="96" spans="1:39" x14ac:dyDescent="0.55000000000000004">
      <c r="A96">
        <v>2668</v>
      </c>
      <c r="B96">
        <v>1007239</v>
      </c>
      <c r="C96">
        <v>37.409999999999997</v>
      </c>
      <c r="D96" s="4">
        <v>0.75</v>
      </c>
      <c r="E96">
        <v>36.659999999999997</v>
      </c>
      <c r="F96">
        <v>0.37</v>
      </c>
      <c r="G96">
        <v>36.29</v>
      </c>
      <c r="H96" s="14">
        <f t="shared" si="36"/>
        <v>36.29</v>
      </c>
      <c r="I96" s="14" t="b">
        <f t="shared" si="37"/>
        <v>1</v>
      </c>
      <c r="J96" s="2">
        <v>46003</v>
      </c>
      <c r="K96" s="5">
        <v>1007239</v>
      </c>
      <c r="L96" s="5">
        <v>2668</v>
      </c>
      <c r="M96" s="5">
        <v>0.75</v>
      </c>
      <c r="N96" s="5">
        <v>37.409999999999997</v>
      </c>
      <c r="O96" s="7">
        <v>45992</v>
      </c>
      <c r="P96" s="5">
        <v>36.659999999999997</v>
      </c>
      <c r="Q96" s="5">
        <v>0.75</v>
      </c>
      <c r="R96" s="5" t="s">
        <v>32</v>
      </c>
      <c r="S96" s="5" t="s">
        <v>33</v>
      </c>
      <c r="T96" s="5">
        <v>0.37</v>
      </c>
      <c r="U96" s="5">
        <v>36.29</v>
      </c>
      <c r="V96" s="5" t="s">
        <v>34</v>
      </c>
      <c r="W96" s="5">
        <v>2</v>
      </c>
      <c r="X96" s="5">
        <v>3294433910953</v>
      </c>
      <c r="Y96" s="7">
        <v>46003</v>
      </c>
      <c r="Z96" s="7">
        <v>45992</v>
      </c>
      <c r="AB96" s="6">
        <v>46003</v>
      </c>
      <c r="AC96" s="7">
        <v>46001.370138888888</v>
      </c>
      <c r="AD96" s="5">
        <v>26681007239</v>
      </c>
      <c r="AE96" s="8">
        <v>45992</v>
      </c>
      <c r="AF96" s="5">
        <v>52519</v>
      </c>
      <c r="AG96" s="5" t="s">
        <v>37</v>
      </c>
      <c r="AH96" s="5">
        <v>205780</v>
      </c>
      <c r="AI96" s="6">
        <v>45992</v>
      </c>
      <c r="AJ96" s="6">
        <v>46003</v>
      </c>
      <c r="AK96" s="1">
        <f t="shared" si="38"/>
        <v>0.74819999999999998</v>
      </c>
    </row>
    <row r="97" spans="1:37" x14ac:dyDescent="0.55000000000000004">
      <c r="A97">
        <v>2668</v>
      </c>
      <c r="B97">
        <v>1007246</v>
      </c>
      <c r="C97">
        <v>37.409999999999997</v>
      </c>
      <c r="D97" s="4">
        <v>0.75</v>
      </c>
      <c r="E97">
        <v>36.659999999999997</v>
      </c>
      <c r="F97">
        <v>0.37</v>
      </c>
      <c r="G97">
        <v>36.29</v>
      </c>
      <c r="H97" s="14">
        <f t="shared" si="36"/>
        <v>36.29</v>
      </c>
      <c r="I97" s="14" t="b">
        <f t="shared" si="37"/>
        <v>1</v>
      </c>
      <c r="J97" s="2">
        <v>46003</v>
      </c>
      <c r="K97" s="5">
        <v>1007246</v>
      </c>
      <c r="L97" s="5">
        <v>2668</v>
      </c>
      <c r="M97" s="5">
        <v>0.75</v>
      </c>
      <c r="N97" s="5">
        <v>37.409999999999997</v>
      </c>
      <c r="O97" s="7">
        <v>45992</v>
      </c>
      <c r="P97" s="5">
        <v>36.659999999999997</v>
      </c>
      <c r="Q97" s="5">
        <v>0.75</v>
      </c>
      <c r="R97" s="5" t="s">
        <v>32</v>
      </c>
      <c r="S97" s="5" t="s">
        <v>33</v>
      </c>
      <c r="T97" s="5">
        <v>0.37</v>
      </c>
      <c r="U97" s="5">
        <v>36.29</v>
      </c>
      <c r="V97" s="5" t="s">
        <v>34</v>
      </c>
      <c r="W97" s="5">
        <v>2</v>
      </c>
      <c r="X97" s="5">
        <v>3294433910953</v>
      </c>
      <c r="Y97" s="7">
        <v>46003</v>
      </c>
      <c r="Z97" s="7">
        <v>45992</v>
      </c>
      <c r="AB97" s="6">
        <v>46003</v>
      </c>
      <c r="AC97" s="7">
        <v>46001.370138888888</v>
      </c>
      <c r="AD97" s="5">
        <v>26681007246</v>
      </c>
      <c r="AE97" s="8">
        <v>45992</v>
      </c>
      <c r="AF97" s="5">
        <v>52584</v>
      </c>
      <c r="AG97" s="5" t="s">
        <v>37</v>
      </c>
      <c r="AH97" s="5">
        <v>205781</v>
      </c>
      <c r="AI97" s="6">
        <v>45992</v>
      </c>
      <c r="AJ97" s="6">
        <v>46003</v>
      </c>
      <c r="AK97" s="1">
        <f t="shared" si="38"/>
        <v>0.74819999999999998</v>
      </c>
    </row>
    <row r="98" spans="1:37" x14ac:dyDescent="0.55000000000000004">
      <c r="A98">
        <v>2668</v>
      </c>
      <c r="B98">
        <v>1007457</v>
      </c>
      <c r="C98">
        <v>127.73</v>
      </c>
      <c r="D98" s="4">
        <v>2.5499999999999998</v>
      </c>
      <c r="E98">
        <v>125.18</v>
      </c>
      <c r="F98">
        <v>1.28</v>
      </c>
      <c r="G98">
        <v>123.9</v>
      </c>
      <c r="H98" s="14">
        <f t="shared" si="36"/>
        <v>123.9</v>
      </c>
      <c r="I98" s="14" t="b">
        <f t="shared" si="37"/>
        <v>1</v>
      </c>
      <c r="J98" s="2">
        <v>46003</v>
      </c>
      <c r="K98" s="5">
        <v>1007457</v>
      </c>
      <c r="L98" s="5">
        <v>2668</v>
      </c>
      <c r="M98" s="5">
        <v>2.5499999999999998</v>
      </c>
      <c r="N98" s="5">
        <v>127.73</v>
      </c>
      <c r="O98" s="7">
        <v>45992</v>
      </c>
      <c r="P98" s="5">
        <v>125.18</v>
      </c>
      <c r="Q98" s="5">
        <v>2.5499999999999998</v>
      </c>
      <c r="R98" s="5" t="s">
        <v>32</v>
      </c>
      <c r="S98" s="5" t="s">
        <v>33</v>
      </c>
      <c r="T98" s="5">
        <v>1.28</v>
      </c>
      <c r="U98" s="5">
        <v>123.9</v>
      </c>
      <c r="V98" s="5" t="s">
        <v>34</v>
      </c>
      <c r="W98" s="5">
        <v>2</v>
      </c>
      <c r="X98" s="5">
        <v>3294433910953</v>
      </c>
      <c r="Y98" s="7">
        <v>46003</v>
      </c>
      <c r="Z98" s="7">
        <v>45992</v>
      </c>
      <c r="AB98" s="6">
        <v>46003</v>
      </c>
      <c r="AC98" s="7">
        <v>46001.370138888888</v>
      </c>
      <c r="AD98" s="5">
        <v>26681007457</v>
      </c>
      <c r="AE98" s="8">
        <v>45992</v>
      </c>
      <c r="AF98" s="5">
        <v>52538</v>
      </c>
      <c r="AG98" s="5" t="s">
        <v>37</v>
      </c>
      <c r="AH98" s="5">
        <v>205961</v>
      </c>
      <c r="AI98" s="6">
        <v>45992</v>
      </c>
      <c r="AJ98" s="6">
        <v>46003</v>
      </c>
      <c r="AK98" s="1">
        <f t="shared" si="38"/>
        <v>2.5546000000000002</v>
      </c>
    </row>
    <row r="99" spans="1:37" x14ac:dyDescent="0.55000000000000004">
      <c r="A99">
        <v>2668</v>
      </c>
      <c r="B99">
        <v>1007466</v>
      </c>
      <c r="C99">
        <v>118.89</v>
      </c>
      <c r="D99" s="4">
        <v>2.38</v>
      </c>
      <c r="E99">
        <v>116.51</v>
      </c>
      <c r="F99">
        <v>1.19</v>
      </c>
      <c r="G99">
        <v>115.32</v>
      </c>
      <c r="H99" s="14">
        <f t="shared" si="36"/>
        <v>115.32000000000001</v>
      </c>
      <c r="I99" s="14" t="b">
        <f t="shared" si="37"/>
        <v>1</v>
      </c>
      <c r="J99" s="2">
        <v>46003</v>
      </c>
      <c r="K99" s="5">
        <v>1007466</v>
      </c>
      <c r="L99" s="5">
        <v>2668</v>
      </c>
      <c r="M99" s="5">
        <v>2.38</v>
      </c>
      <c r="N99" s="5">
        <v>118.89</v>
      </c>
      <c r="O99" s="7">
        <v>45992</v>
      </c>
      <c r="P99" s="5">
        <v>116.51</v>
      </c>
      <c r="Q99" s="5">
        <v>2.38</v>
      </c>
      <c r="R99" s="5" t="s">
        <v>32</v>
      </c>
      <c r="S99" s="5" t="s">
        <v>33</v>
      </c>
      <c r="T99" s="5">
        <v>1.19</v>
      </c>
      <c r="U99" s="5">
        <v>115.32</v>
      </c>
      <c r="V99" s="5" t="s">
        <v>34</v>
      </c>
      <c r="W99" s="5">
        <v>2</v>
      </c>
      <c r="X99" s="5">
        <v>3294433910953</v>
      </c>
      <c r="Y99" s="7">
        <v>46003</v>
      </c>
      <c r="Z99" s="7">
        <v>45992</v>
      </c>
      <c r="AB99" s="6">
        <v>46003</v>
      </c>
      <c r="AC99" s="7">
        <v>46001.370138888888</v>
      </c>
      <c r="AD99" s="5">
        <v>26681007466</v>
      </c>
      <c r="AE99" s="8">
        <v>45992</v>
      </c>
      <c r="AF99" s="5">
        <v>52600</v>
      </c>
      <c r="AG99" s="5" t="s">
        <v>37</v>
      </c>
      <c r="AH99" s="5">
        <v>206003</v>
      </c>
      <c r="AI99" s="6">
        <v>45992</v>
      </c>
      <c r="AJ99" s="6">
        <v>46003</v>
      </c>
      <c r="AK99" s="1">
        <f t="shared" si="38"/>
        <v>2.3778000000000001</v>
      </c>
    </row>
    <row r="100" spans="1:37" hidden="1" x14ac:dyDescent="0.55000000000000004">
      <c r="A100">
        <v>2668</v>
      </c>
      <c r="B100">
        <v>1007571</v>
      </c>
      <c r="C100" s="1">
        <v>3990</v>
      </c>
      <c r="E100" s="1">
        <v>3990</v>
      </c>
      <c r="F100">
        <v>39.9</v>
      </c>
      <c r="G100" s="1">
        <v>3950.1</v>
      </c>
      <c r="H100" s="1"/>
      <c r="I100" s="1"/>
      <c r="J100" s="2">
        <v>46003</v>
      </c>
      <c r="K100" s="5">
        <v>1007571</v>
      </c>
      <c r="L100" s="5">
        <v>2668</v>
      </c>
      <c r="M100" s="5">
        <v>0</v>
      </c>
      <c r="N100" s="5">
        <v>3990</v>
      </c>
      <c r="O100" s="7">
        <v>45993</v>
      </c>
      <c r="P100" s="5">
        <v>3990</v>
      </c>
      <c r="Q100" s="5">
        <v>0</v>
      </c>
      <c r="R100" s="5" t="s">
        <v>32</v>
      </c>
      <c r="S100" s="5" t="s">
        <v>33</v>
      </c>
      <c r="T100" s="5">
        <v>39.9</v>
      </c>
      <c r="U100" s="5">
        <v>3950.1</v>
      </c>
      <c r="V100" s="5" t="s">
        <v>34</v>
      </c>
      <c r="W100" s="5">
        <v>2</v>
      </c>
      <c r="X100" s="5">
        <v>3294433910953</v>
      </c>
      <c r="Y100" s="7">
        <v>46003</v>
      </c>
      <c r="Z100" s="7">
        <v>45993</v>
      </c>
      <c r="AB100" s="6">
        <v>46003</v>
      </c>
      <c r="AC100" s="7">
        <v>46001.370138888888</v>
      </c>
      <c r="AD100" s="5">
        <v>26681007571</v>
      </c>
      <c r="AE100" s="8">
        <v>45993</v>
      </c>
      <c r="AF100" s="5" t="s">
        <v>32</v>
      </c>
      <c r="AG100" s="5" t="s">
        <v>35</v>
      </c>
      <c r="AH100" s="5" t="s">
        <v>32</v>
      </c>
      <c r="AI100" s="6">
        <v>45993</v>
      </c>
      <c r="AJ100" s="6">
        <v>46003</v>
      </c>
    </row>
    <row r="101" spans="1:37" hidden="1" x14ac:dyDescent="0.55000000000000004">
      <c r="A101">
        <v>2668</v>
      </c>
      <c r="B101">
        <v>1007676</v>
      </c>
      <c r="C101" s="1">
        <v>1679.96</v>
      </c>
      <c r="E101" s="1">
        <v>1679.96</v>
      </c>
      <c r="F101">
        <v>16.8</v>
      </c>
      <c r="G101" s="1">
        <v>1663.16</v>
      </c>
      <c r="H101" s="1"/>
      <c r="I101" s="1"/>
      <c r="J101" s="2">
        <v>46003</v>
      </c>
      <c r="K101" s="5">
        <v>1007676</v>
      </c>
      <c r="L101" s="5">
        <v>2668</v>
      </c>
      <c r="M101" s="5">
        <v>0</v>
      </c>
      <c r="N101" s="5">
        <v>1679.96</v>
      </c>
      <c r="O101" s="7">
        <v>45993</v>
      </c>
      <c r="P101" s="5">
        <v>1679.96</v>
      </c>
      <c r="Q101" s="5">
        <v>0</v>
      </c>
      <c r="R101" s="5" t="s">
        <v>32</v>
      </c>
      <c r="S101" s="5" t="s">
        <v>33</v>
      </c>
      <c r="T101" s="5">
        <v>16.8</v>
      </c>
      <c r="U101" s="5">
        <v>1663.16</v>
      </c>
      <c r="V101" s="5" t="s">
        <v>34</v>
      </c>
      <c r="W101" s="5">
        <v>2</v>
      </c>
      <c r="X101" s="5">
        <v>3294433910953</v>
      </c>
      <c r="Y101" s="7">
        <v>46003</v>
      </c>
      <c r="Z101" s="7">
        <v>45993</v>
      </c>
      <c r="AB101" s="6">
        <v>46003</v>
      </c>
      <c r="AC101" s="7">
        <v>46001.370138888888</v>
      </c>
      <c r="AD101" s="5">
        <v>26681007676</v>
      </c>
      <c r="AE101" s="8">
        <v>45993</v>
      </c>
      <c r="AF101" s="5">
        <v>52678</v>
      </c>
      <c r="AG101" s="5" t="s">
        <v>38</v>
      </c>
      <c r="AH101" s="5">
        <v>206107</v>
      </c>
      <c r="AI101" s="6">
        <v>45993</v>
      </c>
      <c r="AJ101" s="6">
        <v>46003</v>
      </c>
    </row>
    <row r="102" spans="1:37" x14ac:dyDescent="0.55000000000000004">
      <c r="A102">
        <v>2668</v>
      </c>
      <c r="B102">
        <v>1007743</v>
      </c>
      <c r="C102">
        <v>955.11</v>
      </c>
      <c r="D102" s="4">
        <v>19.100000000000001</v>
      </c>
      <c r="E102">
        <v>936.01</v>
      </c>
      <c r="F102">
        <v>9.5500000000000007</v>
      </c>
      <c r="G102">
        <v>926.46</v>
      </c>
      <c r="H102" s="14">
        <f t="shared" ref="H102:H103" si="39">C102-D102-F102</f>
        <v>926.46</v>
      </c>
      <c r="I102" s="14" t="b">
        <f t="shared" ref="I102:I103" si="40">G102=H102</f>
        <v>1</v>
      </c>
      <c r="J102" s="2">
        <v>46003</v>
      </c>
      <c r="K102" s="5">
        <v>1007743</v>
      </c>
      <c r="L102" s="5">
        <v>2668</v>
      </c>
      <c r="M102" s="5">
        <v>19.100000000000001</v>
      </c>
      <c r="N102" s="5">
        <v>955.11</v>
      </c>
      <c r="O102" s="7">
        <v>45993</v>
      </c>
      <c r="P102" s="5">
        <v>936.01</v>
      </c>
      <c r="Q102" s="5">
        <v>19.100000000000001</v>
      </c>
      <c r="R102" s="5" t="s">
        <v>32</v>
      </c>
      <c r="S102" s="5" t="s">
        <v>33</v>
      </c>
      <c r="T102" s="5">
        <v>9.5500000000000007</v>
      </c>
      <c r="U102" s="5">
        <v>926.46</v>
      </c>
      <c r="V102" s="5" t="s">
        <v>34</v>
      </c>
      <c r="W102" s="5">
        <v>2</v>
      </c>
      <c r="X102" s="5">
        <v>3294433910953</v>
      </c>
      <c r="Y102" s="7">
        <v>46003</v>
      </c>
      <c r="Z102" s="7">
        <v>45993</v>
      </c>
      <c r="AB102" s="6">
        <v>46003</v>
      </c>
      <c r="AC102" s="7">
        <v>46001.370138888888</v>
      </c>
      <c r="AD102" s="5">
        <v>26681007743</v>
      </c>
      <c r="AE102" s="8">
        <v>45993</v>
      </c>
      <c r="AF102" s="5">
        <v>52709</v>
      </c>
      <c r="AG102" s="5" t="s">
        <v>37</v>
      </c>
      <c r="AH102" s="5">
        <v>206150</v>
      </c>
      <c r="AI102" s="6">
        <v>45993</v>
      </c>
      <c r="AJ102" s="6">
        <v>46003</v>
      </c>
      <c r="AK102" s="1">
        <f t="shared" ref="AK102:AK103" si="41">0.02*C102</f>
        <v>19.1022</v>
      </c>
    </row>
    <row r="103" spans="1:37" x14ac:dyDescent="0.55000000000000004">
      <c r="A103">
        <v>2668</v>
      </c>
      <c r="B103">
        <v>1007762</v>
      </c>
      <c r="C103" s="1">
        <v>1239.78</v>
      </c>
      <c r="D103" s="4">
        <v>24.8</v>
      </c>
      <c r="E103" s="1">
        <v>1214.98</v>
      </c>
      <c r="F103">
        <v>12.4</v>
      </c>
      <c r="G103" s="1">
        <v>1202.58</v>
      </c>
      <c r="H103" s="14">
        <f t="shared" si="39"/>
        <v>1202.58</v>
      </c>
      <c r="I103" s="14" t="b">
        <f t="shared" si="40"/>
        <v>1</v>
      </c>
      <c r="J103" s="2">
        <v>46003</v>
      </c>
      <c r="K103" s="5">
        <v>1007762</v>
      </c>
      <c r="L103" s="5">
        <v>2668</v>
      </c>
      <c r="M103" s="5">
        <v>24.8</v>
      </c>
      <c r="N103" s="5">
        <v>1239.78</v>
      </c>
      <c r="O103" s="7">
        <v>45993</v>
      </c>
      <c r="P103" s="5">
        <v>1214.98</v>
      </c>
      <c r="Q103" s="5">
        <v>24.8</v>
      </c>
      <c r="R103" s="5" t="s">
        <v>32</v>
      </c>
      <c r="S103" s="5" t="s">
        <v>33</v>
      </c>
      <c r="T103" s="5">
        <v>12.4</v>
      </c>
      <c r="U103" s="5">
        <v>1202.58</v>
      </c>
      <c r="V103" s="5" t="s">
        <v>34</v>
      </c>
      <c r="W103" s="5">
        <v>2</v>
      </c>
      <c r="X103" s="5">
        <v>3294433910953</v>
      </c>
      <c r="Y103" s="7">
        <v>46003</v>
      </c>
      <c r="Z103" s="7">
        <v>45993</v>
      </c>
      <c r="AB103" s="6">
        <v>46003</v>
      </c>
      <c r="AC103" s="7">
        <v>46001.370138888888</v>
      </c>
      <c r="AD103" s="5">
        <v>26681007762</v>
      </c>
      <c r="AE103" s="8">
        <v>45993</v>
      </c>
      <c r="AF103" s="5">
        <v>52709</v>
      </c>
      <c r="AG103" s="5" t="s">
        <v>37</v>
      </c>
      <c r="AH103" s="5">
        <v>206211</v>
      </c>
      <c r="AI103" s="6">
        <v>45993</v>
      </c>
      <c r="AJ103" s="6">
        <v>46003</v>
      </c>
      <c r="AK103" s="1">
        <f t="shared" si="41"/>
        <v>24.7956</v>
      </c>
    </row>
    <row r="104" spans="1:37" hidden="1" x14ac:dyDescent="0.55000000000000004">
      <c r="A104">
        <v>2668</v>
      </c>
      <c r="B104">
        <v>1007766</v>
      </c>
      <c r="C104">
        <v>397.67</v>
      </c>
      <c r="E104">
        <v>397.67</v>
      </c>
      <c r="F104">
        <v>3.98</v>
      </c>
      <c r="G104">
        <v>393.69</v>
      </c>
      <c r="H104"/>
      <c r="I104"/>
      <c r="J104" s="2">
        <v>46003</v>
      </c>
      <c r="K104" s="5">
        <v>1007766</v>
      </c>
      <c r="L104" s="5">
        <v>2668</v>
      </c>
      <c r="M104" s="5">
        <v>0</v>
      </c>
      <c r="N104" s="5">
        <v>397.67</v>
      </c>
      <c r="O104" s="7">
        <v>45993</v>
      </c>
      <c r="P104" s="5">
        <v>397.67</v>
      </c>
      <c r="Q104" s="5">
        <v>0</v>
      </c>
      <c r="R104" s="5" t="s">
        <v>32</v>
      </c>
      <c r="S104" s="5" t="s">
        <v>33</v>
      </c>
      <c r="T104" s="5">
        <v>3.98</v>
      </c>
      <c r="U104" s="5">
        <v>393.69</v>
      </c>
      <c r="V104" s="5" t="s">
        <v>34</v>
      </c>
      <c r="W104" s="5">
        <v>2</v>
      </c>
      <c r="X104" s="5">
        <v>3294433910953</v>
      </c>
      <c r="Y104" s="7">
        <v>46003</v>
      </c>
      <c r="Z104" s="7">
        <v>45993</v>
      </c>
      <c r="AB104" s="6">
        <v>46003</v>
      </c>
      <c r="AC104" s="7">
        <v>46001.370138888888</v>
      </c>
      <c r="AD104" s="5">
        <v>26681007766</v>
      </c>
      <c r="AE104" s="8">
        <v>45993</v>
      </c>
      <c r="AF104" s="5">
        <v>52709</v>
      </c>
      <c r="AG104" s="5" t="s">
        <v>38</v>
      </c>
      <c r="AH104" s="5">
        <v>206212</v>
      </c>
      <c r="AI104" s="6">
        <v>45993</v>
      </c>
      <c r="AJ104" s="6">
        <v>46003</v>
      </c>
    </row>
    <row r="105" spans="1:37" hidden="1" x14ac:dyDescent="0.55000000000000004">
      <c r="A105">
        <v>2668</v>
      </c>
      <c r="B105">
        <v>1007940</v>
      </c>
      <c r="C105">
        <v>428.78</v>
      </c>
      <c r="E105">
        <v>428.78</v>
      </c>
      <c r="F105">
        <v>4.29</v>
      </c>
      <c r="G105">
        <v>424.49</v>
      </c>
      <c r="H105"/>
      <c r="I105"/>
      <c r="J105" s="2">
        <v>46003</v>
      </c>
      <c r="K105" s="5">
        <v>1007940</v>
      </c>
      <c r="L105" s="5">
        <v>2668</v>
      </c>
      <c r="M105" s="5">
        <v>0</v>
      </c>
      <c r="N105" s="5">
        <v>428.78</v>
      </c>
      <c r="O105" s="7">
        <v>45994</v>
      </c>
      <c r="P105" s="5">
        <v>428.78</v>
      </c>
      <c r="Q105" s="5">
        <v>0</v>
      </c>
      <c r="R105" s="5" t="s">
        <v>32</v>
      </c>
      <c r="S105" s="5" t="s">
        <v>33</v>
      </c>
      <c r="T105" s="5">
        <v>4.29</v>
      </c>
      <c r="U105" s="5">
        <v>424.49</v>
      </c>
      <c r="V105" s="5" t="s">
        <v>34</v>
      </c>
      <c r="W105" s="5">
        <v>2</v>
      </c>
      <c r="X105" s="5">
        <v>3294433910953</v>
      </c>
      <c r="Y105" s="7">
        <v>46003</v>
      </c>
      <c r="Z105" s="7">
        <v>45994</v>
      </c>
      <c r="AB105" s="6">
        <v>46003</v>
      </c>
      <c r="AC105" s="7">
        <v>46001.370138888888</v>
      </c>
      <c r="AD105" s="5">
        <v>26681007940</v>
      </c>
      <c r="AE105" s="8">
        <v>45994</v>
      </c>
      <c r="AF105" s="5">
        <v>52717</v>
      </c>
      <c r="AG105" s="5" t="s">
        <v>38</v>
      </c>
      <c r="AH105" s="5">
        <v>206280</v>
      </c>
      <c r="AI105" s="6">
        <v>45994</v>
      </c>
      <c r="AJ105" s="6">
        <v>46003</v>
      </c>
    </row>
    <row r="106" spans="1:37" x14ac:dyDescent="0.55000000000000004">
      <c r="A106">
        <v>2668</v>
      </c>
      <c r="B106">
        <v>1007964</v>
      </c>
      <c r="C106">
        <v>61.17</v>
      </c>
      <c r="D106" s="4">
        <v>1.22</v>
      </c>
      <c r="E106">
        <v>59.95</v>
      </c>
      <c r="F106">
        <v>0.61</v>
      </c>
      <c r="G106">
        <v>59.34</v>
      </c>
      <c r="H106" s="14">
        <f t="shared" ref="H106:H109" si="42">C106-D106-F106</f>
        <v>59.34</v>
      </c>
      <c r="I106" s="14" t="b">
        <f t="shared" ref="I106:I109" si="43">G106=H106</f>
        <v>1</v>
      </c>
      <c r="J106" s="2">
        <v>46003</v>
      </c>
      <c r="K106" s="5">
        <v>1007964</v>
      </c>
      <c r="L106" s="5">
        <v>2668</v>
      </c>
      <c r="M106" s="5">
        <v>1.22</v>
      </c>
      <c r="N106" s="5">
        <v>61.17</v>
      </c>
      <c r="O106" s="7">
        <v>45994</v>
      </c>
      <c r="P106" s="5">
        <v>59.95</v>
      </c>
      <c r="Q106" s="5">
        <v>1.22</v>
      </c>
      <c r="R106" s="5" t="s">
        <v>32</v>
      </c>
      <c r="S106" s="5" t="s">
        <v>33</v>
      </c>
      <c r="T106" s="5">
        <v>0.61</v>
      </c>
      <c r="U106" s="5">
        <v>59.34</v>
      </c>
      <c r="V106" s="5" t="s">
        <v>34</v>
      </c>
      <c r="W106" s="5">
        <v>2</v>
      </c>
      <c r="X106" s="5">
        <v>3294433910953</v>
      </c>
      <c r="Y106" s="7">
        <v>46003</v>
      </c>
      <c r="Z106" s="7">
        <v>45994</v>
      </c>
      <c r="AB106" s="6">
        <v>46003</v>
      </c>
      <c r="AC106" s="7">
        <v>46001.370138888888</v>
      </c>
      <c r="AD106" s="5">
        <v>26681007964</v>
      </c>
      <c r="AE106" s="8">
        <v>45994</v>
      </c>
      <c r="AF106" s="5">
        <v>52717</v>
      </c>
      <c r="AG106" s="5" t="s">
        <v>37</v>
      </c>
      <c r="AH106" s="5">
        <v>206265</v>
      </c>
      <c r="AI106" s="6">
        <v>45994</v>
      </c>
      <c r="AJ106" s="6">
        <v>46003</v>
      </c>
      <c r="AK106" s="1">
        <f t="shared" ref="AK106:AK109" si="44">0.02*C106</f>
        <v>1.2234</v>
      </c>
    </row>
    <row r="107" spans="1:37" x14ac:dyDescent="0.55000000000000004">
      <c r="A107">
        <v>2668</v>
      </c>
      <c r="B107">
        <v>1008017</v>
      </c>
      <c r="C107">
        <v>870.95</v>
      </c>
      <c r="D107" s="4">
        <v>17.420000000000002</v>
      </c>
      <c r="E107">
        <v>853.53</v>
      </c>
      <c r="F107">
        <v>8.7100000000000009</v>
      </c>
      <c r="G107">
        <v>844.82</v>
      </c>
      <c r="H107" s="14">
        <f t="shared" si="42"/>
        <v>844.82</v>
      </c>
      <c r="I107" s="14" t="b">
        <f t="shared" si="43"/>
        <v>1</v>
      </c>
      <c r="J107" s="2">
        <v>46003</v>
      </c>
      <c r="K107" s="5">
        <v>1008017</v>
      </c>
      <c r="L107" s="5">
        <v>2668</v>
      </c>
      <c r="M107" s="5">
        <v>17.420000000000002</v>
      </c>
      <c r="N107" s="5">
        <v>870.95</v>
      </c>
      <c r="O107" s="7">
        <v>45994</v>
      </c>
      <c r="P107" s="5">
        <v>853.53</v>
      </c>
      <c r="Q107" s="5">
        <v>17.420000000000002</v>
      </c>
      <c r="R107" s="5" t="s">
        <v>32</v>
      </c>
      <c r="S107" s="5" t="s">
        <v>33</v>
      </c>
      <c r="T107" s="5">
        <v>8.7100000000000009</v>
      </c>
      <c r="U107" s="5">
        <v>844.82</v>
      </c>
      <c r="V107" s="5" t="s">
        <v>34</v>
      </c>
      <c r="W107" s="5">
        <v>2</v>
      </c>
      <c r="X107" s="5">
        <v>3294433910953</v>
      </c>
      <c r="Y107" s="7">
        <v>46003</v>
      </c>
      <c r="Z107" s="7">
        <v>45994</v>
      </c>
      <c r="AB107" s="6">
        <v>46003</v>
      </c>
      <c r="AC107" s="7">
        <v>46001.370138888888</v>
      </c>
      <c r="AD107" s="5">
        <v>26681008017</v>
      </c>
      <c r="AE107" s="8">
        <v>45994</v>
      </c>
      <c r="AF107" s="5">
        <v>52717</v>
      </c>
      <c r="AG107" s="5" t="s">
        <v>37</v>
      </c>
      <c r="AH107" s="5">
        <v>206279</v>
      </c>
      <c r="AI107" s="6">
        <v>45994</v>
      </c>
      <c r="AJ107" s="6">
        <v>46003</v>
      </c>
      <c r="AK107" s="1">
        <f t="shared" si="44"/>
        <v>17.419</v>
      </c>
    </row>
    <row r="108" spans="1:37" x14ac:dyDescent="0.55000000000000004">
      <c r="A108">
        <v>2668</v>
      </c>
      <c r="B108">
        <v>1008030</v>
      </c>
      <c r="C108">
        <v>41.5</v>
      </c>
      <c r="D108" s="4">
        <v>0.83</v>
      </c>
      <c r="E108">
        <v>40.67</v>
      </c>
      <c r="F108">
        <v>0.42</v>
      </c>
      <c r="G108">
        <v>40.25</v>
      </c>
      <c r="H108" s="14">
        <f t="shared" si="42"/>
        <v>40.25</v>
      </c>
      <c r="I108" s="14" t="b">
        <f t="shared" si="43"/>
        <v>1</v>
      </c>
      <c r="J108" s="2">
        <v>46003</v>
      </c>
      <c r="K108" s="5">
        <v>1008030</v>
      </c>
      <c r="L108" s="5">
        <v>2668</v>
      </c>
      <c r="M108" s="5">
        <v>0.83</v>
      </c>
      <c r="N108" s="5">
        <v>41.5</v>
      </c>
      <c r="O108" s="7">
        <v>45994</v>
      </c>
      <c r="P108" s="5">
        <v>40.67</v>
      </c>
      <c r="Q108" s="5">
        <v>0.83</v>
      </c>
      <c r="R108" s="5" t="s">
        <v>32</v>
      </c>
      <c r="S108" s="5" t="s">
        <v>33</v>
      </c>
      <c r="T108" s="5">
        <v>0.42</v>
      </c>
      <c r="U108" s="5">
        <v>40.25</v>
      </c>
      <c r="V108" s="5" t="s">
        <v>34</v>
      </c>
      <c r="W108" s="5">
        <v>2</v>
      </c>
      <c r="X108" s="5">
        <v>3294433910953</v>
      </c>
      <c r="Y108" s="7">
        <v>46003</v>
      </c>
      <c r="Z108" s="7">
        <v>45994</v>
      </c>
      <c r="AB108" s="6">
        <v>46003</v>
      </c>
      <c r="AC108" s="7">
        <v>46001.370138888888</v>
      </c>
      <c r="AD108" s="5">
        <v>26681008030</v>
      </c>
      <c r="AE108" s="8">
        <v>45994</v>
      </c>
      <c r="AF108" s="5">
        <v>52644</v>
      </c>
      <c r="AG108" s="5" t="s">
        <v>37</v>
      </c>
      <c r="AH108" s="5">
        <v>206065</v>
      </c>
      <c r="AI108" s="6">
        <v>45994</v>
      </c>
      <c r="AJ108" s="6">
        <v>46003</v>
      </c>
      <c r="AK108" s="1">
        <f t="shared" si="44"/>
        <v>0.83000000000000007</v>
      </c>
    </row>
    <row r="109" spans="1:37" x14ac:dyDescent="0.55000000000000004">
      <c r="A109">
        <v>2668</v>
      </c>
      <c r="B109">
        <v>1008102</v>
      </c>
      <c r="C109">
        <v>35.1</v>
      </c>
      <c r="D109" s="4">
        <v>0.7</v>
      </c>
      <c r="E109">
        <v>34.4</v>
      </c>
      <c r="F109">
        <v>0.35</v>
      </c>
      <c r="G109">
        <v>34.049999999999997</v>
      </c>
      <c r="H109" s="14">
        <f t="shared" si="42"/>
        <v>34.049999999999997</v>
      </c>
      <c r="I109" s="14" t="b">
        <f t="shared" si="43"/>
        <v>1</v>
      </c>
      <c r="J109" s="2">
        <v>46003</v>
      </c>
      <c r="K109" s="5">
        <v>1008102</v>
      </c>
      <c r="L109" s="5">
        <v>2668</v>
      </c>
      <c r="M109" s="5">
        <v>0.7</v>
      </c>
      <c r="N109" s="5">
        <v>35.1</v>
      </c>
      <c r="O109" s="7">
        <v>45995</v>
      </c>
      <c r="P109" s="5">
        <v>34.4</v>
      </c>
      <c r="Q109" s="5">
        <v>0.7</v>
      </c>
      <c r="R109" s="5" t="s">
        <v>32</v>
      </c>
      <c r="S109" s="5" t="s">
        <v>33</v>
      </c>
      <c r="T109" s="5">
        <v>0.35</v>
      </c>
      <c r="U109" s="5">
        <v>34.049999999999997</v>
      </c>
      <c r="V109" s="5" t="s">
        <v>34</v>
      </c>
      <c r="W109" s="5">
        <v>2</v>
      </c>
      <c r="X109" s="5">
        <v>3294433910953</v>
      </c>
      <c r="Y109" s="7">
        <v>46003</v>
      </c>
      <c r="Z109" s="7">
        <v>45995</v>
      </c>
      <c r="AB109" s="6">
        <v>46003</v>
      </c>
      <c r="AC109" s="7">
        <v>46001.370138888888</v>
      </c>
      <c r="AD109" s="5">
        <v>26681008102</v>
      </c>
      <c r="AE109" s="8">
        <v>45995</v>
      </c>
      <c r="AF109" s="5">
        <v>52623</v>
      </c>
      <c r="AG109" s="5" t="s">
        <v>37</v>
      </c>
      <c r="AH109" s="5">
        <v>206389</v>
      </c>
      <c r="AI109" s="6">
        <v>45995</v>
      </c>
      <c r="AJ109" s="6">
        <v>46003</v>
      </c>
      <c r="AK109" s="1">
        <f t="shared" si="44"/>
        <v>0.70200000000000007</v>
      </c>
    </row>
    <row r="110" spans="1:37" hidden="1" x14ac:dyDescent="0.55000000000000004">
      <c r="A110">
        <v>2668</v>
      </c>
      <c r="B110">
        <v>1008150</v>
      </c>
      <c r="C110">
        <v>166.76</v>
      </c>
      <c r="E110">
        <v>166.76</v>
      </c>
      <c r="F110">
        <v>1.67</v>
      </c>
      <c r="G110">
        <v>165.09</v>
      </c>
      <c r="H110"/>
      <c r="I110"/>
      <c r="J110" s="2">
        <v>46003</v>
      </c>
      <c r="K110" s="5">
        <v>1008150</v>
      </c>
      <c r="L110" s="5">
        <v>2668</v>
      </c>
      <c r="M110" s="5">
        <v>0</v>
      </c>
      <c r="N110" s="5">
        <v>166.76</v>
      </c>
      <c r="O110" s="7">
        <v>45995</v>
      </c>
      <c r="P110" s="5">
        <v>166.76</v>
      </c>
      <c r="Q110" s="5">
        <v>0</v>
      </c>
      <c r="R110" s="5" t="s">
        <v>32</v>
      </c>
      <c r="S110" s="5" t="s">
        <v>33</v>
      </c>
      <c r="T110" s="5">
        <v>1.67</v>
      </c>
      <c r="U110" s="5">
        <v>165.09</v>
      </c>
      <c r="V110" s="5" t="s">
        <v>34</v>
      </c>
      <c r="W110" s="5">
        <v>2</v>
      </c>
      <c r="X110" s="5">
        <v>3294433910953</v>
      </c>
      <c r="Y110" s="7">
        <v>46003</v>
      </c>
      <c r="Z110" s="7">
        <v>45995</v>
      </c>
      <c r="AB110" s="6">
        <v>46003</v>
      </c>
      <c r="AC110" s="7">
        <v>46001.370138888888</v>
      </c>
      <c r="AD110" s="5">
        <v>26681008150</v>
      </c>
      <c r="AE110" s="8">
        <v>45995</v>
      </c>
      <c r="AF110" s="5">
        <v>52709</v>
      </c>
      <c r="AG110" s="5" t="s">
        <v>38</v>
      </c>
      <c r="AH110" s="5">
        <v>206650</v>
      </c>
      <c r="AI110" s="6">
        <v>45995</v>
      </c>
      <c r="AJ110" s="6">
        <v>46003</v>
      </c>
    </row>
    <row r="111" spans="1:37" hidden="1" x14ac:dyDescent="0.55000000000000004">
      <c r="A111">
        <v>2668</v>
      </c>
      <c r="B111">
        <v>1008154</v>
      </c>
      <c r="C111" s="1">
        <v>1679.96</v>
      </c>
      <c r="E111" s="1">
        <v>1679.96</v>
      </c>
      <c r="F111">
        <v>16.8</v>
      </c>
      <c r="G111" s="1">
        <v>1663.16</v>
      </c>
      <c r="H111" s="1"/>
      <c r="I111" s="1"/>
      <c r="J111" s="2">
        <v>46003</v>
      </c>
      <c r="K111" s="5">
        <v>1008154</v>
      </c>
      <c r="L111" s="5">
        <v>2668</v>
      </c>
      <c r="M111" s="5">
        <v>0</v>
      </c>
      <c r="N111" s="5">
        <v>1679.96</v>
      </c>
      <c r="O111" s="7">
        <v>45995</v>
      </c>
      <c r="P111" s="5">
        <v>1679.96</v>
      </c>
      <c r="Q111" s="5">
        <v>0</v>
      </c>
      <c r="R111" s="5" t="s">
        <v>32</v>
      </c>
      <c r="S111" s="5" t="s">
        <v>33</v>
      </c>
      <c r="T111" s="5">
        <v>16.8</v>
      </c>
      <c r="U111" s="5">
        <v>1663.16</v>
      </c>
      <c r="V111" s="5" t="s">
        <v>34</v>
      </c>
      <c r="W111" s="5">
        <v>2</v>
      </c>
      <c r="X111" s="5">
        <v>3294433910953</v>
      </c>
      <c r="Y111" s="7">
        <v>46003</v>
      </c>
      <c r="Z111" s="7">
        <v>45995</v>
      </c>
      <c r="AB111" s="6">
        <v>46003</v>
      </c>
      <c r="AC111" s="7">
        <v>46001.370138888888</v>
      </c>
      <c r="AD111" s="5">
        <v>26681008154</v>
      </c>
      <c r="AE111" s="8">
        <v>45995</v>
      </c>
      <c r="AF111" s="5">
        <v>52717</v>
      </c>
      <c r="AG111" s="5" t="s">
        <v>38</v>
      </c>
      <c r="AH111" s="5">
        <v>206651</v>
      </c>
      <c r="AI111" s="6">
        <v>45995</v>
      </c>
      <c r="AJ111" s="6">
        <v>46003</v>
      </c>
    </row>
    <row r="112" spans="1:37" x14ac:dyDescent="0.55000000000000004">
      <c r="A112">
        <v>2668</v>
      </c>
      <c r="B112">
        <v>1008171</v>
      </c>
      <c r="C112">
        <v>389.67</v>
      </c>
      <c r="D112" s="4">
        <v>7.79</v>
      </c>
      <c r="E112">
        <v>381.88</v>
      </c>
      <c r="F112">
        <v>3.9</v>
      </c>
      <c r="G112">
        <v>377.98</v>
      </c>
      <c r="H112" s="14">
        <f>C112-D112-F112</f>
        <v>377.98</v>
      </c>
      <c r="I112" s="14" t="b">
        <f>G112=H112</f>
        <v>1</v>
      </c>
      <c r="J112" s="2">
        <v>46003</v>
      </c>
      <c r="K112" s="5">
        <v>1008171</v>
      </c>
      <c r="L112" s="5">
        <v>2668</v>
      </c>
      <c r="M112" s="5">
        <v>7.79</v>
      </c>
      <c r="N112" s="5">
        <v>389.67</v>
      </c>
      <c r="O112" s="7">
        <v>45995</v>
      </c>
      <c r="P112" s="5">
        <v>381.88</v>
      </c>
      <c r="Q112" s="5">
        <v>7.79</v>
      </c>
      <c r="R112" s="5" t="s">
        <v>32</v>
      </c>
      <c r="S112" s="5" t="s">
        <v>33</v>
      </c>
      <c r="T112" s="5">
        <v>3.9</v>
      </c>
      <c r="U112" s="5">
        <v>377.98</v>
      </c>
      <c r="V112" s="5" t="s">
        <v>34</v>
      </c>
      <c r="W112" s="5">
        <v>2</v>
      </c>
      <c r="X112" s="5">
        <v>3294433910953</v>
      </c>
      <c r="Y112" s="7">
        <v>46003</v>
      </c>
      <c r="Z112" s="7">
        <v>45995</v>
      </c>
      <c r="AB112" s="6">
        <v>46003</v>
      </c>
      <c r="AC112" s="7">
        <v>46001.370138888888</v>
      </c>
      <c r="AD112" s="5">
        <v>26681008171</v>
      </c>
      <c r="AE112" s="8">
        <v>45995</v>
      </c>
      <c r="AF112" s="5">
        <v>52741</v>
      </c>
      <c r="AG112" s="5" t="s">
        <v>37</v>
      </c>
      <c r="AH112" s="5">
        <v>206729</v>
      </c>
      <c r="AI112" s="6">
        <v>45995</v>
      </c>
      <c r="AJ112" s="6">
        <v>46003</v>
      </c>
      <c r="AK112" s="1">
        <f t="shared" ref="AK112" si="45">0.02*C112</f>
        <v>7.7934000000000001</v>
      </c>
    </row>
    <row r="113" spans="1:37" hidden="1" x14ac:dyDescent="0.55000000000000004">
      <c r="A113">
        <v>2668</v>
      </c>
      <c r="B113">
        <v>1008279</v>
      </c>
      <c r="C113">
        <v>-150</v>
      </c>
      <c r="E113">
        <v>-150</v>
      </c>
      <c r="G113">
        <v>-150</v>
      </c>
      <c r="H113"/>
      <c r="I113"/>
      <c r="J113" s="2">
        <v>46003</v>
      </c>
      <c r="K113" s="5">
        <v>1008279</v>
      </c>
      <c r="L113" s="5">
        <v>2668</v>
      </c>
      <c r="M113" s="5">
        <v>0</v>
      </c>
      <c r="N113" s="5">
        <v>-150</v>
      </c>
      <c r="O113" s="7">
        <v>45995</v>
      </c>
      <c r="P113" s="5">
        <v>-150</v>
      </c>
      <c r="Q113" s="5">
        <v>0</v>
      </c>
      <c r="R113" s="5" t="s">
        <v>40</v>
      </c>
      <c r="S113" s="5" t="s">
        <v>33</v>
      </c>
      <c r="T113" s="5">
        <v>0</v>
      </c>
      <c r="U113" s="5">
        <v>-150</v>
      </c>
      <c r="V113" s="5" t="s">
        <v>34</v>
      </c>
      <c r="W113" s="5">
        <v>2</v>
      </c>
      <c r="X113" s="5">
        <v>3294433910953</v>
      </c>
      <c r="Y113" s="7">
        <v>46003</v>
      </c>
      <c r="Z113" s="7">
        <v>45995</v>
      </c>
      <c r="AB113" s="6">
        <v>46003</v>
      </c>
      <c r="AC113" s="7">
        <v>46001.370138888888</v>
      </c>
      <c r="AD113" s="5">
        <v>26681008279</v>
      </c>
      <c r="AE113" s="8">
        <v>45995</v>
      </c>
      <c r="AF113" s="5" t="s">
        <v>41</v>
      </c>
      <c r="AG113" s="5" t="s">
        <v>38</v>
      </c>
      <c r="AH113" s="5" t="s">
        <v>40</v>
      </c>
      <c r="AI113" s="6">
        <v>45995</v>
      </c>
      <c r="AJ113" s="6">
        <v>46003</v>
      </c>
    </row>
    <row r="114" spans="1:37" x14ac:dyDescent="0.55000000000000004">
      <c r="A114">
        <v>2668</v>
      </c>
      <c r="B114">
        <v>1008436</v>
      </c>
      <c r="C114">
        <v>452.84</v>
      </c>
      <c r="D114" s="4">
        <v>9.06</v>
      </c>
      <c r="E114">
        <v>443.78</v>
      </c>
      <c r="F114">
        <v>4.53</v>
      </c>
      <c r="G114">
        <v>439.25</v>
      </c>
      <c r="H114" s="14">
        <f>C114-D114-F114</f>
        <v>439.25</v>
      </c>
      <c r="I114" s="14" t="b">
        <f>G114=H114</f>
        <v>1</v>
      </c>
      <c r="J114" s="2">
        <v>46003</v>
      </c>
      <c r="K114" s="5">
        <v>1008436</v>
      </c>
      <c r="L114" s="5">
        <v>2668</v>
      </c>
      <c r="M114" s="5">
        <v>9.06</v>
      </c>
      <c r="N114" s="5">
        <v>452.84</v>
      </c>
      <c r="O114" s="7">
        <v>45996</v>
      </c>
      <c r="P114" s="5">
        <v>443.78</v>
      </c>
      <c r="Q114" s="5">
        <v>9.06</v>
      </c>
      <c r="R114" s="5" t="s">
        <v>32</v>
      </c>
      <c r="S114" s="5" t="s">
        <v>33</v>
      </c>
      <c r="T114" s="5">
        <v>4.53</v>
      </c>
      <c r="U114" s="5">
        <v>439.25</v>
      </c>
      <c r="V114" s="5" t="s">
        <v>34</v>
      </c>
      <c r="W114" s="5">
        <v>2</v>
      </c>
      <c r="X114" s="5">
        <v>3294433910953</v>
      </c>
      <c r="Y114" s="7">
        <v>46003</v>
      </c>
      <c r="Z114" s="7">
        <v>45996</v>
      </c>
      <c r="AB114" s="6">
        <v>46003</v>
      </c>
      <c r="AC114" s="7">
        <v>46001.370138888888</v>
      </c>
      <c r="AD114" s="5">
        <v>26681008436</v>
      </c>
      <c r="AE114" s="8">
        <v>45996</v>
      </c>
      <c r="AF114" s="5">
        <v>52741</v>
      </c>
      <c r="AG114" s="5" t="s">
        <v>37</v>
      </c>
      <c r="AH114" s="5">
        <v>206739</v>
      </c>
      <c r="AI114" s="6">
        <v>45996</v>
      </c>
      <c r="AJ114" s="6">
        <v>46003</v>
      </c>
      <c r="AK114" s="1">
        <f t="shared" ref="AK114" si="46">0.02*C114</f>
        <v>9.0567999999999991</v>
      </c>
    </row>
    <row r="115" spans="1:37" hidden="1" x14ac:dyDescent="0.55000000000000004">
      <c r="A115">
        <v>2668</v>
      </c>
      <c r="B115">
        <v>1008485</v>
      </c>
      <c r="C115" s="1">
        <v>1582.03</v>
      </c>
      <c r="E115" s="1">
        <v>1582.03</v>
      </c>
      <c r="F115">
        <v>15.82</v>
      </c>
      <c r="G115" s="1">
        <v>1566.21</v>
      </c>
      <c r="H115" s="1"/>
      <c r="I115" s="1"/>
      <c r="J115" s="2">
        <v>46003</v>
      </c>
      <c r="K115" s="5">
        <v>1008485</v>
      </c>
      <c r="L115" s="5">
        <v>2668</v>
      </c>
      <c r="M115" s="5">
        <v>0</v>
      </c>
      <c r="N115" s="5">
        <v>1582.03</v>
      </c>
      <c r="O115" s="7">
        <v>45996</v>
      </c>
      <c r="P115" s="5">
        <v>1582.03</v>
      </c>
      <c r="Q115" s="5">
        <v>0</v>
      </c>
      <c r="R115" s="5" t="s">
        <v>32</v>
      </c>
      <c r="S115" s="5" t="s">
        <v>33</v>
      </c>
      <c r="T115" s="5">
        <v>15.82</v>
      </c>
      <c r="U115" s="5">
        <v>1566.21</v>
      </c>
      <c r="V115" s="5" t="s">
        <v>34</v>
      </c>
      <c r="W115" s="5">
        <v>2</v>
      </c>
      <c r="X115" s="5">
        <v>3294433910953</v>
      </c>
      <c r="Y115" s="7">
        <v>46003</v>
      </c>
      <c r="Z115" s="7">
        <v>45996</v>
      </c>
      <c r="AB115" s="6">
        <v>46003</v>
      </c>
      <c r="AC115" s="7">
        <v>46001.370138888888</v>
      </c>
      <c r="AD115" s="5">
        <v>26681008485</v>
      </c>
      <c r="AE115" s="8">
        <v>45996</v>
      </c>
      <c r="AF115" s="5">
        <v>52741</v>
      </c>
      <c r="AG115" s="5" t="s">
        <v>38</v>
      </c>
      <c r="AH115" s="5">
        <v>206740</v>
      </c>
      <c r="AI115" s="6">
        <v>45996</v>
      </c>
      <c r="AJ115" s="6">
        <v>46003</v>
      </c>
    </row>
    <row r="116" spans="1:37" hidden="1" x14ac:dyDescent="0.55000000000000004">
      <c r="A116">
        <v>2668</v>
      </c>
      <c r="B116">
        <v>1008993</v>
      </c>
      <c r="C116">
        <v>-243</v>
      </c>
      <c r="E116">
        <v>-243</v>
      </c>
      <c r="G116">
        <v>-243</v>
      </c>
      <c r="H116"/>
      <c r="I116"/>
      <c r="J116" s="2">
        <v>46003</v>
      </c>
      <c r="K116" s="5">
        <v>1008993</v>
      </c>
      <c r="L116" s="5">
        <v>2668</v>
      </c>
      <c r="M116" s="5">
        <v>0</v>
      </c>
      <c r="N116" s="5">
        <v>-243</v>
      </c>
      <c r="O116" s="7">
        <v>46000</v>
      </c>
      <c r="P116" s="5">
        <v>-243</v>
      </c>
      <c r="Q116" s="5">
        <v>0</v>
      </c>
      <c r="R116" s="5">
        <v>1008993</v>
      </c>
      <c r="S116" s="5" t="s">
        <v>33</v>
      </c>
      <c r="T116" s="5">
        <v>0</v>
      </c>
      <c r="U116" s="5">
        <v>-243</v>
      </c>
      <c r="V116" s="5" t="s">
        <v>34</v>
      </c>
      <c r="W116" s="5">
        <v>2</v>
      </c>
      <c r="X116" s="5">
        <v>3294433910953</v>
      </c>
      <c r="Y116" s="7">
        <v>46003</v>
      </c>
      <c r="Z116" s="7">
        <v>46000</v>
      </c>
      <c r="AB116" s="6">
        <v>46003</v>
      </c>
      <c r="AC116" s="7">
        <v>46001.370138888888</v>
      </c>
      <c r="AD116" s="5">
        <v>26681008993</v>
      </c>
      <c r="AE116" s="8">
        <v>46000</v>
      </c>
      <c r="AF116" s="5" t="s">
        <v>85</v>
      </c>
      <c r="AG116" s="5" t="s">
        <v>38</v>
      </c>
      <c r="AH116" s="5" t="s">
        <v>86</v>
      </c>
      <c r="AI116" s="6">
        <v>46000</v>
      </c>
      <c r="AJ116" s="6">
        <v>46003</v>
      </c>
    </row>
    <row r="117" spans="1:37" hidden="1" x14ac:dyDescent="0.55000000000000004">
      <c r="A117">
        <v>2668</v>
      </c>
      <c r="B117">
        <v>1008994</v>
      </c>
      <c r="C117">
        <v>-8</v>
      </c>
      <c r="E117">
        <v>-8</v>
      </c>
      <c r="G117">
        <v>-8</v>
      </c>
      <c r="H117"/>
      <c r="I117"/>
      <c r="J117" s="2">
        <v>46003</v>
      </c>
      <c r="K117" s="5">
        <v>1008994</v>
      </c>
      <c r="L117" s="5">
        <v>2668</v>
      </c>
      <c r="M117" s="5">
        <v>0</v>
      </c>
      <c r="N117" s="5">
        <v>-8</v>
      </c>
      <c r="O117" s="7">
        <v>46000</v>
      </c>
      <c r="P117" s="5">
        <v>-8</v>
      </c>
      <c r="Q117" s="5">
        <v>0</v>
      </c>
      <c r="R117" s="5">
        <v>1008994</v>
      </c>
      <c r="S117" s="5" t="s">
        <v>33</v>
      </c>
      <c r="T117" s="5">
        <v>0</v>
      </c>
      <c r="U117" s="5">
        <v>-8</v>
      </c>
      <c r="V117" s="5" t="s">
        <v>34</v>
      </c>
      <c r="W117" s="5">
        <v>2</v>
      </c>
      <c r="X117" s="5">
        <v>3294433910953</v>
      </c>
      <c r="Y117" s="7">
        <v>46003</v>
      </c>
      <c r="Z117" s="7">
        <v>46000</v>
      </c>
      <c r="AB117" s="6">
        <v>46003</v>
      </c>
      <c r="AC117" s="7">
        <v>46001.370138888888</v>
      </c>
      <c r="AD117" s="5">
        <v>26681008994</v>
      </c>
      <c r="AE117" s="8">
        <v>46000</v>
      </c>
      <c r="AF117" s="5" t="s">
        <v>87</v>
      </c>
      <c r="AG117" s="5" t="s">
        <v>38</v>
      </c>
      <c r="AH117" s="5" t="s">
        <v>88</v>
      </c>
      <c r="AI117" s="6">
        <v>46000</v>
      </c>
      <c r="AJ117" s="6">
        <v>46003</v>
      </c>
    </row>
    <row r="118" spans="1:37" hidden="1" x14ac:dyDescent="0.55000000000000004">
      <c r="A118">
        <v>2668</v>
      </c>
      <c r="B118">
        <v>1008995</v>
      </c>
      <c r="C118">
        <v>-8</v>
      </c>
      <c r="E118">
        <v>-8</v>
      </c>
      <c r="G118">
        <v>-8</v>
      </c>
      <c r="H118"/>
      <c r="I118"/>
      <c r="J118" s="2">
        <v>46003</v>
      </c>
      <c r="K118" s="5">
        <v>1008995</v>
      </c>
      <c r="L118" s="5">
        <v>2668</v>
      </c>
      <c r="M118" s="5">
        <v>0</v>
      </c>
      <c r="N118" s="5">
        <v>-8</v>
      </c>
      <c r="O118" s="7">
        <v>46000</v>
      </c>
      <c r="P118" s="5">
        <v>-8</v>
      </c>
      <c r="Q118" s="5">
        <v>0</v>
      </c>
      <c r="R118" s="5">
        <v>1008995</v>
      </c>
      <c r="S118" s="5" t="s">
        <v>33</v>
      </c>
      <c r="T118" s="5">
        <v>0</v>
      </c>
      <c r="U118" s="5">
        <v>-8</v>
      </c>
      <c r="V118" s="5" t="s">
        <v>34</v>
      </c>
      <c r="W118" s="5">
        <v>2</v>
      </c>
      <c r="X118" s="5">
        <v>3294433910953</v>
      </c>
      <c r="Y118" s="7">
        <v>46003</v>
      </c>
      <c r="Z118" s="7">
        <v>46000</v>
      </c>
      <c r="AB118" s="6">
        <v>46003</v>
      </c>
      <c r="AC118" s="7">
        <v>46001.370138888888</v>
      </c>
      <c r="AD118" s="5">
        <v>26681008995</v>
      </c>
      <c r="AE118" s="8">
        <v>46000</v>
      </c>
      <c r="AF118" s="5" t="s">
        <v>89</v>
      </c>
      <c r="AG118" s="5" t="s">
        <v>38</v>
      </c>
      <c r="AH118" s="5" t="s">
        <v>90</v>
      </c>
      <c r="AI118" s="6">
        <v>46000</v>
      </c>
      <c r="AJ118" s="6">
        <v>46003</v>
      </c>
    </row>
    <row r="119" spans="1:37" hidden="1" x14ac:dyDescent="0.55000000000000004">
      <c r="A119">
        <v>2668</v>
      </c>
      <c r="B119">
        <v>1008996</v>
      </c>
      <c r="C119">
        <v>-28.5</v>
      </c>
      <c r="E119">
        <v>-28.5</v>
      </c>
      <c r="G119">
        <v>-28.5</v>
      </c>
      <c r="H119"/>
      <c r="I119"/>
      <c r="J119" s="2">
        <v>46003</v>
      </c>
      <c r="K119" s="5">
        <v>1008996</v>
      </c>
      <c r="L119" s="5">
        <v>2668</v>
      </c>
      <c r="M119" s="5">
        <v>0</v>
      </c>
      <c r="N119" s="5">
        <v>-28.5</v>
      </c>
      <c r="O119" s="7">
        <v>46000</v>
      </c>
      <c r="P119" s="5">
        <v>-28.5</v>
      </c>
      <c r="Q119" s="5">
        <v>0</v>
      </c>
      <c r="R119" s="5">
        <v>1008996</v>
      </c>
      <c r="S119" s="5" t="s">
        <v>33</v>
      </c>
      <c r="T119" s="5">
        <v>0</v>
      </c>
      <c r="U119" s="5">
        <v>-28.5</v>
      </c>
      <c r="V119" s="5" t="s">
        <v>34</v>
      </c>
      <c r="W119" s="5">
        <v>2</v>
      </c>
      <c r="X119" s="5">
        <v>3294433910953</v>
      </c>
      <c r="Y119" s="7">
        <v>46003</v>
      </c>
      <c r="Z119" s="7">
        <v>46000</v>
      </c>
      <c r="AB119" s="6">
        <v>46003</v>
      </c>
      <c r="AC119" s="7">
        <v>46001.370138888888</v>
      </c>
      <c r="AD119" s="5">
        <v>26681008996</v>
      </c>
      <c r="AE119" s="8">
        <v>46000</v>
      </c>
      <c r="AF119" s="5" t="s">
        <v>91</v>
      </c>
      <c r="AG119" s="5" t="s">
        <v>38</v>
      </c>
      <c r="AH119" s="5" t="s">
        <v>92</v>
      </c>
      <c r="AI119" s="6">
        <v>46000</v>
      </c>
      <c r="AJ119" s="6">
        <v>46003</v>
      </c>
    </row>
    <row r="120" spans="1:37" hidden="1" x14ac:dyDescent="0.55000000000000004">
      <c r="A120">
        <v>2668</v>
      </c>
      <c r="B120">
        <v>1008997</v>
      </c>
      <c r="C120">
        <v>-36</v>
      </c>
      <c r="E120">
        <v>-36</v>
      </c>
      <c r="G120">
        <v>-36</v>
      </c>
      <c r="H120"/>
      <c r="I120"/>
      <c r="J120" s="2">
        <v>46003</v>
      </c>
      <c r="K120" s="5">
        <v>1008997</v>
      </c>
      <c r="L120" s="5">
        <v>2668</v>
      </c>
      <c r="M120" s="5">
        <v>0</v>
      </c>
      <c r="N120" s="5">
        <v>-36</v>
      </c>
      <c r="O120" s="7">
        <v>46000</v>
      </c>
      <c r="P120" s="5">
        <v>-36</v>
      </c>
      <c r="Q120" s="5">
        <v>0</v>
      </c>
      <c r="R120" s="5">
        <v>1008997</v>
      </c>
      <c r="S120" s="5" t="s">
        <v>33</v>
      </c>
      <c r="T120" s="5">
        <v>0</v>
      </c>
      <c r="U120" s="5">
        <v>-36</v>
      </c>
      <c r="V120" s="5" t="s">
        <v>34</v>
      </c>
      <c r="W120" s="5">
        <v>2</v>
      </c>
      <c r="X120" s="5">
        <v>3294433910953</v>
      </c>
      <c r="Y120" s="7">
        <v>46003</v>
      </c>
      <c r="Z120" s="7">
        <v>46000</v>
      </c>
      <c r="AB120" s="6">
        <v>46003</v>
      </c>
      <c r="AC120" s="7">
        <v>46001.370138888888</v>
      </c>
      <c r="AD120" s="5">
        <v>26681008997</v>
      </c>
      <c r="AE120" s="8">
        <v>46000</v>
      </c>
      <c r="AF120" s="5" t="s">
        <v>91</v>
      </c>
      <c r="AG120" s="5" t="s">
        <v>38</v>
      </c>
      <c r="AH120" s="5" t="s">
        <v>93</v>
      </c>
      <c r="AI120" s="6">
        <v>46000</v>
      </c>
      <c r="AJ120" s="6">
        <v>46003</v>
      </c>
    </row>
    <row r="121" spans="1:37" hidden="1" x14ac:dyDescent="0.55000000000000004">
      <c r="A121">
        <v>2668</v>
      </c>
      <c r="B121">
        <v>1008998</v>
      </c>
      <c r="C121">
        <v>-3.6</v>
      </c>
      <c r="E121">
        <v>-3.6</v>
      </c>
      <c r="G121">
        <v>-3.6</v>
      </c>
      <c r="H121"/>
      <c r="I121"/>
      <c r="J121" s="2">
        <v>46003</v>
      </c>
      <c r="K121" s="5">
        <v>1008998</v>
      </c>
      <c r="L121" s="5">
        <v>2668</v>
      </c>
      <c r="M121" s="5">
        <v>0</v>
      </c>
      <c r="N121" s="5">
        <v>-3.6</v>
      </c>
      <c r="O121" s="7">
        <v>46000</v>
      </c>
      <c r="P121" s="5">
        <v>-3.6</v>
      </c>
      <c r="Q121" s="5">
        <v>0</v>
      </c>
      <c r="R121" s="5">
        <v>1008998</v>
      </c>
      <c r="S121" s="5" t="s">
        <v>33</v>
      </c>
      <c r="T121" s="5">
        <v>0</v>
      </c>
      <c r="U121" s="5">
        <v>-3.6</v>
      </c>
      <c r="V121" s="5" t="s">
        <v>34</v>
      </c>
      <c r="W121" s="5">
        <v>2</v>
      </c>
      <c r="X121" s="5">
        <v>3294433910953</v>
      </c>
      <c r="Y121" s="7">
        <v>46003</v>
      </c>
      <c r="Z121" s="7">
        <v>46000</v>
      </c>
      <c r="AB121" s="6">
        <v>46003</v>
      </c>
      <c r="AC121" s="7">
        <v>46001.370138888888</v>
      </c>
      <c r="AD121" s="5">
        <v>26681008998</v>
      </c>
      <c r="AE121" s="8">
        <v>46000</v>
      </c>
      <c r="AF121" s="5" t="s">
        <v>91</v>
      </c>
      <c r="AG121" s="5" t="s">
        <v>38</v>
      </c>
      <c r="AH121" s="5" t="s">
        <v>94</v>
      </c>
      <c r="AI121" s="6">
        <v>46000</v>
      </c>
      <c r="AJ121" s="6">
        <v>46003</v>
      </c>
    </row>
    <row r="122" spans="1:37" x14ac:dyDescent="0.55000000000000004">
      <c r="A122">
        <v>2675</v>
      </c>
      <c r="B122">
        <v>999643</v>
      </c>
      <c r="C122">
        <v>83.78</v>
      </c>
      <c r="D122" s="4">
        <v>1.68</v>
      </c>
      <c r="E122">
        <v>82.1</v>
      </c>
      <c r="G122">
        <v>82.1</v>
      </c>
      <c r="H122" s="14">
        <f t="shared" ref="H122:H123" si="47">C122-D122-F122</f>
        <v>82.1</v>
      </c>
      <c r="I122" s="14" t="b">
        <f t="shared" ref="I122:I123" si="48">G122=H122</f>
        <v>1</v>
      </c>
      <c r="J122" s="2">
        <v>46003</v>
      </c>
      <c r="K122" s="5">
        <v>999643</v>
      </c>
      <c r="L122" s="5">
        <v>2675</v>
      </c>
      <c r="M122" s="5">
        <v>1.68</v>
      </c>
      <c r="N122" s="5">
        <v>83.78</v>
      </c>
      <c r="O122" s="7">
        <v>45953</v>
      </c>
      <c r="P122" s="5">
        <v>82.1</v>
      </c>
      <c r="Q122" s="5">
        <v>1.68</v>
      </c>
      <c r="R122" s="5" t="s">
        <v>32</v>
      </c>
      <c r="S122" s="5" t="s">
        <v>33</v>
      </c>
      <c r="T122" s="5">
        <v>0</v>
      </c>
      <c r="U122" s="5">
        <v>82.1</v>
      </c>
      <c r="V122" s="5" t="s">
        <v>34</v>
      </c>
      <c r="W122" s="5">
        <v>2</v>
      </c>
      <c r="X122" s="5">
        <v>4412473755161</v>
      </c>
      <c r="Y122" s="7">
        <v>46003</v>
      </c>
      <c r="Z122" s="7">
        <v>45953</v>
      </c>
      <c r="AB122" s="6">
        <v>46003</v>
      </c>
      <c r="AC122" s="7">
        <v>46001.43472222222</v>
      </c>
      <c r="AD122" s="5">
        <v>2675999643</v>
      </c>
      <c r="AE122" s="8">
        <v>45953</v>
      </c>
      <c r="AF122" s="5">
        <v>1338</v>
      </c>
      <c r="AG122" s="5" t="s">
        <v>71</v>
      </c>
      <c r="AH122" s="5">
        <v>199292</v>
      </c>
      <c r="AI122" s="6">
        <v>45953</v>
      </c>
      <c r="AJ122" s="6">
        <v>46003</v>
      </c>
      <c r="AK122" s="1">
        <f t="shared" ref="AK122:AK123" si="49">0.02*C122</f>
        <v>1.6756</v>
      </c>
    </row>
    <row r="123" spans="1:37" x14ac:dyDescent="0.55000000000000004">
      <c r="A123">
        <v>2675</v>
      </c>
      <c r="B123">
        <v>1000715</v>
      </c>
      <c r="C123" s="1">
        <v>1110</v>
      </c>
      <c r="D123" s="4">
        <v>22.2</v>
      </c>
      <c r="E123" s="1">
        <v>1087.8</v>
      </c>
      <c r="G123" s="1">
        <v>1087.8</v>
      </c>
      <c r="H123" s="14">
        <f t="shared" si="47"/>
        <v>1087.8</v>
      </c>
      <c r="I123" s="14" t="b">
        <f t="shared" si="48"/>
        <v>1</v>
      </c>
      <c r="J123" s="2">
        <v>46003</v>
      </c>
      <c r="K123" s="5">
        <v>1000715</v>
      </c>
      <c r="L123" s="5">
        <v>2675</v>
      </c>
      <c r="M123" s="5">
        <v>22.2</v>
      </c>
      <c r="N123" s="5">
        <v>1110</v>
      </c>
      <c r="O123" s="7">
        <v>45958</v>
      </c>
      <c r="P123" s="5">
        <v>1087.8</v>
      </c>
      <c r="Q123" s="5">
        <v>22.2</v>
      </c>
      <c r="R123" s="5" t="s">
        <v>32</v>
      </c>
      <c r="S123" s="5" t="s">
        <v>33</v>
      </c>
      <c r="T123" s="5">
        <v>0</v>
      </c>
      <c r="U123" s="5">
        <v>1087.8</v>
      </c>
      <c r="V123" s="5" t="s">
        <v>34</v>
      </c>
      <c r="W123" s="5">
        <v>2</v>
      </c>
      <c r="X123" s="5">
        <v>4412473755161</v>
      </c>
      <c r="Y123" s="7">
        <v>46003</v>
      </c>
      <c r="Z123" s="7">
        <v>45958</v>
      </c>
      <c r="AB123" s="6">
        <v>46003</v>
      </c>
      <c r="AC123" s="7">
        <v>46001.43472222222</v>
      </c>
      <c r="AD123" s="5">
        <v>26751000715</v>
      </c>
      <c r="AE123" s="8">
        <v>45958</v>
      </c>
      <c r="AF123" s="5">
        <v>1351</v>
      </c>
      <c r="AG123" s="5" t="s">
        <v>71</v>
      </c>
      <c r="AH123" s="5">
        <v>200160</v>
      </c>
      <c r="AI123" s="6">
        <v>45958</v>
      </c>
      <c r="AJ123" s="6">
        <v>46003</v>
      </c>
      <c r="AK123" s="1">
        <f t="shared" si="49"/>
        <v>22.2</v>
      </c>
    </row>
    <row r="124" spans="1:37" hidden="1" x14ac:dyDescent="0.55000000000000004">
      <c r="A124">
        <v>2675</v>
      </c>
      <c r="B124">
        <v>1000719</v>
      </c>
      <c r="C124">
        <v>642.53</v>
      </c>
      <c r="E124">
        <v>642.53</v>
      </c>
      <c r="G124">
        <v>642.53</v>
      </c>
      <c r="H124"/>
      <c r="I124"/>
      <c r="J124" s="2">
        <v>46003</v>
      </c>
      <c r="K124" s="5">
        <v>1000719</v>
      </c>
      <c r="L124" s="5">
        <v>2675</v>
      </c>
      <c r="M124" s="5">
        <v>0</v>
      </c>
      <c r="N124" s="5">
        <v>642.53</v>
      </c>
      <c r="O124" s="7">
        <v>45958</v>
      </c>
      <c r="P124" s="5">
        <v>642.53</v>
      </c>
      <c r="Q124" s="5">
        <v>0</v>
      </c>
      <c r="R124" s="5" t="s">
        <v>32</v>
      </c>
      <c r="S124" s="5" t="s">
        <v>33</v>
      </c>
      <c r="T124" s="5">
        <v>0</v>
      </c>
      <c r="U124" s="5">
        <v>642.53</v>
      </c>
      <c r="V124" s="5" t="s">
        <v>34</v>
      </c>
      <c r="W124" s="5">
        <v>2</v>
      </c>
      <c r="X124" s="5">
        <v>4412473755161</v>
      </c>
      <c r="Y124" s="7">
        <v>46003</v>
      </c>
      <c r="Z124" s="7">
        <v>45958</v>
      </c>
      <c r="AB124" s="6">
        <v>46003</v>
      </c>
      <c r="AC124" s="7">
        <v>46001.43472222222</v>
      </c>
      <c r="AD124" s="5">
        <v>26751000719</v>
      </c>
      <c r="AE124" s="8">
        <v>45958</v>
      </c>
      <c r="AF124" s="5">
        <v>1351</v>
      </c>
      <c r="AG124" s="5" t="s">
        <v>65</v>
      </c>
      <c r="AH124" s="5">
        <v>200161</v>
      </c>
      <c r="AI124" s="6">
        <v>45958</v>
      </c>
      <c r="AJ124" s="6">
        <v>46003</v>
      </c>
    </row>
    <row r="125" spans="1:37" x14ac:dyDescent="0.55000000000000004">
      <c r="A125">
        <v>2675</v>
      </c>
      <c r="B125">
        <v>1000734</v>
      </c>
      <c r="C125">
        <v>731.77</v>
      </c>
      <c r="D125" s="4">
        <v>14.64</v>
      </c>
      <c r="E125">
        <v>717.13</v>
      </c>
      <c r="G125">
        <v>717.13</v>
      </c>
      <c r="H125" s="14">
        <f t="shared" ref="H125:H126" si="50">C125-D125-F125</f>
        <v>717.13</v>
      </c>
      <c r="I125" s="14" t="b">
        <f t="shared" ref="I125:I126" si="51">G125=H125</f>
        <v>1</v>
      </c>
      <c r="J125" s="2">
        <v>46003</v>
      </c>
      <c r="K125" s="5">
        <v>1000734</v>
      </c>
      <c r="L125" s="5">
        <v>2675</v>
      </c>
      <c r="M125" s="5">
        <v>14.64</v>
      </c>
      <c r="N125" s="5">
        <v>731.77</v>
      </c>
      <c r="O125" s="7">
        <v>45958</v>
      </c>
      <c r="P125" s="5">
        <v>717.13</v>
      </c>
      <c r="Q125" s="5">
        <v>14.64</v>
      </c>
      <c r="R125" s="5" t="s">
        <v>32</v>
      </c>
      <c r="S125" s="5" t="s">
        <v>33</v>
      </c>
      <c r="T125" s="5">
        <v>0</v>
      </c>
      <c r="U125" s="5">
        <v>717.13</v>
      </c>
      <c r="V125" s="5" t="s">
        <v>34</v>
      </c>
      <c r="W125" s="5">
        <v>2</v>
      </c>
      <c r="X125" s="5">
        <v>4412473755161</v>
      </c>
      <c r="Y125" s="7">
        <v>46003</v>
      </c>
      <c r="Z125" s="7">
        <v>45958</v>
      </c>
      <c r="AB125" s="6">
        <v>46003</v>
      </c>
      <c r="AC125" s="7">
        <v>46001.43472222222</v>
      </c>
      <c r="AD125" s="5">
        <v>26751000734</v>
      </c>
      <c r="AE125" s="8">
        <v>45958</v>
      </c>
      <c r="AF125" s="5">
        <v>1351</v>
      </c>
      <c r="AG125" s="5" t="s">
        <v>71</v>
      </c>
      <c r="AH125" s="5">
        <v>200151</v>
      </c>
      <c r="AI125" s="6">
        <v>45958</v>
      </c>
      <c r="AJ125" s="6">
        <v>46003</v>
      </c>
      <c r="AK125" s="1">
        <f t="shared" ref="AK125" si="52">0.02*C125</f>
        <v>14.635400000000001</v>
      </c>
    </row>
    <row r="126" spans="1:37" x14ac:dyDescent="0.55000000000000004">
      <c r="A126">
        <v>2675</v>
      </c>
      <c r="B126">
        <v>1000814</v>
      </c>
      <c r="C126" s="1">
        <v>1838.28</v>
      </c>
      <c r="D126" s="4">
        <v>18.38</v>
      </c>
      <c r="E126" s="1">
        <v>1819.9</v>
      </c>
      <c r="G126" s="1">
        <v>1819.9</v>
      </c>
      <c r="H126" s="14">
        <f t="shared" si="50"/>
        <v>1819.8999999999999</v>
      </c>
      <c r="I126" s="14" t="b">
        <f t="shared" si="51"/>
        <v>1</v>
      </c>
      <c r="J126" s="2">
        <v>46003</v>
      </c>
      <c r="K126" s="5">
        <v>1000814</v>
      </c>
      <c r="L126" s="5">
        <v>2675</v>
      </c>
      <c r="M126" s="5">
        <v>18.38</v>
      </c>
      <c r="N126" s="5">
        <v>1838.28</v>
      </c>
      <c r="O126" s="7">
        <v>45957</v>
      </c>
      <c r="P126" s="5">
        <v>1819.9</v>
      </c>
      <c r="Q126" s="5">
        <v>18.38</v>
      </c>
      <c r="R126" s="5" t="s">
        <v>95</v>
      </c>
      <c r="S126" s="5" t="s">
        <v>67</v>
      </c>
      <c r="T126" s="5">
        <v>0</v>
      </c>
      <c r="U126" s="5">
        <v>1819.9</v>
      </c>
      <c r="V126" s="5" t="s">
        <v>34</v>
      </c>
      <c r="W126" s="5">
        <v>2</v>
      </c>
      <c r="X126" s="5">
        <v>4412473755161</v>
      </c>
      <c r="Y126" s="7">
        <v>46003</v>
      </c>
      <c r="Z126" s="7">
        <v>45958</v>
      </c>
      <c r="AB126" s="6">
        <v>46003</v>
      </c>
      <c r="AC126" s="7">
        <v>46001.43472222222</v>
      </c>
      <c r="AD126" s="5">
        <v>26751000814</v>
      </c>
      <c r="AE126" s="8">
        <v>45957</v>
      </c>
      <c r="AF126" s="5">
        <v>1356</v>
      </c>
      <c r="AG126" s="5" t="s">
        <v>69</v>
      </c>
      <c r="AH126" s="5" t="s">
        <v>95</v>
      </c>
      <c r="AI126" s="6">
        <v>45958</v>
      </c>
      <c r="AJ126" s="6">
        <v>46003</v>
      </c>
    </row>
    <row r="127" spans="1:37" hidden="1" x14ac:dyDescent="0.55000000000000004">
      <c r="A127">
        <v>2675</v>
      </c>
      <c r="B127">
        <v>1000932</v>
      </c>
      <c r="C127">
        <v>56.96</v>
      </c>
      <c r="E127">
        <v>56.96</v>
      </c>
      <c r="G127">
        <v>56.96</v>
      </c>
      <c r="H127"/>
      <c r="I127"/>
      <c r="J127" s="2">
        <v>46003</v>
      </c>
      <c r="K127" s="5">
        <v>1000932</v>
      </c>
      <c r="L127" s="5">
        <v>2675</v>
      </c>
      <c r="M127" s="5">
        <v>0</v>
      </c>
      <c r="N127" s="5">
        <v>56.96</v>
      </c>
      <c r="O127" s="7">
        <v>45959</v>
      </c>
      <c r="P127" s="5">
        <v>56.96</v>
      </c>
      <c r="Q127" s="5">
        <v>0</v>
      </c>
      <c r="R127" s="5" t="s">
        <v>32</v>
      </c>
      <c r="S127" s="5" t="s">
        <v>33</v>
      </c>
      <c r="T127" s="5">
        <v>0</v>
      </c>
      <c r="U127" s="5">
        <v>56.96</v>
      </c>
      <c r="V127" s="5" t="s">
        <v>34</v>
      </c>
      <c r="W127" s="5">
        <v>2</v>
      </c>
      <c r="X127" s="5">
        <v>4412473755161</v>
      </c>
      <c r="Y127" s="7">
        <v>46003</v>
      </c>
      <c r="Z127" s="7">
        <v>45959</v>
      </c>
      <c r="AB127" s="6">
        <v>46003</v>
      </c>
      <c r="AC127" s="7">
        <v>46001.43472222222</v>
      </c>
      <c r="AD127" s="5">
        <v>26751000932</v>
      </c>
      <c r="AE127" s="8">
        <v>45959</v>
      </c>
      <c r="AF127" s="5">
        <v>1351</v>
      </c>
      <c r="AG127" s="5" t="s">
        <v>65</v>
      </c>
      <c r="AH127" s="5">
        <v>200469</v>
      </c>
      <c r="AI127" s="6">
        <v>45959</v>
      </c>
      <c r="AJ127" s="6">
        <v>46003</v>
      </c>
    </row>
    <row r="128" spans="1:37" hidden="1" x14ac:dyDescent="0.55000000000000004">
      <c r="A128">
        <v>2675</v>
      </c>
      <c r="B128">
        <v>1001046</v>
      </c>
      <c r="C128" s="1">
        <v>1511.96</v>
      </c>
      <c r="E128" s="1">
        <v>1511.96</v>
      </c>
      <c r="G128" s="1">
        <v>1511.96</v>
      </c>
      <c r="H128" s="1"/>
      <c r="I128" s="1"/>
      <c r="J128" s="2">
        <v>46003</v>
      </c>
      <c r="K128" s="5">
        <v>1001046</v>
      </c>
      <c r="L128" s="5">
        <v>2675</v>
      </c>
      <c r="M128" s="5">
        <v>0</v>
      </c>
      <c r="N128" s="5">
        <v>1511.96</v>
      </c>
      <c r="O128" s="7">
        <v>45960</v>
      </c>
      <c r="P128" s="5">
        <v>1511.96</v>
      </c>
      <c r="Q128" s="5">
        <v>0</v>
      </c>
      <c r="R128" s="5" t="s">
        <v>32</v>
      </c>
      <c r="S128" s="5" t="s">
        <v>33</v>
      </c>
      <c r="T128" s="5">
        <v>0</v>
      </c>
      <c r="U128" s="5">
        <v>1511.96</v>
      </c>
      <c r="V128" s="5" t="s">
        <v>34</v>
      </c>
      <c r="W128" s="5">
        <v>2</v>
      </c>
      <c r="X128" s="5">
        <v>4412473755161</v>
      </c>
      <c r="Y128" s="7">
        <v>46003</v>
      </c>
      <c r="Z128" s="7">
        <v>45960</v>
      </c>
      <c r="AB128" s="6">
        <v>46003</v>
      </c>
      <c r="AC128" s="7">
        <v>46001.43472222222</v>
      </c>
      <c r="AD128" s="5">
        <v>26751001046</v>
      </c>
      <c r="AE128" s="8">
        <v>45960</v>
      </c>
      <c r="AF128" s="5">
        <v>1299</v>
      </c>
      <c r="AG128" s="5" t="s">
        <v>65</v>
      </c>
      <c r="AH128" s="5">
        <v>200665</v>
      </c>
      <c r="AI128" s="6">
        <v>45960</v>
      </c>
      <c r="AJ128" s="6">
        <v>46003</v>
      </c>
    </row>
    <row r="129" spans="1:37" x14ac:dyDescent="0.55000000000000004">
      <c r="A129">
        <v>2675</v>
      </c>
      <c r="B129">
        <v>1002118</v>
      </c>
      <c r="C129">
        <v>179.16</v>
      </c>
      <c r="D129" s="4">
        <v>3.58</v>
      </c>
      <c r="E129">
        <v>175.58</v>
      </c>
      <c r="G129">
        <v>175.58</v>
      </c>
      <c r="H129" s="14">
        <f>C129-D129-F129</f>
        <v>175.57999999999998</v>
      </c>
      <c r="I129" s="14" t="b">
        <f>G129=H129</f>
        <v>1</v>
      </c>
      <c r="J129" s="2">
        <v>46003</v>
      </c>
      <c r="K129" s="5">
        <v>1002118</v>
      </c>
      <c r="L129" s="5">
        <v>2675</v>
      </c>
      <c r="M129" s="5">
        <v>3.58</v>
      </c>
      <c r="N129" s="5">
        <v>179.16</v>
      </c>
      <c r="O129" s="7">
        <v>45964</v>
      </c>
      <c r="P129" s="5">
        <v>175.58</v>
      </c>
      <c r="Q129" s="5">
        <v>3.58</v>
      </c>
      <c r="R129" s="5" t="s">
        <v>32</v>
      </c>
      <c r="S129" s="5" t="s">
        <v>33</v>
      </c>
      <c r="T129" s="5">
        <v>0</v>
      </c>
      <c r="U129" s="5">
        <v>175.58</v>
      </c>
      <c r="V129" s="5" t="s">
        <v>34</v>
      </c>
      <c r="W129" s="5">
        <v>2</v>
      </c>
      <c r="X129" s="5">
        <v>4412473755161</v>
      </c>
      <c r="Y129" s="7">
        <v>46003</v>
      </c>
      <c r="Z129" s="7">
        <v>45964</v>
      </c>
      <c r="AB129" s="6">
        <v>46003</v>
      </c>
      <c r="AC129" s="7">
        <v>46001.43472222222</v>
      </c>
      <c r="AD129" s="5">
        <v>26751002118</v>
      </c>
      <c r="AE129" s="8">
        <v>45964</v>
      </c>
      <c r="AF129" s="5">
        <v>1360</v>
      </c>
      <c r="AG129" s="5" t="s">
        <v>71</v>
      </c>
      <c r="AH129" s="5">
        <v>201365</v>
      </c>
      <c r="AI129" s="6">
        <v>45964</v>
      </c>
      <c r="AJ129" s="6">
        <v>46003</v>
      </c>
      <c r="AK129" s="1">
        <f t="shared" ref="AK129" si="53">0.02*C129</f>
        <v>3.5832000000000002</v>
      </c>
    </row>
    <row r="130" spans="1:37" hidden="1" x14ac:dyDescent="0.55000000000000004">
      <c r="A130">
        <v>2675</v>
      </c>
      <c r="B130">
        <v>1002196</v>
      </c>
      <c r="C130">
        <v>389.58</v>
      </c>
      <c r="E130">
        <v>389.58</v>
      </c>
      <c r="G130">
        <v>389.58</v>
      </c>
      <c r="H130"/>
      <c r="I130"/>
      <c r="J130" s="2">
        <v>46003</v>
      </c>
      <c r="K130" s="5">
        <v>1002196</v>
      </c>
      <c r="L130" s="5">
        <v>2675</v>
      </c>
      <c r="M130" s="5">
        <v>0</v>
      </c>
      <c r="N130" s="5">
        <v>389.58</v>
      </c>
      <c r="O130" s="7">
        <v>45965</v>
      </c>
      <c r="P130" s="5">
        <v>389.58</v>
      </c>
      <c r="Q130" s="5">
        <v>0</v>
      </c>
      <c r="R130" s="5" t="s">
        <v>32</v>
      </c>
      <c r="S130" s="5" t="s">
        <v>33</v>
      </c>
      <c r="T130" s="5">
        <v>0</v>
      </c>
      <c r="U130" s="5">
        <v>389.58</v>
      </c>
      <c r="V130" s="5" t="s">
        <v>34</v>
      </c>
      <c r="W130" s="5">
        <v>2</v>
      </c>
      <c r="X130" s="5">
        <v>4412473755161</v>
      </c>
      <c r="Y130" s="7">
        <v>46003</v>
      </c>
      <c r="Z130" s="7">
        <v>45965</v>
      </c>
      <c r="AB130" s="6">
        <v>46003</v>
      </c>
      <c r="AC130" s="7">
        <v>46001.43472222222</v>
      </c>
      <c r="AD130" s="5">
        <v>26751002196</v>
      </c>
      <c r="AE130" s="8">
        <v>45965</v>
      </c>
      <c r="AF130" s="5">
        <v>1360</v>
      </c>
      <c r="AG130" s="5" t="s">
        <v>65</v>
      </c>
      <c r="AH130" s="5">
        <v>201419</v>
      </c>
      <c r="AI130" s="6">
        <v>45965</v>
      </c>
      <c r="AJ130" s="6">
        <v>46003</v>
      </c>
    </row>
    <row r="131" spans="1:37" x14ac:dyDescent="0.55000000000000004">
      <c r="A131">
        <v>2675</v>
      </c>
      <c r="B131">
        <v>1002199</v>
      </c>
      <c r="C131">
        <v>378.89</v>
      </c>
      <c r="D131" s="4">
        <v>7.58</v>
      </c>
      <c r="E131">
        <v>371.31</v>
      </c>
      <c r="G131">
        <v>371.31</v>
      </c>
      <c r="H131" s="14">
        <f>C131-D131-F131</f>
        <v>371.31</v>
      </c>
      <c r="I131" s="14" t="b">
        <f>G131=H131</f>
        <v>1</v>
      </c>
      <c r="J131" s="2">
        <v>46003</v>
      </c>
      <c r="K131" s="5">
        <v>1002199</v>
      </c>
      <c r="L131" s="5">
        <v>2675</v>
      </c>
      <c r="M131" s="5">
        <v>7.58</v>
      </c>
      <c r="N131" s="5">
        <v>378.89</v>
      </c>
      <c r="O131" s="7">
        <v>45965</v>
      </c>
      <c r="P131" s="5">
        <v>371.31</v>
      </c>
      <c r="Q131" s="5">
        <v>7.58</v>
      </c>
      <c r="R131" s="5" t="s">
        <v>32</v>
      </c>
      <c r="S131" s="5" t="s">
        <v>33</v>
      </c>
      <c r="T131" s="5">
        <v>0</v>
      </c>
      <c r="U131" s="5">
        <v>371.31</v>
      </c>
      <c r="V131" s="5" t="s">
        <v>34</v>
      </c>
      <c r="W131" s="5">
        <v>2</v>
      </c>
      <c r="X131" s="5">
        <v>4412473755161</v>
      </c>
      <c r="Y131" s="7">
        <v>46003</v>
      </c>
      <c r="Z131" s="7">
        <v>45965</v>
      </c>
      <c r="AB131" s="6">
        <v>46003</v>
      </c>
      <c r="AC131" s="7">
        <v>46001.43472222222</v>
      </c>
      <c r="AD131" s="5">
        <v>26751002199</v>
      </c>
      <c r="AE131" s="8">
        <v>45965</v>
      </c>
      <c r="AF131" s="5">
        <v>1360</v>
      </c>
      <c r="AG131" s="5" t="s">
        <v>71</v>
      </c>
      <c r="AH131" s="5">
        <v>201418</v>
      </c>
      <c r="AI131" s="6">
        <v>45965</v>
      </c>
      <c r="AJ131" s="6">
        <v>46003</v>
      </c>
      <c r="AK131" s="1">
        <f t="shared" ref="AK131" si="54">0.02*C131</f>
        <v>7.5777999999999999</v>
      </c>
    </row>
    <row r="132" spans="1:37" hidden="1" x14ac:dyDescent="0.55000000000000004">
      <c r="A132">
        <v>2675</v>
      </c>
      <c r="B132">
        <v>1003061</v>
      </c>
      <c r="C132">
        <v>68.319999999999993</v>
      </c>
      <c r="E132">
        <v>68.319999999999993</v>
      </c>
      <c r="G132">
        <v>68.319999999999993</v>
      </c>
      <c r="H132"/>
      <c r="I132"/>
      <c r="J132" s="2">
        <v>46003</v>
      </c>
      <c r="K132" s="5">
        <v>1003061</v>
      </c>
      <c r="L132" s="5">
        <v>2675</v>
      </c>
      <c r="M132" s="5">
        <v>0</v>
      </c>
      <c r="N132" s="5">
        <v>68.319999999999993</v>
      </c>
      <c r="O132" s="7">
        <v>45971</v>
      </c>
      <c r="P132" s="5">
        <v>68.319999999999993</v>
      </c>
      <c r="Q132" s="5">
        <v>0</v>
      </c>
      <c r="R132" s="5" t="s">
        <v>32</v>
      </c>
      <c r="S132" s="5" t="s">
        <v>33</v>
      </c>
      <c r="T132" s="5">
        <v>0</v>
      </c>
      <c r="U132" s="5">
        <v>68.319999999999993</v>
      </c>
      <c r="V132" s="5" t="s">
        <v>34</v>
      </c>
      <c r="W132" s="5">
        <v>2</v>
      </c>
      <c r="X132" s="5">
        <v>4412473755161</v>
      </c>
      <c r="Y132" s="7">
        <v>46003</v>
      </c>
      <c r="Z132" s="7">
        <v>45971</v>
      </c>
      <c r="AB132" s="6">
        <v>46003</v>
      </c>
      <c r="AC132" s="7">
        <v>46001.43472222222</v>
      </c>
      <c r="AD132" s="5">
        <v>26751003061</v>
      </c>
      <c r="AE132" s="8">
        <v>45971</v>
      </c>
      <c r="AF132" s="5">
        <v>1367</v>
      </c>
      <c r="AG132" s="5" t="s">
        <v>65</v>
      </c>
      <c r="AH132" s="5">
        <v>202288</v>
      </c>
      <c r="AI132" s="6">
        <v>45971</v>
      </c>
      <c r="AJ132" s="6">
        <v>46003</v>
      </c>
    </row>
    <row r="133" spans="1:37" x14ac:dyDescent="0.55000000000000004">
      <c r="A133">
        <v>2675</v>
      </c>
      <c r="B133">
        <v>1003064</v>
      </c>
      <c r="C133">
        <v>516.15</v>
      </c>
      <c r="D133" s="4">
        <v>10.32</v>
      </c>
      <c r="E133">
        <v>505.83</v>
      </c>
      <c r="G133">
        <v>505.83</v>
      </c>
      <c r="H133" s="14">
        <f t="shared" ref="H133:H134" si="55">C133-D133-F133</f>
        <v>505.83</v>
      </c>
      <c r="I133" s="14" t="b">
        <f t="shared" ref="I133:I134" si="56">G133=H133</f>
        <v>1</v>
      </c>
      <c r="J133" s="2">
        <v>46003</v>
      </c>
      <c r="K133" s="5">
        <v>1003064</v>
      </c>
      <c r="L133" s="5">
        <v>2675</v>
      </c>
      <c r="M133" s="5">
        <v>10.32</v>
      </c>
      <c r="N133" s="5">
        <v>516.15</v>
      </c>
      <c r="O133" s="7">
        <v>45971</v>
      </c>
      <c r="P133" s="5">
        <v>505.83</v>
      </c>
      <c r="Q133" s="5">
        <v>10.32</v>
      </c>
      <c r="R133" s="5" t="s">
        <v>32</v>
      </c>
      <c r="S133" s="5" t="s">
        <v>33</v>
      </c>
      <c r="T133" s="5">
        <v>0</v>
      </c>
      <c r="U133" s="5">
        <v>505.83</v>
      </c>
      <c r="V133" s="5" t="s">
        <v>34</v>
      </c>
      <c r="W133" s="5">
        <v>2</v>
      </c>
      <c r="X133" s="5">
        <v>4412473755161</v>
      </c>
      <c r="Y133" s="7">
        <v>46003</v>
      </c>
      <c r="Z133" s="7">
        <v>45971</v>
      </c>
      <c r="AB133" s="6">
        <v>46003</v>
      </c>
      <c r="AC133" s="7">
        <v>46001.43472222222</v>
      </c>
      <c r="AD133" s="5">
        <v>26751003064</v>
      </c>
      <c r="AE133" s="8">
        <v>45971</v>
      </c>
      <c r="AF133" s="5">
        <v>1367</v>
      </c>
      <c r="AG133" s="5" t="s">
        <v>71</v>
      </c>
      <c r="AH133" s="5">
        <v>202287</v>
      </c>
      <c r="AI133" s="6">
        <v>45971</v>
      </c>
      <c r="AJ133" s="6">
        <v>46003</v>
      </c>
      <c r="AK133" s="1">
        <f t="shared" ref="AK133:AK134" si="57">0.02*C133</f>
        <v>10.323</v>
      </c>
    </row>
    <row r="134" spans="1:37" x14ac:dyDescent="0.55000000000000004">
      <c r="A134">
        <v>2675</v>
      </c>
      <c r="B134">
        <v>1003085</v>
      </c>
      <c r="C134">
        <v>18.27</v>
      </c>
      <c r="D134" s="4">
        <v>0.37</v>
      </c>
      <c r="E134">
        <v>17.899999999999999</v>
      </c>
      <c r="G134">
        <v>17.899999999999999</v>
      </c>
      <c r="H134" s="14">
        <f t="shared" si="55"/>
        <v>17.899999999999999</v>
      </c>
      <c r="I134" s="14" t="b">
        <f t="shared" si="56"/>
        <v>1</v>
      </c>
      <c r="J134" s="2">
        <v>46003</v>
      </c>
      <c r="K134" s="5">
        <v>1003085</v>
      </c>
      <c r="L134" s="5">
        <v>2675</v>
      </c>
      <c r="M134" s="5">
        <v>0.37</v>
      </c>
      <c r="N134" s="5">
        <v>18.27</v>
      </c>
      <c r="O134" s="7">
        <v>45971</v>
      </c>
      <c r="P134" s="5">
        <v>17.899999999999999</v>
      </c>
      <c r="Q134" s="5">
        <v>0.37</v>
      </c>
      <c r="R134" s="5" t="s">
        <v>32</v>
      </c>
      <c r="S134" s="5" t="s">
        <v>33</v>
      </c>
      <c r="T134" s="5">
        <v>0</v>
      </c>
      <c r="U134" s="5">
        <v>17.899999999999999</v>
      </c>
      <c r="V134" s="5" t="s">
        <v>34</v>
      </c>
      <c r="W134" s="5">
        <v>2</v>
      </c>
      <c r="X134" s="5">
        <v>4412473755161</v>
      </c>
      <c r="Y134" s="7">
        <v>46003</v>
      </c>
      <c r="Z134" s="7">
        <v>45971</v>
      </c>
      <c r="AB134" s="6">
        <v>46003</v>
      </c>
      <c r="AC134" s="7">
        <v>46001.43472222222</v>
      </c>
      <c r="AD134" s="5">
        <v>26751003085</v>
      </c>
      <c r="AE134" s="8">
        <v>45971</v>
      </c>
      <c r="AF134" s="5">
        <v>1367</v>
      </c>
      <c r="AG134" s="5" t="s">
        <v>71</v>
      </c>
      <c r="AH134" s="5">
        <v>202271</v>
      </c>
      <c r="AI134" s="6">
        <v>45971</v>
      </c>
      <c r="AJ134" s="6">
        <v>46003</v>
      </c>
      <c r="AK134" s="1">
        <f t="shared" si="57"/>
        <v>0.3654</v>
      </c>
    </row>
    <row r="135" spans="1:37" hidden="1" x14ac:dyDescent="0.55000000000000004">
      <c r="A135">
        <v>2675</v>
      </c>
      <c r="B135">
        <v>1003597</v>
      </c>
      <c r="C135">
        <v>133.6</v>
      </c>
      <c r="E135">
        <v>133.6</v>
      </c>
      <c r="G135">
        <v>133.6</v>
      </c>
      <c r="H135"/>
      <c r="I135"/>
      <c r="J135" s="2">
        <v>46003</v>
      </c>
      <c r="K135" s="5">
        <v>1003597</v>
      </c>
      <c r="L135" s="5">
        <v>2675</v>
      </c>
      <c r="M135" s="5">
        <v>0</v>
      </c>
      <c r="N135" s="5">
        <v>133.6</v>
      </c>
      <c r="O135" s="7">
        <v>45973</v>
      </c>
      <c r="P135" s="5">
        <v>133.6</v>
      </c>
      <c r="Q135" s="5">
        <v>0</v>
      </c>
      <c r="R135" s="5" t="s">
        <v>32</v>
      </c>
      <c r="S135" s="5" t="s">
        <v>33</v>
      </c>
      <c r="T135" s="5">
        <v>0</v>
      </c>
      <c r="U135" s="5">
        <v>133.6</v>
      </c>
      <c r="V135" s="5" t="s">
        <v>34</v>
      </c>
      <c r="W135" s="5">
        <v>2</v>
      </c>
      <c r="X135" s="5">
        <v>4412473755161</v>
      </c>
      <c r="Y135" s="7">
        <v>46003</v>
      </c>
      <c r="Z135" s="7">
        <v>45973</v>
      </c>
      <c r="AB135" s="6">
        <v>46003</v>
      </c>
      <c r="AC135" s="7">
        <v>46001.43472222222</v>
      </c>
      <c r="AD135" s="5">
        <v>26751003597</v>
      </c>
      <c r="AE135" s="8">
        <v>45973</v>
      </c>
      <c r="AF135" s="5">
        <v>1338</v>
      </c>
      <c r="AG135" s="5" t="s">
        <v>65</v>
      </c>
      <c r="AH135" s="5">
        <v>202732</v>
      </c>
      <c r="AI135" s="6">
        <v>45973</v>
      </c>
      <c r="AJ135" s="6">
        <v>46003</v>
      </c>
    </row>
    <row r="136" spans="1:37" hidden="1" x14ac:dyDescent="0.55000000000000004">
      <c r="A136">
        <v>2675</v>
      </c>
      <c r="B136">
        <v>1003607</v>
      </c>
      <c r="C136" s="1">
        <v>1056.82</v>
      </c>
      <c r="E136" s="1">
        <v>1056.82</v>
      </c>
      <c r="G136" s="1">
        <v>1056.82</v>
      </c>
      <c r="H136" s="1"/>
      <c r="I136" s="1"/>
      <c r="J136" s="2">
        <v>46003</v>
      </c>
      <c r="K136" s="5">
        <v>1003607</v>
      </c>
      <c r="L136" s="5">
        <v>2675</v>
      </c>
      <c r="M136" s="5">
        <v>0</v>
      </c>
      <c r="N136" s="5">
        <v>1056.82</v>
      </c>
      <c r="O136" s="7">
        <v>45973</v>
      </c>
      <c r="P136" s="5">
        <v>1056.82</v>
      </c>
      <c r="Q136" s="5">
        <v>0</v>
      </c>
      <c r="R136" s="5" t="s">
        <v>32</v>
      </c>
      <c r="S136" s="5" t="s">
        <v>33</v>
      </c>
      <c r="T136" s="5">
        <v>0</v>
      </c>
      <c r="U136" s="5">
        <v>1056.82</v>
      </c>
      <c r="V136" s="5" t="s">
        <v>34</v>
      </c>
      <c r="W136" s="5">
        <v>2</v>
      </c>
      <c r="X136" s="5">
        <v>4412473755161</v>
      </c>
      <c r="Y136" s="7">
        <v>46003</v>
      </c>
      <c r="Z136" s="7">
        <v>45973</v>
      </c>
      <c r="AB136" s="6">
        <v>46003</v>
      </c>
      <c r="AC136" s="7">
        <v>46001.43472222222</v>
      </c>
      <c r="AD136" s="5">
        <v>26751003607</v>
      </c>
      <c r="AE136" s="8">
        <v>45973</v>
      </c>
      <c r="AF136" s="5">
        <v>1371</v>
      </c>
      <c r="AG136" s="5" t="s">
        <v>65</v>
      </c>
      <c r="AH136" s="5">
        <v>202667</v>
      </c>
      <c r="AI136" s="6">
        <v>45973</v>
      </c>
      <c r="AJ136" s="6">
        <v>46003</v>
      </c>
    </row>
    <row r="137" spans="1:37" x14ac:dyDescent="0.55000000000000004">
      <c r="A137">
        <v>2675</v>
      </c>
      <c r="B137">
        <v>1003614</v>
      </c>
      <c r="C137">
        <v>164.69</v>
      </c>
      <c r="D137" s="4">
        <v>3.29</v>
      </c>
      <c r="E137">
        <v>161.4</v>
      </c>
      <c r="G137">
        <v>161.4</v>
      </c>
      <c r="H137" s="14">
        <f t="shared" ref="H137:H138" si="58">C137-D137-F137</f>
        <v>161.4</v>
      </c>
      <c r="I137" s="14" t="b">
        <f t="shared" ref="I137:I138" si="59">G137=H137</f>
        <v>1</v>
      </c>
      <c r="J137" s="2">
        <v>46003</v>
      </c>
      <c r="K137" s="5">
        <v>1003614</v>
      </c>
      <c r="L137" s="5">
        <v>2675</v>
      </c>
      <c r="M137" s="5">
        <v>3.29</v>
      </c>
      <c r="N137" s="5">
        <v>164.69</v>
      </c>
      <c r="O137" s="7">
        <v>45973</v>
      </c>
      <c r="P137" s="5">
        <v>161.4</v>
      </c>
      <c r="Q137" s="5">
        <v>3.29</v>
      </c>
      <c r="R137" s="5" t="s">
        <v>32</v>
      </c>
      <c r="S137" s="5" t="s">
        <v>33</v>
      </c>
      <c r="T137" s="5">
        <v>0</v>
      </c>
      <c r="U137" s="5">
        <v>161.4</v>
      </c>
      <c r="V137" s="5" t="s">
        <v>34</v>
      </c>
      <c r="W137" s="5">
        <v>2</v>
      </c>
      <c r="X137" s="5">
        <v>4412473755161</v>
      </c>
      <c r="Y137" s="7">
        <v>46003</v>
      </c>
      <c r="Z137" s="7">
        <v>45973</v>
      </c>
      <c r="AB137" s="6">
        <v>46003</v>
      </c>
      <c r="AC137" s="7">
        <v>46001.43472222222</v>
      </c>
      <c r="AD137" s="5">
        <v>26751003614</v>
      </c>
      <c r="AE137" s="8">
        <v>45973</v>
      </c>
      <c r="AF137" s="5">
        <v>1371</v>
      </c>
      <c r="AG137" s="5" t="s">
        <v>71</v>
      </c>
      <c r="AH137" s="5">
        <v>202666</v>
      </c>
      <c r="AI137" s="6">
        <v>45973</v>
      </c>
      <c r="AJ137" s="6">
        <v>46003</v>
      </c>
      <c r="AK137" s="1">
        <f t="shared" ref="AK137:AK138" si="60">0.02*C137</f>
        <v>3.2938000000000001</v>
      </c>
    </row>
    <row r="138" spans="1:37" x14ac:dyDescent="0.55000000000000004">
      <c r="A138">
        <v>2675</v>
      </c>
      <c r="B138">
        <v>1003674</v>
      </c>
      <c r="C138">
        <v>112.22</v>
      </c>
      <c r="D138" s="4">
        <v>2.2400000000000002</v>
      </c>
      <c r="E138">
        <v>109.98</v>
      </c>
      <c r="G138">
        <v>109.98</v>
      </c>
      <c r="H138" s="14">
        <f t="shared" si="58"/>
        <v>109.98</v>
      </c>
      <c r="I138" s="14" t="b">
        <f t="shared" si="59"/>
        <v>1</v>
      </c>
      <c r="J138" s="2">
        <v>46003</v>
      </c>
      <c r="K138" s="5">
        <v>1003674</v>
      </c>
      <c r="L138" s="5">
        <v>2675</v>
      </c>
      <c r="M138" s="5">
        <v>2.2400000000000002</v>
      </c>
      <c r="N138" s="5">
        <v>112.22</v>
      </c>
      <c r="O138" s="7">
        <v>45973</v>
      </c>
      <c r="P138" s="5">
        <v>109.98</v>
      </c>
      <c r="Q138" s="5">
        <v>2.2400000000000002</v>
      </c>
      <c r="R138" s="5" t="s">
        <v>32</v>
      </c>
      <c r="S138" s="5" t="s">
        <v>33</v>
      </c>
      <c r="T138" s="5">
        <v>0</v>
      </c>
      <c r="U138" s="5">
        <v>109.98</v>
      </c>
      <c r="V138" s="5" t="s">
        <v>34</v>
      </c>
      <c r="W138" s="5">
        <v>2</v>
      </c>
      <c r="X138" s="5">
        <v>4412473755161</v>
      </c>
      <c r="Y138" s="7">
        <v>46003</v>
      </c>
      <c r="Z138" s="7">
        <v>45973</v>
      </c>
      <c r="AB138" s="6">
        <v>46003</v>
      </c>
      <c r="AC138" s="7">
        <v>46001.43472222222</v>
      </c>
      <c r="AD138" s="5">
        <v>26751003674</v>
      </c>
      <c r="AE138" s="8">
        <v>45973</v>
      </c>
      <c r="AF138" s="5">
        <v>1371</v>
      </c>
      <c r="AG138" s="5" t="s">
        <v>71</v>
      </c>
      <c r="AH138" s="5">
        <v>202651</v>
      </c>
      <c r="AI138" s="6">
        <v>45973</v>
      </c>
      <c r="AJ138" s="6">
        <v>46003</v>
      </c>
      <c r="AK138" s="1">
        <f t="shared" si="60"/>
        <v>2.2444000000000002</v>
      </c>
    </row>
    <row r="139" spans="1:37" hidden="1" x14ac:dyDescent="0.55000000000000004">
      <c r="A139">
        <v>2675</v>
      </c>
      <c r="B139">
        <v>1003737</v>
      </c>
      <c r="C139">
        <v>53.62</v>
      </c>
      <c r="E139">
        <v>53.62</v>
      </c>
      <c r="G139">
        <v>53.62</v>
      </c>
      <c r="H139"/>
      <c r="I139"/>
      <c r="J139" s="2">
        <v>46003</v>
      </c>
      <c r="K139" s="5">
        <v>1003737</v>
      </c>
      <c r="L139" s="5">
        <v>2675</v>
      </c>
      <c r="M139" s="5">
        <v>0</v>
      </c>
      <c r="N139" s="5">
        <v>53.62</v>
      </c>
      <c r="O139" s="7">
        <v>45974</v>
      </c>
      <c r="P139" s="5">
        <v>53.62</v>
      </c>
      <c r="Q139" s="5">
        <v>0</v>
      </c>
      <c r="R139" s="5" t="s">
        <v>32</v>
      </c>
      <c r="S139" s="5" t="s">
        <v>33</v>
      </c>
      <c r="T139" s="5">
        <v>0</v>
      </c>
      <c r="U139" s="5">
        <v>53.62</v>
      </c>
      <c r="V139" s="5" t="s">
        <v>34</v>
      </c>
      <c r="W139" s="5">
        <v>2</v>
      </c>
      <c r="X139" s="5">
        <v>4412473755161</v>
      </c>
      <c r="Y139" s="7">
        <v>46003</v>
      </c>
      <c r="Z139" s="7">
        <v>45974</v>
      </c>
      <c r="AB139" s="6">
        <v>46003</v>
      </c>
      <c r="AC139" s="7">
        <v>46001.43472222222</v>
      </c>
      <c r="AD139" s="5">
        <v>26751003737</v>
      </c>
      <c r="AE139" s="8">
        <v>45974</v>
      </c>
      <c r="AF139" s="5">
        <v>1360</v>
      </c>
      <c r="AG139" s="5" t="s">
        <v>65</v>
      </c>
      <c r="AH139" s="5">
        <v>202821</v>
      </c>
      <c r="AI139" s="6">
        <v>45974</v>
      </c>
      <c r="AJ139" s="6">
        <v>46003</v>
      </c>
    </row>
    <row r="140" spans="1:37" x14ac:dyDescent="0.55000000000000004">
      <c r="A140">
        <v>2675</v>
      </c>
      <c r="B140">
        <v>1003782</v>
      </c>
      <c r="C140">
        <v>104.64</v>
      </c>
      <c r="D140" s="4">
        <v>2.09</v>
      </c>
      <c r="E140">
        <v>102.55</v>
      </c>
      <c r="G140">
        <v>102.55</v>
      </c>
      <c r="H140" s="14">
        <f t="shared" ref="H140:H141" si="61">C140-D140-F140</f>
        <v>102.55</v>
      </c>
      <c r="I140" s="14" t="b">
        <f t="shared" ref="I140:I141" si="62">G140=H140</f>
        <v>1</v>
      </c>
      <c r="J140" s="2">
        <v>46003</v>
      </c>
      <c r="K140" s="5">
        <v>1003782</v>
      </c>
      <c r="L140" s="5">
        <v>2675</v>
      </c>
      <c r="M140" s="5">
        <v>2.09</v>
      </c>
      <c r="N140" s="5">
        <v>104.64</v>
      </c>
      <c r="O140" s="7">
        <v>45974</v>
      </c>
      <c r="P140" s="5">
        <v>102.55</v>
      </c>
      <c r="Q140" s="5">
        <v>2.09</v>
      </c>
      <c r="R140" s="5" t="s">
        <v>32</v>
      </c>
      <c r="S140" s="5" t="s">
        <v>33</v>
      </c>
      <c r="T140" s="5">
        <v>0</v>
      </c>
      <c r="U140" s="5">
        <v>102.55</v>
      </c>
      <c r="V140" s="5" t="s">
        <v>34</v>
      </c>
      <c r="W140" s="5">
        <v>2</v>
      </c>
      <c r="X140" s="5">
        <v>4412473755161</v>
      </c>
      <c r="Y140" s="7">
        <v>46003</v>
      </c>
      <c r="Z140" s="7">
        <v>45974</v>
      </c>
      <c r="AB140" s="6">
        <v>46003</v>
      </c>
      <c r="AC140" s="7">
        <v>46001.43472222222</v>
      </c>
      <c r="AD140" s="5">
        <v>26751003782</v>
      </c>
      <c r="AE140" s="8">
        <v>45974</v>
      </c>
      <c r="AF140" s="5">
        <v>1313</v>
      </c>
      <c r="AG140" s="5" t="s">
        <v>71</v>
      </c>
      <c r="AH140" s="5">
        <v>202876</v>
      </c>
      <c r="AI140" s="6">
        <v>45974</v>
      </c>
      <c r="AJ140" s="6">
        <v>46003</v>
      </c>
      <c r="AK140" s="1">
        <f t="shared" ref="AK140:AK141" si="63">0.02*C140</f>
        <v>2.0928</v>
      </c>
    </row>
    <row r="141" spans="1:37" x14ac:dyDescent="0.55000000000000004">
      <c r="A141">
        <v>2675</v>
      </c>
      <c r="B141">
        <v>1003786</v>
      </c>
      <c r="C141">
        <v>104.64</v>
      </c>
      <c r="D141" s="4">
        <v>2.09</v>
      </c>
      <c r="E141">
        <v>102.55</v>
      </c>
      <c r="G141">
        <v>102.55</v>
      </c>
      <c r="H141" s="14">
        <f t="shared" si="61"/>
        <v>102.55</v>
      </c>
      <c r="I141" s="14" t="b">
        <f t="shared" si="62"/>
        <v>1</v>
      </c>
      <c r="J141" s="2">
        <v>46003</v>
      </c>
      <c r="K141" s="5">
        <v>1003786</v>
      </c>
      <c r="L141" s="5">
        <v>2675</v>
      </c>
      <c r="M141" s="5">
        <v>2.09</v>
      </c>
      <c r="N141" s="5">
        <v>104.64</v>
      </c>
      <c r="O141" s="7">
        <v>45974</v>
      </c>
      <c r="P141" s="5">
        <v>102.55</v>
      </c>
      <c r="Q141" s="5">
        <v>2.09</v>
      </c>
      <c r="R141" s="5" t="s">
        <v>32</v>
      </c>
      <c r="S141" s="5" t="s">
        <v>33</v>
      </c>
      <c r="T141" s="5">
        <v>0</v>
      </c>
      <c r="U141" s="5">
        <v>102.55</v>
      </c>
      <c r="V141" s="5" t="s">
        <v>34</v>
      </c>
      <c r="W141" s="5">
        <v>2</v>
      </c>
      <c r="X141" s="5">
        <v>4412473755161</v>
      </c>
      <c r="Y141" s="7">
        <v>46003</v>
      </c>
      <c r="Z141" s="7">
        <v>45974</v>
      </c>
      <c r="AB141" s="6">
        <v>46003</v>
      </c>
      <c r="AC141" s="7">
        <v>46001.43472222222</v>
      </c>
      <c r="AD141" s="5">
        <v>26751003786</v>
      </c>
      <c r="AE141" s="8">
        <v>45974</v>
      </c>
      <c r="AF141" s="5">
        <v>1327</v>
      </c>
      <c r="AG141" s="5" t="s">
        <v>71</v>
      </c>
      <c r="AH141" s="5">
        <v>202877</v>
      </c>
      <c r="AI141" s="6">
        <v>45974</v>
      </c>
      <c r="AJ141" s="6">
        <v>46003</v>
      </c>
      <c r="AK141" s="1">
        <f t="shared" si="63"/>
        <v>2.0928</v>
      </c>
    </row>
    <row r="142" spans="1:37" hidden="1" x14ac:dyDescent="0.55000000000000004">
      <c r="A142">
        <v>2675</v>
      </c>
      <c r="B142">
        <v>1004400</v>
      </c>
      <c r="C142">
        <v>216.7</v>
      </c>
      <c r="E142">
        <v>216.7</v>
      </c>
      <c r="G142">
        <v>216.7</v>
      </c>
      <c r="H142"/>
      <c r="I142"/>
      <c r="J142" s="2">
        <v>46003</v>
      </c>
      <c r="K142" s="5">
        <v>1004400</v>
      </c>
      <c r="L142" s="5">
        <v>2675</v>
      </c>
      <c r="M142" s="5">
        <v>0</v>
      </c>
      <c r="N142" s="5">
        <v>216.7</v>
      </c>
      <c r="O142" s="7">
        <v>45978</v>
      </c>
      <c r="P142" s="5">
        <v>216.7</v>
      </c>
      <c r="Q142" s="5">
        <v>0</v>
      </c>
      <c r="R142" s="5" t="s">
        <v>32</v>
      </c>
      <c r="S142" s="5" t="s">
        <v>33</v>
      </c>
      <c r="T142" s="5">
        <v>0</v>
      </c>
      <c r="U142" s="5">
        <v>216.7</v>
      </c>
      <c r="V142" s="5" t="s">
        <v>34</v>
      </c>
      <c r="W142" s="5">
        <v>2</v>
      </c>
      <c r="X142" s="5">
        <v>4412473755161</v>
      </c>
      <c r="Y142" s="7">
        <v>46003</v>
      </c>
      <c r="Z142" s="7">
        <v>45978</v>
      </c>
      <c r="AB142" s="6">
        <v>46003</v>
      </c>
      <c r="AC142" s="7">
        <v>46001.43472222222</v>
      </c>
      <c r="AD142" s="5">
        <v>26751004400</v>
      </c>
      <c r="AE142" s="8">
        <v>45978</v>
      </c>
      <c r="AF142" s="5">
        <v>1375</v>
      </c>
      <c r="AG142" s="5" t="s">
        <v>65</v>
      </c>
      <c r="AH142" s="5">
        <v>203555</v>
      </c>
      <c r="AI142" s="6">
        <v>45978</v>
      </c>
      <c r="AJ142" s="6">
        <v>46003</v>
      </c>
    </row>
    <row r="143" spans="1:37" x14ac:dyDescent="0.55000000000000004">
      <c r="A143">
        <v>2675</v>
      </c>
      <c r="B143">
        <v>1004407</v>
      </c>
      <c r="C143">
        <v>473.78</v>
      </c>
      <c r="D143" s="4">
        <v>9.48</v>
      </c>
      <c r="E143">
        <v>464.3</v>
      </c>
      <c r="G143">
        <v>464.3</v>
      </c>
      <c r="H143" s="14">
        <f t="shared" ref="H143:H144" si="64">C143-D143-F143</f>
        <v>464.29999999999995</v>
      </c>
      <c r="I143" s="14" t="b">
        <f t="shared" ref="I143:I144" si="65">G143=H143</f>
        <v>1</v>
      </c>
      <c r="J143" s="2">
        <v>46003</v>
      </c>
      <c r="K143" s="5">
        <v>1004407</v>
      </c>
      <c r="L143" s="5">
        <v>2675</v>
      </c>
      <c r="M143" s="5">
        <v>9.48</v>
      </c>
      <c r="N143" s="5">
        <v>473.78</v>
      </c>
      <c r="O143" s="7">
        <v>45978</v>
      </c>
      <c r="P143" s="5">
        <v>464.3</v>
      </c>
      <c r="Q143" s="5">
        <v>9.48</v>
      </c>
      <c r="R143" s="5" t="s">
        <v>32</v>
      </c>
      <c r="S143" s="5" t="s">
        <v>33</v>
      </c>
      <c r="T143" s="5">
        <v>0</v>
      </c>
      <c r="U143" s="5">
        <v>464.3</v>
      </c>
      <c r="V143" s="5" t="s">
        <v>34</v>
      </c>
      <c r="W143" s="5">
        <v>2</v>
      </c>
      <c r="X143" s="5">
        <v>4412473755161</v>
      </c>
      <c r="Y143" s="7">
        <v>46003</v>
      </c>
      <c r="Z143" s="7">
        <v>45978</v>
      </c>
      <c r="AB143" s="6">
        <v>46003</v>
      </c>
      <c r="AC143" s="7">
        <v>46001.43472222222</v>
      </c>
      <c r="AD143" s="5">
        <v>26751004407</v>
      </c>
      <c r="AE143" s="8">
        <v>45978</v>
      </c>
      <c r="AF143" s="5">
        <v>1375</v>
      </c>
      <c r="AG143" s="5" t="s">
        <v>71</v>
      </c>
      <c r="AH143" s="5">
        <v>203554</v>
      </c>
      <c r="AI143" s="6">
        <v>45978</v>
      </c>
      <c r="AJ143" s="6">
        <v>46003</v>
      </c>
      <c r="AK143" s="1">
        <f t="shared" ref="AK143:AK144" si="66">0.02*C143</f>
        <v>9.4756</v>
      </c>
    </row>
    <row r="144" spans="1:37" x14ac:dyDescent="0.55000000000000004">
      <c r="A144">
        <v>2675</v>
      </c>
      <c r="B144">
        <v>1004419</v>
      </c>
      <c r="C144">
        <v>224.12</v>
      </c>
      <c r="D144" s="4">
        <v>4.4800000000000004</v>
      </c>
      <c r="E144">
        <v>219.64</v>
      </c>
      <c r="G144">
        <v>219.64</v>
      </c>
      <c r="H144" s="14">
        <f t="shared" si="64"/>
        <v>219.64000000000001</v>
      </c>
      <c r="I144" s="14" t="b">
        <f t="shared" si="65"/>
        <v>1</v>
      </c>
      <c r="J144" s="2">
        <v>46003</v>
      </c>
      <c r="K144" s="5">
        <v>1004419</v>
      </c>
      <c r="L144" s="5">
        <v>2675</v>
      </c>
      <c r="M144" s="5">
        <v>4.4800000000000004</v>
      </c>
      <c r="N144" s="5">
        <v>224.12</v>
      </c>
      <c r="O144" s="7">
        <v>45978</v>
      </c>
      <c r="P144" s="5">
        <v>219.64</v>
      </c>
      <c r="Q144" s="5">
        <v>4.4800000000000004</v>
      </c>
      <c r="R144" s="5" t="s">
        <v>32</v>
      </c>
      <c r="S144" s="5" t="s">
        <v>33</v>
      </c>
      <c r="T144" s="5">
        <v>0</v>
      </c>
      <c r="U144" s="5">
        <v>219.64</v>
      </c>
      <c r="V144" s="5" t="s">
        <v>34</v>
      </c>
      <c r="W144" s="5">
        <v>2</v>
      </c>
      <c r="X144" s="5">
        <v>4412473755161</v>
      </c>
      <c r="Y144" s="7">
        <v>46003</v>
      </c>
      <c r="Z144" s="7">
        <v>45978</v>
      </c>
      <c r="AB144" s="6">
        <v>46003</v>
      </c>
      <c r="AC144" s="7">
        <v>46001.43472222222</v>
      </c>
      <c r="AD144" s="5">
        <v>26751004419</v>
      </c>
      <c r="AE144" s="8">
        <v>45978</v>
      </c>
      <c r="AF144" s="5">
        <v>1375</v>
      </c>
      <c r="AG144" s="5" t="s">
        <v>71</v>
      </c>
      <c r="AH144" s="5">
        <v>203534</v>
      </c>
      <c r="AI144" s="6">
        <v>45978</v>
      </c>
      <c r="AJ144" s="6">
        <v>46003</v>
      </c>
      <c r="AK144" s="1">
        <f t="shared" si="66"/>
        <v>4.4824000000000002</v>
      </c>
    </row>
    <row r="145" spans="1:39" hidden="1" x14ac:dyDescent="0.55000000000000004">
      <c r="A145">
        <v>2675</v>
      </c>
      <c r="B145">
        <v>1004475</v>
      </c>
      <c r="C145" s="1">
        <v>1505.55</v>
      </c>
      <c r="E145" s="1">
        <v>1505.55</v>
      </c>
      <c r="G145" s="1">
        <v>1505.55</v>
      </c>
      <c r="H145" s="1"/>
      <c r="I145" s="1"/>
      <c r="J145" s="2">
        <v>46003</v>
      </c>
      <c r="K145" s="5">
        <v>1004475</v>
      </c>
      <c r="L145" s="5">
        <v>2675</v>
      </c>
      <c r="M145" s="5">
        <v>0</v>
      </c>
      <c r="N145" s="5">
        <v>1505.55</v>
      </c>
      <c r="O145" s="7">
        <v>45979</v>
      </c>
      <c r="P145" s="5">
        <v>1505.55</v>
      </c>
      <c r="Q145" s="5">
        <v>0</v>
      </c>
      <c r="R145" s="5">
        <v>832609</v>
      </c>
      <c r="S145" s="5" t="s">
        <v>73</v>
      </c>
      <c r="T145" s="5">
        <v>0</v>
      </c>
      <c r="U145" s="5">
        <v>1505.55</v>
      </c>
      <c r="V145" s="5" t="s">
        <v>34</v>
      </c>
      <c r="W145" s="5">
        <v>2</v>
      </c>
      <c r="X145" s="5">
        <v>4412473755161</v>
      </c>
      <c r="Y145" s="7">
        <v>46003</v>
      </c>
      <c r="Z145" s="7">
        <v>45979</v>
      </c>
      <c r="AB145" s="6">
        <v>46003</v>
      </c>
      <c r="AC145" s="7">
        <v>46001.43472222222</v>
      </c>
      <c r="AD145" s="5">
        <v>26751004475</v>
      </c>
      <c r="AE145" s="8">
        <v>45979</v>
      </c>
      <c r="AF145" s="5">
        <v>1364</v>
      </c>
      <c r="AG145" s="5" t="s">
        <v>65</v>
      </c>
      <c r="AH145" s="5">
        <v>832609</v>
      </c>
      <c r="AI145" s="6">
        <v>45979</v>
      </c>
      <c r="AJ145" s="6">
        <v>46003</v>
      </c>
    </row>
    <row r="146" spans="1:39" hidden="1" x14ac:dyDescent="0.55000000000000004">
      <c r="A146">
        <v>2675</v>
      </c>
      <c r="B146">
        <v>1005106</v>
      </c>
      <c r="C146">
        <v>74.599999999999994</v>
      </c>
      <c r="E146">
        <v>74.599999999999994</v>
      </c>
      <c r="G146">
        <v>74.599999999999994</v>
      </c>
      <c r="H146"/>
      <c r="I146"/>
      <c r="J146" s="2">
        <v>46003</v>
      </c>
      <c r="K146" s="5">
        <v>1005106</v>
      </c>
      <c r="L146" s="5">
        <v>2675</v>
      </c>
      <c r="M146" s="5">
        <v>0</v>
      </c>
      <c r="N146" s="5">
        <v>74.599999999999994</v>
      </c>
      <c r="O146" s="7">
        <v>45980</v>
      </c>
      <c r="P146" s="5">
        <v>74.599999999999994</v>
      </c>
      <c r="Q146" s="5">
        <v>0</v>
      </c>
      <c r="R146" s="5" t="s">
        <v>32</v>
      </c>
      <c r="S146" s="5" t="s">
        <v>33</v>
      </c>
      <c r="T146" s="5">
        <v>0</v>
      </c>
      <c r="U146" s="5">
        <v>74.599999999999994</v>
      </c>
      <c r="V146" s="5" t="s">
        <v>34</v>
      </c>
      <c r="W146" s="5">
        <v>2</v>
      </c>
      <c r="X146" s="5">
        <v>4412473755161</v>
      </c>
      <c r="Y146" s="7">
        <v>46003</v>
      </c>
      <c r="Z146" s="7">
        <v>45980</v>
      </c>
      <c r="AB146" s="6">
        <v>46003</v>
      </c>
      <c r="AC146" s="7">
        <v>46001.43472222222</v>
      </c>
      <c r="AD146" s="5">
        <v>26751005106</v>
      </c>
      <c r="AE146" s="8">
        <v>45980</v>
      </c>
      <c r="AF146" s="5">
        <v>1292</v>
      </c>
      <c r="AG146" s="5" t="s">
        <v>65</v>
      </c>
      <c r="AH146" s="5">
        <v>203978</v>
      </c>
      <c r="AI146" s="6">
        <v>45980</v>
      </c>
      <c r="AJ146" s="6">
        <v>46003</v>
      </c>
    </row>
    <row r="147" spans="1:39" x14ac:dyDescent="0.55000000000000004">
      <c r="A147">
        <v>2675</v>
      </c>
      <c r="B147">
        <v>1005409</v>
      </c>
      <c r="C147">
        <v>27.72</v>
      </c>
      <c r="D147" s="4">
        <v>0.55000000000000004</v>
      </c>
      <c r="E147">
        <v>27.17</v>
      </c>
      <c r="G147">
        <v>27.17</v>
      </c>
      <c r="H147" s="14">
        <f>C147-D147-F147</f>
        <v>27.169999999999998</v>
      </c>
      <c r="I147" s="14" t="b">
        <f>G147=H147</f>
        <v>1</v>
      </c>
      <c r="J147" s="2">
        <v>46003</v>
      </c>
      <c r="K147" s="5">
        <v>1005409</v>
      </c>
      <c r="L147" s="5">
        <v>2675</v>
      </c>
      <c r="M147" s="5">
        <v>0.55000000000000004</v>
      </c>
      <c r="N147" s="5">
        <v>27.72</v>
      </c>
      <c r="O147" s="7">
        <v>45981</v>
      </c>
      <c r="P147" s="5">
        <v>27.17</v>
      </c>
      <c r="Q147" s="5">
        <v>0.55000000000000004</v>
      </c>
      <c r="R147" s="5" t="s">
        <v>32</v>
      </c>
      <c r="S147" s="5" t="s">
        <v>33</v>
      </c>
      <c r="T147" s="5">
        <v>0</v>
      </c>
      <c r="U147" s="5">
        <v>27.17</v>
      </c>
      <c r="V147" s="5" t="s">
        <v>34</v>
      </c>
      <c r="W147" s="5">
        <v>2</v>
      </c>
      <c r="X147" s="5">
        <v>4412473755161</v>
      </c>
      <c r="Y147" s="7">
        <v>46003</v>
      </c>
      <c r="Z147" s="7">
        <v>45981</v>
      </c>
      <c r="AB147" s="6">
        <v>46003</v>
      </c>
      <c r="AC147" s="7">
        <v>46001.43472222222</v>
      </c>
      <c r="AD147" s="5">
        <v>26751005409</v>
      </c>
      <c r="AE147" s="8">
        <v>45981</v>
      </c>
      <c r="AF147" s="5">
        <v>1379</v>
      </c>
      <c r="AG147" s="5" t="s">
        <v>71</v>
      </c>
      <c r="AH147" s="5">
        <v>204271</v>
      </c>
      <c r="AI147" s="6">
        <v>45981</v>
      </c>
      <c r="AJ147" s="6">
        <v>46003</v>
      </c>
      <c r="AK147" s="1">
        <f t="shared" ref="AK147" si="67">0.02*C147</f>
        <v>0.5544</v>
      </c>
    </row>
    <row r="148" spans="1:39" hidden="1" x14ac:dyDescent="0.55000000000000004">
      <c r="A148">
        <v>2675</v>
      </c>
      <c r="B148">
        <v>1005459</v>
      </c>
      <c r="C148">
        <v>515.69000000000005</v>
      </c>
      <c r="E148">
        <v>515.69000000000005</v>
      </c>
      <c r="G148">
        <v>515.69000000000005</v>
      </c>
      <c r="H148"/>
      <c r="I148"/>
      <c r="J148" s="2">
        <v>46003</v>
      </c>
      <c r="K148" s="5">
        <v>1005459</v>
      </c>
      <c r="L148" s="5">
        <v>2675</v>
      </c>
      <c r="M148" s="5">
        <v>0</v>
      </c>
      <c r="N148" s="5">
        <v>515.69000000000005</v>
      </c>
      <c r="O148" s="7">
        <v>45981</v>
      </c>
      <c r="P148" s="5">
        <v>515.69000000000005</v>
      </c>
      <c r="Q148" s="5">
        <v>0</v>
      </c>
      <c r="R148" s="5" t="s">
        <v>32</v>
      </c>
      <c r="S148" s="5" t="s">
        <v>33</v>
      </c>
      <c r="T148" s="5">
        <v>0</v>
      </c>
      <c r="U148" s="5">
        <v>515.69000000000005</v>
      </c>
      <c r="V148" s="5" t="s">
        <v>34</v>
      </c>
      <c r="W148" s="5">
        <v>2</v>
      </c>
      <c r="X148" s="5">
        <v>4412473755161</v>
      </c>
      <c r="Y148" s="7">
        <v>46003</v>
      </c>
      <c r="Z148" s="7">
        <v>45981</v>
      </c>
      <c r="AB148" s="6">
        <v>46003</v>
      </c>
      <c r="AC148" s="7">
        <v>46001.43472222222</v>
      </c>
      <c r="AD148" s="5">
        <v>26751005459</v>
      </c>
      <c r="AE148" s="8">
        <v>45981</v>
      </c>
      <c r="AF148" s="5">
        <v>1379</v>
      </c>
      <c r="AG148" s="5" t="s">
        <v>65</v>
      </c>
      <c r="AH148" s="5">
        <v>204287</v>
      </c>
      <c r="AI148" s="6">
        <v>45981</v>
      </c>
      <c r="AJ148" s="6">
        <v>46003</v>
      </c>
    </row>
    <row r="149" spans="1:39" x14ac:dyDescent="0.55000000000000004">
      <c r="A149">
        <v>2675</v>
      </c>
      <c r="B149">
        <v>1005466</v>
      </c>
      <c r="C149">
        <v>247.57</v>
      </c>
      <c r="D149" s="4">
        <v>4.95</v>
      </c>
      <c r="E149">
        <v>242.62</v>
      </c>
      <c r="G149">
        <v>242.62</v>
      </c>
      <c r="H149" s="14">
        <f t="shared" ref="H149:H150" si="68">C149-D149-F149</f>
        <v>242.62</v>
      </c>
      <c r="I149" s="14" t="b">
        <f t="shared" ref="I149:I150" si="69">G149=H149</f>
        <v>1</v>
      </c>
      <c r="J149" s="2">
        <v>46003</v>
      </c>
      <c r="K149" s="5">
        <v>1005466</v>
      </c>
      <c r="L149" s="5">
        <v>2675</v>
      </c>
      <c r="M149" s="5">
        <v>4.95</v>
      </c>
      <c r="N149" s="5">
        <v>247.57</v>
      </c>
      <c r="O149" s="7">
        <v>45981</v>
      </c>
      <c r="P149" s="5">
        <v>242.62</v>
      </c>
      <c r="Q149" s="5">
        <v>4.95</v>
      </c>
      <c r="R149" s="5" t="s">
        <v>32</v>
      </c>
      <c r="S149" s="5" t="s">
        <v>33</v>
      </c>
      <c r="T149" s="5">
        <v>0</v>
      </c>
      <c r="U149" s="5">
        <v>242.62</v>
      </c>
      <c r="V149" s="5" t="s">
        <v>34</v>
      </c>
      <c r="W149" s="5">
        <v>2</v>
      </c>
      <c r="X149" s="5">
        <v>4412473755161</v>
      </c>
      <c r="Y149" s="7">
        <v>46003</v>
      </c>
      <c r="Z149" s="7">
        <v>45981</v>
      </c>
      <c r="AB149" s="6">
        <v>46003</v>
      </c>
      <c r="AC149" s="7">
        <v>46001.43472222222</v>
      </c>
      <c r="AD149" s="5">
        <v>26751005466</v>
      </c>
      <c r="AE149" s="8">
        <v>45981</v>
      </c>
      <c r="AF149" s="5">
        <v>1379</v>
      </c>
      <c r="AG149" s="5" t="s">
        <v>71</v>
      </c>
      <c r="AH149" s="5">
        <v>204286</v>
      </c>
      <c r="AI149" s="6">
        <v>45981</v>
      </c>
      <c r="AJ149" s="6">
        <v>46003</v>
      </c>
      <c r="AK149" s="1">
        <f t="shared" ref="AK149:AK150" si="70">0.02*C149</f>
        <v>4.9513999999999996</v>
      </c>
    </row>
    <row r="150" spans="1:39" x14ac:dyDescent="0.55000000000000004">
      <c r="A150">
        <v>2682</v>
      </c>
      <c r="B150">
        <v>993045</v>
      </c>
      <c r="C150" s="1">
        <v>11026.31</v>
      </c>
      <c r="E150" s="1">
        <v>11026.31</v>
      </c>
      <c r="G150" s="1">
        <v>11026.31</v>
      </c>
      <c r="H150" s="14">
        <f t="shared" si="68"/>
        <v>11026.31</v>
      </c>
      <c r="I150" s="14" t="b">
        <f t="shared" si="69"/>
        <v>1</v>
      </c>
      <c r="J150" s="2">
        <v>46003</v>
      </c>
      <c r="K150" s="5">
        <v>993045</v>
      </c>
      <c r="L150" s="5">
        <v>2682</v>
      </c>
      <c r="M150" s="5">
        <v>0</v>
      </c>
      <c r="N150" s="5">
        <v>11026.31</v>
      </c>
      <c r="O150" s="7">
        <v>45925</v>
      </c>
      <c r="P150" s="5">
        <v>11026.31</v>
      </c>
      <c r="Q150" s="5">
        <v>0</v>
      </c>
      <c r="R150" s="5" t="s">
        <v>96</v>
      </c>
      <c r="S150" s="5" t="s">
        <v>67</v>
      </c>
      <c r="T150" s="5">
        <v>0</v>
      </c>
      <c r="U150" s="5">
        <v>11026.31</v>
      </c>
      <c r="V150" s="5" t="s">
        <v>34</v>
      </c>
      <c r="W150" s="5">
        <v>2</v>
      </c>
      <c r="X150" s="5">
        <v>3756203039209</v>
      </c>
      <c r="Y150" s="7">
        <v>46003</v>
      </c>
      <c r="Z150" s="7">
        <v>45926</v>
      </c>
      <c r="AB150" s="6">
        <v>46003</v>
      </c>
      <c r="AC150" s="7">
        <v>46000.347222222219</v>
      </c>
      <c r="AD150" s="5">
        <v>2682993045</v>
      </c>
      <c r="AE150" s="8">
        <v>45925</v>
      </c>
      <c r="AF150" s="5" t="s">
        <v>97</v>
      </c>
      <c r="AG150" s="5" t="s">
        <v>98</v>
      </c>
      <c r="AH150" s="5" t="s">
        <v>96</v>
      </c>
      <c r="AI150" s="6">
        <v>45926</v>
      </c>
      <c r="AJ150" s="6">
        <v>46003</v>
      </c>
      <c r="AK150" s="1">
        <f t="shared" si="70"/>
        <v>220.52619999999999</v>
      </c>
      <c r="AL150" t="s">
        <v>673</v>
      </c>
    </row>
    <row r="151" spans="1:39" hidden="1" x14ac:dyDescent="0.55000000000000004">
      <c r="A151">
        <v>2696</v>
      </c>
      <c r="B151">
        <v>1007526</v>
      </c>
      <c r="C151" s="1">
        <v>3990</v>
      </c>
      <c r="E151" s="1">
        <v>3990</v>
      </c>
      <c r="F151">
        <v>39.9</v>
      </c>
      <c r="G151" s="1">
        <v>3950.1</v>
      </c>
      <c r="H151" s="1"/>
      <c r="I151" s="1"/>
      <c r="J151" s="2">
        <v>46003</v>
      </c>
      <c r="K151" s="5">
        <v>1007526</v>
      </c>
      <c r="L151" s="5">
        <v>2696</v>
      </c>
      <c r="M151" s="5">
        <v>0</v>
      </c>
      <c r="N151" s="5">
        <v>3990</v>
      </c>
      <c r="O151" s="7">
        <v>45993</v>
      </c>
      <c r="P151" s="5">
        <v>3990</v>
      </c>
      <c r="Q151" s="5">
        <v>0</v>
      </c>
      <c r="R151" s="5" t="s">
        <v>32</v>
      </c>
      <c r="S151" s="5" t="s">
        <v>33</v>
      </c>
      <c r="T151" s="5">
        <v>39.9</v>
      </c>
      <c r="U151" s="5">
        <v>3950.1</v>
      </c>
      <c r="V151" s="5" t="s">
        <v>34</v>
      </c>
      <c r="W151" s="5">
        <v>2</v>
      </c>
      <c r="X151" s="5">
        <v>5081964830298</v>
      </c>
      <c r="Y151" s="7">
        <v>46003</v>
      </c>
      <c r="Z151" s="7">
        <v>45993</v>
      </c>
      <c r="AB151" s="6">
        <v>46003</v>
      </c>
      <c r="AC151" s="7">
        <v>45999.536805555559</v>
      </c>
      <c r="AD151" s="5">
        <v>26961007526</v>
      </c>
      <c r="AE151" s="8">
        <v>45993</v>
      </c>
      <c r="AF151" s="5" t="s">
        <v>32</v>
      </c>
      <c r="AG151" s="5" t="s">
        <v>35</v>
      </c>
      <c r="AH151" s="5" t="s">
        <v>32</v>
      </c>
      <c r="AI151" s="6">
        <v>45993</v>
      </c>
      <c r="AJ151" s="6">
        <v>46003</v>
      </c>
    </row>
    <row r="152" spans="1:39" x14ac:dyDescent="0.55000000000000004">
      <c r="A152">
        <v>2766</v>
      </c>
      <c r="B152">
        <v>1007191</v>
      </c>
      <c r="C152">
        <v>765.12</v>
      </c>
      <c r="E152">
        <v>765.12</v>
      </c>
      <c r="F152">
        <v>7.65</v>
      </c>
      <c r="G152">
        <v>765.12</v>
      </c>
      <c r="H152" s="14">
        <f t="shared" ref="H152:H153" si="71">C152-D152-F152</f>
        <v>757.47</v>
      </c>
      <c r="I152" s="14" t="b">
        <f t="shared" ref="I152:I153" si="72">G152=H152</f>
        <v>0</v>
      </c>
      <c r="J152" s="2">
        <v>46003</v>
      </c>
      <c r="K152" s="5">
        <v>1007191</v>
      </c>
      <c r="L152" s="5">
        <v>2766</v>
      </c>
      <c r="M152" s="5">
        <v>0</v>
      </c>
      <c r="N152" s="5">
        <v>765.12</v>
      </c>
      <c r="O152" s="7">
        <v>45992</v>
      </c>
      <c r="P152" s="5">
        <v>765.12</v>
      </c>
      <c r="Q152" s="5">
        <v>0</v>
      </c>
      <c r="R152" s="5" t="s">
        <v>32</v>
      </c>
      <c r="S152" s="5" t="s">
        <v>33</v>
      </c>
      <c r="T152" s="5">
        <v>7.65</v>
      </c>
      <c r="U152" s="5">
        <v>765.12</v>
      </c>
      <c r="V152" s="5" t="s">
        <v>34</v>
      </c>
      <c r="W152" s="5">
        <v>10</v>
      </c>
      <c r="X152" s="5" t="s">
        <v>99</v>
      </c>
      <c r="Y152" s="7">
        <v>46003</v>
      </c>
      <c r="Z152" s="7">
        <v>45992</v>
      </c>
      <c r="AA152" s="5" t="s">
        <v>32</v>
      </c>
      <c r="AB152" s="6">
        <v>46003</v>
      </c>
      <c r="AC152" s="7">
        <v>46003.572916666664</v>
      </c>
      <c r="AD152" s="5">
        <v>27661007191</v>
      </c>
      <c r="AE152" s="8">
        <v>45992</v>
      </c>
      <c r="AF152" s="5">
        <v>102711</v>
      </c>
      <c r="AG152" s="5" t="s">
        <v>37</v>
      </c>
      <c r="AH152" s="5">
        <v>205737</v>
      </c>
      <c r="AI152" s="6">
        <v>45992</v>
      </c>
      <c r="AJ152" s="6">
        <v>46003</v>
      </c>
      <c r="AK152" s="1">
        <f t="shared" ref="AK152:AK153" si="73">0.02*C152</f>
        <v>15.3024</v>
      </c>
      <c r="AL152" t="s">
        <v>673</v>
      </c>
      <c r="AM152">
        <f t="shared" ref="AM152:AM153" si="74">F152</f>
        <v>7.65</v>
      </c>
    </row>
    <row r="153" spans="1:39" x14ac:dyDescent="0.55000000000000004">
      <c r="A153">
        <v>2766</v>
      </c>
      <c r="B153">
        <v>1007196</v>
      </c>
      <c r="C153">
        <v>402.6</v>
      </c>
      <c r="E153">
        <v>402.6</v>
      </c>
      <c r="F153">
        <v>4.03</v>
      </c>
      <c r="G153">
        <v>402.6</v>
      </c>
      <c r="H153" s="14">
        <f t="shared" si="71"/>
        <v>398.57000000000005</v>
      </c>
      <c r="I153" s="14" t="b">
        <f t="shared" si="72"/>
        <v>0</v>
      </c>
      <c r="J153" s="2">
        <v>46003</v>
      </c>
      <c r="K153" s="5">
        <v>1007196</v>
      </c>
      <c r="L153" s="5">
        <v>2766</v>
      </c>
      <c r="M153" s="5">
        <v>0</v>
      </c>
      <c r="N153" s="5">
        <v>402.6</v>
      </c>
      <c r="O153" s="7">
        <v>45992</v>
      </c>
      <c r="P153" s="5">
        <v>402.6</v>
      </c>
      <c r="Q153" s="5">
        <v>0</v>
      </c>
      <c r="R153" s="5" t="s">
        <v>32</v>
      </c>
      <c r="S153" s="5" t="s">
        <v>33</v>
      </c>
      <c r="T153" s="5">
        <v>4.03</v>
      </c>
      <c r="U153" s="5">
        <v>402.6</v>
      </c>
      <c r="V153" s="5" t="s">
        <v>34</v>
      </c>
      <c r="W153" s="5">
        <v>10</v>
      </c>
      <c r="X153" s="5" t="s">
        <v>99</v>
      </c>
      <c r="Y153" s="7">
        <v>46003</v>
      </c>
      <c r="Z153" s="7">
        <v>45992</v>
      </c>
      <c r="AA153" s="5" t="s">
        <v>32</v>
      </c>
      <c r="AB153" s="6">
        <v>46003</v>
      </c>
      <c r="AC153" s="7">
        <v>46003.572916666664</v>
      </c>
      <c r="AD153" s="5">
        <v>27661007196</v>
      </c>
      <c r="AE153" s="8">
        <v>45992</v>
      </c>
      <c r="AF153" s="5">
        <v>102888</v>
      </c>
      <c r="AG153" s="5" t="s">
        <v>37</v>
      </c>
      <c r="AH153" s="5">
        <v>205738</v>
      </c>
      <c r="AI153" s="6">
        <v>45992</v>
      </c>
      <c r="AJ153" s="6">
        <v>46003</v>
      </c>
      <c r="AK153" s="1">
        <f t="shared" si="73"/>
        <v>8.0520000000000014</v>
      </c>
      <c r="AL153" t="s">
        <v>673</v>
      </c>
      <c r="AM153">
        <f t="shared" si="74"/>
        <v>4.03</v>
      </c>
    </row>
    <row r="154" spans="1:39" hidden="1" x14ac:dyDescent="0.55000000000000004">
      <c r="A154">
        <v>2766</v>
      </c>
      <c r="B154">
        <v>1007512</v>
      </c>
      <c r="C154" s="1">
        <v>3990</v>
      </c>
      <c r="E154" s="1">
        <v>3990</v>
      </c>
      <c r="F154">
        <v>39.9</v>
      </c>
      <c r="G154" s="1">
        <v>3950.1</v>
      </c>
      <c r="H154" s="1"/>
      <c r="I154" s="1"/>
      <c r="J154" s="2">
        <v>46003</v>
      </c>
      <c r="K154" s="5">
        <v>1007512</v>
      </c>
      <c r="L154" s="5">
        <v>2766</v>
      </c>
      <c r="M154" s="5">
        <v>0</v>
      </c>
      <c r="N154" s="5">
        <v>3990</v>
      </c>
      <c r="O154" s="7">
        <v>45993</v>
      </c>
      <c r="P154" s="5">
        <v>3990</v>
      </c>
      <c r="Q154" s="5">
        <v>0</v>
      </c>
      <c r="R154" s="5" t="s">
        <v>32</v>
      </c>
      <c r="S154" s="5" t="s">
        <v>33</v>
      </c>
      <c r="T154" s="5">
        <v>39.9</v>
      </c>
      <c r="U154" s="5">
        <v>3950.1</v>
      </c>
      <c r="V154" s="5" t="s">
        <v>34</v>
      </c>
      <c r="W154" s="5">
        <v>10</v>
      </c>
      <c r="X154" s="5" t="s">
        <v>99</v>
      </c>
      <c r="Y154" s="7">
        <v>46003</v>
      </c>
      <c r="Z154" s="7">
        <v>45993</v>
      </c>
      <c r="AA154" s="5" t="s">
        <v>32</v>
      </c>
      <c r="AB154" s="6">
        <v>46003</v>
      </c>
      <c r="AC154" s="7">
        <v>46003.572916666664</v>
      </c>
      <c r="AD154" s="5">
        <v>27661007512</v>
      </c>
      <c r="AE154" s="8">
        <v>45993</v>
      </c>
      <c r="AF154" s="5" t="s">
        <v>32</v>
      </c>
      <c r="AG154" s="5" t="s">
        <v>35</v>
      </c>
      <c r="AH154" s="5" t="s">
        <v>32</v>
      </c>
      <c r="AI154" s="6">
        <v>45993</v>
      </c>
      <c r="AJ154" s="6">
        <v>46003</v>
      </c>
    </row>
    <row r="155" spans="1:39" x14ac:dyDescent="0.55000000000000004">
      <c r="A155">
        <v>2766</v>
      </c>
      <c r="B155">
        <v>1007730</v>
      </c>
      <c r="C155" s="1">
        <v>6106.93</v>
      </c>
      <c r="E155" s="1">
        <v>6106.93</v>
      </c>
      <c r="F155">
        <v>61.07</v>
      </c>
      <c r="G155" s="1">
        <v>6106.93</v>
      </c>
      <c r="H155" s="14">
        <f>C155-D155-F155</f>
        <v>6045.8600000000006</v>
      </c>
      <c r="I155" s="14" t="b">
        <f>G155=H155</f>
        <v>0</v>
      </c>
      <c r="J155" s="2">
        <v>46003</v>
      </c>
      <c r="K155" s="5">
        <v>1007730</v>
      </c>
      <c r="L155" s="5">
        <v>2766</v>
      </c>
      <c r="M155" s="5">
        <v>0</v>
      </c>
      <c r="N155" s="5">
        <v>6106.93</v>
      </c>
      <c r="O155" s="7">
        <v>45993</v>
      </c>
      <c r="P155" s="5">
        <v>6106.93</v>
      </c>
      <c r="Q155" s="5">
        <v>0</v>
      </c>
      <c r="R155" s="5" t="s">
        <v>32</v>
      </c>
      <c r="S155" s="5" t="s">
        <v>33</v>
      </c>
      <c r="T155" s="5">
        <v>61.07</v>
      </c>
      <c r="U155" s="5">
        <v>6106.93</v>
      </c>
      <c r="V155" s="5" t="s">
        <v>34</v>
      </c>
      <c r="W155" s="5">
        <v>10</v>
      </c>
      <c r="X155" s="5" t="s">
        <v>99</v>
      </c>
      <c r="Y155" s="7">
        <v>46003</v>
      </c>
      <c r="Z155" s="7">
        <v>45993</v>
      </c>
      <c r="AA155" s="5" t="s">
        <v>32</v>
      </c>
      <c r="AB155" s="6">
        <v>46003</v>
      </c>
      <c r="AC155" s="7">
        <v>46003.572916666664</v>
      </c>
      <c r="AD155" s="5">
        <v>27661007730</v>
      </c>
      <c r="AE155" s="8">
        <v>45993</v>
      </c>
      <c r="AF155" s="5">
        <v>102924</v>
      </c>
      <c r="AG155" s="5" t="s">
        <v>37</v>
      </c>
      <c r="AH155" s="5">
        <v>206196</v>
      </c>
      <c r="AI155" s="6">
        <v>45993</v>
      </c>
      <c r="AJ155" s="6">
        <v>46003</v>
      </c>
      <c r="AK155" s="1">
        <f t="shared" ref="AK155" si="75">0.02*C155</f>
        <v>122.13860000000001</v>
      </c>
      <c r="AL155" t="s">
        <v>673</v>
      </c>
      <c r="AM155">
        <f>F155</f>
        <v>61.07</v>
      </c>
    </row>
    <row r="156" spans="1:39" hidden="1" x14ac:dyDescent="0.55000000000000004">
      <c r="A156">
        <v>2766</v>
      </c>
      <c r="B156">
        <v>1007814</v>
      </c>
      <c r="C156" s="1">
        <v>2308.38</v>
      </c>
      <c r="E156" s="1">
        <v>2308.38</v>
      </c>
      <c r="F156">
        <v>23.08</v>
      </c>
      <c r="G156" s="1">
        <v>2285.3000000000002</v>
      </c>
      <c r="H156" s="1"/>
      <c r="I156" s="1"/>
      <c r="J156" s="2">
        <v>46003</v>
      </c>
      <c r="K156" s="5">
        <v>1007814</v>
      </c>
      <c r="L156" s="5">
        <v>2766</v>
      </c>
      <c r="M156" s="5">
        <v>0</v>
      </c>
      <c r="N156" s="5">
        <v>2308.38</v>
      </c>
      <c r="O156" s="7">
        <v>45993</v>
      </c>
      <c r="P156" s="5">
        <v>2308.38</v>
      </c>
      <c r="Q156" s="5">
        <v>0</v>
      </c>
      <c r="R156" s="5" t="s">
        <v>32</v>
      </c>
      <c r="S156" s="5" t="s">
        <v>33</v>
      </c>
      <c r="T156" s="5">
        <v>23.08</v>
      </c>
      <c r="U156" s="5">
        <v>2285.3000000000002</v>
      </c>
      <c r="V156" s="5" t="s">
        <v>34</v>
      </c>
      <c r="W156" s="5">
        <v>10</v>
      </c>
      <c r="X156" s="5" t="s">
        <v>99</v>
      </c>
      <c r="Y156" s="7">
        <v>46003</v>
      </c>
      <c r="Z156" s="7">
        <v>45993</v>
      </c>
      <c r="AA156" s="5" t="s">
        <v>32</v>
      </c>
      <c r="AB156" s="6">
        <v>46003</v>
      </c>
      <c r="AC156" s="7">
        <v>46003.572916666664</v>
      </c>
      <c r="AD156" s="5">
        <v>27661007814</v>
      </c>
      <c r="AE156" s="8">
        <v>45993</v>
      </c>
      <c r="AF156" s="5" t="s">
        <v>100</v>
      </c>
      <c r="AG156" s="5" t="s">
        <v>38</v>
      </c>
      <c r="AH156" s="5">
        <v>206096</v>
      </c>
      <c r="AI156" s="6">
        <v>45993</v>
      </c>
      <c r="AJ156" s="6">
        <v>46003</v>
      </c>
    </row>
    <row r="157" spans="1:39" hidden="1" x14ac:dyDescent="0.55000000000000004">
      <c r="A157">
        <v>2766</v>
      </c>
      <c r="B157">
        <v>1007816</v>
      </c>
      <c r="C157" s="1">
        <v>3478.42</v>
      </c>
      <c r="E157" s="1">
        <v>3478.42</v>
      </c>
      <c r="F157">
        <v>34.78</v>
      </c>
      <c r="G157" s="1">
        <v>3443.64</v>
      </c>
      <c r="H157" s="1"/>
      <c r="I157" s="1"/>
      <c r="J157" s="2">
        <v>46003</v>
      </c>
      <c r="K157" s="5">
        <v>1007816</v>
      </c>
      <c r="L157" s="5">
        <v>2766</v>
      </c>
      <c r="M157" s="5">
        <v>0</v>
      </c>
      <c r="N157" s="5">
        <v>3478.42</v>
      </c>
      <c r="O157" s="7">
        <v>45993</v>
      </c>
      <c r="P157" s="5">
        <v>3478.42</v>
      </c>
      <c r="Q157" s="5">
        <v>0</v>
      </c>
      <c r="R157" s="5" t="s">
        <v>32</v>
      </c>
      <c r="S157" s="5" t="s">
        <v>33</v>
      </c>
      <c r="T157" s="5">
        <v>34.78</v>
      </c>
      <c r="U157" s="5">
        <v>3443.64</v>
      </c>
      <c r="V157" s="5" t="s">
        <v>34</v>
      </c>
      <c r="W157" s="5">
        <v>10</v>
      </c>
      <c r="X157" s="5" t="s">
        <v>99</v>
      </c>
      <c r="Y157" s="7">
        <v>46003</v>
      </c>
      <c r="Z157" s="7">
        <v>45993</v>
      </c>
      <c r="AA157" s="5" t="s">
        <v>32</v>
      </c>
      <c r="AB157" s="6">
        <v>46003</v>
      </c>
      <c r="AC157" s="7">
        <v>46003.572916666664</v>
      </c>
      <c r="AD157" s="5">
        <v>27661007816</v>
      </c>
      <c r="AE157" s="8">
        <v>45993</v>
      </c>
      <c r="AF157" s="5" t="s">
        <v>101</v>
      </c>
      <c r="AG157" s="5" t="s">
        <v>38</v>
      </c>
      <c r="AH157" s="5">
        <v>206095</v>
      </c>
      <c r="AI157" s="6">
        <v>45993</v>
      </c>
      <c r="AJ157" s="6">
        <v>46003</v>
      </c>
    </row>
    <row r="158" spans="1:39" hidden="1" x14ac:dyDescent="0.55000000000000004">
      <c r="A158">
        <v>2766</v>
      </c>
      <c r="B158">
        <v>1007926</v>
      </c>
      <c r="C158">
        <v>323.95999999999998</v>
      </c>
      <c r="E158">
        <v>323.95999999999998</v>
      </c>
      <c r="F158">
        <v>3.24</v>
      </c>
      <c r="G158">
        <v>320.72000000000003</v>
      </c>
      <c r="H158"/>
      <c r="I158"/>
      <c r="J158" s="2">
        <v>46003</v>
      </c>
      <c r="K158" s="5">
        <v>1007926</v>
      </c>
      <c r="L158" s="5">
        <v>2766</v>
      </c>
      <c r="M158" s="5">
        <v>0</v>
      </c>
      <c r="N158" s="5">
        <v>323.95999999999998</v>
      </c>
      <c r="O158" s="7">
        <v>45994</v>
      </c>
      <c r="P158" s="5">
        <v>323.95999999999998</v>
      </c>
      <c r="Q158" s="5">
        <v>0</v>
      </c>
      <c r="R158" s="5" t="s">
        <v>32</v>
      </c>
      <c r="S158" s="5" t="s">
        <v>33</v>
      </c>
      <c r="T158" s="5">
        <v>3.24</v>
      </c>
      <c r="U158" s="5">
        <v>320.72000000000003</v>
      </c>
      <c r="V158" s="5" t="s">
        <v>34</v>
      </c>
      <c r="W158" s="5">
        <v>10</v>
      </c>
      <c r="X158" s="5" t="s">
        <v>99</v>
      </c>
      <c r="Y158" s="7">
        <v>46003</v>
      </c>
      <c r="Z158" s="7">
        <v>45994</v>
      </c>
      <c r="AA158" s="5" t="s">
        <v>32</v>
      </c>
      <c r="AB158" s="6">
        <v>46003</v>
      </c>
      <c r="AC158" s="7">
        <v>46003.572916666664</v>
      </c>
      <c r="AD158" s="5">
        <v>27661007926</v>
      </c>
      <c r="AE158" s="8">
        <v>45994</v>
      </c>
      <c r="AF158" s="5" t="s">
        <v>100</v>
      </c>
      <c r="AG158" s="5" t="s">
        <v>38</v>
      </c>
      <c r="AH158" s="5">
        <v>206429</v>
      </c>
      <c r="AI158" s="6">
        <v>45994</v>
      </c>
      <c r="AJ158" s="6">
        <v>46003</v>
      </c>
    </row>
    <row r="159" spans="1:39" x14ac:dyDescent="0.55000000000000004">
      <c r="A159">
        <v>2766</v>
      </c>
      <c r="B159">
        <v>1008025</v>
      </c>
      <c r="C159" s="1">
        <v>1345.86</v>
      </c>
      <c r="E159" s="1">
        <v>1345.86</v>
      </c>
      <c r="F159">
        <v>13.46</v>
      </c>
      <c r="G159" s="1">
        <v>1345.86</v>
      </c>
      <c r="H159" s="14">
        <f t="shared" ref="H159:H165" si="76">C159-D159-F159</f>
        <v>1332.3999999999999</v>
      </c>
      <c r="I159" s="14" t="b">
        <f t="shared" ref="I159:I165" si="77">G159=H159</f>
        <v>0</v>
      </c>
      <c r="J159" s="2">
        <v>46003</v>
      </c>
      <c r="K159" s="5">
        <v>1008025</v>
      </c>
      <c r="L159" s="5">
        <v>2766</v>
      </c>
      <c r="M159" s="5">
        <v>0</v>
      </c>
      <c r="N159" s="5">
        <v>1345.86</v>
      </c>
      <c r="O159" s="7">
        <v>45994</v>
      </c>
      <c r="P159" s="5">
        <v>1345.86</v>
      </c>
      <c r="Q159" s="5">
        <v>0</v>
      </c>
      <c r="R159" s="5" t="s">
        <v>32</v>
      </c>
      <c r="S159" s="5" t="s">
        <v>33</v>
      </c>
      <c r="T159" s="5">
        <v>13.46</v>
      </c>
      <c r="U159" s="5">
        <v>1345.86</v>
      </c>
      <c r="V159" s="5" t="s">
        <v>34</v>
      </c>
      <c r="W159" s="5">
        <v>10</v>
      </c>
      <c r="X159" s="5" t="s">
        <v>99</v>
      </c>
      <c r="Y159" s="7">
        <v>46003</v>
      </c>
      <c r="Z159" s="7">
        <v>45994</v>
      </c>
      <c r="AA159" s="5" t="s">
        <v>32</v>
      </c>
      <c r="AB159" s="6">
        <v>46003</v>
      </c>
      <c r="AC159" s="7">
        <v>46003.572916666664</v>
      </c>
      <c r="AD159" s="5">
        <v>27661008025</v>
      </c>
      <c r="AE159" s="8">
        <v>45994</v>
      </c>
      <c r="AF159" s="5" t="s">
        <v>102</v>
      </c>
      <c r="AG159" s="5" t="s">
        <v>37</v>
      </c>
      <c r="AH159" s="5">
        <v>206060</v>
      </c>
      <c r="AI159" s="6">
        <v>45994</v>
      </c>
      <c r="AJ159" s="6">
        <v>46003</v>
      </c>
      <c r="AK159" s="1">
        <f t="shared" ref="AK159:AK165" si="78">0.02*C159</f>
        <v>26.917199999999998</v>
      </c>
      <c r="AL159" t="s">
        <v>673</v>
      </c>
      <c r="AM159">
        <f t="shared" ref="AM159:AM165" si="79">F159</f>
        <v>13.46</v>
      </c>
    </row>
    <row r="160" spans="1:39" x14ac:dyDescent="0.55000000000000004">
      <c r="A160">
        <v>2766</v>
      </c>
      <c r="B160">
        <v>1008059</v>
      </c>
      <c r="C160" s="1">
        <v>14584.46</v>
      </c>
      <c r="E160" s="1">
        <v>14584.46</v>
      </c>
      <c r="F160">
        <v>145.84</v>
      </c>
      <c r="G160" s="1">
        <v>14584.46</v>
      </c>
      <c r="H160" s="14">
        <f t="shared" si="76"/>
        <v>14438.619999999999</v>
      </c>
      <c r="I160" s="14" t="b">
        <f t="shared" si="77"/>
        <v>0</v>
      </c>
      <c r="J160" s="2">
        <v>46003</v>
      </c>
      <c r="K160" s="5">
        <v>1008059</v>
      </c>
      <c r="L160" s="5">
        <v>2766</v>
      </c>
      <c r="M160" s="5">
        <v>0</v>
      </c>
      <c r="N160" s="5">
        <v>14584.46</v>
      </c>
      <c r="O160" s="7">
        <v>45994</v>
      </c>
      <c r="P160" s="5">
        <v>14584.46</v>
      </c>
      <c r="Q160" s="5">
        <v>0</v>
      </c>
      <c r="R160" s="5" t="s">
        <v>32</v>
      </c>
      <c r="S160" s="5" t="s">
        <v>33</v>
      </c>
      <c r="T160" s="5">
        <v>145.84</v>
      </c>
      <c r="U160" s="5">
        <v>14584.46</v>
      </c>
      <c r="V160" s="5" t="s">
        <v>34</v>
      </c>
      <c r="W160" s="5">
        <v>10</v>
      </c>
      <c r="X160" s="5" t="s">
        <v>99</v>
      </c>
      <c r="Y160" s="7">
        <v>46003</v>
      </c>
      <c r="Z160" s="7">
        <v>45994</v>
      </c>
      <c r="AA160" s="5" t="s">
        <v>32</v>
      </c>
      <c r="AB160" s="6">
        <v>46003</v>
      </c>
      <c r="AC160" s="7">
        <v>46003.572916666664</v>
      </c>
      <c r="AD160" s="5">
        <v>27661008059</v>
      </c>
      <c r="AE160" s="8">
        <v>45994</v>
      </c>
      <c r="AF160" s="5">
        <v>102930</v>
      </c>
      <c r="AG160" s="5" t="s">
        <v>37</v>
      </c>
      <c r="AH160" s="5">
        <v>206500</v>
      </c>
      <c r="AI160" s="6">
        <v>45994</v>
      </c>
      <c r="AJ160" s="6">
        <v>46003</v>
      </c>
      <c r="AK160" s="1">
        <f t="shared" si="78"/>
        <v>291.68919999999997</v>
      </c>
      <c r="AL160" t="s">
        <v>673</v>
      </c>
      <c r="AM160">
        <f t="shared" si="79"/>
        <v>145.84</v>
      </c>
    </row>
    <row r="161" spans="1:39" x14ac:dyDescent="0.55000000000000004">
      <c r="A161">
        <v>2766</v>
      </c>
      <c r="B161">
        <v>1008238</v>
      </c>
      <c r="C161" s="1">
        <v>6781.08</v>
      </c>
      <c r="E161" s="1">
        <v>6781.08</v>
      </c>
      <c r="F161">
        <v>67.81</v>
      </c>
      <c r="G161" s="1">
        <v>6781.08</v>
      </c>
      <c r="H161" s="14">
        <f t="shared" si="76"/>
        <v>6713.2699999999995</v>
      </c>
      <c r="I161" s="14" t="b">
        <f t="shared" si="77"/>
        <v>0</v>
      </c>
      <c r="J161" s="2">
        <v>46003</v>
      </c>
      <c r="K161" s="5">
        <v>1008238</v>
      </c>
      <c r="L161" s="5">
        <v>2766</v>
      </c>
      <c r="M161" s="5">
        <v>0</v>
      </c>
      <c r="N161" s="5">
        <v>6781.08</v>
      </c>
      <c r="O161" s="7">
        <v>45995</v>
      </c>
      <c r="P161" s="5">
        <v>6781.08</v>
      </c>
      <c r="Q161" s="5">
        <v>0</v>
      </c>
      <c r="R161" s="5" t="s">
        <v>32</v>
      </c>
      <c r="S161" s="5" t="s">
        <v>33</v>
      </c>
      <c r="T161" s="5">
        <v>67.81</v>
      </c>
      <c r="U161" s="5">
        <v>6781.08</v>
      </c>
      <c r="V161" s="5" t="s">
        <v>34</v>
      </c>
      <c r="W161" s="5">
        <v>10</v>
      </c>
      <c r="X161" s="5" t="s">
        <v>99</v>
      </c>
      <c r="Y161" s="7">
        <v>46003</v>
      </c>
      <c r="Z161" s="7">
        <v>45995</v>
      </c>
      <c r="AA161" s="5" t="s">
        <v>32</v>
      </c>
      <c r="AB161" s="6">
        <v>46003</v>
      </c>
      <c r="AC161" s="7">
        <v>46003.572916666664</v>
      </c>
      <c r="AD161" s="5">
        <v>27661008238</v>
      </c>
      <c r="AE161" s="8">
        <v>45995</v>
      </c>
      <c r="AF161" s="5">
        <v>102930</v>
      </c>
      <c r="AG161" s="5" t="s">
        <v>37</v>
      </c>
      <c r="AH161" s="5">
        <v>206507</v>
      </c>
      <c r="AI161" s="6">
        <v>45995</v>
      </c>
      <c r="AJ161" s="6">
        <v>46003</v>
      </c>
      <c r="AK161" s="1">
        <f t="shared" si="78"/>
        <v>135.6216</v>
      </c>
      <c r="AL161" t="s">
        <v>673</v>
      </c>
      <c r="AM161">
        <f t="shared" si="79"/>
        <v>67.81</v>
      </c>
    </row>
    <row r="162" spans="1:39" x14ac:dyDescent="0.55000000000000004">
      <c r="A162">
        <v>2766</v>
      </c>
      <c r="B162">
        <v>1008411</v>
      </c>
      <c r="C162">
        <v>143</v>
      </c>
      <c r="E162">
        <v>143</v>
      </c>
      <c r="F162">
        <v>1.43</v>
      </c>
      <c r="G162">
        <v>143</v>
      </c>
      <c r="H162" s="14">
        <f t="shared" si="76"/>
        <v>141.57</v>
      </c>
      <c r="I162" s="14" t="b">
        <f t="shared" si="77"/>
        <v>0</v>
      </c>
      <c r="J162" s="2">
        <v>46003</v>
      </c>
      <c r="K162" s="5">
        <v>1008411</v>
      </c>
      <c r="L162" s="5">
        <v>2766</v>
      </c>
      <c r="M162" s="5">
        <v>0</v>
      </c>
      <c r="N162" s="5">
        <v>143</v>
      </c>
      <c r="O162" s="7">
        <v>45996</v>
      </c>
      <c r="P162" s="5">
        <v>143</v>
      </c>
      <c r="Q162" s="5">
        <v>0</v>
      </c>
      <c r="R162" s="5" t="s">
        <v>32</v>
      </c>
      <c r="S162" s="5" t="s">
        <v>33</v>
      </c>
      <c r="T162" s="5">
        <v>1.43</v>
      </c>
      <c r="U162" s="5">
        <v>143</v>
      </c>
      <c r="V162" s="5" t="s">
        <v>34</v>
      </c>
      <c r="W162" s="5">
        <v>10</v>
      </c>
      <c r="X162" s="5" t="s">
        <v>99</v>
      </c>
      <c r="Y162" s="7">
        <v>46003</v>
      </c>
      <c r="Z162" s="7">
        <v>45996</v>
      </c>
      <c r="AA162" s="5" t="s">
        <v>32</v>
      </c>
      <c r="AB162" s="6">
        <v>46003</v>
      </c>
      <c r="AC162" s="7">
        <v>46003.572916666664</v>
      </c>
      <c r="AD162" s="5">
        <v>27661008411</v>
      </c>
      <c r="AE162" s="8">
        <v>45996</v>
      </c>
      <c r="AF162" s="5">
        <v>102930</v>
      </c>
      <c r="AG162" s="5" t="s">
        <v>37</v>
      </c>
      <c r="AH162" s="5">
        <v>206795</v>
      </c>
      <c r="AI162" s="6">
        <v>45996</v>
      </c>
      <c r="AJ162" s="6">
        <v>46003</v>
      </c>
      <c r="AK162" s="1">
        <f t="shared" si="78"/>
        <v>2.86</v>
      </c>
      <c r="AL162" t="s">
        <v>673</v>
      </c>
      <c r="AM162">
        <f t="shared" si="79"/>
        <v>1.43</v>
      </c>
    </row>
    <row r="163" spans="1:39" x14ac:dyDescent="0.55000000000000004">
      <c r="A163">
        <v>2766</v>
      </c>
      <c r="B163">
        <v>1008520</v>
      </c>
      <c r="C163" s="1">
        <v>9560.2199999999993</v>
      </c>
      <c r="E163" s="1">
        <v>9560.2199999999993</v>
      </c>
      <c r="F163">
        <v>95.6</v>
      </c>
      <c r="G163" s="1">
        <v>9560.2199999999993</v>
      </c>
      <c r="H163" s="14">
        <f t="shared" si="76"/>
        <v>9464.619999999999</v>
      </c>
      <c r="I163" s="14" t="b">
        <f t="shared" si="77"/>
        <v>0</v>
      </c>
      <c r="J163" s="2">
        <v>46003</v>
      </c>
      <c r="K163" s="5">
        <v>1008520</v>
      </c>
      <c r="L163" s="5">
        <v>2766</v>
      </c>
      <c r="M163" s="5">
        <v>0</v>
      </c>
      <c r="N163" s="5">
        <v>9560.2199999999993</v>
      </c>
      <c r="O163" s="7">
        <v>45996</v>
      </c>
      <c r="P163" s="5">
        <v>9560.2199999999993</v>
      </c>
      <c r="Q163" s="5">
        <v>0</v>
      </c>
      <c r="R163" s="5" t="s">
        <v>32</v>
      </c>
      <c r="S163" s="5" t="s">
        <v>33</v>
      </c>
      <c r="T163" s="5">
        <v>95.6</v>
      </c>
      <c r="U163" s="5">
        <v>9560.2199999999993</v>
      </c>
      <c r="V163" s="5" t="s">
        <v>34</v>
      </c>
      <c r="W163" s="5">
        <v>10</v>
      </c>
      <c r="X163" s="5" t="s">
        <v>99</v>
      </c>
      <c r="Y163" s="7">
        <v>46003</v>
      </c>
      <c r="Z163" s="7">
        <v>45996</v>
      </c>
      <c r="AA163" s="5" t="s">
        <v>32</v>
      </c>
      <c r="AB163" s="6">
        <v>46003</v>
      </c>
      <c r="AC163" s="7">
        <v>46003.572916666664</v>
      </c>
      <c r="AD163" s="5">
        <v>27661008520</v>
      </c>
      <c r="AE163" s="8">
        <v>45996</v>
      </c>
      <c r="AF163" s="5">
        <v>102933</v>
      </c>
      <c r="AG163" s="5" t="s">
        <v>37</v>
      </c>
      <c r="AH163" s="5">
        <v>206847</v>
      </c>
      <c r="AI163" s="6">
        <v>45996</v>
      </c>
      <c r="AJ163" s="6">
        <v>46003</v>
      </c>
      <c r="AK163" s="1">
        <f t="shared" si="78"/>
        <v>191.20439999999999</v>
      </c>
      <c r="AL163" t="s">
        <v>673</v>
      </c>
      <c r="AM163">
        <f t="shared" si="79"/>
        <v>95.6</v>
      </c>
    </row>
    <row r="164" spans="1:39" x14ac:dyDescent="0.55000000000000004">
      <c r="A164">
        <v>2766</v>
      </c>
      <c r="B164">
        <v>1008539</v>
      </c>
      <c r="C164">
        <v>891.84</v>
      </c>
      <c r="E164">
        <v>891.84</v>
      </c>
      <c r="F164">
        <v>8.92</v>
      </c>
      <c r="G164">
        <v>891.84</v>
      </c>
      <c r="H164" s="14">
        <f t="shared" si="76"/>
        <v>882.92000000000007</v>
      </c>
      <c r="I164" s="14" t="b">
        <f t="shared" si="77"/>
        <v>0</v>
      </c>
      <c r="J164" s="2">
        <v>46003</v>
      </c>
      <c r="K164" s="5">
        <v>1008539</v>
      </c>
      <c r="L164" s="5">
        <v>2766</v>
      </c>
      <c r="M164" s="5">
        <v>0</v>
      </c>
      <c r="N164" s="5">
        <v>891.84</v>
      </c>
      <c r="O164" s="7">
        <v>45996</v>
      </c>
      <c r="P164" s="5">
        <v>891.84</v>
      </c>
      <c r="Q164" s="5">
        <v>0</v>
      </c>
      <c r="R164" s="5" t="s">
        <v>32</v>
      </c>
      <c r="S164" s="5" t="s">
        <v>33</v>
      </c>
      <c r="T164" s="5">
        <v>8.92</v>
      </c>
      <c r="U164" s="5">
        <v>891.84</v>
      </c>
      <c r="V164" s="5" t="s">
        <v>34</v>
      </c>
      <c r="W164" s="5">
        <v>10</v>
      </c>
      <c r="X164" s="5" t="s">
        <v>99</v>
      </c>
      <c r="Y164" s="7">
        <v>46003</v>
      </c>
      <c r="Z164" s="7">
        <v>45996</v>
      </c>
      <c r="AA164" s="5" t="s">
        <v>32</v>
      </c>
      <c r="AB164" s="6">
        <v>46003</v>
      </c>
      <c r="AC164" s="7">
        <v>46003.572916666664</v>
      </c>
      <c r="AD164" s="5">
        <v>27661008539</v>
      </c>
      <c r="AE164" s="8">
        <v>45996</v>
      </c>
      <c r="AF164" s="5" t="s">
        <v>103</v>
      </c>
      <c r="AG164" s="5" t="s">
        <v>37</v>
      </c>
      <c r="AH164" s="5">
        <v>206824</v>
      </c>
      <c r="AI164" s="6">
        <v>45996</v>
      </c>
      <c r="AJ164" s="6">
        <v>46003</v>
      </c>
      <c r="AK164" s="1">
        <f t="shared" si="78"/>
        <v>17.8368</v>
      </c>
      <c r="AL164" t="s">
        <v>673</v>
      </c>
      <c r="AM164">
        <f t="shared" si="79"/>
        <v>8.92</v>
      </c>
    </row>
    <row r="165" spans="1:39" x14ac:dyDescent="0.55000000000000004">
      <c r="A165">
        <v>2766</v>
      </c>
      <c r="B165">
        <v>1008563</v>
      </c>
      <c r="C165" s="1">
        <v>1101.1600000000001</v>
      </c>
      <c r="E165" s="1">
        <v>1101.1600000000001</v>
      </c>
      <c r="F165">
        <v>11.01</v>
      </c>
      <c r="G165" s="1">
        <v>1101.1600000000001</v>
      </c>
      <c r="H165" s="14">
        <f t="shared" si="76"/>
        <v>1090.1500000000001</v>
      </c>
      <c r="I165" s="14" t="b">
        <f t="shared" si="77"/>
        <v>0</v>
      </c>
      <c r="J165" s="2">
        <v>46003</v>
      </c>
      <c r="K165" s="5">
        <v>1008563</v>
      </c>
      <c r="L165" s="5">
        <v>2766</v>
      </c>
      <c r="M165" s="5">
        <v>0</v>
      </c>
      <c r="N165" s="5">
        <v>1101.1600000000001</v>
      </c>
      <c r="O165" s="7">
        <v>45996</v>
      </c>
      <c r="P165" s="5">
        <v>1101.1600000000001</v>
      </c>
      <c r="Q165" s="5">
        <v>0</v>
      </c>
      <c r="R165" s="5" t="s">
        <v>32</v>
      </c>
      <c r="S165" s="5" t="s">
        <v>33</v>
      </c>
      <c r="T165" s="5">
        <v>11.01</v>
      </c>
      <c r="U165" s="5">
        <v>1101.1600000000001</v>
      </c>
      <c r="V165" s="5" t="s">
        <v>34</v>
      </c>
      <c r="W165" s="5">
        <v>10</v>
      </c>
      <c r="X165" s="5" t="s">
        <v>99</v>
      </c>
      <c r="Y165" s="7">
        <v>46003</v>
      </c>
      <c r="Z165" s="7">
        <v>45996</v>
      </c>
      <c r="AA165" s="5" t="s">
        <v>32</v>
      </c>
      <c r="AB165" s="6">
        <v>46003</v>
      </c>
      <c r="AC165" s="7">
        <v>46003.572916666664</v>
      </c>
      <c r="AD165" s="5">
        <v>27661008563</v>
      </c>
      <c r="AE165" s="8">
        <v>45996</v>
      </c>
      <c r="AF165" s="5" t="s">
        <v>102</v>
      </c>
      <c r="AG165" s="5" t="s">
        <v>37</v>
      </c>
      <c r="AH165" s="5">
        <v>206599</v>
      </c>
      <c r="AI165" s="6">
        <v>45996</v>
      </c>
      <c r="AJ165" s="6">
        <v>46003</v>
      </c>
      <c r="AK165" s="1">
        <f t="shared" si="78"/>
        <v>22.023200000000003</v>
      </c>
      <c r="AL165" t="s">
        <v>673</v>
      </c>
      <c r="AM165">
        <f t="shared" si="79"/>
        <v>11.01</v>
      </c>
    </row>
    <row r="166" spans="1:39" hidden="1" x14ac:dyDescent="0.55000000000000004">
      <c r="A166">
        <v>2766</v>
      </c>
      <c r="B166">
        <v>1008582</v>
      </c>
      <c r="C166">
        <v>-949.46</v>
      </c>
      <c r="E166">
        <v>-949.46</v>
      </c>
      <c r="G166">
        <v>-949.46</v>
      </c>
      <c r="H166"/>
      <c r="I166"/>
      <c r="J166" s="2">
        <v>46003</v>
      </c>
      <c r="K166" s="5">
        <v>1008582</v>
      </c>
      <c r="L166" s="5">
        <v>2766</v>
      </c>
      <c r="M166" s="5">
        <v>0</v>
      </c>
      <c r="N166" s="5">
        <v>-949.46</v>
      </c>
      <c r="O166" s="7">
        <v>45999</v>
      </c>
      <c r="P166" s="5">
        <v>-949.46</v>
      </c>
      <c r="Q166" s="5">
        <v>0</v>
      </c>
      <c r="R166" s="5">
        <v>1008582</v>
      </c>
      <c r="S166" s="5" t="s">
        <v>33</v>
      </c>
      <c r="T166" s="5">
        <v>0</v>
      </c>
      <c r="U166" s="5">
        <v>-949.46</v>
      </c>
      <c r="V166" s="5" t="s">
        <v>34</v>
      </c>
      <c r="W166" s="5">
        <v>10</v>
      </c>
      <c r="X166" s="5" t="s">
        <v>99</v>
      </c>
      <c r="Y166" s="7">
        <v>46003</v>
      </c>
      <c r="Z166" s="7">
        <v>45999</v>
      </c>
      <c r="AA166" s="5" t="s">
        <v>32</v>
      </c>
      <c r="AB166" s="6">
        <v>46003</v>
      </c>
      <c r="AC166" s="7">
        <v>46003.572916666664</v>
      </c>
      <c r="AD166" s="5">
        <v>27661008582</v>
      </c>
      <c r="AE166" s="8">
        <v>45999</v>
      </c>
      <c r="AF166" s="5" t="s">
        <v>41</v>
      </c>
      <c r="AG166" s="5" t="s">
        <v>38</v>
      </c>
      <c r="AH166" s="5" t="s">
        <v>104</v>
      </c>
      <c r="AI166" s="6">
        <v>45999</v>
      </c>
      <c r="AJ166" s="6">
        <v>46003</v>
      </c>
    </row>
    <row r="167" spans="1:39" hidden="1" x14ac:dyDescent="0.55000000000000004">
      <c r="A167">
        <v>2766</v>
      </c>
      <c r="B167">
        <v>1009026</v>
      </c>
      <c r="C167" s="1">
        <v>-1296</v>
      </c>
      <c r="E167" s="1">
        <v>-1296</v>
      </c>
      <c r="G167" s="1">
        <v>-1296</v>
      </c>
      <c r="H167" s="1"/>
      <c r="I167" s="1"/>
      <c r="J167" s="2">
        <v>46003</v>
      </c>
      <c r="K167" s="5">
        <v>1009026</v>
      </c>
      <c r="L167" s="5">
        <v>2766</v>
      </c>
      <c r="M167" s="5">
        <v>0</v>
      </c>
      <c r="N167" s="5">
        <v>-1296</v>
      </c>
      <c r="O167" s="7">
        <v>46000</v>
      </c>
      <c r="P167" s="5">
        <v>-1296</v>
      </c>
      <c r="Q167" s="5">
        <v>0</v>
      </c>
      <c r="R167" s="5">
        <v>1009026</v>
      </c>
      <c r="S167" s="5" t="s">
        <v>33</v>
      </c>
      <c r="T167" s="5">
        <v>0</v>
      </c>
      <c r="U167" s="5">
        <v>-1296</v>
      </c>
      <c r="V167" s="5" t="s">
        <v>34</v>
      </c>
      <c r="W167" s="5">
        <v>10</v>
      </c>
      <c r="X167" s="5" t="s">
        <v>99</v>
      </c>
      <c r="Y167" s="7">
        <v>46003</v>
      </c>
      <c r="Z167" s="7">
        <v>46000</v>
      </c>
      <c r="AA167" s="5" t="s">
        <v>32</v>
      </c>
      <c r="AB167" s="6">
        <v>46003</v>
      </c>
      <c r="AC167" s="7">
        <v>46003.572916666664</v>
      </c>
      <c r="AD167" s="5">
        <v>27661009026</v>
      </c>
      <c r="AE167" s="8">
        <v>46000</v>
      </c>
      <c r="AF167" s="5" t="s">
        <v>105</v>
      </c>
      <c r="AG167" s="5" t="s">
        <v>38</v>
      </c>
      <c r="AH167" s="5" t="s">
        <v>106</v>
      </c>
      <c r="AI167" s="6">
        <v>46000</v>
      </c>
      <c r="AJ167" s="6">
        <v>46003</v>
      </c>
    </row>
    <row r="168" spans="1:39" hidden="1" x14ac:dyDescent="0.55000000000000004">
      <c r="A168">
        <v>2766</v>
      </c>
      <c r="B168">
        <v>1009028</v>
      </c>
      <c r="C168" s="1">
        <v>-1701</v>
      </c>
      <c r="E168" s="1">
        <v>-1701</v>
      </c>
      <c r="G168" s="1">
        <v>-1701</v>
      </c>
      <c r="H168" s="1"/>
      <c r="I168" s="1"/>
      <c r="J168" s="2">
        <v>46003</v>
      </c>
      <c r="K168" s="5">
        <v>1009028</v>
      </c>
      <c r="L168" s="5">
        <v>2766</v>
      </c>
      <c r="M168" s="5">
        <v>0</v>
      </c>
      <c r="N168" s="5">
        <v>-1701</v>
      </c>
      <c r="O168" s="7">
        <v>46000</v>
      </c>
      <c r="P168" s="5">
        <v>-1701</v>
      </c>
      <c r="Q168" s="5">
        <v>0</v>
      </c>
      <c r="R168" s="5">
        <v>1009028</v>
      </c>
      <c r="S168" s="5" t="s">
        <v>33</v>
      </c>
      <c r="T168" s="5">
        <v>0</v>
      </c>
      <c r="U168" s="5">
        <v>-1701</v>
      </c>
      <c r="V168" s="5" t="s">
        <v>34</v>
      </c>
      <c r="W168" s="5">
        <v>10</v>
      </c>
      <c r="X168" s="5" t="s">
        <v>99</v>
      </c>
      <c r="Y168" s="7">
        <v>46003</v>
      </c>
      <c r="Z168" s="7">
        <v>46000</v>
      </c>
      <c r="AA168" s="5" t="s">
        <v>32</v>
      </c>
      <c r="AB168" s="6">
        <v>46003</v>
      </c>
      <c r="AC168" s="7">
        <v>46003.572916666664</v>
      </c>
      <c r="AD168" s="5">
        <v>27661009028</v>
      </c>
      <c r="AE168" s="8">
        <v>46000</v>
      </c>
      <c r="AF168" s="5" t="s">
        <v>105</v>
      </c>
      <c r="AG168" s="5" t="s">
        <v>38</v>
      </c>
      <c r="AH168" s="5" t="s">
        <v>107</v>
      </c>
      <c r="AI168" s="6">
        <v>46000</v>
      </c>
      <c r="AJ168" s="6">
        <v>46003</v>
      </c>
    </row>
    <row r="169" spans="1:39" hidden="1" x14ac:dyDescent="0.55000000000000004">
      <c r="A169">
        <v>2766</v>
      </c>
      <c r="B169">
        <v>1009033</v>
      </c>
      <c r="C169">
        <v>-80</v>
      </c>
      <c r="E169">
        <v>-80</v>
      </c>
      <c r="G169">
        <v>-80</v>
      </c>
      <c r="H169"/>
      <c r="I169"/>
      <c r="J169" s="2">
        <v>46003</v>
      </c>
      <c r="K169" s="5">
        <v>1009033</v>
      </c>
      <c r="L169" s="5">
        <v>2766</v>
      </c>
      <c r="M169" s="5">
        <v>0</v>
      </c>
      <c r="N169" s="5">
        <v>-80</v>
      </c>
      <c r="O169" s="7">
        <v>46000</v>
      </c>
      <c r="P169" s="5">
        <v>-80</v>
      </c>
      <c r="Q169" s="5">
        <v>0</v>
      </c>
      <c r="R169" s="5">
        <v>1009033</v>
      </c>
      <c r="S169" s="5" t="s">
        <v>33</v>
      </c>
      <c r="T169" s="5">
        <v>0</v>
      </c>
      <c r="U169" s="5">
        <v>-80</v>
      </c>
      <c r="V169" s="5" t="s">
        <v>34</v>
      </c>
      <c r="W169" s="5">
        <v>10</v>
      </c>
      <c r="X169" s="5" t="s">
        <v>99</v>
      </c>
      <c r="Y169" s="7">
        <v>46003</v>
      </c>
      <c r="Z169" s="7">
        <v>46000</v>
      </c>
      <c r="AA169" s="5" t="s">
        <v>32</v>
      </c>
      <c r="AB169" s="6">
        <v>46003</v>
      </c>
      <c r="AC169" s="7">
        <v>46003.572916666664</v>
      </c>
      <c r="AD169" s="5">
        <v>27661009033</v>
      </c>
      <c r="AE169" s="8">
        <v>46000</v>
      </c>
      <c r="AF169" s="5" t="s">
        <v>108</v>
      </c>
      <c r="AG169" s="5" t="s">
        <v>38</v>
      </c>
      <c r="AH169" s="5" t="s">
        <v>109</v>
      </c>
      <c r="AI169" s="6">
        <v>46000</v>
      </c>
      <c r="AJ169" s="6">
        <v>46003</v>
      </c>
    </row>
    <row r="170" spans="1:39" hidden="1" x14ac:dyDescent="0.55000000000000004">
      <c r="A170">
        <v>2766</v>
      </c>
      <c r="B170">
        <v>1009034</v>
      </c>
      <c r="C170">
        <v>-279</v>
      </c>
      <c r="E170">
        <v>-279</v>
      </c>
      <c r="G170">
        <v>-279</v>
      </c>
      <c r="H170"/>
      <c r="I170"/>
      <c r="J170" s="2">
        <v>46003</v>
      </c>
      <c r="K170" s="5">
        <v>1009034</v>
      </c>
      <c r="L170" s="5">
        <v>2766</v>
      </c>
      <c r="M170" s="5">
        <v>0</v>
      </c>
      <c r="N170" s="5">
        <v>-279</v>
      </c>
      <c r="O170" s="7">
        <v>46000</v>
      </c>
      <c r="P170" s="5">
        <v>-279</v>
      </c>
      <c r="Q170" s="5">
        <v>0</v>
      </c>
      <c r="R170" s="5">
        <v>1009034</v>
      </c>
      <c r="S170" s="5" t="s">
        <v>33</v>
      </c>
      <c r="T170" s="5">
        <v>0</v>
      </c>
      <c r="U170" s="5">
        <v>-279</v>
      </c>
      <c r="V170" s="5" t="s">
        <v>34</v>
      </c>
      <c r="W170" s="5">
        <v>10</v>
      </c>
      <c r="X170" s="5" t="s">
        <v>99</v>
      </c>
      <c r="Y170" s="7">
        <v>46003</v>
      </c>
      <c r="Z170" s="7">
        <v>46000</v>
      </c>
      <c r="AA170" s="5" t="s">
        <v>32</v>
      </c>
      <c r="AB170" s="6">
        <v>46003</v>
      </c>
      <c r="AC170" s="7">
        <v>46003.572916666664</v>
      </c>
      <c r="AD170" s="5">
        <v>27661009034</v>
      </c>
      <c r="AE170" s="8">
        <v>46000</v>
      </c>
      <c r="AF170" s="5" t="s">
        <v>108</v>
      </c>
      <c r="AG170" s="5" t="s">
        <v>38</v>
      </c>
      <c r="AH170" s="5" t="s">
        <v>110</v>
      </c>
      <c r="AI170" s="6">
        <v>46000</v>
      </c>
      <c r="AJ170" s="6">
        <v>46003</v>
      </c>
    </row>
    <row r="171" spans="1:39" hidden="1" x14ac:dyDescent="0.55000000000000004">
      <c r="A171">
        <v>2766</v>
      </c>
      <c r="B171">
        <v>1009044</v>
      </c>
      <c r="C171">
        <v>-450</v>
      </c>
      <c r="E171">
        <v>-450</v>
      </c>
      <c r="G171">
        <v>-450</v>
      </c>
      <c r="H171"/>
      <c r="I171"/>
      <c r="J171" s="2">
        <v>46003</v>
      </c>
      <c r="K171" s="5">
        <v>1009044</v>
      </c>
      <c r="L171" s="5">
        <v>2766</v>
      </c>
      <c r="M171" s="5">
        <v>0</v>
      </c>
      <c r="N171" s="5">
        <v>-450</v>
      </c>
      <c r="O171" s="7">
        <v>46000</v>
      </c>
      <c r="P171" s="5">
        <v>-450</v>
      </c>
      <c r="Q171" s="5">
        <v>0</v>
      </c>
      <c r="R171" s="5">
        <v>1009044</v>
      </c>
      <c r="S171" s="5" t="s">
        <v>33</v>
      </c>
      <c r="T171" s="5">
        <v>0</v>
      </c>
      <c r="U171" s="5">
        <v>-450</v>
      </c>
      <c r="V171" s="5" t="s">
        <v>34</v>
      </c>
      <c r="W171" s="5">
        <v>10</v>
      </c>
      <c r="X171" s="5" t="s">
        <v>99</v>
      </c>
      <c r="Y171" s="7">
        <v>46003</v>
      </c>
      <c r="Z171" s="7">
        <v>46000</v>
      </c>
      <c r="AA171" s="5" t="s">
        <v>32</v>
      </c>
      <c r="AB171" s="6">
        <v>46003</v>
      </c>
      <c r="AC171" s="7">
        <v>46003.572916666664</v>
      </c>
      <c r="AD171" s="5">
        <v>27661009044</v>
      </c>
      <c r="AE171" s="8">
        <v>46000</v>
      </c>
      <c r="AF171" s="5" t="s">
        <v>111</v>
      </c>
      <c r="AG171" s="5" t="s">
        <v>38</v>
      </c>
      <c r="AH171" s="5" t="s">
        <v>112</v>
      </c>
      <c r="AI171" s="6">
        <v>46000</v>
      </c>
      <c r="AJ171" s="6">
        <v>46003</v>
      </c>
    </row>
    <row r="172" spans="1:39" hidden="1" x14ac:dyDescent="0.55000000000000004">
      <c r="A172">
        <v>2766</v>
      </c>
      <c r="B172">
        <v>1009775</v>
      </c>
      <c r="C172" s="1">
        <v>-1343.89</v>
      </c>
      <c r="E172" s="1">
        <v>-1343.89</v>
      </c>
      <c r="G172" s="1">
        <v>-1343.89</v>
      </c>
      <c r="H172" s="1"/>
      <c r="I172" s="1"/>
      <c r="J172" s="2">
        <v>46003</v>
      </c>
      <c r="K172" s="5">
        <v>1009775</v>
      </c>
      <c r="L172" s="5">
        <v>2766</v>
      </c>
      <c r="M172" s="5">
        <v>0</v>
      </c>
      <c r="N172" s="5">
        <v>-1343.89</v>
      </c>
      <c r="O172" s="7">
        <v>46002</v>
      </c>
      <c r="P172" s="5">
        <v>-1343.89</v>
      </c>
      <c r="Q172" s="5">
        <v>0</v>
      </c>
      <c r="R172" s="5">
        <v>1009775</v>
      </c>
      <c r="S172" s="5" t="s">
        <v>33</v>
      </c>
      <c r="T172" s="5">
        <v>0</v>
      </c>
      <c r="U172" s="5">
        <v>-1343.89</v>
      </c>
      <c r="V172" s="5" t="s">
        <v>34</v>
      </c>
      <c r="W172" s="5">
        <v>10</v>
      </c>
      <c r="X172" s="5" t="s">
        <v>99</v>
      </c>
      <c r="Y172" s="7">
        <v>46003</v>
      </c>
      <c r="Z172" s="7">
        <v>46002</v>
      </c>
      <c r="AA172" s="5" t="s">
        <v>32</v>
      </c>
      <c r="AB172" s="6">
        <v>46003</v>
      </c>
      <c r="AC172" s="7">
        <v>46003.572916666664</v>
      </c>
      <c r="AD172" s="5">
        <v>27661009775</v>
      </c>
      <c r="AE172" s="8">
        <v>46002</v>
      </c>
      <c r="AF172" s="5">
        <v>142106</v>
      </c>
      <c r="AG172" s="5" t="s">
        <v>38</v>
      </c>
      <c r="AH172" s="5">
        <v>53540</v>
      </c>
      <c r="AI172" s="6">
        <v>46002</v>
      </c>
      <c r="AJ172" s="6">
        <v>46003</v>
      </c>
    </row>
    <row r="173" spans="1:39" hidden="1" x14ac:dyDescent="0.55000000000000004">
      <c r="A173">
        <v>2766</v>
      </c>
      <c r="B173">
        <v>1009777</v>
      </c>
      <c r="C173">
        <v>-485.09</v>
      </c>
      <c r="E173">
        <v>-485.09</v>
      </c>
      <c r="G173">
        <v>-485.09</v>
      </c>
      <c r="H173"/>
      <c r="I173"/>
      <c r="J173" s="2">
        <v>46003</v>
      </c>
      <c r="K173" s="5">
        <v>1009777</v>
      </c>
      <c r="L173" s="5">
        <v>2766</v>
      </c>
      <c r="M173" s="5">
        <v>0</v>
      </c>
      <c r="N173" s="5">
        <v>-485.09</v>
      </c>
      <c r="O173" s="7">
        <v>46002</v>
      </c>
      <c r="P173" s="5">
        <v>-485.09</v>
      </c>
      <c r="Q173" s="5">
        <v>0</v>
      </c>
      <c r="R173" s="5">
        <v>1009777</v>
      </c>
      <c r="S173" s="5" t="s">
        <v>33</v>
      </c>
      <c r="T173" s="5">
        <v>0</v>
      </c>
      <c r="U173" s="5">
        <v>-485.09</v>
      </c>
      <c r="V173" s="5" t="s">
        <v>34</v>
      </c>
      <c r="W173" s="5">
        <v>10</v>
      </c>
      <c r="X173" s="5" t="s">
        <v>99</v>
      </c>
      <c r="Y173" s="7">
        <v>46003</v>
      </c>
      <c r="Z173" s="7">
        <v>46002</v>
      </c>
      <c r="AA173" s="5" t="s">
        <v>32</v>
      </c>
      <c r="AB173" s="6">
        <v>46003</v>
      </c>
      <c r="AC173" s="7">
        <v>46003.572916666664</v>
      </c>
      <c r="AD173" s="5">
        <v>27661009777</v>
      </c>
      <c r="AE173" s="8">
        <v>46002</v>
      </c>
      <c r="AF173" s="5">
        <v>142106</v>
      </c>
      <c r="AG173" s="5" t="s">
        <v>38</v>
      </c>
      <c r="AH173" s="5">
        <v>53543</v>
      </c>
      <c r="AI173" s="6">
        <v>46002</v>
      </c>
      <c r="AJ173" s="6">
        <v>46003</v>
      </c>
    </row>
    <row r="174" spans="1:39" x14ac:dyDescent="0.55000000000000004">
      <c r="A174">
        <v>2780</v>
      </c>
      <c r="B174">
        <v>1007363</v>
      </c>
      <c r="C174">
        <v>155.47999999999999</v>
      </c>
      <c r="D174" s="4">
        <v>3.11</v>
      </c>
      <c r="E174">
        <v>152.37</v>
      </c>
      <c r="F174">
        <v>1.55</v>
      </c>
      <c r="G174">
        <v>150.82</v>
      </c>
      <c r="H174" s="14">
        <f t="shared" ref="H174:H177" si="80">C174-D174-F174</f>
        <v>150.81999999999996</v>
      </c>
      <c r="I174" s="14" t="b">
        <f t="shared" ref="I174:I177" si="81">G174=H174</f>
        <v>1</v>
      </c>
      <c r="J174" s="2">
        <v>46003</v>
      </c>
      <c r="K174" s="5">
        <v>1007363</v>
      </c>
      <c r="L174" s="5">
        <v>2780</v>
      </c>
      <c r="M174" s="5">
        <v>3.11</v>
      </c>
      <c r="N174" s="5">
        <v>155.47999999999999</v>
      </c>
      <c r="O174" s="7">
        <v>45992</v>
      </c>
      <c r="P174" s="5">
        <v>152.37</v>
      </c>
      <c r="Q174" s="5">
        <v>3.11</v>
      </c>
      <c r="R174" s="5" t="s">
        <v>32</v>
      </c>
      <c r="S174" s="5" t="s">
        <v>33</v>
      </c>
      <c r="T174" s="5">
        <v>1.55</v>
      </c>
      <c r="U174" s="5">
        <v>150.82</v>
      </c>
      <c r="V174" s="5" t="s">
        <v>34</v>
      </c>
      <c r="W174" s="5">
        <v>2</v>
      </c>
      <c r="X174" s="5">
        <v>2685029542992</v>
      </c>
      <c r="Y174" s="7">
        <v>46003</v>
      </c>
      <c r="Z174" s="7">
        <v>45992</v>
      </c>
      <c r="AB174" s="6">
        <v>46003</v>
      </c>
      <c r="AC174" s="7">
        <v>46002.440972222219</v>
      </c>
      <c r="AD174" s="5">
        <v>27801007363</v>
      </c>
      <c r="AE174" s="8">
        <v>45992</v>
      </c>
      <c r="AF174" s="5">
        <v>51339</v>
      </c>
      <c r="AG174" s="5" t="s">
        <v>37</v>
      </c>
      <c r="AH174" s="5">
        <v>205849</v>
      </c>
      <c r="AI174" s="6">
        <v>45992</v>
      </c>
      <c r="AJ174" s="6">
        <v>46003</v>
      </c>
      <c r="AK174" s="1">
        <f t="shared" ref="AK174:AK177" si="82">0.02*C174</f>
        <v>3.1095999999999999</v>
      </c>
    </row>
    <row r="175" spans="1:39" x14ac:dyDescent="0.55000000000000004">
      <c r="A175">
        <v>2780</v>
      </c>
      <c r="B175">
        <v>1007365</v>
      </c>
      <c r="C175">
        <v>66.36</v>
      </c>
      <c r="D175" s="4">
        <v>1.33</v>
      </c>
      <c r="E175">
        <v>65.03</v>
      </c>
      <c r="F175">
        <v>0.66</v>
      </c>
      <c r="G175">
        <v>64.37</v>
      </c>
      <c r="H175" s="14">
        <f t="shared" si="80"/>
        <v>64.37</v>
      </c>
      <c r="I175" s="14" t="b">
        <f t="shared" si="81"/>
        <v>1</v>
      </c>
      <c r="J175" s="2">
        <v>46003</v>
      </c>
      <c r="K175" s="5">
        <v>1007365</v>
      </c>
      <c r="L175" s="5">
        <v>2780</v>
      </c>
      <c r="M175" s="5">
        <v>1.33</v>
      </c>
      <c r="N175" s="5">
        <v>66.36</v>
      </c>
      <c r="O175" s="7">
        <v>45992</v>
      </c>
      <c r="P175" s="5">
        <v>65.03</v>
      </c>
      <c r="Q175" s="5">
        <v>1.33</v>
      </c>
      <c r="R175" s="5" t="s">
        <v>32</v>
      </c>
      <c r="S175" s="5" t="s">
        <v>33</v>
      </c>
      <c r="T175" s="5">
        <v>0.66</v>
      </c>
      <c r="U175" s="5">
        <v>64.37</v>
      </c>
      <c r="V175" s="5" t="s">
        <v>34</v>
      </c>
      <c r="W175" s="5">
        <v>2</v>
      </c>
      <c r="X175" s="5">
        <v>2685029542992</v>
      </c>
      <c r="Y175" s="7">
        <v>46003</v>
      </c>
      <c r="Z175" s="7">
        <v>45992</v>
      </c>
      <c r="AB175" s="6">
        <v>46003</v>
      </c>
      <c r="AC175" s="7">
        <v>46002.440972222219</v>
      </c>
      <c r="AD175" s="5">
        <v>27801007365</v>
      </c>
      <c r="AE175" s="8">
        <v>45992</v>
      </c>
      <c r="AF175" s="5">
        <v>51217</v>
      </c>
      <c r="AG175" s="5" t="s">
        <v>37</v>
      </c>
      <c r="AH175" s="5">
        <v>205847</v>
      </c>
      <c r="AI175" s="6">
        <v>45992</v>
      </c>
      <c r="AJ175" s="6">
        <v>46003</v>
      </c>
      <c r="AK175" s="1">
        <f t="shared" si="82"/>
        <v>1.3271999999999999</v>
      </c>
    </row>
    <row r="176" spans="1:39" x14ac:dyDescent="0.55000000000000004">
      <c r="A176">
        <v>2780</v>
      </c>
      <c r="B176">
        <v>1007370</v>
      </c>
      <c r="C176">
        <v>66.36</v>
      </c>
      <c r="D176" s="4">
        <v>1.33</v>
      </c>
      <c r="E176">
        <v>65.03</v>
      </c>
      <c r="F176">
        <v>0.66</v>
      </c>
      <c r="G176">
        <v>64.37</v>
      </c>
      <c r="H176" s="14">
        <f t="shared" si="80"/>
        <v>64.37</v>
      </c>
      <c r="I176" s="14" t="b">
        <f t="shared" si="81"/>
        <v>1</v>
      </c>
      <c r="J176" s="2">
        <v>46003</v>
      </c>
      <c r="K176" s="5">
        <v>1007370</v>
      </c>
      <c r="L176" s="5">
        <v>2780</v>
      </c>
      <c r="M176" s="5">
        <v>1.33</v>
      </c>
      <c r="N176" s="5">
        <v>66.36</v>
      </c>
      <c r="O176" s="7">
        <v>45992</v>
      </c>
      <c r="P176" s="5">
        <v>65.03</v>
      </c>
      <c r="Q176" s="5">
        <v>1.33</v>
      </c>
      <c r="R176" s="5" t="s">
        <v>32</v>
      </c>
      <c r="S176" s="5" t="s">
        <v>33</v>
      </c>
      <c r="T176" s="5">
        <v>0.66</v>
      </c>
      <c r="U176" s="5">
        <v>64.37</v>
      </c>
      <c r="V176" s="5" t="s">
        <v>34</v>
      </c>
      <c r="W176" s="5">
        <v>2</v>
      </c>
      <c r="X176" s="5">
        <v>2685029542992</v>
      </c>
      <c r="Y176" s="7">
        <v>46003</v>
      </c>
      <c r="Z176" s="7">
        <v>45992</v>
      </c>
      <c r="AB176" s="6">
        <v>46003</v>
      </c>
      <c r="AC176" s="7">
        <v>46002.440972222219</v>
      </c>
      <c r="AD176" s="5">
        <v>27801007370</v>
      </c>
      <c r="AE176" s="8">
        <v>45992</v>
      </c>
      <c r="AF176" s="5">
        <v>51320</v>
      </c>
      <c r="AG176" s="5" t="s">
        <v>37</v>
      </c>
      <c r="AH176" s="5">
        <v>205848</v>
      </c>
      <c r="AI176" s="6">
        <v>45992</v>
      </c>
      <c r="AJ176" s="6">
        <v>46003</v>
      </c>
      <c r="AK176" s="1">
        <f t="shared" si="82"/>
        <v>1.3271999999999999</v>
      </c>
    </row>
    <row r="177" spans="1:37" x14ac:dyDescent="0.55000000000000004">
      <c r="A177">
        <v>2780</v>
      </c>
      <c r="B177">
        <v>1007388</v>
      </c>
      <c r="C177">
        <v>95.1</v>
      </c>
      <c r="D177" s="4">
        <v>1.9</v>
      </c>
      <c r="E177">
        <v>93.2</v>
      </c>
      <c r="F177">
        <v>0.95</v>
      </c>
      <c r="G177">
        <v>92.25</v>
      </c>
      <c r="H177" s="14">
        <f t="shared" si="80"/>
        <v>92.249999999999986</v>
      </c>
      <c r="I177" s="14" t="b">
        <f t="shared" si="81"/>
        <v>1</v>
      </c>
      <c r="J177" s="2">
        <v>46003</v>
      </c>
      <c r="K177" s="5">
        <v>1007388</v>
      </c>
      <c r="L177" s="5">
        <v>2780</v>
      </c>
      <c r="M177" s="5">
        <v>1.9</v>
      </c>
      <c r="N177" s="5">
        <v>95.1</v>
      </c>
      <c r="O177" s="7">
        <v>45992</v>
      </c>
      <c r="P177" s="5">
        <v>93.2</v>
      </c>
      <c r="Q177" s="5">
        <v>1.9</v>
      </c>
      <c r="R177" s="5" t="s">
        <v>32</v>
      </c>
      <c r="S177" s="5" t="s">
        <v>33</v>
      </c>
      <c r="T177" s="5">
        <v>0.95</v>
      </c>
      <c r="U177" s="5">
        <v>92.25</v>
      </c>
      <c r="V177" s="5" t="s">
        <v>34</v>
      </c>
      <c r="W177" s="5">
        <v>2</v>
      </c>
      <c r="X177" s="5">
        <v>2685029542992</v>
      </c>
      <c r="Y177" s="7">
        <v>46003</v>
      </c>
      <c r="Z177" s="7">
        <v>45992</v>
      </c>
      <c r="AB177" s="6">
        <v>46003</v>
      </c>
      <c r="AC177" s="7">
        <v>46002.440972222219</v>
      </c>
      <c r="AD177" s="5">
        <v>27801007388</v>
      </c>
      <c r="AE177" s="8">
        <v>45992</v>
      </c>
      <c r="AF177" s="5">
        <v>51316</v>
      </c>
      <c r="AG177" s="5" t="s">
        <v>37</v>
      </c>
      <c r="AH177" s="5">
        <v>205976</v>
      </c>
      <c r="AI177" s="6">
        <v>45992</v>
      </c>
      <c r="AJ177" s="6">
        <v>46003</v>
      </c>
      <c r="AK177" s="1">
        <f t="shared" si="82"/>
        <v>1.9019999999999999</v>
      </c>
    </row>
    <row r="178" spans="1:37" hidden="1" x14ac:dyDescent="0.55000000000000004">
      <c r="A178">
        <v>2780</v>
      </c>
      <c r="B178">
        <v>1007574</v>
      </c>
      <c r="C178" s="1">
        <v>3990</v>
      </c>
      <c r="E178" s="1">
        <v>3990</v>
      </c>
      <c r="F178">
        <v>39.9</v>
      </c>
      <c r="G178" s="1">
        <v>3950.1</v>
      </c>
      <c r="H178" s="1"/>
      <c r="I178" s="1"/>
      <c r="J178" s="2">
        <v>46003</v>
      </c>
      <c r="K178" s="5">
        <v>1007574</v>
      </c>
      <c r="L178" s="5">
        <v>2780</v>
      </c>
      <c r="M178" s="5">
        <v>0</v>
      </c>
      <c r="N178" s="5">
        <v>3990</v>
      </c>
      <c r="O178" s="7">
        <v>45993</v>
      </c>
      <c r="P178" s="5">
        <v>3990</v>
      </c>
      <c r="Q178" s="5">
        <v>0</v>
      </c>
      <c r="R178" s="5" t="s">
        <v>32</v>
      </c>
      <c r="S178" s="5" t="s">
        <v>33</v>
      </c>
      <c r="T178" s="5">
        <v>39.9</v>
      </c>
      <c r="U178" s="5">
        <v>3950.1</v>
      </c>
      <c r="V178" s="5" t="s">
        <v>34</v>
      </c>
      <c r="W178" s="5">
        <v>2</v>
      </c>
      <c r="X178" s="5">
        <v>2685029542992</v>
      </c>
      <c r="Y178" s="7">
        <v>46003</v>
      </c>
      <c r="Z178" s="7">
        <v>45993</v>
      </c>
      <c r="AB178" s="6">
        <v>46003</v>
      </c>
      <c r="AC178" s="7">
        <v>46002.440972222219</v>
      </c>
      <c r="AD178" s="5">
        <v>27801007574</v>
      </c>
      <c r="AE178" s="8">
        <v>45993</v>
      </c>
      <c r="AF178" s="5" t="s">
        <v>32</v>
      </c>
      <c r="AG178" s="5" t="s">
        <v>35</v>
      </c>
      <c r="AH178" s="5" t="s">
        <v>32</v>
      </c>
      <c r="AI178" s="6">
        <v>45993</v>
      </c>
      <c r="AJ178" s="6">
        <v>46003</v>
      </c>
    </row>
    <row r="179" spans="1:37" x14ac:dyDescent="0.55000000000000004">
      <c r="A179">
        <v>2780</v>
      </c>
      <c r="B179">
        <v>1007949</v>
      </c>
      <c r="C179">
        <v>937.68</v>
      </c>
      <c r="D179" s="4">
        <v>18.75</v>
      </c>
      <c r="E179">
        <v>918.93</v>
      </c>
      <c r="F179">
        <v>9.3800000000000008</v>
      </c>
      <c r="G179">
        <v>909.55</v>
      </c>
      <c r="H179" s="14">
        <f t="shared" ref="H179:H182" si="83">C179-D179-F179</f>
        <v>909.55</v>
      </c>
      <c r="I179" s="14" t="b">
        <f t="shared" ref="I179:I182" si="84">G179=H179</f>
        <v>1</v>
      </c>
      <c r="J179" s="2">
        <v>46003</v>
      </c>
      <c r="K179" s="5">
        <v>1007949</v>
      </c>
      <c r="L179" s="5">
        <v>2780</v>
      </c>
      <c r="M179" s="5">
        <v>18.75</v>
      </c>
      <c r="N179" s="5">
        <v>937.68</v>
      </c>
      <c r="O179" s="7">
        <v>45994</v>
      </c>
      <c r="P179" s="5">
        <v>918.93</v>
      </c>
      <c r="Q179" s="5">
        <v>18.75</v>
      </c>
      <c r="R179" s="5" t="s">
        <v>32</v>
      </c>
      <c r="S179" s="5" t="s">
        <v>33</v>
      </c>
      <c r="T179" s="5">
        <v>9.3800000000000008</v>
      </c>
      <c r="U179" s="5">
        <v>909.55</v>
      </c>
      <c r="V179" s="5" t="s">
        <v>34</v>
      </c>
      <c r="W179" s="5">
        <v>2</v>
      </c>
      <c r="X179" s="5">
        <v>2685029542992</v>
      </c>
      <c r="Y179" s="7">
        <v>46003</v>
      </c>
      <c r="Z179" s="7">
        <v>45994</v>
      </c>
      <c r="AB179" s="6">
        <v>46003</v>
      </c>
      <c r="AC179" s="7">
        <v>46002.440972222219</v>
      </c>
      <c r="AD179" s="5">
        <v>27801007949</v>
      </c>
      <c r="AE179" s="8">
        <v>45994</v>
      </c>
      <c r="AF179" s="5">
        <v>51353</v>
      </c>
      <c r="AG179" s="5" t="s">
        <v>37</v>
      </c>
      <c r="AH179" s="5">
        <v>206361</v>
      </c>
      <c r="AI179" s="6">
        <v>45994</v>
      </c>
      <c r="AJ179" s="6">
        <v>46003</v>
      </c>
      <c r="AK179" s="1">
        <f t="shared" ref="AK179:AK182" si="85">0.02*C179</f>
        <v>18.753599999999999</v>
      </c>
    </row>
    <row r="180" spans="1:37" x14ac:dyDescent="0.55000000000000004">
      <c r="A180">
        <v>2780</v>
      </c>
      <c r="B180">
        <v>1008050</v>
      </c>
      <c r="C180">
        <v>237.5</v>
      </c>
      <c r="D180" s="4">
        <v>4.75</v>
      </c>
      <c r="E180">
        <v>232.75</v>
      </c>
      <c r="F180">
        <v>2.38</v>
      </c>
      <c r="G180">
        <v>230.37</v>
      </c>
      <c r="H180" s="14">
        <f t="shared" si="83"/>
        <v>230.37</v>
      </c>
      <c r="I180" s="14" t="b">
        <f t="shared" si="84"/>
        <v>1</v>
      </c>
      <c r="J180" s="2">
        <v>46003</v>
      </c>
      <c r="K180" s="5">
        <v>1008050</v>
      </c>
      <c r="L180" s="5">
        <v>2780</v>
      </c>
      <c r="M180" s="5">
        <v>4.75</v>
      </c>
      <c r="N180" s="5">
        <v>237.5</v>
      </c>
      <c r="O180" s="7">
        <v>45994</v>
      </c>
      <c r="P180" s="5">
        <v>232.75</v>
      </c>
      <c r="Q180" s="5">
        <v>4.75</v>
      </c>
      <c r="R180" s="5" t="s">
        <v>32</v>
      </c>
      <c r="S180" s="5" t="s">
        <v>33</v>
      </c>
      <c r="T180" s="5">
        <v>2.38</v>
      </c>
      <c r="U180" s="5">
        <v>230.37</v>
      </c>
      <c r="V180" s="5" t="s">
        <v>34</v>
      </c>
      <c r="W180" s="5">
        <v>2</v>
      </c>
      <c r="X180" s="5">
        <v>2685029542992</v>
      </c>
      <c r="Y180" s="7">
        <v>46003</v>
      </c>
      <c r="Z180" s="7">
        <v>45994</v>
      </c>
      <c r="AB180" s="6">
        <v>46003</v>
      </c>
      <c r="AC180" s="7">
        <v>46002.440972222219</v>
      </c>
      <c r="AD180" s="5">
        <v>27801008050</v>
      </c>
      <c r="AE180" s="8">
        <v>45994</v>
      </c>
      <c r="AF180" s="5">
        <v>51355</v>
      </c>
      <c r="AG180" s="5" t="s">
        <v>37</v>
      </c>
      <c r="AH180" s="5">
        <v>206548</v>
      </c>
      <c r="AI180" s="6">
        <v>45994</v>
      </c>
      <c r="AJ180" s="6">
        <v>46003</v>
      </c>
      <c r="AK180" s="1">
        <f t="shared" si="85"/>
        <v>4.75</v>
      </c>
    </row>
    <row r="181" spans="1:37" x14ac:dyDescent="0.55000000000000004">
      <c r="A181">
        <v>2780</v>
      </c>
      <c r="B181">
        <v>1008073</v>
      </c>
      <c r="C181">
        <v>935</v>
      </c>
      <c r="D181" s="4">
        <v>18.7</v>
      </c>
      <c r="E181">
        <v>916.3</v>
      </c>
      <c r="F181">
        <v>9.35</v>
      </c>
      <c r="G181">
        <v>906.95</v>
      </c>
      <c r="H181" s="14">
        <f t="shared" si="83"/>
        <v>906.94999999999993</v>
      </c>
      <c r="I181" s="14" t="b">
        <f t="shared" si="84"/>
        <v>1</v>
      </c>
      <c r="J181" s="2">
        <v>46003</v>
      </c>
      <c r="K181" s="5">
        <v>1008073</v>
      </c>
      <c r="L181" s="5">
        <v>2780</v>
      </c>
      <c r="M181" s="5">
        <v>18.7</v>
      </c>
      <c r="N181" s="5">
        <v>935</v>
      </c>
      <c r="O181" s="7">
        <v>45995</v>
      </c>
      <c r="P181" s="5">
        <v>916.3</v>
      </c>
      <c r="Q181" s="5">
        <v>18.7</v>
      </c>
      <c r="R181" s="5" t="s">
        <v>32</v>
      </c>
      <c r="S181" s="5" t="s">
        <v>33</v>
      </c>
      <c r="T181" s="5">
        <v>9.35</v>
      </c>
      <c r="U181" s="5">
        <v>906.95</v>
      </c>
      <c r="V181" s="5" t="s">
        <v>34</v>
      </c>
      <c r="W181" s="5">
        <v>2</v>
      </c>
      <c r="X181" s="5">
        <v>2685029542992</v>
      </c>
      <c r="Y181" s="7">
        <v>46003</v>
      </c>
      <c r="Z181" s="7">
        <v>45995</v>
      </c>
      <c r="AB181" s="6">
        <v>46003</v>
      </c>
      <c r="AC181" s="7">
        <v>46002.440972222219</v>
      </c>
      <c r="AD181" s="5">
        <v>27801008073</v>
      </c>
      <c r="AE181" s="8">
        <v>45995</v>
      </c>
      <c r="AF181" s="5">
        <v>51329</v>
      </c>
      <c r="AG181" s="5" t="s">
        <v>37</v>
      </c>
      <c r="AH181" s="5">
        <v>206415</v>
      </c>
      <c r="AI181" s="6">
        <v>45995</v>
      </c>
      <c r="AJ181" s="6">
        <v>46003</v>
      </c>
      <c r="AK181" s="1">
        <f t="shared" si="85"/>
        <v>18.7</v>
      </c>
    </row>
    <row r="182" spans="1:37" x14ac:dyDescent="0.55000000000000004">
      <c r="A182">
        <v>2780</v>
      </c>
      <c r="B182">
        <v>1008097</v>
      </c>
      <c r="C182" s="1">
        <v>1372.52</v>
      </c>
      <c r="D182" s="4">
        <v>27.45</v>
      </c>
      <c r="E182" s="1">
        <v>1345.07</v>
      </c>
      <c r="F182">
        <v>13.73</v>
      </c>
      <c r="G182" s="1">
        <v>1331.34</v>
      </c>
      <c r="H182" s="14">
        <f t="shared" si="83"/>
        <v>1331.34</v>
      </c>
      <c r="I182" s="14" t="b">
        <f t="shared" si="84"/>
        <v>1</v>
      </c>
      <c r="J182" s="2">
        <v>46003</v>
      </c>
      <c r="K182" s="5">
        <v>1008097</v>
      </c>
      <c r="L182" s="5">
        <v>2780</v>
      </c>
      <c r="M182" s="5">
        <v>27.45</v>
      </c>
      <c r="N182" s="5">
        <v>1372.52</v>
      </c>
      <c r="O182" s="7">
        <v>45995</v>
      </c>
      <c r="P182" s="5">
        <v>1345.07</v>
      </c>
      <c r="Q182" s="5">
        <v>27.45</v>
      </c>
      <c r="R182" s="5" t="s">
        <v>32</v>
      </c>
      <c r="S182" s="5" t="s">
        <v>33</v>
      </c>
      <c r="T182" s="5">
        <v>13.73</v>
      </c>
      <c r="U182" s="5">
        <v>1331.34</v>
      </c>
      <c r="V182" s="5" t="s">
        <v>34</v>
      </c>
      <c r="W182" s="5">
        <v>2</v>
      </c>
      <c r="X182" s="5">
        <v>2685029542992</v>
      </c>
      <c r="Y182" s="7">
        <v>46003</v>
      </c>
      <c r="Z182" s="7">
        <v>45995</v>
      </c>
      <c r="AB182" s="6">
        <v>46003</v>
      </c>
      <c r="AC182" s="7">
        <v>46002.440972222219</v>
      </c>
      <c r="AD182" s="5">
        <v>27801008097</v>
      </c>
      <c r="AE182" s="8">
        <v>45995</v>
      </c>
      <c r="AF182" s="5">
        <v>51353</v>
      </c>
      <c r="AG182" s="5" t="s">
        <v>37</v>
      </c>
      <c r="AH182" s="5">
        <v>206369</v>
      </c>
      <c r="AI182" s="6">
        <v>45995</v>
      </c>
      <c r="AJ182" s="6">
        <v>46003</v>
      </c>
      <c r="AK182" s="1">
        <f t="shared" si="85"/>
        <v>27.450400000000002</v>
      </c>
    </row>
    <row r="183" spans="1:37" hidden="1" x14ac:dyDescent="0.55000000000000004">
      <c r="A183">
        <v>2780</v>
      </c>
      <c r="B183">
        <v>1008116</v>
      </c>
      <c r="C183" s="1">
        <v>1037.46</v>
      </c>
      <c r="E183" s="1">
        <v>1037.46</v>
      </c>
      <c r="F183">
        <v>10.37</v>
      </c>
      <c r="G183" s="1">
        <v>1027.0899999999999</v>
      </c>
      <c r="H183" s="1"/>
      <c r="I183" s="1"/>
      <c r="J183" s="2">
        <v>46003</v>
      </c>
      <c r="K183" s="5">
        <v>1008116</v>
      </c>
      <c r="L183" s="5">
        <v>2780</v>
      </c>
      <c r="M183" s="5">
        <v>0</v>
      </c>
      <c r="N183" s="5">
        <v>1037.46</v>
      </c>
      <c r="O183" s="7">
        <v>45995</v>
      </c>
      <c r="P183" s="5">
        <v>1037.46</v>
      </c>
      <c r="Q183" s="5">
        <v>0</v>
      </c>
      <c r="R183" s="5" t="s">
        <v>32</v>
      </c>
      <c r="S183" s="5" t="s">
        <v>33</v>
      </c>
      <c r="T183" s="5">
        <v>10.37</v>
      </c>
      <c r="U183" s="5">
        <v>1027.0899999999999</v>
      </c>
      <c r="V183" s="5" t="s">
        <v>34</v>
      </c>
      <c r="W183" s="5">
        <v>2</v>
      </c>
      <c r="X183" s="5">
        <v>2685029542992</v>
      </c>
      <c r="Y183" s="7">
        <v>46003</v>
      </c>
      <c r="Z183" s="7">
        <v>45995</v>
      </c>
      <c r="AB183" s="6">
        <v>46003</v>
      </c>
      <c r="AC183" s="7">
        <v>46002.440972222219</v>
      </c>
      <c r="AD183" s="5">
        <v>27801008116</v>
      </c>
      <c r="AE183" s="8">
        <v>45995</v>
      </c>
      <c r="AF183" s="5">
        <v>51353</v>
      </c>
      <c r="AG183" s="5" t="s">
        <v>38</v>
      </c>
      <c r="AH183" s="5">
        <v>206370</v>
      </c>
      <c r="AI183" s="6">
        <v>45995</v>
      </c>
      <c r="AJ183" s="6">
        <v>46003</v>
      </c>
    </row>
    <row r="184" spans="1:37" x14ac:dyDescent="0.55000000000000004">
      <c r="A184">
        <v>2780</v>
      </c>
      <c r="B184">
        <v>1008217</v>
      </c>
      <c r="C184">
        <v>418.09</v>
      </c>
      <c r="D184" s="4">
        <v>8.36</v>
      </c>
      <c r="E184">
        <v>409.73</v>
      </c>
      <c r="F184">
        <v>4.18</v>
      </c>
      <c r="G184">
        <v>405.55</v>
      </c>
      <c r="H184" s="14">
        <f>C184-D184-F184</f>
        <v>405.54999999999995</v>
      </c>
      <c r="I184" s="14" t="b">
        <f>G184=H184</f>
        <v>1</v>
      </c>
      <c r="J184" s="2">
        <v>46003</v>
      </c>
      <c r="K184" s="5">
        <v>1008217</v>
      </c>
      <c r="L184" s="5">
        <v>2780</v>
      </c>
      <c r="M184" s="5">
        <v>8.36</v>
      </c>
      <c r="N184" s="5">
        <v>418.09</v>
      </c>
      <c r="O184" s="7">
        <v>45995</v>
      </c>
      <c r="P184" s="5">
        <v>409.73</v>
      </c>
      <c r="Q184" s="5">
        <v>8.36</v>
      </c>
      <c r="R184" s="5" t="s">
        <v>32</v>
      </c>
      <c r="S184" s="5" t="s">
        <v>33</v>
      </c>
      <c r="T184" s="5">
        <v>4.18</v>
      </c>
      <c r="U184" s="5">
        <v>405.55</v>
      </c>
      <c r="V184" s="5" t="s">
        <v>34</v>
      </c>
      <c r="W184" s="5">
        <v>2</v>
      </c>
      <c r="X184" s="5">
        <v>2685029542992</v>
      </c>
      <c r="Y184" s="7">
        <v>46003</v>
      </c>
      <c r="Z184" s="7">
        <v>45995</v>
      </c>
      <c r="AB184" s="6">
        <v>46003</v>
      </c>
      <c r="AC184" s="7">
        <v>46002.440972222219</v>
      </c>
      <c r="AD184" s="5">
        <v>27801008217</v>
      </c>
      <c r="AE184" s="8">
        <v>45995</v>
      </c>
      <c r="AF184" s="5">
        <v>51355</v>
      </c>
      <c r="AG184" s="5" t="s">
        <v>37</v>
      </c>
      <c r="AH184" s="5">
        <v>206560</v>
      </c>
      <c r="AI184" s="6">
        <v>45995</v>
      </c>
      <c r="AJ184" s="6">
        <v>46003</v>
      </c>
      <c r="AK184" s="1">
        <f t="shared" ref="AK184" si="86">0.02*C184</f>
        <v>8.3617999999999988</v>
      </c>
    </row>
    <row r="185" spans="1:37" hidden="1" x14ac:dyDescent="0.55000000000000004">
      <c r="A185">
        <v>2780</v>
      </c>
      <c r="B185">
        <v>1008355</v>
      </c>
      <c r="C185" s="1">
        <v>2565.09</v>
      </c>
      <c r="E185" s="1">
        <v>2565.09</v>
      </c>
      <c r="F185">
        <v>25.65</v>
      </c>
      <c r="G185" s="1">
        <v>2539.44</v>
      </c>
      <c r="H185" s="1"/>
      <c r="I185" s="1"/>
      <c r="J185" s="2">
        <v>46003</v>
      </c>
      <c r="K185" s="5">
        <v>1008355</v>
      </c>
      <c r="L185" s="5">
        <v>2780</v>
      </c>
      <c r="M185" s="5">
        <v>0</v>
      </c>
      <c r="N185" s="5">
        <v>2565.09</v>
      </c>
      <c r="O185" s="7">
        <v>45996</v>
      </c>
      <c r="P185" s="5">
        <v>2565.09</v>
      </c>
      <c r="Q185" s="5">
        <v>0</v>
      </c>
      <c r="R185" s="5">
        <v>834257</v>
      </c>
      <c r="S185" s="5" t="s">
        <v>73</v>
      </c>
      <c r="T185" s="5">
        <v>25.65</v>
      </c>
      <c r="U185" s="5">
        <v>2539.44</v>
      </c>
      <c r="V185" s="5" t="s">
        <v>34</v>
      </c>
      <c r="W185" s="5">
        <v>2</v>
      </c>
      <c r="X185" s="5">
        <v>2685029542992</v>
      </c>
      <c r="Y185" s="7">
        <v>46003</v>
      </c>
      <c r="Z185" s="7">
        <v>45996</v>
      </c>
      <c r="AB185" s="6">
        <v>46003</v>
      </c>
      <c r="AC185" s="7">
        <v>46002.440972222219</v>
      </c>
      <c r="AD185" s="5">
        <v>27801008355</v>
      </c>
      <c r="AE185" s="8">
        <v>45996</v>
      </c>
      <c r="AF185" s="5">
        <v>51345</v>
      </c>
      <c r="AG185" s="5" t="s">
        <v>38</v>
      </c>
      <c r="AH185" s="5">
        <v>834257</v>
      </c>
      <c r="AI185" s="6">
        <v>45996</v>
      </c>
      <c r="AJ185" s="6">
        <v>46003</v>
      </c>
    </row>
    <row r="186" spans="1:37" hidden="1" x14ac:dyDescent="0.55000000000000004">
      <c r="A186">
        <v>2780</v>
      </c>
      <c r="B186">
        <v>1008502</v>
      </c>
      <c r="C186" s="1">
        <v>1679.96</v>
      </c>
      <c r="E186" s="1">
        <v>1679.96</v>
      </c>
      <c r="F186">
        <v>16.8</v>
      </c>
      <c r="G186" s="1">
        <v>1663.16</v>
      </c>
      <c r="H186" s="1"/>
      <c r="I186" s="1"/>
      <c r="J186" s="2">
        <v>46003</v>
      </c>
      <c r="K186" s="5">
        <v>1008502</v>
      </c>
      <c r="L186" s="5">
        <v>2780</v>
      </c>
      <c r="M186" s="5">
        <v>0</v>
      </c>
      <c r="N186" s="5">
        <v>1679.96</v>
      </c>
      <c r="O186" s="7">
        <v>45996</v>
      </c>
      <c r="P186" s="5">
        <v>1679.96</v>
      </c>
      <c r="Q186" s="5">
        <v>0</v>
      </c>
      <c r="R186" s="5" t="s">
        <v>32</v>
      </c>
      <c r="S186" s="5" t="s">
        <v>33</v>
      </c>
      <c r="T186" s="5">
        <v>16.8</v>
      </c>
      <c r="U186" s="5">
        <v>1663.16</v>
      </c>
      <c r="V186" s="5" t="s">
        <v>34</v>
      </c>
      <c r="W186" s="5">
        <v>2</v>
      </c>
      <c r="X186" s="5">
        <v>2685029542992</v>
      </c>
      <c r="Y186" s="7">
        <v>46003</v>
      </c>
      <c r="Z186" s="7">
        <v>45996</v>
      </c>
      <c r="AB186" s="6">
        <v>46003</v>
      </c>
      <c r="AC186" s="7">
        <v>46002.440972222219</v>
      </c>
      <c r="AD186" s="5">
        <v>27801008502</v>
      </c>
      <c r="AE186" s="8">
        <v>45996</v>
      </c>
      <c r="AF186" s="5">
        <v>51355</v>
      </c>
      <c r="AG186" s="5" t="s">
        <v>38</v>
      </c>
      <c r="AH186" s="5">
        <v>206811</v>
      </c>
      <c r="AI186" s="6">
        <v>45996</v>
      </c>
      <c r="AJ186" s="6">
        <v>46003</v>
      </c>
    </row>
    <row r="187" spans="1:37" hidden="1" x14ac:dyDescent="0.55000000000000004">
      <c r="A187">
        <v>2780</v>
      </c>
      <c r="B187">
        <v>1008505</v>
      </c>
      <c r="C187">
        <v>74.22</v>
      </c>
      <c r="E187">
        <v>74.22</v>
      </c>
      <c r="F187">
        <v>0.74</v>
      </c>
      <c r="G187">
        <v>73.48</v>
      </c>
      <c r="H187"/>
      <c r="I187"/>
      <c r="J187" s="2">
        <v>46003</v>
      </c>
      <c r="K187" s="5">
        <v>1008505</v>
      </c>
      <c r="L187" s="5">
        <v>2780</v>
      </c>
      <c r="M187" s="5">
        <v>0</v>
      </c>
      <c r="N187" s="5">
        <v>74.22</v>
      </c>
      <c r="O187" s="7">
        <v>45996</v>
      </c>
      <c r="P187" s="5">
        <v>74.22</v>
      </c>
      <c r="Q187" s="5">
        <v>0</v>
      </c>
      <c r="R187" s="5" t="s">
        <v>32</v>
      </c>
      <c r="S187" s="5" t="s">
        <v>33</v>
      </c>
      <c r="T187" s="5">
        <v>0.74</v>
      </c>
      <c r="U187" s="5">
        <v>73.48</v>
      </c>
      <c r="V187" s="5" t="s">
        <v>34</v>
      </c>
      <c r="W187" s="5">
        <v>2</v>
      </c>
      <c r="X187" s="5">
        <v>2685029542992</v>
      </c>
      <c r="Y187" s="7">
        <v>46003</v>
      </c>
      <c r="Z187" s="7">
        <v>45996</v>
      </c>
      <c r="AB187" s="6">
        <v>46003</v>
      </c>
      <c r="AC187" s="7">
        <v>46002.440972222219</v>
      </c>
      <c r="AD187" s="5">
        <v>27801008505</v>
      </c>
      <c r="AE187" s="8">
        <v>45996</v>
      </c>
      <c r="AF187" s="5">
        <v>51353</v>
      </c>
      <c r="AG187" s="5" t="s">
        <v>38</v>
      </c>
      <c r="AH187" s="5">
        <v>206810</v>
      </c>
      <c r="AI187" s="6">
        <v>45996</v>
      </c>
      <c r="AJ187" s="6">
        <v>46003</v>
      </c>
    </row>
    <row r="188" spans="1:37" hidden="1" x14ac:dyDescent="0.55000000000000004">
      <c r="A188">
        <v>2780</v>
      </c>
      <c r="B188">
        <v>1009001</v>
      </c>
      <c r="C188">
        <v>-81</v>
      </c>
      <c r="E188">
        <v>-81</v>
      </c>
      <c r="G188">
        <v>-81</v>
      </c>
      <c r="H188"/>
      <c r="I188"/>
      <c r="J188" s="2">
        <v>46003</v>
      </c>
      <c r="K188" s="5">
        <v>1009001</v>
      </c>
      <c r="L188" s="5">
        <v>2780</v>
      </c>
      <c r="M188" s="5">
        <v>0</v>
      </c>
      <c r="N188" s="5">
        <v>-81</v>
      </c>
      <c r="O188" s="7">
        <v>46000</v>
      </c>
      <c r="P188" s="5">
        <v>-81</v>
      </c>
      <c r="Q188" s="5">
        <v>0</v>
      </c>
      <c r="R188" s="5">
        <v>1009001</v>
      </c>
      <c r="S188" s="5" t="s">
        <v>33</v>
      </c>
      <c r="T188" s="5">
        <v>0</v>
      </c>
      <c r="U188" s="5">
        <v>-81</v>
      </c>
      <c r="V188" s="5" t="s">
        <v>34</v>
      </c>
      <c r="W188" s="5">
        <v>2</v>
      </c>
      <c r="X188" s="5">
        <v>2685029542992</v>
      </c>
      <c r="Y188" s="7">
        <v>46003</v>
      </c>
      <c r="Z188" s="7">
        <v>46000</v>
      </c>
      <c r="AB188" s="6">
        <v>46003</v>
      </c>
      <c r="AC188" s="7">
        <v>46002.440972222219</v>
      </c>
      <c r="AD188" s="5">
        <v>27801009001</v>
      </c>
      <c r="AE188" s="8">
        <v>46000</v>
      </c>
      <c r="AF188" s="5" t="s">
        <v>113</v>
      </c>
      <c r="AG188" s="5" t="s">
        <v>38</v>
      </c>
      <c r="AH188" s="5" t="s">
        <v>114</v>
      </c>
      <c r="AI188" s="6">
        <v>46000</v>
      </c>
      <c r="AJ188" s="6">
        <v>46003</v>
      </c>
    </row>
    <row r="189" spans="1:37" x14ac:dyDescent="0.55000000000000004">
      <c r="A189">
        <v>2843</v>
      </c>
      <c r="B189">
        <v>999676</v>
      </c>
      <c r="C189">
        <v>533.97</v>
      </c>
      <c r="D189" s="4">
        <v>10.68</v>
      </c>
      <c r="E189">
        <v>523.29</v>
      </c>
      <c r="G189">
        <v>523.29</v>
      </c>
      <c r="H189" s="14">
        <f t="shared" ref="H189:H193" si="87">C189-D189-F189</f>
        <v>523.29000000000008</v>
      </c>
      <c r="I189" s="14" t="b">
        <f t="shared" ref="I189:I193" si="88">G189=H189</f>
        <v>1</v>
      </c>
      <c r="J189" s="2">
        <v>46003</v>
      </c>
      <c r="K189" s="5">
        <v>999676</v>
      </c>
      <c r="L189" s="5">
        <v>2843</v>
      </c>
      <c r="M189" s="5">
        <v>10.68</v>
      </c>
      <c r="N189" s="5">
        <v>533.97</v>
      </c>
      <c r="O189" s="7">
        <v>45953</v>
      </c>
      <c r="P189" s="5">
        <v>523.29</v>
      </c>
      <c r="Q189" s="5">
        <v>10.68</v>
      </c>
      <c r="R189" s="5" t="s">
        <v>32</v>
      </c>
      <c r="S189" s="5" t="s">
        <v>33</v>
      </c>
      <c r="T189" s="5">
        <v>0</v>
      </c>
      <c r="U189" s="5">
        <v>523.29</v>
      </c>
      <c r="V189" s="5" t="s">
        <v>34</v>
      </c>
      <c r="W189" s="5">
        <v>2</v>
      </c>
      <c r="X189" s="5">
        <v>7944931815323</v>
      </c>
      <c r="Y189" s="7">
        <v>46003</v>
      </c>
      <c r="Z189" s="7">
        <v>45953</v>
      </c>
      <c r="AB189" s="6">
        <v>46003</v>
      </c>
      <c r="AC189" s="7">
        <v>46000.606249999997</v>
      </c>
      <c r="AD189" s="5">
        <v>2843999676</v>
      </c>
      <c r="AE189" s="8">
        <v>45953</v>
      </c>
      <c r="AF189" s="5" t="s">
        <v>115</v>
      </c>
      <c r="AG189" s="5" t="s">
        <v>71</v>
      </c>
      <c r="AH189" s="5">
        <v>199882</v>
      </c>
      <c r="AI189" s="6">
        <v>45953</v>
      </c>
      <c r="AJ189" s="6">
        <v>46003</v>
      </c>
      <c r="AK189" s="1">
        <f t="shared" ref="AK189:AK193" si="89">0.02*C189</f>
        <v>10.679400000000001</v>
      </c>
    </row>
    <row r="190" spans="1:37" x14ac:dyDescent="0.55000000000000004">
      <c r="A190">
        <v>2843</v>
      </c>
      <c r="B190">
        <v>1000271</v>
      </c>
      <c r="C190" s="1">
        <v>2792.72</v>
      </c>
      <c r="D190" s="4">
        <v>55.85</v>
      </c>
      <c r="E190" s="1">
        <v>2736.87</v>
      </c>
      <c r="G190" s="1">
        <v>2736.87</v>
      </c>
      <c r="H190" s="14">
        <f t="shared" si="87"/>
        <v>2736.87</v>
      </c>
      <c r="I190" s="14" t="b">
        <f t="shared" si="88"/>
        <v>1</v>
      </c>
      <c r="J190" s="2">
        <v>46003</v>
      </c>
      <c r="K190" s="5">
        <v>1000271</v>
      </c>
      <c r="L190" s="5">
        <v>2843</v>
      </c>
      <c r="M190" s="5">
        <v>55.85</v>
      </c>
      <c r="N190" s="5">
        <v>2792.72</v>
      </c>
      <c r="O190" s="7">
        <v>45954</v>
      </c>
      <c r="P190" s="5">
        <v>2736.87</v>
      </c>
      <c r="Q190" s="5">
        <v>55.85</v>
      </c>
      <c r="R190" s="5" t="s">
        <v>32</v>
      </c>
      <c r="S190" s="5" t="s">
        <v>33</v>
      </c>
      <c r="T190" s="5">
        <v>0</v>
      </c>
      <c r="U190" s="5">
        <v>2736.87</v>
      </c>
      <c r="V190" s="5" t="s">
        <v>34</v>
      </c>
      <c r="W190" s="5">
        <v>2</v>
      </c>
      <c r="X190" s="5">
        <v>7944931815323</v>
      </c>
      <c r="Y190" s="7">
        <v>46003</v>
      </c>
      <c r="Z190" s="7">
        <v>45954</v>
      </c>
      <c r="AB190" s="6">
        <v>46003</v>
      </c>
      <c r="AC190" s="7">
        <v>46000.606249999997</v>
      </c>
      <c r="AD190" s="5">
        <v>28431000271</v>
      </c>
      <c r="AE190" s="8">
        <v>45954</v>
      </c>
      <c r="AF190" s="5" t="s">
        <v>115</v>
      </c>
      <c r="AG190" s="5" t="s">
        <v>71</v>
      </c>
      <c r="AH190" s="5">
        <v>199896</v>
      </c>
      <c r="AI190" s="6">
        <v>45954</v>
      </c>
      <c r="AJ190" s="6">
        <v>46003</v>
      </c>
      <c r="AK190" s="1">
        <f t="shared" si="89"/>
        <v>55.854399999999998</v>
      </c>
    </row>
    <row r="191" spans="1:37" x14ac:dyDescent="0.55000000000000004">
      <c r="A191">
        <v>2843</v>
      </c>
      <c r="B191">
        <v>1000386</v>
      </c>
      <c r="C191">
        <v>436.4</v>
      </c>
      <c r="D191" s="4">
        <v>8.73</v>
      </c>
      <c r="E191">
        <v>427.67</v>
      </c>
      <c r="G191">
        <v>427.67</v>
      </c>
      <c r="H191" s="14">
        <f t="shared" si="87"/>
        <v>427.66999999999996</v>
      </c>
      <c r="I191" s="14" t="b">
        <f t="shared" si="88"/>
        <v>1</v>
      </c>
      <c r="J191" s="2">
        <v>46003</v>
      </c>
      <c r="K191" s="5">
        <v>1000386</v>
      </c>
      <c r="L191" s="5">
        <v>2843</v>
      </c>
      <c r="M191" s="5">
        <v>8.73</v>
      </c>
      <c r="N191" s="5">
        <v>436.4</v>
      </c>
      <c r="O191" s="7">
        <v>45957</v>
      </c>
      <c r="P191" s="5">
        <v>427.67</v>
      </c>
      <c r="Q191" s="5">
        <v>8.73</v>
      </c>
      <c r="R191" s="5" t="s">
        <v>32</v>
      </c>
      <c r="S191" s="5" t="s">
        <v>33</v>
      </c>
      <c r="T191" s="5">
        <v>0</v>
      </c>
      <c r="U191" s="5">
        <v>427.67</v>
      </c>
      <c r="V191" s="5" t="s">
        <v>34</v>
      </c>
      <c r="W191" s="5">
        <v>2</v>
      </c>
      <c r="X191" s="5">
        <v>7944931815323</v>
      </c>
      <c r="Y191" s="7">
        <v>46003</v>
      </c>
      <c r="Z191" s="7">
        <v>45957</v>
      </c>
      <c r="AB191" s="6">
        <v>46003</v>
      </c>
      <c r="AC191" s="7">
        <v>46000.606249999997</v>
      </c>
      <c r="AD191" s="5">
        <v>28431000386</v>
      </c>
      <c r="AE191" s="8">
        <v>45957</v>
      </c>
      <c r="AF191" s="5" t="s">
        <v>116</v>
      </c>
      <c r="AG191" s="5" t="s">
        <v>71</v>
      </c>
      <c r="AH191" s="5">
        <v>200010</v>
      </c>
      <c r="AI191" s="6">
        <v>45957</v>
      </c>
      <c r="AJ191" s="6">
        <v>46003</v>
      </c>
      <c r="AK191" s="1">
        <f t="shared" si="89"/>
        <v>8.7279999999999998</v>
      </c>
    </row>
    <row r="192" spans="1:37" x14ac:dyDescent="0.55000000000000004">
      <c r="A192">
        <v>2843</v>
      </c>
      <c r="B192">
        <v>1000960</v>
      </c>
      <c r="C192">
        <v>36.840000000000003</v>
      </c>
      <c r="D192" s="4">
        <v>0.74</v>
      </c>
      <c r="E192">
        <v>36.1</v>
      </c>
      <c r="G192">
        <v>36.1</v>
      </c>
      <c r="H192" s="14">
        <f t="shared" si="87"/>
        <v>36.1</v>
      </c>
      <c r="I192" s="14" t="b">
        <f t="shared" si="88"/>
        <v>1</v>
      </c>
      <c r="J192" s="2">
        <v>46003</v>
      </c>
      <c r="K192" s="5">
        <v>1000960</v>
      </c>
      <c r="L192" s="5">
        <v>2843</v>
      </c>
      <c r="M192" s="5">
        <v>0.74</v>
      </c>
      <c r="N192" s="5">
        <v>36.840000000000003</v>
      </c>
      <c r="O192" s="7">
        <v>45959</v>
      </c>
      <c r="P192" s="5">
        <v>36.1</v>
      </c>
      <c r="Q192" s="5">
        <v>0.74</v>
      </c>
      <c r="R192" s="5" t="s">
        <v>32</v>
      </c>
      <c r="S192" s="5" t="s">
        <v>33</v>
      </c>
      <c r="T192" s="5">
        <v>0</v>
      </c>
      <c r="U192" s="5">
        <v>36.1</v>
      </c>
      <c r="V192" s="5" t="s">
        <v>34</v>
      </c>
      <c r="W192" s="5">
        <v>2</v>
      </c>
      <c r="X192" s="5">
        <v>7944931815323</v>
      </c>
      <c r="Y192" s="7">
        <v>46003</v>
      </c>
      <c r="Z192" s="7">
        <v>45959</v>
      </c>
      <c r="AB192" s="6">
        <v>46003</v>
      </c>
      <c r="AC192" s="7">
        <v>46000.606249999997</v>
      </c>
      <c r="AD192" s="5">
        <v>28431000960</v>
      </c>
      <c r="AE192" s="8">
        <v>45959</v>
      </c>
      <c r="AF192" s="5" t="s">
        <v>115</v>
      </c>
      <c r="AG192" s="5" t="s">
        <v>71</v>
      </c>
      <c r="AH192" s="5">
        <v>200435</v>
      </c>
      <c r="AI192" s="6">
        <v>45959</v>
      </c>
      <c r="AJ192" s="6">
        <v>46003</v>
      </c>
      <c r="AK192" s="1">
        <f t="shared" si="89"/>
        <v>0.73680000000000012</v>
      </c>
    </row>
    <row r="193" spans="1:37" x14ac:dyDescent="0.55000000000000004">
      <c r="A193">
        <v>2843</v>
      </c>
      <c r="B193">
        <v>1001783</v>
      </c>
      <c r="C193">
        <v>284.32</v>
      </c>
      <c r="D193" s="4">
        <v>5.69</v>
      </c>
      <c r="E193">
        <v>278.63</v>
      </c>
      <c r="G193">
        <v>278.63</v>
      </c>
      <c r="H193" s="14">
        <f t="shared" si="87"/>
        <v>278.63</v>
      </c>
      <c r="I193" s="14" t="b">
        <f t="shared" si="88"/>
        <v>1</v>
      </c>
      <c r="J193" s="2">
        <v>46003</v>
      </c>
      <c r="K193" s="5">
        <v>1001783</v>
      </c>
      <c r="L193" s="5">
        <v>2843</v>
      </c>
      <c r="M193" s="5">
        <v>5.69</v>
      </c>
      <c r="N193" s="5">
        <v>284.32</v>
      </c>
      <c r="O193" s="7">
        <v>45961</v>
      </c>
      <c r="P193" s="5">
        <v>278.63</v>
      </c>
      <c r="Q193" s="5">
        <v>5.69</v>
      </c>
      <c r="R193" s="5" t="s">
        <v>32</v>
      </c>
      <c r="S193" s="5" t="s">
        <v>33</v>
      </c>
      <c r="T193" s="5">
        <v>0</v>
      </c>
      <c r="U193" s="5">
        <v>278.63</v>
      </c>
      <c r="V193" s="5" t="s">
        <v>34</v>
      </c>
      <c r="W193" s="5">
        <v>2</v>
      </c>
      <c r="X193" s="5">
        <v>7944931815323</v>
      </c>
      <c r="Y193" s="7">
        <v>46003</v>
      </c>
      <c r="Z193" s="7">
        <v>45961</v>
      </c>
      <c r="AB193" s="6">
        <v>46003</v>
      </c>
      <c r="AC193" s="7">
        <v>46000.606249999997</v>
      </c>
      <c r="AD193" s="5">
        <v>28431001783</v>
      </c>
      <c r="AE193" s="8">
        <v>45961</v>
      </c>
      <c r="AF193" s="5" t="s">
        <v>117</v>
      </c>
      <c r="AG193" s="5" t="s">
        <v>71</v>
      </c>
      <c r="AH193" s="5">
        <v>201148</v>
      </c>
      <c r="AI193" s="6">
        <v>45961</v>
      </c>
      <c r="AJ193" s="6">
        <v>46003</v>
      </c>
      <c r="AK193" s="1">
        <f t="shared" si="89"/>
        <v>5.6863999999999999</v>
      </c>
    </row>
    <row r="194" spans="1:37" hidden="1" x14ac:dyDescent="0.55000000000000004">
      <c r="A194">
        <v>2843</v>
      </c>
      <c r="B194">
        <v>1009061</v>
      </c>
      <c r="C194" s="1">
        <v>-1440</v>
      </c>
      <c r="E194" s="1">
        <v>-1440</v>
      </c>
      <c r="G194" s="1">
        <v>-1440</v>
      </c>
      <c r="H194" s="1"/>
      <c r="I194" s="1"/>
      <c r="J194" s="2">
        <v>46003</v>
      </c>
      <c r="K194" s="5">
        <v>1009061</v>
      </c>
      <c r="L194" s="5">
        <v>2843</v>
      </c>
      <c r="M194" s="5">
        <v>0</v>
      </c>
      <c r="N194" s="5">
        <v>-1440</v>
      </c>
      <c r="O194" s="7">
        <v>46000</v>
      </c>
      <c r="P194" s="5">
        <v>-1440</v>
      </c>
      <c r="Q194" s="5">
        <v>0</v>
      </c>
      <c r="R194" s="5">
        <v>1009061</v>
      </c>
      <c r="S194" s="5" t="s">
        <v>33</v>
      </c>
      <c r="T194" s="5">
        <v>0</v>
      </c>
      <c r="U194" s="5">
        <v>-1440</v>
      </c>
      <c r="V194" s="5" t="s">
        <v>34</v>
      </c>
      <c r="W194" s="5">
        <v>2</v>
      </c>
      <c r="X194" s="5">
        <v>7944931815323</v>
      </c>
      <c r="Y194" s="7">
        <v>46003</v>
      </c>
      <c r="Z194" s="7">
        <v>46000</v>
      </c>
      <c r="AB194" s="6">
        <v>46003</v>
      </c>
      <c r="AC194" s="7">
        <v>46000.606249999997</v>
      </c>
      <c r="AD194" s="5">
        <v>28431009061</v>
      </c>
      <c r="AE194" s="8">
        <v>46000</v>
      </c>
      <c r="AF194" s="5" t="s">
        <v>118</v>
      </c>
      <c r="AG194" s="5" t="s">
        <v>38</v>
      </c>
      <c r="AH194" s="5" t="s">
        <v>119</v>
      </c>
      <c r="AI194" s="6">
        <v>46000</v>
      </c>
      <c r="AJ194" s="6">
        <v>46003</v>
      </c>
    </row>
    <row r="195" spans="1:37" x14ac:dyDescent="0.55000000000000004">
      <c r="A195">
        <v>2871</v>
      </c>
      <c r="B195">
        <v>1007197</v>
      </c>
      <c r="C195">
        <v>301.93</v>
      </c>
      <c r="D195" s="4">
        <v>6.04</v>
      </c>
      <c r="E195">
        <v>295.89</v>
      </c>
      <c r="F195">
        <v>3.02</v>
      </c>
      <c r="G195">
        <v>292.87</v>
      </c>
      <c r="H195" s="14">
        <f>C195-D195-F195</f>
        <v>292.87</v>
      </c>
      <c r="I195" s="14" t="b">
        <f>G195=H195</f>
        <v>1</v>
      </c>
      <c r="J195" s="2">
        <v>46003</v>
      </c>
      <c r="K195" s="5">
        <v>1007197</v>
      </c>
      <c r="L195" s="5">
        <v>2871</v>
      </c>
      <c r="M195" s="5">
        <v>6.04</v>
      </c>
      <c r="N195" s="5">
        <v>301.93</v>
      </c>
      <c r="O195" s="7">
        <v>45992</v>
      </c>
      <c r="P195" s="5">
        <v>295.89</v>
      </c>
      <c r="Q195" s="5">
        <v>6.04</v>
      </c>
      <c r="R195" s="5" t="s">
        <v>32</v>
      </c>
      <c r="S195" s="5" t="s">
        <v>33</v>
      </c>
      <c r="T195" s="5">
        <v>3.02</v>
      </c>
      <c r="U195" s="5">
        <v>292.87</v>
      </c>
      <c r="V195" s="5" t="s">
        <v>34</v>
      </c>
      <c r="W195" s="5">
        <v>2</v>
      </c>
      <c r="X195" s="5">
        <v>9463825559637</v>
      </c>
      <c r="Y195" s="7">
        <v>46003</v>
      </c>
      <c r="Z195" s="7">
        <v>45992</v>
      </c>
      <c r="AB195" s="6">
        <v>46003</v>
      </c>
      <c r="AC195" s="7">
        <v>45999.427083333336</v>
      </c>
      <c r="AD195" s="5">
        <v>28711007197</v>
      </c>
      <c r="AE195" s="8">
        <v>45992</v>
      </c>
      <c r="AF195" s="5">
        <v>10476</v>
      </c>
      <c r="AG195" s="5" t="s">
        <v>37</v>
      </c>
      <c r="AH195" s="5">
        <v>205751</v>
      </c>
      <c r="AI195" s="6">
        <v>45992</v>
      </c>
      <c r="AJ195" s="6">
        <v>46003</v>
      </c>
      <c r="AK195" s="1">
        <f t="shared" ref="AK195" si="90">0.02*C195</f>
        <v>6.0386000000000006</v>
      </c>
    </row>
    <row r="196" spans="1:37" hidden="1" x14ac:dyDescent="0.55000000000000004">
      <c r="A196">
        <v>2871</v>
      </c>
      <c r="B196">
        <v>1007652</v>
      </c>
      <c r="C196" s="1">
        <v>3990</v>
      </c>
      <c r="E196" s="1">
        <v>3990</v>
      </c>
      <c r="F196">
        <v>39.9</v>
      </c>
      <c r="G196" s="1">
        <v>3950.1</v>
      </c>
      <c r="H196" s="1"/>
      <c r="I196" s="1"/>
      <c r="J196" s="2">
        <v>46003</v>
      </c>
      <c r="K196" s="5">
        <v>1007652</v>
      </c>
      <c r="L196" s="5">
        <v>2871</v>
      </c>
      <c r="M196" s="5">
        <v>0</v>
      </c>
      <c r="N196" s="5">
        <v>3990</v>
      </c>
      <c r="O196" s="7">
        <v>45993</v>
      </c>
      <c r="P196" s="5">
        <v>3990</v>
      </c>
      <c r="Q196" s="5">
        <v>0</v>
      </c>
      <c r="R196" s="5" t="s">
        <v>32</v>
      </c>
      <c r="S196" s="5" t="s">
        <v>33</v>
      </c>
      <c r="T196" s="5">
        <v>39.9</v>
      </c>
      <c r="U196" s="5">
        <v>3950.1</v>
      </c>
      <c r="V196" s="5" t="s">
        <v>34</v>
      </c>
      <c r="W196" s="5">
        <v>2</v>
      </c>
      <c r="X196" s="5">
        <v>9463825559637</v>
      </c>
      <c r="Y196" s="7">
        <v>46003</v>
      </c>
      <c r="Z196" s="7">
        <v>45993</v>
      </c>
      <c r="AB196" s="6">
        <v>46003</v>
      </c>
      <c r="AC196" s="7">
        <v>45999.427083333336</v>
      </c>
      <c r="AD196" s="5">
        <v>28711007652</v>
      </c>
      <c r="AE196" s="8">
        <v>45993</v>
      </c>
      <c r="AF196" s="5" t="s">
        <v>32</v>
      </c>
      <c r="AG196" s="5" t="s">
        <v>35</v>
      </c>
      <c r="AH196" s="5" t="s">
        <v>32</v>
      </c>
      <c r="AI196" s="6">
        <v>45993</v>
      </c>
      <c r="AJ196" s="6">
        <v>46003</v>
      </c>
    </row>
    <row r="197" spans="1:37" hidden="1" x14ac:dyDescent="0.55000000000000004">
      <c r="A197">
        <v>2871</v>
      </c>
      <c r="B197">
        <v>1007863</v>
      </c>
      <c r="C197">
        <v>-208.12</v>
      </c>
      <c r="E197">
        <v>-208.12</v>
      </c>
      <c r="G197">
        <v>-208.12</v>
      </c>
      <c r="H197"/>
      <c r="I197"/>
      <c r="J197" s="2">
        <v>46003</v>
      </c>
      <c r="K197" s="5">
        <v>1007863</v>
      </c>
      <c r="L197" s="5">
        <v>2871</v>
      </c>
      <c r="M197" s="5">
        <v>0</v>
      </c>
      <c r="N197" s="5">
        <v>-208.12</v>
      </c>
      <c r="O197" s="7">
        <v>45994</v>
      </c>
      <c r="P197" s="5">
        <v>-208.12</v>
      </c>
      <c r="Q197" s="5">
        <v>0</v>
      </c>
      <c r="R197" s="5">
        <v>1007863</v>
      </c>
      <c r="S197" s="5" t="s">
        <v>33</v>
      </c>
      <c r="T197" s="5">
        <v>0</v>
      </c>
      <c r="U197" s="5">
        <v>-208.12</v>
      </c>
      <c r="V197" s="5" t="s">
        <v>34</v>
      </c>
      <c r="W197" s="5">
        <v>2</v>
      </c>
      <c r="X197" s="5">
        <v>9463825559637</v>
      </c>
      <c r="Y197" s="7">
        <v>46003</v>
      </c>
      <c r="Z197" s="7">
        <v>45994</v>
      </c>
      <c r="AB197" s="6">
        <v>46003</v>
      </c>
      <c r="AC197" s="7">
        <v>45999.427083333336</v>
      </c>
      <c r="AD197" s="5">
        <v>28711007863</v>
      </c>
      <c r="AE197" s="8">
        <v>45994</v>
      </c>
      <c r="AF197" s="5">
        <v>142058</v>
      </c>
      <c r="AG197" s="5" t="s">
        <v>38</v>
      </c>
      <c r="AH197" s="5">
        <v>53501</v>
      </c>
      <c r="AI197" s="6">
        <v>45994</v>
      </c>
      <c r="AJ197" s="6">
        <v>46003</v>
      </c>
    </row>
    <row r="198" spans="1:37" x14ac:dyDescent="0.55000000000000004">
      <c r="A198">
        <v>2871</v>
      </c>
      <c r="B198">
        <v>1008210</v>
      </c>
      <c r="C198" s="1">
        <v>2895.64</v>
      </c>
      <c r="D198" s="4">
        <v>57.91</v>
      </c>
      <c r="E198" s="1">
        <v>2837.73</v>
      </c>
      <c r="F198">
        <v>28.96</v>
      </c>
      <c r="G198" s="1">
        <v>2808.77</v>
      </c>
      <c r="H198" s="14">
        <f t="shared" ref="H198:H200" si="91">C198-D198-F198</f>
        <v>2808.77</v>
      </c>
      <c r="I198" s="14" t="b">
        <f t="shared" ref="I198:I200" si="92">G198=H198</f>
        <v>1</v>
      </c>
      <c r="J198" s="2">
        <v>46003</v>
      </c>
      <c r="K198" s="5">
        <v>1008210</v>
      </c>
      <c r="L198" s="5">
        <v>2871</v>
      </c>
      <c r="M198" s="5">
        <v>57.91</v>
      </c>
      <c r="N198" s="5">
        <v>2895.64</v>
      </c>
      <c r="O198" s="7">
        <v>45995</v>
      </c>
      <c r="P198" s="5">
        <v>2837.73</v>
      </c>
      <c r="Q198" s="5">
        <v>57.91</v>
      </c>
      <c r="R198" s="5" t="s">
        <v>32</v>
      </c>
      <c r="S198" s="5" t="s">
        <v>33</v>
      </c>
      <c r="T198" s="5">
        <v>28.96</v>
      </c>
      <c r="U198" s="5">
        <v>2808.77</v>
      </c>
      <c r="V198" s="5" t="s">
        <v>34</v>
      </c>
      <c r="W198" s="5">
        <v>2</v>
      </c>
      <c r="X198" s="5">
        <v>9463825559637</v>
      </c>
      <c r="Y198" s="7">
        <v>46003</v>
      </c>
      <c r="Z198" s="7">
        <v>45995</v>
      </c>
      <c r="AB198" s="6">
        <v>46003</v>
      </c>
      <c r="AC198" s="7">
        <v>45999.427083333336</v>
      </c>
      <c r="AD198" s="5">
        <v>28711008210</v>
      </c>
      <c r="AE198" s="8">
        <v>45995</v>
      </c>
      <c r="AF198" s="5">
        <v>10515</v>
      </c>
      <c r="AG198" s="5" t="s">
        <v>37</v>
      </c>
      <c r="AH198" s="5">
        <v>206703</v>
      </c>
      <c r="AI198" s="6">
        <v>45995</v>
      </c>
      <c r="AJ198" s="6">
        <v>46003</v>
      </c>
      <c r="AK198" s="1">
        <f t="shared" ref="AK198:AK200" si="93">0.02*C198</f>
        <v>57.912799999999997</v>
      </c>
    </row>
    <row r="199" spans="1:37" x14ac:dyDescent="0.55000000000000004">
      <c r="A199">
        <v>2871</v>
      </c>
      <c r="B199">
        <v>1008211</v>
      </c>
      <c r="C199">
        <v>701.72</v>
      </c>
      <c r="D199" s="4">
        <v>14.03</v>
      </c>
      <c r="E199">
        <v>687.69</v>
      </c>
      <c r="F199">
        <v>7.02</v>
      </c>
      <c r="G199">
        <v>680.67</v>
      </c>
      <c r="H199" s="14">
        <f t="shared" si="91"/>
        <v>680.67000000000007</v>
      </c>
      <c r="I199" s="14" t="b">
        <f t="shared" si="92"/>
        <v>1</v>
      </c>
      <c r="J199" s="2">
        <v>46003</v>
      </c>
      <c r="K199" s="5">
        <v>1008211</v>
      </c>
      <c r="L199" s="5">
        <v>2871</v>
      </c>
      <c r="M199" s="5">
        <v>14.03</v>
      </c>
      <c r="N199" s="5">
        <v>701.72</v>
      </c>
      <c r="O199" s="7">
        <v>45995</v>
      </c>
      <c r="P199" s="5">
        <v>687.69</v>
      </c>
      <c r="Q199" s="5">
        <v>14.03</v>
      </c>
      <c r="R199" s="5" t="s">
        <v>32</v>
      </c>
      <c r="S199" s="5" t="s">
        <v>33</v>
      </c>
      <c r="T199" s="5">
        <v>7.02</v>
      </c>
      <c r="U199" s="5">
        <v>680.67</v>
      </c>
      <c r="V199" s="5" t="s">
        <v>34</v>
      </c>
      <c r="W199" s="5">
        <v>2</v>
      </c>
      <c r="X199" s="5">
        <v>9463825559637</v>
      </c>
      <c r="Y199" s="7">
        <v>46003</v>
      </c>
      <c r="Z199" s="7">
        <v>45995</v>
      </c>
      <c r="AB199" s="6">
        <v>46003</v>
      </c>
      <c r="AC199" s="7">
        <v>45999.427083333336</v>
      </c>
      <c r="AD199" s="5">
        <v>28711008211</v>
      </c>
      <c r="AE199" s="8">
        <v>45995</v>
      </c>
      <c r="AF199" s="5">
        <v>10515</v>
      </c>
      <c r="AG199" s="5" t="s">
        <v>37</v>
      </c>
      <c r="AH199" s="5">
        <v>206701</v>
      </c>
      <c r="AI199" s="6">
        <v>45995</v>
      </c>
      <c r="AJ199" s="6">
        <v>46003</v>
      </c>
      <c r="AK199" s="1">
        <f t="shared" si="93"/>
        <v>14.034400000000002</v>
      </c>
    </row>
    <row r="200" spans="1:37" x14ac:dyDescent="0.55000000000000004">
      <c r="A200">
        <v>2871</v>
      </c>
      <c r="B200">
        <v>1008222</v>
      </c>
      <c r="C200">
        <v>152.46</v>
      </c>
      <c r="D200" s="4">
        <v>3.05</v>
      </c>
      <c r="E200">
        <v>149.41</v>
      </c>
      <c r="F200">
        <v>1.52</v>
      </c>
      <c r="G200">
        <v>147.88999999999999</v>
      </c>
      <c r="H200" s="14">
        <f t="shared" si="91"/>
        <v>147.88999999999999</v>
      </c>
      <c r="I200" s="14" t="b">
        <f t="shared" si="92"/>
        <v>1</v>
      </c>
      <c r="J200" s="2">
        <v>46003</v>
      </c>
      <c r="K200" s="5">
        <v>1008222</v>
      </c>
      <c r="L200" s="5">
        <v>2871</v>
      </c>
      <c r="M200" s="5">
        <v>3.05</v>
      </c>
      <c r="N200" s="5">
        <v>152.46</v>
      </c>
      <c r="O200" s="7">
        <v>45995</v>
      </c>
      <c r="P200" s="5">
        <v>149.41</v>
      </c>
      <c r="Q200" s="5">
        <v>3.05</v>
      </c>
      <c r="R200" s="5" t="s">
        <v>32</v>
      </c>
      <c r="S200" s="5" t="s">
        <v>33</v>
      </c>
      <c r="T200" s="5">
        <v>1.52</v>
      </c>
      <c r="U200" s="5">
        <v>147.88999999999999</v>
      </c>
      <c r="V200" s="5" t="s">
        <v>34</v>
      </c>
      <c r="W200" s="5">
        <v>2</v>
      </c>
      <c r="X200" s="5">
        <v>9463825559637</v>
      </c>
      <c r="Y200" s="7">
        <v>46003</v>
      </c>
      <c r="Z200" s="7">
        <v>45995</v>
      </c>
      <c r="AB200" s="6">
        <v>46003</v>
      </c>
      <c r="AC200" s="7">
        <v>45999.427083333336</v>
      </c>
      <c r="AD200" s="5">
        <v>28711008222</v>
      </c>
      <c r="AE200" s="8">
        <v>45995</v>
      </c>
      <c r="AF200" s="5" t="s">
        <v>120</v>
      </c>
      <c r="AG200" s="5" t="s">
        <v>37</v>
      </c>
      <c r="AH200" s="5">
        <v>206567</v>
      </c>
      <c r="AI200" s="6">
        <v>45995</v>
      </c>
      <c r="AJ200" s="6">
        <v>46003</v>
      </c>
      <c r="AK200" s="1">
        <f t="shared" si="93"/>
        <v>3.0492000000000004</v>
      </c>
    </row>
    <row r="201" spans="1:37" hidden="1" x14ac:dyDescent="0.55000000000000004">
      <c r="A201">
        <v>2871</v>
      </c>
      <c r="B201">
        <v>1008299</v>
      </c>
      <c r="C201" s="1">
        <v>1386.94</v>
      </c>
      <c r="E201" s="1">
        <v>1386.94</v>
      </c>
      <c r="F201">
        <v>13.87</v>
      </c>
      <c r="G201" s="1">
        <v>1373.07</v>
      </c>
      <c r="H201" s="1"/>
      <c r="I201" s="1"/>
      <c r="J201" s="2">
        <v>46003</v>
      </c>
      <c r="K201" s="5">
        <v>1008299</v>
      </c>
      <c r="L201" s="5">
        <v>2871</v>
      </c>
      <c r="M201" s="5">
        <v>0</v>
      </c>
      <c r="N201" s="5">
        <v>1386.94</v>
      </c>
      <c r="O201" s="7">
        <v>45996</v>
      </c>
      <c r="P201" s="5">
        <v>1386.94</v>
      </c>
      <c r="Q201" s="5">
        <v>0</v>
      </c>
      <c r="R201" s="5" t="s">
        <v>121</v>
      </c>
      <c r="S201" s="5" t="s">
        <v>122</v>
      </c>
      <c r="T201" s="5">
        <v>13.87</v>
      </c>
      <c r="U201" s="5">
        <v>1373.07</v>
      </c>
      <c r="V201" s="5" t="s">
        <v>34</v>
      </c>
      <c r="W201" s="5">
        <v>2</v>
      </c>
      <c r="X201" s="5">
        <v>9463825559637</v>
      </c>
      <c r="Y201" s="7">
        <v>46003</v>
      </c>
      <c r="Z201" s="7">
        <v>45996</v>
      </c>
      <c r="AB201" s="6">
        <v>46003</v>
      </c>
      <c r="AC201" s="7">
        <v>45999.427083333336</v>
      </c>
      <c r="AD201" s="5">
        <v>28711008299</v>
      </c>
      <c r="AE201" s="8">
        <v>45996</v>
      </c>
      <c r="AF201" s="5" t="s">
        <v>121</v>
      </c>
      <c r="AG201" s="5" t="s">
        <v>35</v>
      </c>
      <c r="AH201" s="5" t="s">
        <v>121</v>
      </c>
      <c r="AI201" s="6">
        <v>45996</v>
      </c>
      <c r="AJ201" s="6">
        <v>46003</v>
      </c>
    </row>
    <row r="202" spans="1:37" hidden="1" x14ac:dyDescent="0.55000000000000004">
      <c r="A202">
        <v>2871</v>
      </c>
      <c r="B202">
        <v>1008346</v>
      </c>
      <c r="C202" s="1">
        <v>2582.17</v>
      </c>
      <c r="E202" s="1">
        <v>2582.17</v>
      </c>
      <c r="F202">
        <v>25.82</v>
      </c>
      <c r="G202" s="1">
        <v>2556.35</v>
      </c>
      <c r="H202" s="1"/>
      <c r="I202" s="1"/>
      <c r="J202" s="2">
        <v>46003</v>
      </c>
      <c r="K202" s="5">
        <v>1008346</v>
      </c>
      <c r="L202" s="5">
        <v>2871</v>
      </c>
      <c r="M202" s="5">
        <v>0</v>
      </c>
      <c r="N202" s="5">
        <v>2582.17</v>
      </c>
      <c r="O202" s="7">
        <v>45996</v>
      </c>
      <c r="P202" s="5">
        <v>2582.17</v>
      </c>
      <c r="Q202" s="5">
        <v>0</v>
      </c>
      <c r="R202" s="5" t="s">
        <v>123</v>
      </c>
      <c r="S202" s="5" t="s">
        <v>43</v>
      </c>
      <c r="T202" s="5">
        <v>25.82</v>
      </c>
      <c r="U202" s="5">
        <v>2556.35</v>
      </c>
      <c r="V202" s="5" t="s">
        <v>34</v>
      </c>
      <c r="W202" s="5">
        <v>2</v>
      </c>
      <c r="X202" s="5">
        <v>9463825559637</v>
      </c>
      <c r="Y202" s="7">
        <v>46003</v>
      </c>
      <c r="Z202" s="7">
        <v>45996</v>
      </c>
      <c r="AB202" s="6">
        <v>46003</v>
      </c>
      <c r="AC202" s="7">
        <v>45999.427083333336</v>
      </c>
      <c r="AD202" s="5">
        <v>28711008346</v>
      </c>
      <c r="AE202" s="8">
        <v>45996</v>
      </c>
      <c r="AF202" s="5">
        <v>10510</v>
      </c>
      <c r="AG202" s="5" t="s">
        <v>38</v>
      </c>
      <c r="AH202" s="5" t="s">
        <v>123</v>
      </c>
      <c r="AI202" s="6">
        <v>45996</v>
      </c>
      <c r="AJ202" s="6">
        <v>46003</v>
      </c>
    </row>
    <row r="203" spans="1:37" x14ac:dyDescent="0.55000000000000004">
      <c r="A203">
        <v>2878</v>
      </c>
      <c r="B203">
        <v>1007233</v>
      </c>
      <c r="C203">
        <v>199.08</v>
      </c>
      <c r="D203" s="4">
        <v>3.98</v>
      </c>
      <c r="E203">
        <v>195.1</v>
      </c>
      <c r="F203">
        <v>1.99</v>
      </c>
      <c r="G203">
        <v>193.11</v>
      </c>
      <c r="H203" s="14">
        <f>C203-D203-F203</f>
        <v>193.11</v>
      </c>
      <c r="I203" s="14" t="b">
        <f>G203=H203</f>
        <v>1</v>
      </c>
      <c r="J203" s="2">
        <v>46003</v>
      </c>
      <c r="K203" s="5">
        <v>1007233</v>
      </c>
      <c r="L203" s="5">
        <v>2878</v>
      </c>
      <c r="M203" s="5">
        <v>3.98</v>
      </c>
      <c r="N203" s="5">
        <v>199.08</v>
      </c>
      <c r="O203" s="7">
        <v>45992</v>
      </c>
      <c r="P203" s="5">
        <v>195.1</v>
      </c>
      <c r="Q203" s="5">
        <v>3.98</v>
      </c>
      <c r="R203" s="5" t="s">
        <v>32</v>
      </c>
      <c r="S203" s="5" t="s">
        <v>33</v>
      </c>
      <c r="T203" s="5">
        <v>1.99</v>
      </c>
      <c r="U203" s="5">
        <v>193.11</v>
      </c>
      <c r="V203" s="5" t="s">
        <v>34</v>
      </c>
      <c r="W203" s="5">
        <v>2</v>
      </c>
      <c r="X203" s="5">
        <v>2870492461845</v>
      </c>
      <c r="Y203" s="7">
        <v>46003</v>
      </c>
      <c r="Z203" s="7">
        <v>45992</v>
      </c>
      <c r="AB203" s="6">
        <v>46003</v>
      </c>
      <c r="AC203" s="7">
        <v>45999.557638888888</v>
      </c>
      <c r="AD203" s="5">
        <v>28781007233</v>
      </c>
      <c r="AE203" s="8">
        <v>45992</v>
      </c>
      <c r="AF203" s="5" t="s">
        <v>124</v>
      </c>
      <c r="AG203" s="5" t="s">
        <v>37</v>
      </c>
      <c r="AH203" s="5">
        <v>205708</v>
      </c>
      <c r="AI203" s="6">
        <v>45992</v>
      </c>
      <c r="AJ203" s="6">
        <v>46003</v>
      </c>
      <c r="AK203" s="1">
        <f t="shared" ref="AK203" si="94">0.02*C203</f>
        <v>3.9816000000000003</v>
      </c>
    </row>
    <row r="204" spans="1:37" hidden="1" x14ac:dyDescent="0.55000000000000004">
      <c r="A204">
        <v>2878</v>
      </c>
      <c r="B204">
        <v>1007515</v>
      </c>
      <c r="C204">
        <v>350</v>
      </c>
      <c r="E204">
        <v>350</v>
      </c>
      <c r="F204">
        <v>3.5</v>
      </c>
      <c r="G204">
        <v>346.5</v>
      </c>
      <c r="H204"/>
      <c r="I204"/>
      <c r="J204" s="2">
        <v>46003</v>
      </c>
      <c r="K204" s="5">
        <v>1007515</v>
      </c>
      <c r="L204" s="5">
        <v>2878</v>
      </c>
      <c r="M204" s="5">
        <v>0</v>
      </c>
      <c r="N204" s="5">
        <v>350</v>
      </c>
      <c r="O204" s="7">
        <v>45993</v>
      </c>
      <c r="P204" s="5">
        <v>350</v>
      </c>
      <c r="Q204" s="5">
        <v>0</v>
      </c>
      <c r="R204" s="5" t="s">
        <v>32</v>
      </c>
      <c r="S204" s="5" t="s">
        <v>33</v>
      </c>
      <c r="T204" s="5">
        <v>3.5</v>
      </c>
      <c r="U204" s="5">
        <v>346.5</v>
      </c>
      <c r="V204" s="5" t="s">
        <v>34</v>
      </c>
      <c r="W204" s="5">
        <v>2</v>
      </c>
      <c r="X204" s="5">
        <v>2870492461845</v>
      </c>
      <c r="Y204" s="7">
        <v>46003</v>
      </c>
      <c r="Z204" s="7">
        <v>45993</v>
      </c>
      <c r="AB204" s="6">
        <v>46003</v>
      </c>
      <c r="AC204" s="7">
        <v>45999.557638888888</v>
      </c>
      <c r="AD204" s="5">
        <v>28781007515</v>
      </c>
      <c r="AE204" s="8">
        <v>45993</v>
      </c>
      <c r="AF204" s="5" t="s">
        <v>32</v>
      </c>
      <c r="AG204" s="5" t="s">
        <v>82</v>
      </c>
      <c r="AH204" s="5" t="s">
        <v>32</v>
      </c>
      <c r="AI204" s="6">
        <v>45993</v>
      </c>
      <c r="AJ204" s="6">
        <v>46003</v>
      </c>
    </row>
    <row r="205" spans="1:37" x14ac:dyDescent="0.55000000000000004">
      <c r="A205">
        <v>2878</v>
      </c>
      <c r="B205">
        <v>1008129</v>
      </c>
      <c r="C205" s="1">
        <v>1564.22</v>
      </c>
      <c r="D205" s="4">
        <v>31.28</v>
      </c>
      <c r="E205" s="1">
        <v>1532.94</v>
      </c>
      <c r="F205">
        <v>15.64</v>
      </c>
      <c r="G205" s="1">
        <v>1517.3</v>
      </c>
      <c r="H205" s="14">
        <f t="shared" ref="H205:H206" si="95">C205-D205-F205</f>
        <v>1517.3</v>
      </c>
      <c r="I205" s="14" t="b">
        <f t="shared" ref="I205:I206" si="96">G205=H205</f>
        <v>1</v>
      </c>
      <c r="J205" s="2">
        <v>46003</v>
      </c>
      <c r="K205" s="5">
        <v>1008129</v>
      </c>
      <c r="L205" s="5">
        <v>2878</v>
      </c>
      <c r="M205" s="5">
        <v>31.28</v>
      </c>
      <c r="N205" s="5">
        <v>1564.22</v>
      </c>
      <c r="O205" s="7">
        <v>45995</v>
      </c>
      <c r="P205" s="5">
        <v>1532.94</v>
      </c>
      <c r="Q205" s="5">
        <v>31.28</v>
      </c>
      <c r="R205" s="5" t="s">
        <v>32</v>
      </c>
      <c r="S205" s="5" t="s">
        <v>33</v>
      </c>
      <c r="T205" s="5">
        <v>15.64</v>
      </c>
      <c r="U205" s="5">
        <v>1517.3</v>
      </c>
      <c r="V205" s="5" t="s">
        <v>34</v>
      </c>
      <c r="W205" s="5">
        <v>2</v>
      </c>
      <c r="X205" s="5">
        <v>2870492461845</v>
      </c>
      <c r="Y205" s="7">
        <v>46003</v>
      </c>
      <c r="Z205" s="7">
        <v>45995</v>
      </c>
      <c r="AB205" s="6">
        <v>46003</v>
      </c>
      <c r="AC205" s="7">
        <v>45999.557638888888</v>
      </c>
      <c r="AD205" s="5">
        <v>28781008129</v>
      </c>
      <c r="AE205" s="8">
        <v>45995</v>
      </c>
      <c r="AF205" s="5" t="s">
        <v>125</v>
      </c>
      <c r="AG205" s="5" t="s">
        <v>37</v>
      </c>
      <c r="AH205" s="5">
        <v>206670</v>
      </c>
      <c r="AI205" s="6">
        <v>45995</v>
      </c>
      <c r="AJ205" s="6">
        <v>46003</v>
      </c>
      <c r="AK205" s="1">
        <f t="shared" ref="AK205:AK206" si="97">0.02*C205</f>
        <v>31.284400000000002</v>
      </c>
    </row>
    <row r="206" spans="1:37" x14ac:dyDescent="0.55000000000000004">
      <c r="A206">
        <v>2878</v>
      </c>
      <c r="B206">
        <v>1008173</v>
      </c>
      <c r="C206" s="1">
        <v>3816.63</v>
      </c>
      <c r="D206" s="4">
        <v>76.33</v>
      </c>
      <c r="E206" s="1">
        <v>3740.3</v>
      </c>
      <c r="F206">
        <v>38.17</v>
      </c>
      <c r="G206" s="1">
        <v>3702.13</v>
      </c>
      <c r="H206" s="14">
        <f t="shared" si="95"/>
        <v>3702.13</v>
      </c>
      <c r="I206" s="14" t="b">
        <f t="shared" si="96"/>
        <v>1</v>
      </c>
      <c r="J206" s="2">
        <v>46003</v>
      </c>
      <c r="K206" s="5">
        <v>1008173</v>
      </c>
      <c r="L206" s="5">
        <v>2878</v>
      </c>
      <c r="M206" s="5">
        <v>76.33</v>
      </c>
      <c r="N206" s="5">
        <v>3816.63</v>
      </c>
      <c r="O206" s="7">
        <v>45995</v>
      </c>
      <c r="P206" s="5">
        <v>3740.3</v>
      </c>
      <c r="Q206" s="5">
        <v>76.33</v>
      </c>
      <c r="R206" s="5" t="s">
        <v>32</v>
      </c>
      <c r="S206" s="5" t="s">
        <v>33</v>
      </c>
      <c r="T206" s="5">
        <v>38.17</v>
      </c>
      <c r="U206" s="5">
        <v>3702.13</v>
      </c>
      <c r="V206" s="5" t="s">
        <v>34</v>
      </c>
      <c r="W206" s="5">
        <v>2</v>
      </c>
      <c r="X206" s="5">
        <v>2870492461845</v>
      </c>
      <c r="Y206" s="7">
        <v>46003</v>
      </c>
      <c r="Z206" s="7">
        <v>45995</v>
      </c>
      <c r="AB206" s="6">
        <v>46003</v>
      </c>
      <c r="AC206" s="7">
        <v>45999.557638888888</v>
      </c>
      <c r="AD206" s="5">
        <v>28781008173</v>
      </c>
      <c r="AE206" s="8">
        <v>45995</v>
      </c>
      <c r="AF206" s="5" t="s">
        <v>125</v>
      </c>
      <c r="AG206" s="5" t="s">
        <v>37</v>
      </c>
      <c r="AH206" s="5">
        <v>206682</v>
      </c>
      <c r="AI206" s="6">
        <v>45995</v>
      </c>
      <c r="AJ206" s="6">
        <v>46003</v>
      </c>
      <c r="AK206" s="1">
        <f t="shared" si="97"/>
        <v>76.332599999999999</v>
      </c>
    </row>
    <row r="207" spans="1:37" hidden="1" x14ac:dyDescent="0.55000000000000004">
      <c r="A207">
        <v>2878</v>
      </c>
      <c r="B207">
        <v>1008179</v>
      </c>
      <c r="C207" s="1">
        <v>2054.5100000000002</v>
      </c>
      <c r="E207" s="1">
        <v>2054.5100000000002</v>
      </c>
      <c r="F207">
        <v>20.55</v>
      </c>
      <c r="G207" s="1">
        <v>2033.96</v>
      </c>
      <c r="H207" s="1"/>
      <c r="I207" s="1"/>
      <c r="J207" s="2">
        <v>46003</v>
      </c>
      <c r="K207" s="5">
        <v>1008179</v>
      </c>
      <c r="L207" s="5">
        <v>2878</v>
      </c>
      <c r="M207" s="5">
        <v>0</v>
      </c>
      <c r="N207" s="5">
        <v>2054.5100000000002</v>
      </c>
      <c r="O207" s="7">
        <v>45995</v>
      </c>
      <c r="P207" s="5">
        <v>2054.5100000000002</v>
      </c>
      <c r="Q207" s="5">
        <v>0</v>
      </c>
      <c r="R207" s="5" t="s">
        <v>32</v>
      </c>
      <c r="S207" s="5" t="s">
        <v>33</v>
      </c>
      <c r="T207" s="5">
        <v>20.55</v>
      </c>
      <c r="U207" s="5">
        <v>2033.96</v>
      </c>
      <c r="V207" s="5" t="s">
        <v>34</v>
      </c>
      <c r="W207" s="5">
        <v>2</v>
      </c>
      <c r="X207" s="5">
        <v>2870492461845</v>
      </c>
      <c r="Y207" s="7">
        <v>46003</v>
      </c>
      <c r="Z207" s="7">
        <v>45995</v>
      </c>
      <c r="AB207" s="6">
        <v>46003</v>
      </c>
      <c r="AC207" s="7">
        <v>45999.557638888888</v>
      </c>
      <c r="AD207" s="5">
        <v>28781008179</v>
      </c>
      <c r="AE207" s="8">
        <v>45995</v>
      </c>
      <c r="AF207" s="5" t="s">
        <v>125</v>
      </c>
      <c r="AG207" s="5" t="s">
        <v>38</v>
      </c>
      <c r="AH207" s="5">
        <v>206683</v>
      </c>
      <c r="AI207" s="6">
        <v>45995</v>
      </c>
      <c r="AJ207" s="6">
        <v>46003</v>
      </c>
    </row>
    <row r="208" spans="1:37" hidden="1" x14ac:dyDescent="0.55000000000000004">
      <c r="A208">
        <v>2878</v>
      </c>
      <c r="B208">
        <v>1008540</v>
      </c>
      <c r="C208">
        <v>639.70000000000005</v>
      </c>
      <c r="E208">
        <v>639.70000000000005</v>
      </c>
      <c r="F208">
        <v>6.4</v>
      </c>
      <c r="G208">
        <v>633.29999999999995</v>
      </c>
      <c r="H208"/>
      <c r="I208"/>
      <c r="J208" s="2">
        <v>46003</v>
      </c>
      <c r="K208" s="5">
        <v>1008540</v>
      </c>
      <c r="L208" s="5">
        <v>2878</v>
      </c>
      <c r="M208" s="5">
        <v>0</v>
      </c>
      <c r="N208" s="5">
        <v>639.70000000000005</v>
      </c>
      <c r="O208" s="7">
        <v>45996</v>
      </c>
      <c r="P208" s="5">
        <v>639.70000000000005</v>
      </c>
      <c r="Q208" s="5">
        <v>0</v>
      </c>
      <c r="R208" s="5" t="s">
        <v>32</v>
      </c>
      <c r="S208" s="5" t="s">
        <v>33</v>
      </c>
      <c r="T208" s="5">
        <v>6.4</v>
      </c>
      <c r="U208" s="5">
        <v>633.29999999999995</v>
      </c>
      <c r="V208" s="5" t="s">
        <v>34</v>
      </c>
      <c r="W208" s="5">
        <v>2</v>
      </c>
      <c r="X208" s="5">
        <v>2870492461845</v>
      </c>
      <c r="Y208" s="7">
        <v>46003</v>
      </c>
      <c r="Z208" s="7">
        <v>45996</v>
      </c>
      <c r="AB208" s="6">
        <v>46003</v>
      </c>
      <c r="AC208" s="7">
        <v>45999.557638888888</v>
      </c>
      <c r="AD208" s="5">
        <v>28781008540</v>
      </c>
      <c r="AE208" s="8">
        <v>45996</v>
      </c>
      <c r="AF208" s="5" t="s">
        <v>126</v>
      </c>
      <c r="AG208" s="5" t="s">
        <v>38</v>
      </c>
      <c r="AH208" s="5">
        <v>206828</v>
      </c>
      <c r="AI208" s="6">
        <v>45996</v>
      </c>
      <c r="AJ208" s="6">
        <v>46003</v>
      </c>
    </row>
    <row r="209" spans="1:38" x14ac:dyDescent="0.55000000000000004">
      <c r="A209">
        <v>2885</v>
      </c>
      <c r="B209">
        <v>1007346</v>
      </c>
      <c r="C209">
        <v>199.08</v>
      </c>
      <c r="D209" s="4">
        <v>3.98</v>
      </c>
      <c r="E209">
        <v>195.1</v>
      </c>
      <c r="F209">
        <v>1.99</v>
      </c>
      <c r="G209">
        <v>193.11</v>
      </c>
      <c r="H209" s="14">
        <f>C209-D209-F209</f>
        <v>193.11</v>
      </c>
      <c r="I209" s="14" t="b">
        <f>G209=H209</f>
        <v>1</v>
      </c>
      <c r="J209" s="2">
        <v>46003</v>
      </c>
      <c r="K209" s="5">
        <v>1007346</v>
      </c>
      <c r="L209" s="5">
        <v>2885</v>
      </c>
      <c r="M209" s="5">
        <v>3.98</v>
      </c>
      <c r="N209" s="5">
        <v>199.08</v>
      </c>
      <c r="O209" s="7">
        <v>45992</v>
      </c>
      <c r="P209" s="5">
        <v>195.1</v>
      </c>
      <c r="Q209" s="5">
        <v>3.98</v>
      </c>
      <c r="R209" s="5" t="s">
        <v>32</v>
      </c>
      <c r="S209" s="5" t="s">
        <v>33</v>
      </c>
      <c r="T209" s="5">
        <v>1.99</v>
      </c>
      <c r="U209" s="5">
        <v>193.11</v>
      </c>
      <c r="V209" s="5" t="s">
        <v>34</v>
      </c>
      <c r="W209" s="5">
        <v>2</v>
      </c>
      <c r="X209" s="5">
        <v>5593128284187</v>
      </c>
      <c r="Y209" s="7">
        <v>46003</v>
      </c>
      <c r="Z209" s="7">
        <v>45992</v>
      </c>
      <c r="AB209" s="6">
        <v>46003</v>
      </c>
      <c r="AC209" s="7">
        <v>46000.661805555559</v>
      </c>
      <c r="AD209" s="5">
        <v>28851007346</v>
      </c>
      <c r="AE209" s="8">
        <v>45992</v>
      </c>
      <c r="AF209" s="5">
        <v>100404</v>
      </c>
      <c r="AG209" s="5" t="s">
        <v>37</v>
      </c>
      <c r="AH209" s="5">
        <v>205803</v>
      </c>
      <c r="AI209" s="6">
        <v>45992</v>
      </c>
      <c r="AJ209" s="6">
        <v>46003</v>
      </c>
      <c r="AK209" s="1">
        <f t="shared" ref="AK209" si="98">0.02*C209</f>
        <v>3.9816000000000003</v>
      </c>
    </row>
    <row r="210" spans="1:38" hidden="1" x14ac:dyDescent="0.55000000000000004">
      <c r="A210">
        <v>2885</v>
      </c>
      <c r="B210">
        <v>1007541</v>
      </c>
      <c r="C210" s="1">
        <v>3990</v>
      </c>
      <c r="E210" s="1">
        <v>3990</v>
      </c>
      <c r="F210">
        <v>39.9</v>
      </c>
      <c r="G210" s="1">
        <v>3950.1</v>
      </c>
      <c r="H210" s="1"/>
      <c r="I210" s="1"/>
      <c r="J210" s="2">
        <v>46003</v>
      </c>
      <c r="K210" s="5">
        <v>1007541</v>
      </c>
      <c r="L210" s="5">
        <v>2885</v>
      </c>
      <c r="M210" s="5">
        <v>0</v>
      </c>
      <c r="N210" s="5">
        <v>3990</v>
      </c>
      <c r="O210" s="7">
        <v>45993</v>
      </c>
      <c r="P210" s="5">
        <v>3990</v>
      </c>
      <c r="Q210" s="5">
        <v>0</v>
      </c>
      <c r="R210" s="5" t="s">
        <v>32</v>
      </c>
      <c r="S210" s="5" t="s">
        <v>33</v>
      </c>
      <c r="T210" s="5">
        <v>39.9</v>
      </c>
      <c r="U210" s="5">
        <v>3950.1</v>
      </c>
      <c r="V210" s="5" t="s">
        <v>34</v>
      </c>
      <c r="W210" s="5">
        <v>2</v>
      </c>
      <c r="X210" s="5">
        <v>5593128284187</v>
      </c>
      <c r="Y210" s="7">
        <v>46003</v>
      </c>
      <c r="Z210" s="7">
        <v>45993</v>
      </c>
      <c r="AB210" s="6">
        <v>46003</v>
      </c>
      <c r="AC210" s="7">
        <v>46000.661805555559</v>
      </c>
      <c r="AD210" s="5">
        <v>28851007541</v>
      </c>
      <c r="AE210" s="8">
        <v>45993</v>
      </c>
      <c r="AF210" s="5" t="s">
        <v>32</v>
      </c>
      <c r="AG210" s="5" t="s">
        <v>35</v>
      </c>
      <c r="AH210" s="5" t="s">
        <v>32</v>
      </c>
      <c r="AI210" s="6">
        <v>45993</v>
      </c>
      <c r="AJ210" s="6">
        <v>46003</v>
      </c>
    </row>
    <row r="211" spans="1:38" x14ac:dyDescent="0.55000000000000004">
      <c r="A211">
        <v>2885</v>
      </c>
      <c r="B211">
        <v>1008087</v>
      </c>
      <c r="C211">
        <v>35.1</v>
      </c>
      <c r="D211" s="4">
        <v>0.7</v>
      </c>
      <c r="E211">
        <v>34.4</v>
      </c>
      <c r="F211">
        <v>0.35</v>
      </c>
      <c r="G211">
        <v>34.049999999999997</v>
      </c>
      <c r="H211" s="14">
        <f t="shared" ref="H211:H213" si="99">C211-D211-F211</f>
        <v>34.049999999999997</v>
      </c>
      <c r="I211" s="14" t="b">
        <f t="shared" ref="I211:I213" si="100">G211=H211</f>
        <v>1</v>
      </c>
      <c r="J211" s="2">
        <v>46003</v>
      </c>
      <c r="K211" s="5">
        <v>1008087</v>
      </c>
      <c r="L211" s="5">
        <v>2885</v>
      </c>
      <c r="M211" s="5">
        <v>0.7</v>
      </c>
      <c r="N211" s="5">
        <v>35.1</v>
      </c>
      <c r="O211" s="7">
        <v>45995</v>
      </c>
      <c r="P211" s="5">
        <v>34.4</v>
      </c>
      <c r="Q211" s="5">
        <v>0.7</v>
      </c>
      <c r="R211" s="5" t="s">
        <v>32</v>
      </c>
      <c r="S211" s="5" t="s">
        <v>33</v>
      </c>
      <c r="T211" s="5">
        <v>0.35</v>
      </c>
      <c r="U211" s="5">
        <v>34.049999999999997</v>
      </c>
      <c r="V211" s="5" t="s">
        <v>34</v>
      </c>
      <c r="W211" s="5">
        <v>2</v>
      </c>
      <c r="X211" s="5">
        <v>5593128284187</v>
      </c>
      <c r="Y211" s="7">
        <v>46003</v>
      </c>
      <c r="Z211" s="7">
        <v>45995</v>
      </c>
      <c r="AB211" s="6">
        <v>46003</v>
      </c>
      <c r="AC211" s="7">
        <v>46000.661805555559</v>
      </c>
      <c r="AD211" s="5">
        <v>28851008087</v>
      </c>
      <c r="AE211" s="8">
        <v>45995</v>
      </c>
      <c r="AF211" s="5">
        <v>110615</v>
      </c>
      <c r="AG211" s="5" t="s">
        <v>37</v>
      </c>
      <c r="AH211" s="5">
        <v>206402</v>
      </c>
      <c r="AI211" s="6">
        <v>45995</v>
      </c>
      <c r="AJ211" s="6">
        <v>46003</v>
      </c>
      <c r="AK211" s="1">
        <f t="shared" ref="AK211:AK213" si="101">0.02*C211</f>
        <v>0.70200000000000007</v>
      </c>
    </row>
    <row r="212" spans="1:38" x14ac:dyDescent="0.55000000000000004">
      <c r="A212">
        <v>2885</v>
      </c>
      <c r="B212">
        <v>1008410</v>
      </c>
      <c r="C212">
        <v>398</v>
      </c>
      <c r="D212" s="4">
        <v>7.96</v>
      </c>
      <c r="E212">
        <v>390.04</v>
      </c>
      <c r="F212">
        <v>3.98</v>
      </c>
      <c r="G212">
        <v>386.06</v>
      </c>
      <c r="H212" s="14">
        <f t="shared" si="99"/>
        <v>386.06</v>
      </c>
      <c r="I212" s="14" t="b">
        <f t="shared" si="100"/>
        <v>1</v>
      </c>
      <c r="J212" s="2">
        <v>46003</v>
      </c>
      <c r="K212" s="5">
        <v>1008410</v>
      </c>
      <c r="L212" s="5">
        <v>2885</v>
      </c>
      <c r="M212" s="5">
        <v>7.96</v>
      </c>
      <c r="N212" s="5">
        <v>398</v>
      </c>
      <c r="O212" s="7">
        <v>45996</v>
      </c>
      <c r="P212" s="5">
        <v>390.04</v>
      </c>
      <c r="Q212" s="5">
        <v>7.96</v>
      </c>
      <c r="R212" s="5" t="s">
        <v>32</v>
      </c>
      <c r="S212" s="5" t="s">
        <v>33</v>
      </c>
      <c r="T212" s="5">
        <v>3.98</v>
      </c>
      <c r="U212" s="5">
        <v>386.06</v>
      </c>
      <c r="V212" s="5" t="s">
        <v>34</v>
      </c>
      <c r="W212" s="5">
        <v>2</v>
      </c>
      <c r="X212" s="5">
        <v>5593128284187</v>
      </c>
      <c r="Y212" s="7">
        <v>46003</v>
      </c>
      <c r="Z212" s="7">
        <v>45996</v>
      </c>
      <c r="AB212" s="6">
        <v>46003</v>
      </c>
      <c r="AC212" s="7">
        <v>46000.661805555559</v>
      </c>
      <c r="AD212" s="5">
        <v>28851008410</v>
      </c>
      <c r="AE212" s="8">
        <v>45996</v>
      </c>
      <c r="AF212" s="5">
        <v>110615</v>
      </c>
      <c r="AG212" s="5" t="s">
        <v>37</v>
      </c>
      <c r="AH212" s="5">
        <v>206799</v>
      </c>
      <c r="AI212" s="6">
        <v>45996</v>
      </c>
      <c r="AJ212" s="6">
        <v>46003</v>
      </c>
      <c r="AK212" s="1">
        <f t="shared" si="101"/>
        <v>7.96</v>
      </c>
    </row>
    <row r="213" spans="1:38" x14ac:dyDescent="0.55000000000000004">
      <c r="A213">
        <v>2913</v>
      </c>
      <c r="B213">
        <v>1007471</v>
      </c>
      <c r="C213">
        <v>54.56</v>
      </c>
      <c r="E213">
        <v>54.56</v>
      </c>
      <c r="F213">
        <v>0.55000000000000004</v>
      </c>
      <c r="G213">
        <v>54.01</v>
      </c>
      <c r="H213" s="14">
        <f t="shared" si="99"/>
        <v>54.010000000000005</v>
      </c>
      <c r="I213" s="14" t="b">
        <f t="shared" si="100"/>
        <v>1</v>
      </c>
      <c r="J213" s="2">
        <v>46003</v>
      </c>
      <c r="K213" s="5">
        <v>1007471</v>
      </c>
      <c r="L213" s="5">
        <v>2913</v>
      </c>
      <c r="M213" s="5">
        <v>0</v>
      </c>
      <c r="N213" s="5">
        <v>54.56</v>
      </c>
      <c r="O213" s="7">
        <v>45992</v>
      </c>
      <c r="P213" s="5">
        <v>54.56</v>
      </c>
      <c r="Q213" s="5">
        <v>0</v>
      </c>
      <c r="R213" s="5" t="s">
        <v>32</v>
      </c>
      <c r="S213" s="5" t="s">
        <v>33</v>
      </c>
      <c r="T213" s="5">
        <v>0.55000000000000004</v>
      </c>
      <c r="U213" s="5">
        <v>54.01</v>
      </c>
      <c r="V213" s="5" t="s">
        <v>34</v>
      </c>
      <c r="W213" s="5">
        <v>2</v>
      </c>
      <c r="X213" s="5">
        <v>1187444357250</v>
      </c>
      <c r="Y213" s="7">
        <v>46003</v>
      </c>
      <c r="Z213" s="7">
        <v>45992</v>
      </c>
      <c r="AB213" s="6">
        <v>46003</v>
      </c>
      <c r="AC213" s="7">
        <v>46003.500694444447</v>
      </c>
      <c r="AD213" s="5">
        <v>29131007471</v>
      </c>
      <c r="AE213" s="8">
        <v>45992</v>
      </c>
      <c r="AF213" s="5" t="s">
        <v>127</v>
      </c>
      <c r="AG213" s="5" t="s">
        <v>37</v>
      </c>
      <c r="AH213" s="5">
        <v>206004</v>
      </c>
      <c r="AI213" s="6">
        <v>45992</v>
      </c>
      <c r="AJ213" s="6">
        <v>46003</v>
      </c>
      <c r="AK213" s="1">
        <f t="shared" si="101"/>
        <v>1.0912000000000002</v>
      </c>
      <c r="AL213" t="s">
        <v>673</v>
      </c>
    </row>
    <row r="214" spans="1:38" hidden="1" x14ac:dyDescent="0.55000000000000004">
      <c r="A214">
        <v>2913</v>
      </c>
      <c r="B214">
        <v>1007503</v>
      </c>
      <c r="C214" s="1">
        <v>3990</v>
      </c>
      <c r="E214" s="1">
        <v>3990</v>
      </c>
      <c r="F214">
        <v>39.9</v>
      </c>
      <c r="G214" s="1">
        <v>3950.1</v>
      </c>
      <c r="H214" s="1"/>
      <c r="I214" s="1"/>
      <c r="J214" s="2">
        <v>46003</v>
      </c>
      <c r="K214" s="5">
        <v>1007503</v>
      </c>
      <c r="L214" s="5">
        <v>2913</v>
      </c>
      <c r="M214" s="5">
        <v>0</v>
      </c>
      <c r="N214" s="5">
        <v>3990</v>
      </c>
      <c r="O214" s="7">
        <v>45993</v>
      </c>
      <c r="P214" s="5">
        <v>3990</v>
      </c>
      <c r="Q214" s="5">
        <v>0</v>
      </c>
      <c r="R214" s="5" t="s">
        <v>32</v>
      </c>
      <c r="S214" s="5" t="s">
        <v>33</v>
      </c>
      <c r="T214" s="5">
        <v>39.9</v>
      </c>
      <c r="U214" s="5">
        <v>3950.1</v>
      </c>
      <c r="V214" s="5" t="s">
        <v>34</v>
      </c>
      <c r="W214" s="5">
        <v>2</v>
      </c>
      <c r="X214" s="5">
        <v>1187444357250</v>
      </c>
      <c r="Y214" s="7">
        <v>46003</v>
      </c>
      <c r="Z214" s="7">
        <v>45993</v>
      </c>
      <c r="AB214" s="6">
        <v>46003</v>
      </c>
      <c r="AC214" s="7">
        <v>46003.500694444447</v>
      </c>
      <c r="AD214" s="5">
        <v>29131007503</v>
      </c>
      <c r="AE214" s="8">
        <v>45993</v>
      </c>
      <c r="AF214" s="5" t="s">
        <v>32</v>
      </c>
      <c r="AG214" s="5" t="s">
        <v>35</v>
      </c>
      <c r="AH214" s="5" t="s">
        <v>32</v>
      </c>
      <c r="AI214" s="6">
        <v>45993</v>
      </c>
      <c r="AJ214" s="6">
        <v>46003</v>
      </c>
    </row>
    <row r="215" spans="1:38" x14ac:dyDescent="0.55000000000000004">
      <c r="A215">
        <v>2913</v>
      </c>
      <c r="B215">
        <v>1007741</v>
      </c>
      <c r="C215">
        <v>311.75</v>
      </c>
      <c r="E215">
        <v>311.75</v>
      </c>
      <c r="F215">
        <v>3.12</v>
      </c>
      <c r="G215">
        <v>308.63</v>
      </c>
      <c r="H215" s="14">
        <f>C215-D215-F215</f>
        <v>308.63</v>
      </c>
      <c r="I215" s="14" t="b">
        <f>G215=H215</f>
        <v>1</v>
      </c>
      <c r="J215" s="2">
        <v>46003</v>
      </c>
      <c r="K215" s="5">
        <v>1007741</v>
      </c>
      <c r="L215" s="5">
        <v>2913</v>
      </c>
      <c r="M215" s="5">
        <v>0</v>
      </c>
      <c r="N215" s="5">
        <v>311.75</v>
      </c>
      <c r="O215" s="7">
        <v>45993</v>
      </c>
      <c r="P215" s="5">
        <v>311.75</v>
      </c>
      <c r="Q215" s="5">
        <v>0</v>
      </c>
      <c r="R215" s="5" t="s">
        <v>32</v>
      </c>
      <c r="S215" s="5" t="s">
        <v>33</v>
      </c>
      <c r="T215" s="5">
        <v>3.12</v>
      </c>
      <c r="U215" s="5">
        <v>308.63</v>
      </c>
      <c r="V215" s="5" t="s">
        <v>34</v>
      </c>
      <c r="W215" s="5">
        <v>2</v>
      </c>
      <c r="X215" s="5">
        <v>1187444357250</v>
      </c>
      <c r="Y215" s="7">
        <v>46003</v>
      </c>
      <c r="Z215" s="7">
        <v>45993</v>
      </c>
      <c r="AB215" s="6">
        <v>46003</v>
      </c>
      <c r="AC215" s="7">
        <v>46003.500694444447</v>
      </c>
      <c r="AD215" s="5">
        <v>29131007741</v>
      </c>
      <c r="AE215" s="8">
        <v>45993</v>
      </c>
      <c r="AF215" s="5" t="s">
        <v>128</v>
      </c>
      <c r="AG215" s="5" t="s">
        <v>37</v>
      </c>
      <c r="AH215" s="5">
        <v>206152</v>
      </c>
      <c r="AI215" s="6">
        <v>45993</v>
      </c>
      <c r="AJ215" s="6">
        <v>46003</v>
      </c>
      <c r="AK215" s="1">
        <f t="shared" ref="AK215" si="102">0.02*C215</f>
        <v>6.2350000000000003</v>
      </c>
      <c r="AL215" t="s">
        <v>673</v>
      </c>
    </row>
    <row r="216" spans="1:38" hidden="1" x14ac:dyDescent="0.55000000000000004">
      <c r="A216">
        <v>2913</v>
      </c>
      <c r="B216">
        <v>1007867</v>
      </c>
      <c r="C216">
        <v>-515.69000000000005</v>
      </c>
      <c r="E216">
        <v>-515.69000000000005</v>
      </c>
      <c r="G216">
        <v>-515.69000000000005</v>
      </c>
      <c r="H216"/>
      <c r="I216"/>
      <c r="J216" s="2">
        <v>46003</v>
      </c>
      <c r="K216" s="5">
        <v>1007867</v>
      </c>
      <c r="L216" s="5">
        <v>2913</v>
      </c>
      <c r="M216" s="5">
        <v>0</v>
      </c>
      <c r="N216" s="5">
        <v>-515.69000000000005</v>
      </c>
      <c r="O216" s="7">
        <v>45994</v>
      </c>
      <c r="P216" s="5">
        <v>-515.69000000000005</v>
      </c>
      <c r="Q216" s="5">
        <v>0</v>
      </c>
      <c r="R216" s="5">
        <v>1007867</v>
      </c>
      <c r="S216" s="5" t="s">
        <v>33</v>
      </c>
      <c r="T216" s="5">
        <v>0</v>
      </c>
      <c r="U216" s="5">
        <v>-515.69000000000005</v>
      </c>
      <c r="V216" s="5" t="s">
        <v>34</v>
      </c>
      <c r="W216" s="5">
        <v>2</v>
      </c>
      <c r="X216" s="5">
        <v>1187444357250</v>
      </c>
      <c r="Y216" s="7">
        <v>46003</v>
      </c>
      <c r="Z216" s="7">
        <v>45994</v>
      </c>
      <c r="AB216" s="6">
        <v>46003</v>
      </c>
      <c r="AC216" s="7">
        <v>46003.500694444447</v>
      </c>
      <c r="AD216" s="5">
        <v>29131007867</v>
      </c>
      <c r="AE216" s="8">
        <v>45994</v>
      </c>
      <c r="AF216" s="5">
        <v>142062</v>
      </c>
      <c r="AG216" s="5" t="s">
        <v>38</v>
      </c>
      <c r="AH216" s="5">
        <v>53500</v>
      </c>
      <c r="AI216" s="6">
        <v>45994</v>
      </c>
      <c r="AJ216" s="6">
        <v>46003</v>
      </c>
    </row>
    <row r="217" spans="1:38" hidden="1" x14ac:dyDescent="0.55000000000000004">
      <c r="A217">
        <v>2913</v>
      </c>
      <c r="B217">
        <v>1007869</v>
      </c>
      <c r="C217">
        <v>-115.62</v>
      </c>
      <c r="E217">
        <v>-115.62</v>
      </c>
      <c r="G217">
        <v>-115.62</v>
      </c>
      <c r="H217"/>
      <c r="I217"/>
      <c r="J217" s="2">
        <v>46003</v>
      </c>
      <c r="K217" s="5">
        <v>1007869</v>
      </c>
      <c r="L217" s="5">
        <v>2913</v>
      </c>
      <c r="M217" s="5">
        <v>0</v>
      </c>
      <c r="N217" s="5">
        <v>-115.62</v>
      </c>
      <c r="O217" s="7">
        <v>45994</v>
      </c>
      <c r="P217" s="5">
        <v>-115.62</v>
      </c>
      <c r="Q217" s="5">
        <v>0</v>
      </c>
      <c r="R217" s="5">
        <v>1007869</v>
      </c>
      <c r="S217" s="5" t="s">
        <v>33</v>
      </c>
      <c r="T217" s="5">
        <v>0</v>
      </c>
      <c r="U217" s="5">
        <v>-115.62</v>
      </c>
      <c r="V217" s="5" t="s">
        <v>34</v>
      </c>
      <c r="W217" s="5">
        <v>2</v>
      </c>
      <c r="X217" s="5">
        <v>1187444357250</v>
      </c>
      <c r="Y217" s="7">
        <v>46003</v>
      </c>
      <c r="Z217" s="7">
        <v>45994</v>
      </c>
      <c r="AB217" s="6">
        <v>46003</v>
      </c>
      <c r="AC217" s="7">
        <v>46003.500694444447</v>
      </c>
      <c r="AD217" s="5">
        <v>29131007869</v>
      </c>
      <c r="AE217" s="8">
        <v>45994</v>
      </c>
      <c r="AF217" s="5">
        <v>142064</v>
      </c>
      <c r="AG217" s="5" t="s">
        <v>38</v>
      </c>
      <c r="AH217" s="5">
        <v>53506</v>
      </c>
      <c r="AI217" s="6">
        <v>45994</v>
      </c>
      <c r="AJ217" s="6">
        <v>46003</v>
      </c>
    </row>
    <row r="218" spans="1:38" hidden="1" x14ac:dyDescent="0.55000000000000004">
      <c r="A218">
        <v>2913</v>
      </c>
      <c r="B218">
        <v>1007909</v>
      </c>
      <c r="C218">
        <v>971.96</v>
      </c>
      <c r="E218">
        <v>971.96</v>
      </c>
      <c r="F218">
        <v>9.7200000000000006</v>
      </c>
      <c r="G218">
        <v>962.24</v>
      </c>
      <c r="H218"/>
      <c r="I218"/>
      <c r="J218" s="2">
        <v>46003</v>
      </c>
      <c r="K218" s="5">
        <v>1007909</v>
      </c>
      <c r="L218" s="5">
        <v>2913</v>
      </c>
      <c r="M218" s="5">
        <v>0</v>
      </c>
      <c r="N218" s="5">
        <v>971.96</v>
      </c>
      <c r="O218" s="7">
        <v>45994</v>
      </c>
      <c r="P218" s="5">
        <v>971.96</v>
      </c>
      <c r="Q218" s="5">
        <v>0</v>
      </c>
      <c r="R218" s="5" t="s">
        <v>32</v>
      </c>
      <c r="S218" s="5" t="s">
        <v>33</v>
      </c>
      <c r="T218" s="5">
        <v>9.7200000000000006</v>
      </c>
      <c r="U218" s="5">
        <v>962.24</v>
      </c>
      <c r="V218" s="5" t="s">
        <v>34</v>
      </c>
      <c r="W218" s="5">
        <v>2</v>
      </c>
      <c r="X218" s="5">
        <v>1187444357250</v>
      </c>
      <c r="Y218" s="7">
        <v>46003</v>
      </c>
      <c r="Z218" s="7">
        <v>45994</v>
      </c>
      <c r="AB218" s="6">
        <v>46003</v>
      </c>
      <c r="AC218" s="7">
        <v>46003.500694444447</v>
      </c>
      <c r="AD218" s="5">
        <v>29131007909</v>
      </c>
      <c r="AE218" s="8">
        <v>45994</v>
      </c>
      <c r="AF218" s="5" t="s">
        <v>129</v>
      </c>
      <c r="AG218" s="5" t="s">
        <v>38</v>
      </c>
      <c r="AH218" s="5">
        <v>206441</v>
      </c>
      <c r="AI218" s="6">
        <v>45994</v>
      </c>
      <c r="AJ218" s="6">
        <v>46003</v>
      </c>
    </row>
    <row r="219" spans="1:38" hidden="1" x14ac:dyDescent="0.55000000000000004">
      <c r="A219">
        <v>2913</v>
      </c>
      <c r="B219">
        <v>1007988</v>
      </c>
      <c r="C219" s="1">
        <v>3272.9</v>
      </c>
      <c r="E219" s="1">
        <v>3272.9</v>
      </c>
      <c r="F219">
        <v>32.729999999999997</v>
      </c>
      <c r="G219" s="1">
        <v>3240.17</v>
      </c>
      <c r="H219" s="1"/>
      <c r="I219" s="1"/>
      <c r="J219" s="2">
        <v>46003</v>
      </c>
      <c r="K219" s="5">
        <v>1007988</v>
      </c>
      <c r="L219" s="5">
        <v>2913</v>
      </c>
      <c r="M219" s="5">
        <v>0</v>
      </c>
      <c r="N219" s="5">
        <v>3272.9</v>
      </c>
      <c r="O219" s="7">
        <v>45994</v>
      </c>
      <c r="P219" s="5">
        <v>3272.9</v>
      </c>
      <c r="Q219" s="5">
        <v>0</v>
      </c>
      <c r="R219" s="5" t="s">
        <v>32</v>
      </c>
      <c r="S219" s="5" t="s">
        <v>33</v>
      </c>
      <c r="T219" s="5">
        <v>32.729999999999997</v>
      </c>
      <c r="U219" s="5">
        <v>3240.17</v>
      </c>
      <c r="V219" s="5" t="s">
        <v>34</v>
      </c>
      <c r="W219" s="5">
        <v>2</v>
      </c>
      <c r="X219" s="5">
        <v>1187444357250</v>
      </c>
      <c r="Y219" s="7">
        <v>46003</v>
      </c>
      <c r="Z219" s="7">
        <v>45994</v>
      </c>
      <c r="AB219" s="6">
        <v>46003</v>
      </c>
      <c r="AC219" s="7">
        <v>46003.500694444447</v>
      </c>
      <c r="AD219" s="5">
        <v>29131007988</v>
      </c>
      <c r="AE219" s="8">
        <v>45994</v>
      </c>
      <c r="AF219" s="5" t="s">
        <v>130</v>
      </c>
      <c r="AG219" s="5" t="s">
        <v>38</v>
      </c>
      <c r="AH219" s="5">
        <v>206217</v>
      </c>
      <c r="AI219" s="6">
        <v>45994</v>
      </c>
      <c r="AJ219" s="6">
        <v>46003</v>
      </c>
    </row>
    <row r="220" spans="1:38" x14ac:dyDescent="0.55000000000000004">
      <c r="A220">
        <v>2913</v>
      </c>
      <c r="B220">
        <v>1007989</v>
      </c>
      <c r="C220">
        <v>378.55</v>
      </c>
      <c r="E220">
        <v>378.55</v>
      </c>
      <c r="F220">
        <v>3.79</v>
      </c>
      <c r="G220">
        <v>374.76</v>
      </c>
      <c r="H220" s="14">
        <f>C220-D220-F220</f>
        <v>374.76</v>
      </c>
      <c r="I220" s="14" t="b">
        <f>G220=H220</f>
        <v>1</v>
      </c>
      <c r="J220" s="2">
        <v>46003</v>
      </c>
      <c r="K220" s="5">
        <v>1007989</v>
      </c>
      <c r="L220" s="5">
        <v>2913</v>
      </c>
      <c r="M220" s="5">
        <v>0</v>
      </c>
      <c r="N220" s="5">
        <v>378.55</v>
      </c>
      <c r="O220" s="7">
        <v>45994</v>
      </c>
      <c r="P220" s="5">
        <v>378.55</v>
      </c>
      <c r="Q220" s="5">
        <v>0</v>
      </c>
      <c r="R220" s="5" t="s">
        <v>32</v>
      </c>
      <c r="S220" s="5" t="s">
        <v>33</v>
      </c>
      <c r="T220" s="5">
        <v>3.79</v>
      </c>
      <c r="U220" s="5">
        <v>374.76</v>
      </c>
      <c r="V220" s="5" t="s">
        <v>34</v>
      </c>
      <c r="W220" s="5">
        <v>2</v>
      </c>
      <c r="X220" s="5">
        <v>1187444357250</v>
      </c>
      <c r="Y220" s="7">
        <v>46003</v>
      </c>
      <c r="Z220" s="7">
        <v>45994</v>
      </c>
      <c r="AB220" s="6">
        <v>46003</v>
      </c>
      <c r="AC220" s="7">
        <v>46003.500694444447</v>
      </c>
      <c r="AD220" s="5">
        <v>29131007989</v>
      </c>
      <c r="AE220" s="8">
        <v>45994</v>
      </c>
      <c r="AF220" s="5" t="s">
        <v>130</v>
      </c>
      <c r="AG220" s="5" t="s">
        <v>37</v>
      </c>
      <c r="AH220" s="5">
        <v>206215</v>
      </c>
      <c r="AI220" s="6">
        <v>45994</v>
      </c>
      <c r="AJ220" s="6">
        <v>46003</v>
      </c>
      <c r="AK220" s="1">
        <f t="shared" ref="AK220" si="103">0.02*C220</f>
        <v>7.5710000000000006</v>
      </c>
      <c r="AL220" t="s">
        <v>673</v>
      </c>
    </row>
    <row r="221" spans="1:38" hidden="1" x14ac:dyDescent="0.55000000000000004">
      <c r="A221">
        <v>2913</v>
      </c>
      <c r="B221">
        <v>1007990</v>
      </c>
      <c r="C221" s="1">
        <v>5474.3</v>
      </c>
      <c r="E221" s="1">
        <v>5474.3</v>
      </c>
      <c r="F221">
        <v>54.74</v>
      </c>
      <c r="G221" s="1">
        <v>5419.56</v>
      </c>
      <c r="H221" s="1"/>
      <c r="I221" s="1"/>
      <c r="J221" s="2">
        <v>46003</v>
      </c>
      <c r="K221" s="5">
        <v>1007990</v>
      </c>
      <c r="L221" s="5">
        <v>2913</v>
      </c>
      <c r="M221" s="5">
        <v>0</v>
      </c>
      <c r="N221" s="5">
        <v>5474.3</v>
      </c>
      <c r="O221" s="7">
        <v>45994</v>
      </c>
      <c r="P221" s="5">
        <v>5474.3</v>
      </c>
      <c r="Q221" s="5">
        <v>0</v>
      </c>
      <c r="R221" s="5" t="s">
        <v>32</v>
      </c>
      <c r="S221" s="5" t="s">
        <v>33</v>
      </c>
      <c r="T221" s="5">
        <v>54.74</v>
      </c>
      <c r="U221" s="5">
        <v>5419.56</v>
      </c>
      <c r="V221" s="5" t="s">
        <v>34</v>
      </c>
      <c r="W221" s="5">
        <v>2</v>
      </c>
      <c r="X221" s="5">
        <v>1187444357250</v>
      </c>
      <c r="Y221" s="7">
        <v>46003</v>
      </c>
      <c r="Z221" s="7">
        <v>45994</v>
      </c>
      <c r="AB221" s="6">
        <v>46003</v>
      </c>
      <c r="AC221" s="7">
        <v>46003.500694444447</v>
      </c>
      <c r="AD221" s="5">
        <v>29131007990</v>
      </c>
      <c r="AE221" s="8">
        <v>45994</v>
      </c>
      <c r="AF221" s="5" t="s">
        <v>128</v>
      </c>
      <c r="AG221" s="5" t="s">
        <v>38</v>
      </c>
      <c r="AH221" s="5">
        <v>206218</v>
      </c>
      <c r="AI221" s="6">
        <v>45994</v>
      </c>
      <c r="AJ221" s="6">
        <v>46003</v>
      </c>
    </row>
    <row r="222" spans="1:38" x14ac:dyDescent="0.55000000000000004">
      <c r="A222">
        <v>2913</v>
      </c>
      <c r="B222">
        <v>1007991</v>
      </c>
      <c r="C222">
        <v>983.46</v>
      </c>
      <c r="E222">
        <v>983.46</v>
      </c>
      <c r="F222">
        <v>9.83</v>
      </c>
      <c r="G222">
        <v>973.63</v>
      </c>
      <c r="H222" s="14">
        <f t="shared" ref="H222:H226" si="104">C222-D222-F222</f>
        <v>973.63</v>
      </c>
      <c r="I222" s="14" t="b">
        <f t="shared" ref="I222:I226" si="105">G222=H222</f>
        <v>1</v>
      </c>
      <c r="J222" s="2">
        <v>46003</v>
      </c>
      <c r="K222" s="5">
        <v>1007991</v>
      </c>
      <c r="L222" s="5">
        <v>2913</v>
      </c>
      <c r="M222" s="5">
        <v>0</v>
      </c>
      <c r="N222" s="5">
        <v>983.46</v>
      </c>
      <c r="O222" s="7">
        <v>45994</v>
      </c>
      <c r="P222" s="5">
        <v>983.46</v>
      </c>
      <c r="Q222" s="5">
        <v>0</v>
      </c>
      <c r="R222" s="5" t="s">
        <v>32</v>
      </c>
      <c r="S222" s="5" t="s">
        <v>33</v>
      </c>
      <c r="T222" s="5">
        <v>9.83</v>
      </c>
      <c r="U222" s="5">
        <v>973.63</v>
      </c>
      <c r="V222" s="5" t="s">
        <v>34</v>
      </c>
      <c r="W222" s="5">
        <v>2</v>
      </c>
      <c r="X222" s="5">
        <v>1187444357250</v>
      </c>
      <c r="Y222" s="7">
        <v>46003</v>
      </c>
      <c r="Z222" s="7">
        <v>45994</v>
      </c>
      <c r="AB222" s="6">
        <v>46003</v>
      </c>
      <c r="AC222" s="7">
        <v>46003.500694444447</v>
      </c>
      <c r="AD222" s="5">
        <v>29131007991</v>
      </c>
      <c r="AE222" s="8">
        <v>45994</v>
      </c>
      <c r="AF222" s="5" t="s">
        <v>128</v>
      </c>
      <c r="AG222" s="5" t="s">
        <v>37</v>
      </c>
      <c r="AH222" s="5">
        <v>206216</v>
      </c>
      <c r="AI222" s="6">
        <v>45994</v>
      </c>
      <c r="AJ222" s="6">
        <v>46003</v>
      </c>
      <c r="AK222" s="1">
        <f t="shared" ref="AK222:AK226" si="106">0.02*C222</f>
        <v>19.6692</v>
      </c>
      <c r="AL222" t="s">
        <v>673</v>
      </c>
    </row>
    <row r="223" spans="1:38" x14ac:dyDescent="0.55000000000000004">
      <c r="A223">
        <v>2913</v>
      </c>
      <c r="B223">
        <v>1008047</v>
      </c>
      <c r="C223">
        <v>107.08</v>
      </c>
      <c r="E223">
        <v>107.08</v>
      </c>
      <c r="F223">
        <v>1.07</v>
      </c>
      <c r="G223">
        <v>106.01</v>
      </c>
      <c r="H223" s="14">
        <f t="shared" si="104"/>
        <v>106.01</v>
      </c>
      <c r="I223" s="14" t="b">
        <f t="shared" si="105"/>
        <v>1</v>
      </c>
      <c r="J223" s="2">
        <v>46003</v>
      </c>
      <c r="K223" s="5">
        <v>1008047</v>
      </c>
      <c r="L223" s="5">
        <v>2913</v>
      </c>
      <c r="M223" s="5">
        <v>0</v>
      </c>
      <c r="N223" s="5">
        <v>107.08</v>
      </c>
      <c r="O223" s="7">
        <v>45994</v>
      </c>
      <c r="P223" s="5">
        <v>107.08</v>
      </c>
      <c r="Q223" s="5">
        <v>0</v>
      </c>
      <c r="R223" s="5" t="s">
        <v>32</v>
      </c>
      <c r="S223" s="5" t="s">
        <v>33</v>
      </c>
      <c r="T223" s="5">
        <v>1.07</v>
      </c>
      <c r="U223" s="5">
        <v>106.01</v>
      </c>
      <c r="V223" s="5" t="s">
        <v>34</v>
      </c>
      <c r="W223" s="5">
        <v>2</v>
      </c>
      <c r="X223" s="5">
        <v>1187444357250</v>
      </c>
      <c r="Y223" s="7">
        <v>46003</v>
      </c>
      <c r="Z223" s="7">
        <v>45994</v>
      </c>
      <c r="AB223" s="6">
        <v>46003</v>
      </c>
      <c r="AC223" s="7">
        <v>46003.500694444447</v>
      </c>
      <c r="AD223" s="5">
        <v>29131008047</v>
      </c>
      <c r="AE223" s="8">
        <v>45994</v>
      </c>
      <c r="AF223" s="5" t="s">
        <v>131</v>
      </c>
      <c r="AG223" s="5" t="s">
        <v>37</v>
      </c>
      <c r="AH223" s="5">
        <v>206520</v>
      </c>
      <c r="AI223" s="6">
        <v>45994</v>
      </c>
      <c r="AJ223" s="6">
        <v>46003</v>
      </c>
      <c r="AK223" s="1">
        <f t="shared" si="106"/>
        <v>2.1415999999999999</v>
      </c>
      <c r="AL223" t="s">
        <v>673</v>
      </c>
    </row>
    <row r="224" spans="1:38" x14ac:dyDescent="0.55000000000000004">
      <c r="A224">
        <v>2913</v>
      </c>
      <c r="B224">
        <v>1008124</v>
      </c>
      <c r="C224">
        <v>447.44</v>
      </c>
      <c r="E224">
        <v>447.44</v>
      </c>
      <c r="F224">
        <v>4.47</v>
      </c>
      <c r="G224">
        <v>442.97</v>
      </c>
      <c r="H224" s="14">
        <f t="shared" si="104"/>
        <v>442.96999999999997</v>
      </c>
      <c r="I224" s="14" t="b">
        <f t="shared" si="105"/>
        <v>1</v>
      </c>
      <c r="J224" s="2">
        <v>46003</v>
      </c>
      <c r="K224" s="5">
        <v>1008124</v>
      </c>
      <c r="L224" s="5">
        <v>2913</v>
      </c>
      <c r="M224" s="5">
        <v>0</v>
      </c>
      <c r="N224" s="5">
        <v>447.44</v>
      </c>
      <c r="O224" s="7">
        <v>45995</v>
      </c>
      <c r="P224" s="5">
        <v>447.44</v>
      </c>
      <c r="Q224" s="5">
        <v>0</v>
      </c>
      <c r="R224" s="5" t="s">
        <v>32</v>
      </c>
      <c r="S224" s="5" t="s">
        <v>33</v>
      </c>
      <c r="T224" s="5">
        <v>4.47</v>
      </c>
      <c r="U224" s="5">
        <v>442.97</v>
      </c>
      <c r="V224" s="5" t="s">
        <v>34</v>
      </c>
      <c r="W224" s="5">
        <v>2</v>
      </c>
      <c r="X224" s="5">
        <v>1187444357250</v>
      </c>
      <c r="Y224" s="7">
        <v>46003</v>
      </c>
      <c r="Z224" s="7">
        <v>45995</v>
      </c>
      <c r="AB224" s="6">
        <v>46003</v>
      </c>
      <c r="AC224" s="7">
        <v>46003.500694444447</v>
      </c>
      <c r="AD224" s="5">
        <v>29131008124</v>
      </c>
      <c r="AE224" s="8">
        <v>45995</v>
      </c>
      <c r="AF224" s="5" t="s">
        <v>132</v>
      </c>
      <c r="AG224" s="5" t="s">
        <v>37</v>
      </c>
      <c r="AH224" s="5">
        <v>206391</v>
      </c>
      <c r="AI224" s="6">
        <v>45995</v>
      </c>
      <c r="AJ224" s="6">
        <v>46003</v>
      </c>
      <c r="AK224" s="1">
        <f t="shared" si="106"/>
        <v>8.9488000000000003</v>
      </c>
      <c r="AL224" t="s">
        <v>673</v>
      </c>
    </row>
    <row r="225" spans="1:38" x14ac:dyDescent="0.55000000000000004">
      <c r="A225">
        <v>2913</v>
      </c>
      <c r="B225">
        <v>1008128</v>
      </c>
      <c r="C225" s="1">
        <v>2299.38</v>
      </c>
      <c r="E225" s="1">
        <v>2299.38</v>
      </c>
      <c r="F225">
        <v>22.99</v>
      </c>
      <c r="G225" s="1">
        <v>2276.39</v>
      </c>
      <c r="H225" s="14">
        <f t="shared" si="104"/>
        <v>2276.3900000000003</v>
      </c>
      <c r="I225" s="14" t="b">
        <f t="shared" si="105"/>
        <v>1</v>
      </c>
      <c r="J225" s="2">
        <v>46003</v>
      </c>
      <c r="K225" s="5">
        <v>1008128</v>
      </c>
      <c r="L225" s="5">
        <v>2913</v>
      </c>
      <c r="M225" s="5">
        <v>0</v>
      </c>
      <c r="N225" s="5">
        <v>2299.38</v>
      </c>
      <c r="O225" s="7">
        <v>45995</v>
      </c>
      <c r="P225" s="5">
        <v>2299.38</v>
      </c>
      <c r="Q225" s="5">
        <v>0</v>
      </c>
      <c r="R225" s="5" t="s">
        <v>32</v>
      </c>
      <c r="S225" s="5" t="s">
        <v>33</v>
      </c>
      <c r="T225" s="5">
        <v>22.99</v>
      </c>
      <c r="U225" s="5">
        <v>2276.39</v>
      </c>
      <c r="V225" s="5" t="s">
        <v>34</v>
      </c>
      <c r="W225" s="5">
        <v>2</v>
      </c>
      <c r="X225" s="5">
        <v>1187444357250</v>
      </c>
      <c r="Y225" s="7">
        <v>46003</v>
      </c>
      <c r="Z225" s="7">
        <v>45995</v>
      </c>
      <c r="AB225" s="6">
        <v>46003</v>
      </c>
      <c r="AC225" s="7">
        <v>46003.500694444447</v>
      </c>
      <c r="AD225" s="5">
        <v>29131008128</v>
      </c>
      <c r="AE225" s="8">
        <v>45995</v>
      </c>
      <c r="AF225" s="5" t="s">
        <v>133</v>
      </c>
      <c r="AG225" s="5" t="s">
        <v>37</v>
      </c>
      <c r="AH225" s="5">
        <v>206392</v>
      </c>
      <c r="AI225" s="6">
        <v>45995</v>
      </c>
      <c r="AJ225" s="6">
        <v>46003</v>
      </c>
      <c r="AK225" s="1">
        <f t="shared" si="106"/>
        <v>45.9876</v>
      </c>
      <c r="AL225" t="s">
        <v>673</v>
      </c>
    </row>
    <row r="226" spans="1:38" x14ac:dyDescent="0.55000000000000004">
      <c r="A226">
        <v>2913</v>
      </c>
      <c r="B226">
        <v>1008137</v>
      </c>
      <c r="C226">
        <v>870.81</v>
      </c>
      <c r="E226">
        <v>870.81</v>
      </c>
      <c r="F226">
        <v>8.7100000000000009</v>
      </c>
      <c r="G226">
        <v>862.1</v>
      </c>
      <c r="H226" s="14">
        <f t="shared" si="104"/>
        <v>862.09999999999991</v>
      </c>
      <c r="I226" s="14" t="b">
        <f t="shared" si="105"/>
        <v>1</v>
      </c>
      <c r="J226" s="2">
        <v>46003</v>
      </c>
      <c r="K226" s="5">
        <v>1008137</v>
      </c>
      <c r="L226" s="5">
        <v>2913</v>
      </c>
      <c r="M226" s="5">
        <v>0</v>
      </c>
      <c r="N226" s="5">
        <v>870.81</v>
      </c>
      <c r="O226" s="7">
        <v>45995</v>
      </c>
      <c r="P226" s="5">
        <v>870.81</v>
      </c>
      <c r="Q226" s="5">
        <v>0</v>
      </c>
      <c r="R226" s="5" t="s">
        <v>32</v>
      </c>
      <c r="S226" s="5" t="s">
        <v>33</v>
      </c>
      <c r="T226" s="5">
        <v>8.7100000000000009</v>
      </c>
      <c r="U226" s="5">
        <v>862.1</v>
      </c>
      <c r="V226" s="5" t="s">
        <v>34</v>
      </c>
      <c r="W226" s="5">
        <v>2</v>
      </c>
      <c r="X226" s="5">
        <v>1187444357250</v>
      </c>
      <c r="Y226" s="7">
        <v>46003</v>
      </c>
      <c r="Z226" s="7">
        <v>45995</v>
      </c>
      <c r="AB226" s="6">
        <v>46003</v>
      </c>
      <c r="AC226" s="7">
        <v>46003.500694444447</v>
      </c>
      <c r="AD226" s="5">
        <v>29131008137</v>
      </c>
      <c r="AE226" s="8">
        <v>45995</v>
      </c>
      <c r="AF226" s="5" t="s">
        <v>134</v>
      </c>
      <c r="AG226" s="5" t="s">
        <v>37</v>
      </c>
      <c r="AH226" s="5">
        <v>206673</v>
      </c>
      <c r="AI226" s="6">
        <v>45995</v>
      </c>
      <c r="AJ226" s="6">
        <v>46003</v>
      </c>
      <c r="AK226" s="1">
        <f t="shared" si="106"/>
        <v>17.4162</v>
      </c>
      <c r="AL226" t="s">
        <v>673</v>
      </c>
    </row>
    <row r="227" spans="1:38" hidden="1" x14ac:dyDescent="0.55000000000000004">
      <c r="A227">
        <v>2913</v>
      </c>
      <c r="B227">
        <v>1008158</v>
      </c>
      <c r="C227" s="1">
        <v>1259.96</v>
      </c>
      <c r="E227" s="1">
        <v>1259.96</v>
      </c>
      <c r="F227">
        <v>12.6</v>
      </c>
      <c r="G227" s="1">
        <v>1247.3599999999999</v>
      </c>
      <c r="H227" s="1"/>
      <c r="I227" s="1"/>
      <c r="J227" s="2">
        <v>46003</v>
      </c>
      <c r="K227" s="5">
        <v>1008158</v>
      </c>
      <c r="L227" s="5">
        <v>2913</v>
      </c>
      <c r="M227" s="5">
        <v>0</v>
      </c>
      <c r="N227" s="5">
        <v>1259.96</v>
      </c>
      <c r="O227" s="7">
        <v>45995</v>
      </c>
      <c r="P227" s="5">
        <v>1259.96</v>
      </c>
      <c r="Q227" s="5">
        <v>0</v>
      </c>
      <c r="R227" s="5" t="s">
        <v>32</v>
      </c>
      <c r="S227" s="5" t="s">
        <v>33</v>
      </c>
      <c r="T227" s="5">
        <v>12.6</v>
      </c>
      <c r="U227" s="5">
        <v>1247.3599999999999</v>
      </c>
      <c r="V227" s="5" t="s">
        <v>34</v>
      </c>
      <c r="W227" s="5">
        <v>2</v>
      </c>
      <c r="X227" s="5">
        <v>1187444357250</v>
      </c>
      <c r="Y227" s="7">
        <v>46003</v>
      </c>
      <c r="Z227" s="7">
        <v>45995</v>
      </c>
      <c r="AB227" s="6">
        <v>46003</v>
      </c>
      <c r="AC227" s="7">
        <v>46003.500694444447</v>
      </c>
      <c r="AD227" s="5">
        <v>29131008158</v>
      </c>
      <c r="AE227" s="8">
        <v>45995</v>
      </c>
      <c r="AF227" s="5" t="s">
        <v>129</v>
      </c>
      <c r="AG227" s="5" t="s">
        <v>38</v>
      </c>
      <c r="AH227" s="5">
        <v>206653</v>
      </c>
      <c r="AI227" s="6">
        <v>45995</v>
      </c>
      <c r="AJ227" s="6">
        <v>46003</v>
      </c>
    </row>
    <row r="228" spans="1:38" x14ac:dyDescent="0.55000000000000004">
      <c r="A228">
        <v>2913</v>
      </c>
      <c r="B228">
        <v>1008176</v>
      </c>
      <c r="C228" s="1">
        <v>1367.29</v>
      </c>
      <c r="E228" s="1">
        <v>1367.29</v>
      </c>
      <c r="F228">
        <v>13.67</v>
      </c>
      <c r="G228" s="1">
        <v>1353.62</v>
      </c>
      <c r="H228" s="14">
        <f t="shared" ref="H228:H230" si="107">C228-D228-F228</f>
        <v>1353.62</v>
      </c>
      <c r="I228" s="14" t="b">
        <f t="shared" ref="I228:I230" si="108">G228=H228</f>
        <v>1</v>
      </c>
      <c r="J228" s="2">
        <v>46003</v>
      </c>
      <c r="K228" s="5">
        <v>1008176</v>
      </c>
      <c r="L228" s="5">
        <v>2913</v>
      </c>
      <c r="M228" s="5">
        <v>0</v>
      </c>
      <c r="N228" s="5">
        <v>1367.29</v>
      </c>
      <c r="O228" s="7">
        <v>45995</v>
      </c>
      <c r="P228" s="5">
        <v>1367.29</v>
      </c>
      <c r="Q228" s="5">
        <v>0</v>
      </c>
      <c r="R228" s="5" t="s">
        <v>32</v>
      </c>
      <c r="S228" s="5" t="s">
        <v>33</v>
      </c>
      <c r="T228" s="5">
        <v>13.67</v>
      </c>
      <c r="U228" s="5">
        <v>1353.62</v>
      </c>
      <c r="V228" s="5" t="s">
        <v>34</v>
      </c>
      <c r="W228" s="5">
        <v>2</v>
      </c>
      <c r="X228" s="5">
        <v>1187444357250</v>
      </c>
      <c r="Y228" s="7">
        <v>46003</v>
      </c>
      <c r="Z228" s="7">
        <v>45995</v>
      </c>
      <c r="AB228" s="6">
        <v>46003</v>
      </c>
      <c r="AC228" s="7">
        <v>46003.500694444447</v>
      </c>
      <c r="AD228" s="5">
        <v>29131008176</v>
      </c>
      <c r="AE228" s="8">
        <v>45995</v>
      </c>
      <c r="AF228" s="5" t="s">
        <v>134</v>
      </c>
      <c r="AG228" s="5" t="s">
        <v>37</v>
      </c>
      <c r="AH228" s="5">
        <v>206688</v>
      </c>
      <c r="AI228" s="6">
        <v>45995</v>
      </c>
      <c r="AJ228" s="6">
        <v>46003</v>
      </c>
      <c r="AK228" s="1">
        <f t="shared" ref="AK228:AK230" si="109">0.02*C228</f>
        <v>27.345800000000001</v>
      </c>
      <c r="AL228" t="s">
        <v>673</v>
      </c>
    </row>
    <row r="229" spans="1:38" x14ac:dyDescent="0.55000000000000004">
      <c r="A229">
        <v>2913</v>
      </c>
      <c r="B229">
        <v>1008226</v>
      </c>
      <c r="C229" s="1">
        <v>2495.1799999999998</v>
      </c>
      <c r="E229" s="1">
        <v>2495.1799999999998</v>
      </c>
      <c r="F229">
        <v>24.95</v>
      </c>
      <c r="G229" s="1">
        <v>2470.23</v>
      </c>
      <c r="H229" s="14">
        <f t="shared" si="107"/>
        <v>2470.23</v>
      </c>
      <c r="I229" s="14" t="b">
        <f t="shared" si="108"/>
        <v>1</v>
      </c>
      <c r="J229" s="2">
        <v>46003</v>
      </c>
      <c r="K229" s="5">
        <v>1008226</v>
      </c>
      <c r="L229" s="5">
        <v>2913</v>
      </c>
      <c r="M229" s="5">
        <v>0</v>
      </c>
      <c r="N229" s="5">
        <v>2495.1799999999998</v>
      </c>
      <c r="O229" s="7">
        <v>45995</v>
      </c>
      <c r="P229" s="5">
        <v>2495.1799999999998</v>
      </c>
      <c r="Q229" s="5">
        <v>0</v>
      </c>
      <c r="R229" s="5" t="s">
        <v>32</v>
      </c>
      <c r="S229" s="5" t="s">
        <v>33</v>
      </c>
      <c r="T229" s="5">
        <v>24.95</v>
      </c>
      <c r="U229" s="5">
        <v>2470.23</v>
      </c>
      <c r="V229" s="5" t="s">
        <v>34</v>
      </c>
      <c r="W229" s="5">
        <v>2</v>
      </c>
      <c r="X229" s="5">
        <v>1187444357250</v>
      </c>
      <c r="Y229" s="7">
        <v>46003</v>
      </c>
      <c r="Z229" s="7">
        <v>45995</v>
      </c>
      <c r="AB229" s="6">
        <v>46003</v>
      </c>
      <c r="AC229" s="7">
        <v>46003.500694444447</v>
      </c>
      <c r="AD229" s="5">
        <v>29131008226</v>
      </c>
      <c r="AE229" s="8">
        <v>45995</v>
      </c>
      <c r="AF229" s="5" t="s">
        <v>131</v>
      </c>
      <c r="AG229" s="5" t="s">
        <v>37</v>
      </c>
      <c r="AH229" s="5">
        <v>206526</v>
      </c>
      <c r="AI229" s="6">
        <v>45995</v>
      </c>
      <c r="AJ229" s="6">
        <v>46003</v>
      </c>
      <c r="AK229" s="1">
        <f t="shared" si="109"/>
        <v>49.903599999999997</v>
      </c>
      <c r="AL229" t="s">
        <v>673</v>
      </c>
    </row>
    <row r="230" spans="1:38" x14ac:dyDescent="0.55000000000000004">
      <c r="A230">
        <v>2913</v>
      </c>
      <c r="B230">
        <v>1008301</v>
      </c>
      <c r="C230">
        <v>141</v>
      </c>
      <c r="E230">
        <v>141</v>
      </c>
      <c r="F230">
        <v>1.41</v>
      </c>
      <c r="G230">
        <v>139.59</v>
      </c>
      <c r="H230" s="14">
        <f t="shared" si="107"/>
        <v>139.59</v>
      </c>
      <c r="I230" s="14" t="b">
        <f t="shared" si="108"/>
        <v>1</v>
      </c>
      <c r="J230" s="2">
        <v>46003</v>
      </c>
      <c r="K230" s="5">
        <v>1008301</v>
      </c>
      <c r="L230" s="5">
        <v>2913</v>
      </c>
      <c r="M230" s="5">
        <v>0</v>
      </c>
      <c r="N230" s="5">
        <v>141</v>
      </c>
      <c r="O230" s="7">
        <v>45996</v>
      </c>
      <c r="P230" s="5">
        <v>141</v>
      </c>
      <c r="Q230" s="5">
        <v>0</v>
      </c>
      <c r="R230" s="5">
        <v>100650</v>
      </c>
      <c r="S230" s="5" t="s">
        <v>135</v>
      </c>
      <c r="T230" s="5">
        <v>1.41</v>
      </c>
      <c r="U230" s="5">
        <v>139.59</v>
      </c>
      <c r="V230" s="5" t="s">
        <v>34</v>
      </c>
      <c r="W230" s="5">
        <v>2</v>
      </c>
      <c r="X230" s="5">
        <v>1187444357250</v>
      </c>
      <c r="Y230" s="7">
        <v>46003</v>
      </c>
      <c r="Z230" s="7">
        <v>45996</v>
      </c>
      <c r="AB230" s="6">
        <v>46003</v>
      </c>
      <c r="AC230" s="7">
        <v>46003.500694444447</v>
      </c>
      <c r="AD230" s="5">
        <v>29131008301</v>
      </c>
      <c r="AE230" s="8">
        <v>45996</v>
      </c>
      <c r="AF230" s="5" t="s">
        <v>136</v>
      </c>
      <c r="AG230" s="5" t="s">
        <v>37</v>
      </c>
      <c r="AH230" s="5">
        <v>100650</v>
      </c>
      <c r="AI230" s="6">
        <v>45996</v>
      </c>
      <c r="AJ230" s="6">
        <v>46003</v>
      </c>
      <c r="AK230" s="1">
        <f t="shared" si="109"/>
        <v>2.82</v>
      </c>
      <c r="AL230" t="s">
        <v>673</v>
      </c>
    </row>
    <row r="231" spans="1:38" hidden="1" x14ac:dyDescent="0.55000000000000004">
      <c r="A231">
        <v>2913</v>
      </c>
      <c r="B231">
        <v>1008369</v>
      </c>
      <c r="C231" s="1">
        <v>1011.65</v>
      </c>
      <c r="E231" s="1">
        <v>1011.65</v>
      </c>
      <c r="F231">
        <v>10.119999999999999</v>
      </c>
      <c r="G231" s="1">
        <v>1001.53</v>
      </c>
      <c r="H231" s="1"/>
      <c r="I231" s="1"/>
      <c r="J231" s="2">
        <v>46003</v>
      </c>
      <c r="K231" s="5">
        <v>1008369</v>
      </c>
      <c r="L231" s="5">
        <v>2913</v>
      </c>
      <c r="M231" s="5">
        <v>0</v>
      </c>
      <c r="N231" s="5">
        <v>1011.65</v>
      </c>
      <c r="O231" s="7">
        <v>45996</v>
      </c>
      <c r="P231" s="5">
        <v>1011.65</v>
      </c>
      <c r="Q231" s="5">
        <v>0</v>
      </c>
      <c r="R231" s="5" t="s">
        <v>137</v>
      </c>
      <c r="S231" s="5" t="s">
        <v>138</v>
      </c>
      <c r="T231" s="5">
        <v>10.119999999999999</v>
      </c>
      <c r="U231" s="5">
        <v>1001.53</v>
      </c>
      <c r="V231" s="5" t="s">
        <v>34</v>
      </c>
      <c r="W231" s="5">
        <v>2</v>
      </c>
      <c r="X231" s="5">
        <v>1187444357250</v>
      </c>
      <c r="Y231" s="7">
        <v>46003</v>
      </c>
      <c r="Z231" s="7">
        <v>45996</v>
      </c>
      <c r="AB231" s="6">
        <v>46003</v>
      </c>
      <c r="AC231" s="7">
        <v>46003.500694444447</v>
      </c>
      <c r="AD231" s="5">
        <v>29131008369</v>
      </c>
      <c r="AE231" s="8">
        <v>45996</v>
      </c>
      <c r="AF231" s="5">
        <v>215230</v>
      </c>
      <c r="AG231" s="5" t="s">
        <v>38</v>
      </c>
      <c r="AH231" s="5" t="s">
        <v>137</v>
      </c>
      <c r="AI231" s="6">
        <v>45996</v>
      </c>
      <c r="AJ231" s="6">
        <v>46003</v>
      </c>
    </row>
    <row r="232" spans="1:38" hidden="1" x14ac:dyDescent="0.55000000000000004">
      <c r="A232">
        <v>2913</v>
      </c>
      <c r="B232">
        <v>1008370</v>
      </c>
      <c r="C232">
        <v>48.51</v>
      </c>
      <c r="E232">
        <v>48.51</v>
      </c>
      <c r="F232">
        <v>0.49</v>
      </c>
      <c r="G232">
        <v>48.02</v>
      </c>
      <c r="H232"/>
      <c r="I232"/>
      <c r="J232" s="2">
        <v>46003</v>
      </c>
      <c r="K232" s="5">
        <v>1008370</v>
      </c>
      <c r="L232" s="5">
        <v>2913</v>
      </c>
      <c r="M232" s="5">
        <v>0</v>
      </c>
      <c r="N232" s="5">
        <v>48.51</v>
      </c>
      <c r="O232" s="7">
        <v>45996</v>
      </c>
      <c r="P232" s="5">
        <v>48.51</v>
      </c>
      <c r="Q232" s="5">
        <v>0</v>
      </c>
      <c r="R232" s="5" t="s">
        <v>139</v>
      </c>
      <c r="S232" s="5" t="s">
        <v>138</v>
      </c>
      <c r="T232" s="5">
        <v>0.49</v>
      </c>
      <c r="U232" s="5">
        <v>48.02</v>
      </c>
      <c r="V232" s="5" t="s">
        <v>34</v>
      </c>
      <c r="W232" s="5">
        <v>2</v>
      </c>
      <c r="X232" s="5">
        <v>1187444357250</v>
      </c>
      <c r="Y232" s="7">
        <v>46003</v>
      </c>
      <c r="Z232" s="7">
        <v>45996</v>
      </c>
      <c r="AB232" s="6">
        <v>46003</v>
      </c>
      <c r="AC232" s="7">
        <v>46003.500694444447</v>
      </c>
      <c r="AD232" s="5">
        <v>29131008370</v>
      </c>
      <c r="AE232" s="8">
        <v>45996</v>
      </c>
      <c r="AF232" s="5">
        <v>215429</v>
      </c>
      <c r="AG232" s="5" t="s">
        <v>38</v>
      </c>
      <c r="AH232" s="5" t="s">
        <v>139</v>
      </c>
      <c r="AI232" s="6">
        <v>45996</v>
      </c>
      <c r="AJ232" s="6">
        <v>46003</v>
      </c>
    </row>
    <row r="233" spans="1:38" x14ac:dyDescent="0.55000000000000004">
      <c r="A233">
        <v>2913</v>
      </c>
      <c r="B233">
        <v>1008421</v>
      </c>
      <c r="C233">
        <v>388.23</v>
      </c>
      <c r="E233">
        <v>388.23</v>
      </c>
      <c r="F233">
        <v>3.88</v>
      </c>
      <c r="G233">
        <v>384.35</v>
      </c>
      <c r="H233" s="14">
        <f>C233-D233-F233</f>
        <v>384.35</v>
      </c>
      <c r="I233" s="14" t="b">
        <f>G233=H233</f>
        <v>1</v>
      </c>
      <c r="J233" s="2">
        <v>46003</v>
      </c>
      <c r="K233" s="5">
        <v>1008421</v>
      </c>
      <c r="L233" s="5">
        <v>2913</v>
      </c>
      <c r="M233" s="5">
        <v>0</v>
      </c>
      <c r="N233" s="5">
        <v>388.23</v>
      </c>
      <c r="O233" s="7">
        <v>45996</v>
      </c>
      <c r="P233" s="5">
        <v>388.23</v>
      </c>
      <c r="Q233" s="5">
        <v>0</v>
      </c>
      <c r="R233" s="5" t="s">
        <v>32</v>
      </c>
      <c r="S233" s="5" t="s">
        <v>33</v>
      </c>
      <c r="T233" s="5">
        <v>3.88</v>
      </c>
      <c r="U233" s="5">
        <v>384.35</v>
      </c>
      <c r="V233" s="5" t="s">
        <v>34</v>
      </c>
      <c r="W233" s="5">
        <v>2</v>
      </c>
      <c r="X233" s="5">
        <v>1187444357250</v>
      </c>
      <c r="Y233" s="7">
        <v>46003</v>
      </c>
      <c r="Z233" s="7">
        <v>45996</v>
      </c>
      <c r="AB233" s="6">
        <v>46003</v>
      </c>
      <c r="AC233" s="7">
        <v>46003.500694444447</v>
      </c>
      <c r="AD233" s="5">
        <v>29131008421</v>
      </c>
      <c r="AE233" s="8">
        <v>45996</v>
      </c>
      <c r="AF233" s="5" t="s">
        <v>140</v>
      </c>
      <c r="AG233" s="5" t="s">
        <v>37</v>
      </c>
      <c r="AH233" s="5">
        <v>206751</v>
      </c>
      <c r="AI233" s="6">
        <v>45996</v>
      </c>
      <c r="AJ233" s="6">
        <v>46003</v>
      </c>
      <c r="AK233" s="1">
        <f t="shared" ref="AK233" si="110">0.02*C233</f>
        <v>7.7646000000000006</v>
      </c>
      <c r="AL233" t="s">
        <v>673</v>
      </c>
    </row>
    <row r="234" spans="1:38" hidden="1" x14ac:dyDescent="0.55000000000000004">
      <c r="A234">
        <v>2913</v>
      </c>
      <c r="B234">
        <v>1008423</v>
      </c>
      <c r="C234">
        <v>117.5</v>
      </c>
      <c r="E234">
        <v>117.5</v>
      </c>
      <c r="F234">
        <v>1.18</v>
      </c>
      <c r="G234">
        <v>116.32</v>
      </c>
      <c r="H234"/>
      <c r="I234"/>
      <c r="J234" s="2">
        <v>46003</v>
      </c>
      <c r="K234" s="5">
        <v>1008423</v>
      </c>
      <c r="L234" s="5">
        <v>2913</v>
      </c>
      <c r="M234" s="5">
        <v>0</v>
      </c>
      <c r="N234" s="5">
        <v>117.5</v>
      </c>
      <c r="O234" s="7">
        <v>45996</v>
      </c>
      <c r="P234" s="5">
        <v>117.5</v>
      </c>
      <c r="Q234" s="5">
        <v>0</v>
      </c>
      <c r="R234" s="5" t="s">
        <v>32</v>
      </c>
      <c r="S234" s="5" t="s">
        <v>33</v>
      </c>
      <c r="T234" s="5">
        <v>1.18</v>
      </c>
      <c r="U234" s="5">
        <v>116.32</v>
      </c>
      <c r="V234" s="5" t="s">
        <v>34</v>
      </c>
      <c r="W234" s="5">
        <v>2</v>
      </c>
      <c r="X234" s="5">
        <v>1187444357250</v>
      </c>
      <c r="Y234" s="7">
        <v>46003</v>
      </c>
      <c r="Z234" s="7">
        <v>45996</v>
      </c>
      <c r="AB234" s="6">
        <v>46003</v>
      </c>
      <c r="AC234" s="7">
        <v>46003.500694444447</v>
      </c>
      <c r="AD234" s="5">
        <v>29131008423</v>
      </c>
      <c r="AE234" s="8">
        <v>45996</v>
      </c>
      <c r="AF234" s="5" t="s">
        <v>140</v>
      </c>
      <c r="AG234" s="5" t="s">
        <v>38</v>
      </c>
      <c r="AH234" s="5">
        <v>206752</v>
      </c>
      <c r="AI234" s="6">
        <v>45996</v>
      </c>
      <c r="AJ234" s="6">
        <v>46003</v>
      </c>
    </row>
    <row r="235" spans="1:38" x14ac:dyDescent="0.55000000000000004">
      <c r="A235">
        <v>2913</v>
      </c>
      <c r="B235">
        <v>1008454</v>
      </c>
      <c r="C235">
        <v>147.5</v>
      </c>
      <c r="E235">
        <v>147.5</v>
      </c>
      <c r="F235">
        <v>1.48</v>
      </c>
      <c r="G235">
        <v>146.02000000000001</v>
      </c>
      <c r="H235" s="14">
        <f t="shared" ref="H235:H236" si="111">C235-D235-F235</f>
        <v>146.02000000000001</v>
      </c>
      <c r="I235" s="14" t="b">
        <f t="shared" ref="I235:I236" si="112">G235=H235</f>
        <v>1</v>
      </c>
      <c r="J235" s="2">
        <v>46003</v>
      </c>
      <c r="K235" s="5">
        <v>1008454</v>
      </c>
      <c r="L235" s="5">
        <v>2913</v>
      </c>
      <c r="M235" s="5">
        <v>0</v>
      </c>
      <c r="N235" s="5">
        <v>147.5</v>
      </c>
      <c r="O235" s="7">
        <v>45996</v>
      </c>
      <c r="P235" s="5">
        <v>147.5</v>
      </c>
      <c r="Q235" s="5">
        <v>0</v>
      </c>
      <c r="R235" s="5" t="s">
        <v>32</v>
      </c>
      <c r="S235" s="5" t="s">
        <v>33</v>
      </c>
      <c r="T235" s="5">
        <v>1.48</v>
      </c>
      <c r="U235" s="5">
        <v>146.02000000000001</v>
      </c>
      <c r="V235" s="5" t="s">
        <v>34</v>
      </c>
      <c r="W235" s="5">
        <v>2</v>
      </c>
      <c r="X235" s="5">
        <v>1187444357250</v>
      </c>
      <c r="Y235" s="7">
        <v>46003</v>
      </c>
      <c r="Z235" s="7">
        <v>45996</v>
      </c>
      <c r="AB235" s="6">
        <v>46003</v>
      </c>
      <c r="AC235" s="7">
        <v>46003.500694444447</v>
      </c>
      <c r="AD235" s="5">
        <v>29131008454</v>
      </c>
      <c r="AE235" s="8">
        <v>45996</v>
      </c>
      <c r="AF235" s="5" t="s">
        <v>141</v>
      </c>
      <c r="AG235" s="5" t="s">
        <v>37</v>
      </c>
      <c r="AH235" s="5">
        <v>206607</v>
      </c>
      <c r="AI235" s="6">
        <v>45996</v>
      </c>
      <c r="AJ235" s="6">
        <v>46003</v>
      </c>
      <c r="AK235" s="1">
        <f t="shared" ref="AK235:AK236" si="113">0.02*C235</f>
        <v>2.95</v>
      </c>
      <c r="AL235" t="s">
        <v>673</v>
      </c>
    </row>
    <row r="236" spans="1:38" x14ac:dyDescent="0.55000000000000004">
      <c r="A236">
        <v>2913</v>
      </c>
      <c r="B236">
        <v>1008480</v>
      </c>
      <c r="C236">
        <v>544.04</v>
      </c>
      <c r="E236">
        <v>544.04</v>
      </c>
      <c r="F236">
        <v>5.44</v>
      </c>
      <c r="G236">
        <v>538.6</v>
      </c>
      <c r="H236" s="14">
        <f t="shared" si="111"/>
        <v>538.59999999999991</v>
      </c>
      <c r="I236" s="14" t="b">
        <f t="shared" si="112"/>
        <v>1</v>
      </c>
      <c r="J236" s="2">
        <v>46003</v>
      </c>
      <c r="K236" s="5">
        <v>1008480</v>
      </c>
      <c r="L236" s="5">
        <v>2913</v>
      </c>
      <c r="M236" s="5">
        <v>0</v>
      </c>
      <c r="N236" s="5">
        <v>544.04</v>
      </c>
      <c r="O236" s="7">
        <v>45996</v>
      </c>
      <c r="P236" s="5">
        <v>544.04</v>
      </c>
      <c r="Q236" s="5">
        <v>0</v>
      </c>
      <c r="R236" s="5" t="s">
        <v>32</v>
      </c>
      <c r="S236" s="5" t="s">
        <v>33</v>
      </c>
      <c r="T236" s="5">
        <v>5.44</v>
      </c>
      <c r="U236" s="5">
        <v>538.6</v>
      </c>
      <c r="V236" s="5" t="s">
        <v>34</v>
      </c>
      <c r="W236" s="5">
        <v>2</v>
      </c>
      <c r="X236" s="5">
        <v>1187444357250</v>
      </c>
      <c r="Y236" s="7">
        <v>46003</v>
      </c>
      <c r="Z236" s="7">
        <v>45996</v>
      </c>
      <c r="AB236" s="6">
        <v>46003</v>
      </c>
      <c r="AC236" s="7">
        <v>46003.500694444447</v>
      </c>
      <c r="AD236" s="5">
        <v>29131008480</v>
      </c>
      <c r="AE236" s="8">
        <v>45996</v>
      </c>
      <c r="AF236" s="5" t="s">
        <v>140</v>
      </c>
      <c r="AG236" s="5" t="s">
        <v>37</v>
      </c>
      <c r="AH236" s="5">
        <v>206747</v>
      </c>
      <c r="AI236" s="6">
        <v>45996</v>
      </c>
      <c r="AJ236" s="6">
        <v>46003</v>
      </c>
      <c r="AK236" s="1">
        <f t="shared" si="113"/>
        <v>10.880799999999999</v>
      </c>
      <c r="AL236" t="s">
        <v>673</v>
      </c>
    </row>
    <row r="237" spans="1:38" hidden="1" x14ac:dyDescent="0.55000000000000004">
      <c r="A237">
        <v>2913</v>
      </c>
      <c r="B237">
        <v>1008580</v>
      </c>
      <c r="C237" s="1">
        <v>-2000</v>
      </c>
      <c r="E237" s="1">
        <v>-2000</v>
      </c>
      <c r="G237" s="1">
        <v>-2000</v>
      </c>
      <c r="H237" s="1"/>
      <c r="I237" s="1"/>
      <c r="J237" s="2">
        <v>46003</v>
      </c>
      <c r="K237" s="5">
        <v>1008580</v>
      </c>
      <c r="L237" s="5">
        <v>2913</v>
      </c>
      <c r="M237" s="5">
        <v>0</v>
      </c>
      <c r="N237" s="5">
        <v>-2000</v>
      </c>
      <c r="O237" s="7">
        <v>45999</v>
      </c>
      <c r="P237" s="5">
        <v>-2000</v>
      </c>
      <c r="Q237" s="5">
        <v>0</v>
      </c>
      <c r="R237" s="5">
        <v>1008580</v>
      </c>
      <c r="S237" s="5" t="s">
        <v>33</v>
      </c>
      <c r="T237" s="5">
        <v>0</v>
      </c>
      <c r="U237" s="5">
        <v>-2000</v>
      </c>
      <c r="V237" s="5" t="s">
        <v>34</v>
      </c>
      <c r="W237" s="5">
        <v>2</v>
      </c>
      <c r="X237" s="5">
        <v>1187444357250</v>
      </c>
      <c r="Y237" s="7">
        <v>46003</v>
      </c>
      <c r="Z237" s="7">
        <v>45999</v>
      </c>
      <c r="AB237" s="6">
        <v>46003</v>
      </c>
      <c r="AC237" s="7">
        <v>46003.500694444447</v>
      </c>
      <c r="AD237" s="5">
        <v>29131008580</v>
      </c>
      <c r="AE237" s="8">
        <v>45999</v>
      </c>
      <c r="AF237" s="5" t="s">
        <v>41</v>
      </c>
      <c r="AG237" s="5" t="s">
        <v>38</v>
      </c>
      <c r="AH237" s="5" t="s">
        <v>142</v>
      </c>
      <c r="AI237" s="6">
        <v>45999</v>
      </c>
      <c r="AJ237" s="6">
        <v>46003</v>
      </c>
    </row>
    <row r="238" spans="1:38" hidden="1" x14ac:dyDescent="0.55000000000000004">
      <c r="A238">
        <v>2913</v>
      </c>
      <c r="B238">
        <v>1008960</v>
      </c>
      <c r="C238">
        <v>-10.35</v>
      </c>
      <c r="E238">
        <v>-10.35</v>
      </c>
      <c r="G238">
        <v>-10.35</v>
      </c>
      <c r="H238"/>
      <c r="I238"/>
      <c r="J238" s="2">
        <v>46003</v>
      </c>
      <c r="K238" s="5">
        <v>1008960</v>
      </c>
      <c r="L238" s="5">
        <v>2913</v>
      </c>
      <c r="M238" s="5">
        <v>0</v>
      </c>
      <c r="N238" s="5">
        <v>-10.35</v>
      </c>
      <c r="O238" s="7">
        <v>46000</v>
      </c>
      <c r="P238" s="5">
        <v>-10.35</v>
      </c>
      <c r="Q238" s="5">
        <v>0</v>
      </c>
      <c r="R238" s="5">
        <v>1008960</v>
      </c>
      <c r="S238" s="5" t="s">
        <v>33</v>
      </c>
      <c r="T238" s="5">
        <v>0</v>
      </c>
      <c r="U238" s="5">
        <v>-10.35</v>
      </c>
      <c r="V238" s="5" t="s">
        <v>34</v>
      </c>
      <c r="W238" s="5">
        <v>2</v>
      </c>
      <c r="X238" s="5">
        <v>1187444357250</v>
      </c>
      <c r="Y238" s="7">
        <v>46003</v>
      </c>
      <c r="Z238" s="7">
        <v>46000</v>
      </c>
      <c r="AB238" s="6">
        <v>46003</v>
      </c>
      <c r="AC238" s="7">
        <v>46003.500694444447</v>
      </c>
      <c r="AD238" s="5">
        <v>29131008960</v>
      </c>
      <c r="AE238" s="8">
        <v>46000</v>
      </c>
      <c r="AF238" s="5" t="s">
        <v>143</v>
      </c>
      <c r="AG238" s="5" t="s">
        <v>38</v>
      </c>
      <c r="AH238" s="5" t="s">
        <v>144</v>
      </c>
      <c r="AI238" s="6">
        <v>46000</v>
      </c>
      <c r="AJ238" s="6">
        <v>46003</v>
      </c>
    </row>
    <row r="239" spans="1:38" hidden="1" x14ac:dyDescent="0.55000000000000004">
      <c r="A239">
        <v>2913</v>
      </c>
      <c r="B239">
        <v>1009046</v>
      </c>
      <c r="C239" s="1">
        <v>-2308.5</v>
      </c>
      <c r="E239" s="1">
        <v>-2308.5</v>
      </c>
      <c r="G239" s="1">
        <v>-2308.5</v>
      </c>
      <c r="H239" s="1"/>
      <c r="I239" s="1"/>
      <c r="J239" s="2">
        <v>46003</v>
      </c>
      <c r="K239" s="5">
        <v>1009046</v>
      </c>
      <c r="L239" s="5">
        <v>2913</v>
      </c>
      <c r="M239" s="5">
        <v>0</v>
      </c>
      <c r="N239" s="5">
        <v>-2308.5</v>
      </c>
      <c r="O239" s="7">
        <v>46000</v>
      </c>
      <c r="P239" s="5">
        <v>-2308.5</v>
      </c>
      <c r="Q239" s="5">
        <v>0</v>
      </c>
      <c r="R239" s="5">
        <v>1009046</v>
      </c>
      <c r="S239" s="5" t="s">
        <v>33</v>
      </c>
      <c r="T239" s="5">
        <v>0</v>
      </c>
      <c r="U239" s="5">
        <v>-2308.5</v>
      </c>
      <c r="V239" s="5" t="s">
        <v>34</v>
      </c>
      <c r="W239" s="5">
        <v>2</v>
      </c>
      <c r="X239" s="5">
        <v>1187444357250</v>
      </c>
      <c r="Y239" s="7">
        <v>46003</v>
      </c>
      <c r="Z239" s="7">
        <v>46000</v>
      </c>
      <c r="AB239" s="6">
        <v>46003</v>
      </c>
      <c r="AC239" s="7">
        <v>46003.500694444447</v>
      </c>
      <c r="AD239" s="5">
        <v>29131009046</v>
      </c>
      <c r="AE239" s="8">
        <v>46000</v>
      </c>
      <c r="AF239" s="5" t="s">
        <v>145</v>
      </c>
      <c r="AG239" s="5" t="s">
        <v>38</v>
      </c>
      <c r="AH239" s="5" t="s">
        <v>146</v>
      </c>
      <c r="AI239" s="6">
        <v>46000</v>
      </c>
      <c r="AJ239" s="6">
        <v>46003</v>
      </c>
    </row>
    <row r="240" spans="1:38" hidden="1" x14ac:dyDescent="0.55000000000000004">
      <c r="A240">
        <v>2913</v>
      </c>
      <c r="B240">
        <v>1009047</v>
      </c>
      <c r="C240">
        <v>-5</v>
      </c>
      <c r="E240">
        <v>-5</v>
      </c>
      <c r="G240">
        <v>-5</v>
      </c>
      <c r="H240"/>
      <c r="I240"/>
      <c r="J240" s="2">
        <v>46003</v>
      </c>
      <c r="K240" s="5">
        <v>1009047</v>
      </c>
      <c r="L240" s="5">
        <v>2913</v>
      </c>
      <c r="M240" s="5">
        <v>0</v>
      </c>
      <c r="N240" s="5">
        <v>-5</v>
      </c>
      <c r="O240" s="7">
        <v>46000</v>
      </c>
      <c r="P240" s="5">
        <v>-5</v>
      </c>
      <c r="Q240" s="5">
        <v>0</v>
      </c>
      <c r="R240" s="5">
        <v>1009047</v>
      </c>
      <c r="S240" s="5" t="s">
        <v>33</v>
      </c>
      <c r="T240" s="5">
        <v>0</v>
      </c>
      <c r="U240" s="5">
        <v>-5</v>
      </c>
      <c r="V240" s="5" t="s">
        <v>34</v>
      </c>
      <c r="W240" s="5">
        <v>2</v>
      </c>
      <c r="X240" s="5">
        <v>1187444357250</v>
      </c>
      <c r="Y240" s="7">
        <v>46003</v>
      </c>
      <c r="Z240" s="7">
        <v>46000</v>
      </c>
      <c r="AB240" s="6">
        <v>46003</v>
      </c>
      <c r="AC240" s="7">
        <v>46003.500694444447</v>
      </c>
      <c r="AD240" s="5">
        <v>29131009047</v>
      </c>
      <c r="AE240" s="8">
        <v>46000</v>
      </c>
      <c r="AF240" s="5" t="s">
        <v>147</v>
      </c>
      <c r="AG240" s="5" t="s">
        <v>38</v>
      </c>
      <c r="AH240" s="5" t="s">
        <v>148</v>
      </c>
      <c r="AI240" s="6">
        <v>46000</v>
      </c>
      <c r="AJ240" s="6">
        <v>46003</v>
      </c>
    </row>
    <row r="241" spans="1:38" x14ac:dyDescent="0.55000000000000004">
      <c r="A241">
        <v>2941</v>
      </c>
      <c r="B241">
        <v>1007230</v>
      </c>
      <c r="C241">
        <v>374.1</v>
      </c>
      <c r="D241" s="4">
        <v>7.48</v>
      </c>
      <c r="E241">
        <v>366.62</v>
      </c>
      <c r="F241">
        <v>3.74</v>
      </c>
      <c r="G241">
        <v>362.88</v>
      </c>
      <c r="H241" s="14">
        <f t="shared" ref="H241:H242" si="114">C241-D241-F241</f>
        <v>362.88</v>
      </c>
      <c r="I241" s="14" t="b">
        <f t="shared" ref="I241:I242" si="115">G241=H241</f>
        <v>1</v>
      </c>
      <c r="J241" s="2">
        <v>46003</v>
      </c>
      <c r="K241" s="5">
        <v>1007230</v>
      </c>
      <c r="L241" s="5">
        <v>2941</v>
      </c>
      <c r="M241" s="5">
        <v>7.48</v>
      </c>
      <c r="N241" s="5">
        <v>374.1</v>
      </c>
      <c r="O241" s="7">
        <v>45992</v>
      </c>
      <c r="P241" s="5">
        <v>366.62</v>
      </c>
      <c r="Q241" s="5">
        <v>7.48</v>
      </c>
      <c r="R241" s="5" t="s">
        <v>32</v>
      </c>
      <c r="S241" s="5" t="s">
        <v>33</v>
      </c>
      <c r="T241" s="5">
        <v>3.74</v>
      </c>
      <c r="U241" s="5">
        <v>362.88</v>
      </c>
      <c r="V241" s="5" t="s">
        <v>34</v>
      </c>
      <c r="W241" s="5">
        <v>2</v>
      </c>
      <c r="X241" s="5">
        <v>8867255699335</v>
      </c>
      <c r="Y241" s="7">
        <v>46003</v>
      </c>
      <c r="Z241" s="7">
        <v>45992</v>
      </c>
      <c r="AB241" s="6">
        <v>46003</v>
      </c>
      <c r="AC241" s="7">
        <v>46002.556944444441</v>
      </c>
      <c r="AD241" s="5">
        <v>29411007230</v>
      </c>
      <c r="AE241" s="8">
        <v>45992</v>
      </c>
      <c r="AF241" s="5" t="s">
        <v>149</v>
      </c>
      <c r="AG241" s="5" t="s">
        <v>37</v>
      </c>
      <c r="AH241" s="5">
        <v>205709</v>
      </c>
      <c r="AI241" s="6">
        <v>45992</v>
      </c>
      <c r="AJ241" s="6">
        <v>46003</v>
      </c>
      <c r="AK241" s="1">
        <f t="shared" ref="AK241:AK242" si="116">0.02*C241</f>
        <v>7.4820000000000002</v>
      </c>
    </row>
    <row r="242" spans="1:38" x14ac:dyDescent="0.55000000000000004">
      <c r="A242">
        <v>2941</v>
      </c>
      <c r="B242">
        <v>1007428</v>
      </c>
      <c r="C242">
        <v>38.04</v>
      </c>
      <c r="D242" s="4">
        <v>0.76</v>
      </c>
      <c r="E242">
        <v>37.28</v>
      </c>
      <c r="F242">
        <v>0.38</v>
      </c>
      <c r="G242">
        <v>36.9</v>
      </c>
      <c r="H242" s="14">
        <f t="shared" si="114"/>
        <v>36.9</v>
      </c>
      <c r="I242" s="14" t="b">
        <f t="shared" si="115"/>
        <v>1</v>
      </c>
      <c r="J242" s="2">
        <v>46003</v>
      </c>
      <c r="K242" s="5">
        <v>1007428</v>
      </c>
      <c r="L242" s="5">
        <v>2941</v>
      </c>
      <c r="M242" s="5">
        <v>0.76</v>
      </c>
      <c r="N242" s="5">
        <v>38.04</v>
      </c>
      <c r="O242" s="7">
        <v>45992</v>
      </c>
      <c r="P242" s="5">
        <v>37.28</v>
      </c>
      <c r="Q242" s="5">
        <v>0.76</v>
      </c>
      <c r="R242" s="5" t="s">
        <v>32</v>
      </c>
      <c r="S242" s="5" t="s">
        <v>33</v>
      </c>
      <c r="T242" s="5">
        <v>0.38</v>
      </c>
      <c r="U242" s="5">
        <v>36.9</v>
      </c>
      <c r="V242" s="5" t="s">
        <v>34</v>
      </c>
      <c r="W242" s="5">
        <v>2</v>
      </c>
      <c r="X242" s="5">
        <v>8867255699335</v>
      </c>
      <c r="Y242" s="7">
        <v>46003</v>
      </c>
      <c r="Z242" s="7">
        <v>45992</v>
      </c>
      <c r="AB242" s="6">
        <v>46003</v>
      </c>
      <c r="AC242" s="7">
        <v>46002.556944444441</v>
      </c>
      <c r="AD242" s="5">
        <v>29411007428</v>
      </c>
      <c r="AE242" s="8">
        <v>45992</v>
      </c>
      <c r="AF242" s="5" t="s">
        <v>150</v>
      </c>
      <c r="AG242" s="5" t="s">
        <v>37</v>
      </c>
      <c r="AH242" s="5">
        <v>205947</v>
      </c>
      <c r="AI242" s="6">
        <v>45992</v>
      </c>
      <c r="AJ242" s="6">
        <v>46003</v>
      </c>
      <c r="AK242" s="1">
        <f t="shared" si="116"/>
        <v>0.76080000000000003</v>
      </c>
    </row>
    <row r="243" spans="1:38" hidden="1" x14ac:dyDescent="0.55000000000000004">
      <c r="A243">
        <v>2941</v>
      </c>
      <c r="B243">
        <v>1007637</v>
      </c>
      <c r="C243" s="1">
        <v>3990</v>
      </c>
      <c r="E243" s="1">
        <v>3990</v>
      </c>
      <c r="F243">
        <v>39.9</v>
      </c>
      <c r="G243" s="1">
        <v>3950.1</v>
      </c>
      <c r="H243" s="1"/>
      <c r="I243" s="1"/>
      <c r="J243" s="2">
        <v>46003</v>
      </c>
      <c r="K243" s="5">
        <v>1007637</v>
      </c>
      <c r="L243" s="5">
        <v>2941</v>
      </c>
      <c r="M243" s="5">
        <v>0</v>
      </c>
      <c r="N243" s="5">
        <v>3990</v>
      </c>
      <c r="O243" s="7">
        <v>45993</v>
      </c>
      <c r="P243" s="5">
        <v>3990</v>
      </c>
      <c r="Q243" s="5">
        <v>0</v>
      </c>
      <c r="R243" s="5" t="s">
        <v>32</v>
      </c>
      <c r="S243" s="5" t="s">
        <v>33</v>
      </c>
      <c r="T243" s="5">
        <v>39.9</v>
      </c>
      <c r="U243" s="5">
        <v>3950.1</v>
      </c>
      <c r="V243" s="5" t="s">
        <v>34</v>
      </c>
      <c r="W243" s="5">
        <v>2</v>
      </c>
      <c r="X243" s="5">
        <v>8867255699335</v>
      </c>
      <c r="Y243" s="7">
        <v>46003</v>
      </c>
      <c r="Z243" s="7">
        <v>45993</v>
      </c>
      <c r="AB243" s="6">
        <v>46003</v>
      </c>
      <c r="AC243" s="7">
        <v>46002.556944444441</v>
      </c>
      <c r="AD243" s="5">
        <v>29411007637</v>
      </c>
      <c r="AE243" s="8">
        <v>45993</v>
      </c>
      <c r="AF243" s="5" t="s">
        <v>32</v>
      </c>
      <c r="AG243" s="5" t="s">
        <v>35</v>
      </c>
      <c r="AH243" s="5" t="s">
        <v>32</v>
      </c>
      <c r="AI243" s="6">
        <v>45993</v>
      </c>
      <c r="AJ243" s="6">
        <v>46003</v>
      </c>
    </row>
    <row r="244" spans="1:38" x14ac:dyDescent="0.55000000000000004">
      <c r="A244">
        <v>2941</v>
      </c>
      <c r="B244">
        <v>1008110</v>
      </c>
      <c r="C244">
        <v>138.1</v>
      </c>
      <c r="D244" s="4">
        <v>2.76</v>
      </c>
      <c r="E244">
        <v>135.34</v>
      </c>
      <c r="F244">
        <v>1.38</v>
      </c>
      <c r="G244">
        <v>133.96</v>
      </c>
      <c r="H244" s="14">
        <f t="shared" ref="H244:H250" si="117">C244-D244-F244</f>
        <v>133.96</v>
      </c>
      <c r="I244" s="14" t="b">
        <f t="shared" ref="I244:I250" si="118">G244=H244</f>
        <v>1</v>
      </c>
      <c r="J244" s="2">
        <v>46003</v>
      </c>
      <c r="K244" s="5">
        <v>1008110</v>
      </c>
      <c r="L244" s="5">
        <v>2941</v>
      </c>
      <c r="M244" s="5">
        <v>2.76</v>
      </c>
      <c r="N244" s="5">
        <v>138.1</v>
      </c>
      <c r="O244" s="7">
        <v>45995</v>
      </c>
      <c r="P244" s="5">
        <v>135.34</v>
      </c>
      <c r="Q244" s="5">
        <v>2.76</v>
      </c>
      <c r="R244" s="5" t="s">
        <v>32</v>
      </c>
      <c r="S244" s="5" t="s">
        <v>33</v>
      </c>
      <c r="T244" s="5">
        <v>1.38</v>
      </c>
      <c r="U244" s="5">
        <v>133.96</v>
      </c>
      <c r="V244" s="5" t="s">
        <v>34</v>
      </c>
      <c r="W244" s="5">
        <v>2</v>
      </c>
      <c r="X244" s="5">
        <v>8867255699335</v>
      </c>
      <c r="Y244" s="7">
        <v>46003</v>
      </c>
      <c r="Z244" s="7">
        <v>45995</v>
      </c>
      <c r="AB244" s="6">
        <v>46003</v>
      </c>
      <c r="AC244" s="7">
        <v>46002.556944444441</v>
      </c>
      <c r="AD244" s="5">
        <v>29411008110</v>
      </c>
      <c r="AE244" s="8">
        <v>45995</v>
      </c>
      <c r="AF244" s="5" t="s">
        <v>151</v>
      </c>
      <c r="AG244" s="5" t="s">
        <v>37</v>
      </c>
      <c r="AH244" s="5">
        <v>206373</v>
      </c>
      <c r="AI244" s="6">
        <v>45995</v>
      </c>
      <c r="AJ244" s="6">
        <v>46003</v>
      </c>
      <c r="AK244" s="1">
        <f t="shared" ref="AK244:AK245" si="119">0.02*C244</f>
        <v>2.762</v>
      </c>
    </row>
    <row r="245" spans="1:38" x14ac:dyDescent="0.55000000000000004">
      <c r="A245">
        <v>2941</v>
      </c>
      <c r="B245">
        <v>1008118</v>
      </c>
      <c r="C245">
        <v>35.1</v>
      </c>
      <c r="D245" s="4">
        <v>0.7</v>
      </c>
      <c r="E245">
        <v>34.4</v>
      </c>
      <c r="F245">
        <v>0.35</v>
      </c>
      <c r="G245">
        <v>34.049999999999997</v>
      </c>
      <c r="H245" s="14">
        <f t="shared" si="117"/>
        <v>34.049999999999997</v>
      </c>
      <c r="I245" s="14" t="b">
        <f t="shared" si="118"/>
        <v>1</v>
      </c>
      <c r="J245" s="2">
        <v>46003</v>
      </c>
      <c r="K245" s="5">
        <v>1008118</v>
      </c>
      <c r="L245" s="5">
        <v>2941</v>
      </c>
      <c r="M245" s="5">
        <v>0.7</v>
      </c>
      <c r="N245" s="5">
        <v>35.1</v>
      </c>
      <c r="O245" s="7">
        <v>45995</v>
      </c>
      <c r="P245" s="5">
        <v>34.4</v>
      </c>
      <c r="Q245" s="5">
        <v>0.7</v>
      </c>
      <c r="R245" s="5" t="s">
        <v>32</v>
      </c>
      <c r="S245" s="5" t="s">
        <v>33</v>
      </c>
      <c r="T245" s="5">
        <v>0.35</v>
      </c>
      <c r="U245" s="5">
        <v>34.049999999999997</v>
      </c>
      <c r="V245" s="5" t="s">
        <v>34</v>
      </c>
      <c r="W245" s="5">
        <v>2</v>
      </c>
      <c r="X245" s="5">
        <v>8867255699335</v>
      </c>
      <c r="Y245" s="7">
        <v>46003</v>
      </c>
      <c r="Z245" s="7">
        <v>45995</v>
      </c>
      <c r="AB245" s="6">
        <v>46003</v>
      </c>
      <c r="AC245" s="7">
        <v>46002.556944444441</v>
      </c>
      <c r="AD245" s="5">
        <v>29411008118</v>
      </c>
      <c r="AE245" s="8">
        <v>45995</v>
      </c>
      <c r="AF245" s="5" t="s">
        <v>150</v>
      </c>
      <c r="AG245" s="5" t="s">
        <v>37</v>
      </c>
      <c r="AH245" s="5">
        <v>206372</v>
      </c>
      <c r="AI245" s="6">
        <v>45995</v>
      </c>
      <c r="AJ245" s="6">
        <v>46003</v>
      </c>
      <c r="AK245" s="1">
        <f t="shared" si="119"/>
        <v>0.70200000000000007</v>
      </c>
    </row>
    <row r="246" spans="1:38" x14ac:dyDescent="0.55000000000000004">
      <c r="A246">
        <v>2941</v>
      </c>
      <c r="B246">
        <v>1008317</v>
      </c>
      <c r="C246">
        <v>335.17</v>
      </c>
      <c r="D246" s="4">
        <v>3.35</v>
      </c>
      <c r="E246">
        <v>331.82</v>
      </c>
      <c r="F246">
        <v>3.35</v>
      </c>
      <c r="G246">
        <v>328.47</v>
      </c>
      <c r="H246" s="14">
        <f t="shared" si="117"/>
        <v>328.46999999999997</v>
      </c>
      <c r="I246" s="14" t="b">
        <f t="shared" si="118"/>
        <v>1</v>
      </c>
      <c r="J246" s="2">
        <v>46003</v>
      </c>
      <c r="K246" s="5">
        <v>1008317</v>
      </c>
      <c r="L246" s="5">
        <v>2941</v>
      </c>
      <c r="M246" s="5">
        <v>3.35</v>
      </c>
      <c r="N246" s="5">
        <v>335.17</v>
      </c>
      <c r="O246" s="7">
        <v>45996</v>
      </c>
      <c r="P246" s="5">
        <v>331.82</v>
      </c>
      <c r="Q246" s="5">
        <v>3.35</v>
      </c>
      <c r="R246" s="5">
        <v>1067962</v>
      </c>
      <c r="S246" s="5" t="s">
        <v>152</v>
      </c>
      <c r="T246" s="5">
        <v>3.35</v>
      </c>
      <c r="U246" s="5">
        <v>328.47</v>
      </c>
      <c r="V246" s="5" t="s">
        <v>34</v>
      </c>
      <c r="W246" s="5">
        <v>2</v>
      </c>
      <c r="X246" s="5">
        <v>8867255699335</v>
      </c>
      <c r="Y246" s="7">
        <v>46003</v>
      </c>
      <c r="Z246" s="7">
        <v>45996</v>
      </c>
      <c r="AB246" s="6">
        <v>46003</v>
      </c>
      <c r="AC246" s="7">
        <v>46002.556944444441</v>
      </c>
      <c r="AD246" s="5">
        <v>29411008317</v>
      </c>
      <c r="AE246" s="8">
        <v>45996</v>
      </c>
      <c r="AF246" s="5" t="s">
        <v>153</v>
      </c>
      <c r="AG246" s="5" t="s">
        <v>154</v>
      </c>
      <c r="AH246" s="5">
        <v>1067962</v>
      </c>
      <c r="AI246" s="6">
        <v>45996</v>
      </c>
      <c r="AJ246" s="6">
        <v>46003</v>
      </c>
    </row>
    <row r="247" spans="1:38" x14ac:dyDescent="0.55000000000000004">
      <c r="A247">
        <v>2941</v>
      </c>
      <c r="B247">
        <v>1008318</v>
      </c>
      <c r="C247" s="1">
        <v>1003.53</v>
      </c>
      <c r="D247" s="4">
        <v>10.039999999999999</v>
      </c>
      <c r="E247">
        <v>993.49</v>
      </c>
      <c r="F247">
        <v>10.039999999999999</v>
      </c>
      <c r="G247">
        <v>983.45</v>
      </c>
      <c r="H247" s="14">
        <f t="shared" si="117"/>
        <v>983.45</v>
      </c>
      <c r="I247" s="14" t="b">
        <f t="shared" si="118"/>
        <v>1</v>
      </c>
      <c r="J247" s="2">
        <v>46003</v>
      </c>
      <c r="K247" s="5">
        <v>1008318</v>
      </c>
      <c r="L247" s="5">
        <v>2941</v>
      </c>
      <c r="M247" s="5">
        <v>10.039999999999999</v>
      </c>
      <c r="N247" s="5">
        <v>1003.53</v>
      </c>
      <c r="O247" s="7">
        <v>45996</v>
      </c>
      <c r="P247" s="5">
        <v>993.49</v>
      </c>
      <c r="Q247" s="5">
        <v>10.039999999999999</v>
      </c>
      <c r="R247" s="5">
        <v>1067947</v>
      </c>
      <c r="S247" s="5" t="s">
        <v>152</v>
      </c>
      <c r="T247" s="5">
        <v>10.039999999999999</v>
      </c>
      <c r="U247" s="5">
        <v>983.45</v>
      </c>
      <c r="V247" s="5" t="s">
        <v>34</v>
      </c>
      <c r="W247" s="5">
        <v>2</v>
      </c>
      <c r="X247" s="5">
        <v>8867255699335</v>
      </c>
      <c r="Y247" s="7">
        <v>46003</v>
      </c>
      <c r="Z247" s="7">
        <v>45996</v>
      </c>
      <c r="AB247" s="6">
        <v>46003</v>
      </c>
      <c r="AC247" s="7">
        <v>46002.556944444441</v>
      </c>
      <c r="AD247" s="5">
        <v>29411008318</v>
      </c>
      <c r="AE247" s="8">
        <v>45996</v>
      </c>
      <c r="AF247" s="5" t="s">
        <v>155</v>
      </c>
      <c r="AG247" s="5" t="s">
        <v>154</v>
      </c>
      <c r="AH247" s="5">
        <v>1067947</v>
      </c>
      <c r="AI247" s="6">
        <v>45996</v>
      </c>
      <c r="AJ247" s="6">
        <v>46003</v>
      </c>
    </row>
    <row r="248" spans="1:38" x14ac:dyDescent="0.55000000000000004">
      <c r="A248">
        <v>2941</v>
      </c>
      <c r="B248">
        <v>1008412</v>
      </c>
      <c r="C248">
        <v>44.2</v>
      </c>
      <c r="D248" s="4">
        <v>0.88</v>
      </c>
      <c r="E248">
        <v>43.32</v>
      </c>
      <c r="F248">
        <v>0.44</v>
      </c>
      <c r="G248">
        <v>42.88</v>
      </c>
      <c r="H248" s="14">
        <f t="shared" si="117"/>
        <v>42.88</v>
      </c>
      <c r="I248" s="14" t="b">
        <f t="shared" si="118"/>
        <v>1</v>
      </c>
      <c r="J248" s="2">
        <v>46003</v>
      </c>
      <c r="K248" s="5">
        <v>1008412</v>
      </c>
      <c r="L248" s="5">
        <v>2941</v>
      </c>
      <c r="M248" s="5">
        <v>0.88</v>
      </c>
      <c r="N248" s="5">
        <v>44.2</v>
      </c>
      <c r="O248" s="7">
        <v>45996</v>
      </c>
      <c r="P248" s="5">
        <v>43.32</v>
      </c>
      <c r="Q248" s="5">
        <v>0.88</v>
      </c>
      <c r="R248" s="5" t="s">
        <v>32</v>
      </c>
      <c r="S248" s="5" t="s">
        <v>33</v>
      </c>
      <c r="T248" s="5">
        <v>0.44</v>
      </c>
      <c r="U248" s="5">
        <v>42.88</v>
      </c>
      <c r="V248" s="5" t="s">
        <v>34</v>
      </c>
      <c r="W248" s="5">
        <v>2</v>
      </c>
      <c r="X248" s="5">
        <v>8867255699335</v>
      </c>
      <c r="Y248" s="7">
        <v>46003</v>
      </c>
      <c r="Z248" s="7">
        <v>45996</v>
      </c>
      <c r="AB248" s="6">
        <v>46003</v>
      </c>
      <c r="AC248" s="7">
        <v>46002.556944444441</v>
      </c>
      <c r="AD248" s="5">
        <v>29411008412</v>
      </c>
      <c r="AE248" s="8">
        <v>45996</v>
      </c>
      <c r="AF248" s="5" t="s">
        <v>150</v>
      </c>
      <c r="AG248" s="5" t="s">
        <v>37</v>
      </c>
      <c r="AH248" s="5">
        <v>206793</v>
      </c>
      <c r="AI248" s="6">
        <v>45996</v>
      </c>
      <c r="AJ248" s="6">
        <v>46003</v>
      </c>
      <c r="AK248" s="1">
        <f t="shared" ref="AK248:AK250" si="120">0.02*C248</f>
        <v>0.88400000000000012</v>
      </c>
    </row>
    <row r="249" spans="1:38" x14ac:dyDescent="0.55000000000000004">
      <c r="A249">
        <v>2941</v>
      </c>
      <c r="B249">
        <v>1008549</v>
      </c>
      <c r="C249">
        <v>171.6</v>
      </c>
      <c r="D249" s="4">
        <v>3.43</v>
      </c>
      <c r="E249">
        <v>168.17</v>
      </c>
      <c r="F249">
        <v>1.72</v>
      </c>
      <c r="G249">
        <v>166.45</v>
      </c>
      <c r="H249" s="14">
        <f t="shared" si="117"/>
        <v>166.45</v>
      </c>
      <c r="I249" s="14" t="b">
        <f t="shared" si="118"/>
        <v>1</v>
      </c>
      <c r="J249" s="2">
        <v>46003</v>
      </c>
      <c r="K249" s="5">
        <v>1008549</v>
      </c>
      <c r="L249" s="5">
        <v>2941</v>
      </c>
      <c r="M249" s="5">
        <v>3.43</v>
      </c>
      <c r="N249" s="5">
        <v>171.6</v>
      </c>
      <c r="O249" s="7">
        <v>45996</v>
      </c>
      <c r="P249" s="5">
        <v>168.17</v>
      </c>
      <c r="Q249" s="5">
        <v>3.43</v>
      </c>
      <c r="R249" s="5" t="s">
        <v>32</v>
      </c>
      <c r="S249" s="5" t="s">
        <v>33</v>
      </c>
      <c r="T249" s="5">
        <v>1.72</v>
      </c>
      <c r="U249" s="5">
        <v>166.45</v>
      </c>
      <c r="V249" s="5" t="s">
        <v>34</v>
      </c>
      <c r="W249" s="5">
        <v>2</v>
      </c>
      <c r="X249" s="5">
        <v>8867255699335</v>
      </c>
      <c r="Y249" s="7">
        <v>46003</v>
      </c>
      <c r="Z249" s="7">
        <v>45996</v>
      </c>
      <c r="AB249" s="6">
        <v>46003</v>
      </c>
      <c r="AC249" s="7">
        <v>46002.556944444441</v>
      </c>
      <c r="AD249" s="5">
        <v>29411008549</v>
      </c>
      <c r="AE249" s="8">
        <v>45996</v>
      </c>
      <c r="AF249" s="5" t="s">
        <v>156</v>
      </c>
      <c r="AG249" s="5" t="s">
        <v>37</v>
      </c>
      <c r="AH249" s="5">
        <v>206582</v>
      </c>
      <c r="AI249" s="6">
        <v>45996</v>
      </c>
      <c r="AJ249" s="6">
        <v>46003</v>
      </c>
      <c r="AK249" s="1">
        <f t="shared" si="120"/>
        <v>3.4319999999999999</v>
      </c>
    </row>
    <row r="250" spans="1:38" x14ac:dyDescent="0.55000000000000004">
      <c r="A250">
        <v>2941</v>
      </c>
      <c r="B250">
        <v>1008553</v>
      </c>
      <c r="C250">
        <v>285.56</v>
      </c>
      <c r="D250" s="4">
        <v>5.71</v>
      </c>
      <c r="E250">
        <v>279.85000000000002</v>
      </c>
      <c r="F250">
        <v>2.86</v>
      </c>
      <c r="G250">
        <v>276.99</v>
      </c>
      <c r="H250" s="14">
        <f t="shared" si="117"/>
        <v>276.99</v>
      </c>
      <c r="I250" s="14" t="b">
        <f t="shared" si="118"/>
        <v>1</v>
      </c>
      <c r="J250" s="2">
        <v>46003</v>
      </c>
      <c r="K250" s="5">
        <v>1008553</v>
      </c>
      <c r="L250" s="5">
        <v>2941</v>
      </c>
      <c r="M250" s="5">
        <v>5.71</v>
      </c>
      <c r="N250" s="5">
        <v>285.56</v>
      </c>
      <c r="O250" s="7">
        <v>45996</v>
      </c>
      <c r="P250" s="5">
        <v>279.85000000000002</v>
      </c>
      <c r="Q250" s="5">
        <v>5.71</v>
      </c>
      <c r="R250" s="5" t="s">
        <v>32</v>
      </c>
      <c r="S250" s="5" t="s">
        <v>33</v>
      </c>
      <c r="T250" s="5">
        <v>2.86</v>
      </c>
      <c r="U250" s="5">
        <v>276.99</v>
      </c>
      <c r="V250" s="5" t="s">
        <v>34</v>
      </c>
      <c r="W250" s="5">
        <v>2</v>
      </c>
      <c r="X250" s="5">
        <v>8867255699335</v>
      </c>
      <c r="Y250" s="7">
        <v>46003</v>
      </c>
      <c r="Z250" s="7">
        <v>45996</v>
      </c>
      <c r="AB250" s="6">
        <v>46003</v>
      </c>
      <c r="AC250" s="7">
        <v>46002.556944444441</v>
      </c>
      <c r="AD250" s="5">
        <v>29411008553</v>
      </c>
      <c r="AE250" s="8">
        <v>45996</v>
      </c>
      <c r="AF250" s="5" t="s">
        <v>149</v>
      </c>
      <c r="AG250" s="5" t="s">
        <v>37</v>
      </c>
      <c r="AH250" s="5">
        <v>206583</v>
      </c>
      <c r="AI250" s="6">
        <v>45996</v>
      </c>
      <c r="AJ250" s="6">
        <v>46003</v>
      </c>
      <c r="AK250" s="1">
        <f t="shared" si="120"/>
        <v>5.7111999999999998</v>
      </c>
    </row>
    <row r="251" spans="1:38" hidden="1" x14ac:dyDescent="0.55000000000000004">
      <c r="A251">
        <v>2948</v>
      </c>
      <c r="B251">
        <v>995675</v>
      </c>
      <c r="C251">
        <v>874.04</v>
      </c>
      <c r="E251">
        <v>874.04</v>
      </c>
      <c r="G251">
        <v>874.04</v>
      </c>
      <c r="H251"/>
      <c r="I251"/>
      <c r="J251" s="2">
        <v>46003</v>
      </c>
      <c r="K251" s="5">
        <v>995675</v>
      </c>
      <c r="L251" s="5">
        <v>2948</v>
      </c>
      <c r="M251" s="5">
        <v>0</v>
      </c>
      <c r="N251" s="5">
        <v>874.04</v>
      </c>
      <c r="O251" s="7">
        <v>45938</v>
      </c>
      <c r="P251" s="5">
        <v>874.04</v>
      </c>
      <c r="Q251" s="5">
        <v>0</v>
      </c>
      <c r="R251" s="5" t="s">
        <v>32</v>
      </c>
      <c r="S251" s="5" t="s">
        <v>33</v>
      </c>
      <c r="T251" s="5">
        <v>0</v>
      </c>
      <c r="U251" s="5">
        <v>874.04</v>
      </c>
      <c r="V251" s="5" t="s">
        <v>34</v>
      </c>
      <c r="W251" s="5">
        <v>2</v>
      </c>
      <c r="X251" s="5">
        <v>3080223843337</v>
      </c>
      <c r="Y251" s="7">
        <v>46003</v>
      </c>
      <c r="Z251" s="7">
        <v>45938</v>
      </c>
      <c r="AB251" s="6">
        <v>46003</v>
      </c>
      <c r="AC251" s="7">
        <v>46003.340277777781</v>
      </c>
      <c r="AD251" s="5">
        <v>2948995675</v>
      </c>
      <c r="AE251" s="8">
        <v>45938</v>
      </c>
      <c r="AF251" s="5" t="s">
        <v>160</v>
      </c>
      <c r="AG251" s="5" t="s">
        <v>161</v>
      </c>
      <c r="AH251" s="5">
        <v>196285</v>
      </c>
      <c r="AI251" s="6">
        <v>45938</v>
      </c>
      <c r="AJ251" s="6">
        <v>46003</v>
      </c>
    </row>
    <row r="252" spans="1:38" hidden="1" x14ac:dyDescent="0.55000000000000004">
      <c r="A252">
        <v>2948</v>
      </c>
      <c r="B252">
        <v>995864</v>
      </c>
      <c r="C252">
        <v>150</v>
      </c>
      <c r="E252">
        <v>150</v>
      </c>
      <c r="G252">
        <v>150</v>
      </c>
      <c r="H252"/>
      <c r="I252"/>
      <c r="J252" s="2">
        <v>46003</v>
      </c>
      <c r="K252" s="5">
        <v>995864</v>
      </c>
      <c r="L252" s="5">
        <v>2948</v>
      </c>
      <c r="M252" s="5">
        <v>0</v>
      </c>
      <c r="N252" s="5">
        <v>150</v>
      </c>
      <c r="O252" s="7">
        <v>45939</v>
      </c>
      <c r="P252" s="5">
        <v>150</v>
      </c>
      <c r="Q252" s="5">
        <v>0</v>
      </c>
      <c r="R252" s="5" t="s">
        <v>32</v>
      </c>
      <c r="S252" s="5" t="s">
        <v>33</v>
      </c>
      <c r="T252" s="5">
        <v>0</v>
      </c>
      <c r="U252" s="5">
        <v>150</v>
      </c>
      <c r="V252" s="5" t="s">
        <v>34</v>
      </c>
      <c r="W252" s="5">
        <v>2</v>
      </c>
      <c r="X252" s="5">
        <v>3080223843337</v>
      </c>
      <c r="Y252" s="7">
        <v>46003</v>
      </c>
      <c r="Z252" s="7">
        <v>45939</v>
      </c>
      <c r="AB252" s="6">
        <v>46003</v>
      </c>
      <c r="AC252" s="7">
        <v>46003.340277777781</v>
      </c>
      <c r="AD252" s="5">
        <v>2948995864</v>
      </c>
      <c r="AE252" s="8">
        <v>45939</v>
      </c>
      <c r="AF252" s="5" t="s">
        <v>32</v>
      </c>
      <c r="AG252" s="5" t="s">
        <v>161</v>
      </c>
      <c r="AH252" s="5" t="s">
        <v>32</v>
      </c>
      <c r="AI252" s="6">
        <v>45939</v>
      </c>
      <c r="AJ252" s="6">
        <v>46003</v>
      </c>
    </row>
    <row r="253" spans="1:38" hidden="1" x14ac:dyDescent="0.55000000000000004">
      <c r="A253">
        <v>2948</v>
      </c>
      <c r="B253">
        <v>996688</v>
      </c>
      <c r="C253" s="1">
        <v>1185.18</v>
      </c>
      <c r="E253" s="1">
        <v>1185.18</v>
      </c>
      <c r="G253" s="1">
        <v>1185.18</v>
      </c>
      <c r="H253" s="1"/>
      <c r="I253" s="1"/>
      <c r="J253" s="2">
        <v>46003</v>
      </c>
      <c r="K253" s="5">
        <v>996688</v>
      </c>
      <c r="L253" s="5">
        <v>2948</v>
      </c>
      <c r="M253" s="5">
        <v>0</v>
      </c>
      <c r="N253" s="5">
        <v>1185.18</v>
      </c>
      <c r="O253" s="7">
        <v>45943</v>
      </c>
      <c r="P253" s="5">
        <v>1185.18</v>
      </c>
      <c r="Q253" s="5">
        <v>0</v>
      </c>
      <c r="R253" s="5" t="s">
        <v>32</v>
      </c>
      <c r="S253" s="5" t="s">
        <v>33</v>
      </c>
      <c r="T253" s="5">
        <v>0</v>
      </c>
      <c r="U253" s="5">
        <v>1185.18</v>
      </c>
      <c r="V253" s="5" t="s">
        <v>34</v>
      </c>
      <c r="W253" s="5">
        <v>2</v>
      </c>
      <c r="X253" s="5">
        <v>3080223843337</v>
      </c>
      <c r="Y253" s="7">
        <v>46003</v>
      </c>
      <c r="Z253" s="7">
        <v>45943</v>
      </c>
      <c r="AB253" s="6">
        <v>46003</v>
      </c>
      <c r="AC253" s="7">
        <v>46003.340277777781</v>
      </c>
      <c r="AD253" s="5">
        <v>2948996688</v>
      </c>
      <c r="AE253" s="8">
        <v>45943</v>
      </c>
      <c r="AF253" s="5">
        <v>101125</v>
      </c>
      <c r="AG253" s="5" t="s">
        <v>161</v>
      </c>
      <c r="AH253" s="5">
        <v>197111</v>
      </c>
      <c r="AI253" s="6">
        <v>45943</v>
      </c>
      <c r="AJ253" s="6">
        <v>46003</v>
      </c>
    </row>
    <row r="254" spans="1:38" x14ac:dyDescent="0.55000000000000004">
      <c r="A254">
        <v>2948</v>
      </c>
      <c r="B254">
        <v>996834</v>
      </c>
      <c r="C254" s="1">
        <v>1045.1600000000001</v>
      </c>
      <c r="E254" s="1">
        <v>1045.1600000000001</v>
      </c>
      <c r="G254" s="1">
        <v>1045.1600000000001</v>
      </c>
      <c r="H254" s="14">
        <f>C254-D254-F254</f>
        <v>1045.1600000000001</v>
      </c>
      <c r="I254" s="14" t="b">
        <f>G254=H254</f>
        <v>1</v>
      </c>
      <c r="J254" s="2">
        <v>46003</v>
      </c>
      <c r="K254" s="5">
        <v>996834</v>
      </c>
      <c r="L254" s="5">
        <v>2948</v>
      </c>
      <c r="M254" s="5">
        <v>0</v>
      </c>
      <c r="N254" s="5">
        <v>1045.1600000000001</v>
      </c>
      <c r="O254" s="7">
        <v>45943</v>
      </c>
      <c r="P254" s="5">
        <v>1045.1600000000001</v>
      </c>
      <c r="Q254" s="5">
        <v>0</v>
      </c>
      <c r="R254" s="5" t="s">
        <v>32</v>
      </c>
      <c r="S254" s="5" t="s">
        <v>33</v>
      </c>
      <c r="T254" s="5">
        <v>0</v>
      </c>
      <c r="U254" s="5">
        <v>1045.1600000000001</v>
      </c>
      <c r="V254" s="5" t="s">
        <v>34</v>
      </c>
      <c r="W254" s="5">
        <v>2</v>
      </c>
      <c r="X254" s="5">
        <v>3080223843337</v>
      </c>
      <c r="Y254" s="7">
        <v>46003</v>
      </c>
      <c r="Z254" s="7">
        <v>45943</v>
      </c>
      <c r="AB254" s="6">
        <v>46003</v>
      </c>
      <c r="AC254" s="7">
        <v>46003.340277777781</v>
      </c>
      <c r="AD254" s="5">
        <v>2948996834</v>
      </c>
      <c r="AE254" s="8">
        <v>45943</v>
      </c>
      <c r="AF254" s="5">
        <v>101025</v>
      </c>
      <c r="AG254" s="5" t="s">
        <v>98</v>
      </c>
      <c r="AH254" s="5">
        <v>197050</v>
      </c>
      <c r="AI254" s="6">
        <v>45943</v>
      </c>
      <c r="AJ254" s="6">
        <v>46003</v>
      </c>
      <c r="AK254" s="1">
        <f t="shared" ref="AK254" si="121">0.02*C254</f>
        <v>20.903200000000002</v>
      </c>
      <c r="AL254" t="s">
        <v>673</v>
      </c>
    </row>
    <row r="255" spans="1:38" hidden="1" x14ac:dyDescent="0.55000000000000004">
      <c r="A255">
        <v>2948</v>
      </c>
      <c r="B255">
        <v>996838</v>
      </c>
      <c r="C255">
        <v>138.30000000000001</v>
      </c>
      <c r="E255">
        <v>138.30000000000001</v>
      </c>
      <c r="G255">
        <v>138.30000000000001</v>
      </c>
      <c r="H255"/>
      <c r="I255"/>
      <c r="J255" s="2">
        <v>46003</v>
      </c>
      <c r="K255" s="5">
        <v>996838</v>
      </c>
      <c r="L255" s="5">
        <v>2948</v>
      </c>
      <c r="M255" s="5">
        <v>0</v>
      </c>
      <c r="N255" s="5">
        <v>138.30000000000001</v>
      </c>
      <c r="O255" s="7">
        <v>45943</v>
      </c>
      <c r="P255" s="5">
        <v>138.30000000000001</v>
      </c>
      <c r="Q255" s="5">
        <v>0</v>
      </c>
      <c r="R255" s="5" t="s">
        <v>32</v>
      </c>
      <c r="S255" s="5" t="s">
        <v>33</v>
      </c>
      <c r="T255" s="5">
        <v>0</v>
      </c>
      <c r="U255" s="5">
        <v>138.30000000000001</v>
      </c>
      <c r="V255" s="5" t="s">
        <v>34</v>
      </c>
      <c r="W255" s="5">
        <v>2</v>
      </c>
      <c r="X255" s="5">
        <v>3080223843337</v>
      </c>
      <c r="Y255" s="7">
        <v>46003</v>
      </c>
      <c r="Z255" s="7">
        <v>45943</v>
      </c>
      <c r="AB255" s="6">
        <v>46003</v>
      </c>
      <c r="AC255" s="7">
        <v>46003.340277777781</v>
      </c>
      <c r="AD255" s="5">
        <v>2948996838</v>
      </c>
      <c r="AE255" s="8">
        <v>45943</v>
      </c>
      <c r="AF255" s="5">
        <v>101025</v>
      </c>
      <c r="AG255" s="5" t="s">
        <v>161</v>
      </c>
      <c r="AH255" s="5">
        <v>197051</v>
      </c>
      <c r="AI255" s="6">
        <v>45943</v>
      </c>
      <c r="AJ255" s="6">
        <v>46003</v>
      </c>
    </row>
    <row r="256" spans="1:38" hidden="1" x14ac:dyDescent="0.55000000000000004">
      <c r="A256">
        <v>2948</v>
      </c>
      <c r="B256">
        <v>1008989</v>
      </c>
      <c r="C256">
        <v>-40.5</v>
      </c>
      <c r="E256">
        <v>-40.5</v>
      </c>
      <c r="G256">
        <v>-40.5</v>
      </c>
      <c r="H256"/>
      <c r="I256"/>
      <c r="J256" s="2">
        <v>46003</v>
      </c>
      <c r="K256" s="5">
        <v>1008989</v>
      </c>
      <c r="L256" s="5">
        <v>2948</v>
      </c>
      <c r="M256" s="5">
        <v>0</v>
      </c>
      <c r="N256" s="5">
        <v>-40.5</v>
      </c>
      <c r="O256" s="7">
        <v>46000</v>
      </c>
      <c r="P256" s="5">
        <v>-40.5</v>
      </c>
      <c r="Q256" s="5">
        <v>0</v>
      </c>
      <c r="R256" s="5">
        <v>1008989</v>
      </c>
      <c r="S256" s="5" t="s">
        <v>33</v>
      </c>
      <c r="T256" s="5">
        <v>0</v>
      </c>
      <c r="U256" s="5">
        <v>-40.5</v>
      </c>
      <c r="V256" s="5" t="s">
        <v>34</v>
      </c>
      <c r="W256" s="5">
        <v>2</v>
      </c>
      <c r="X256" s="5">
        <v>3080223843337</v>
      </c>
      <c r="Y256" s="7">
        <v>46003</v>
      </c>
      <c r="Z256" s="7">
        <v>46000</v>
      </c>
      <c r="AB256" s="6">
        <v>46003</v>
      </c>
      <c r="AC256" s="7">
        <v>46003.340277777781</v>
      </c>
      <c r="AD256" s="5">
        <v>29481008989</v>
      </c>
      <c r="AE256" s="8">
        <v>46000</v>
      </c>
      <c r="AF256" s="5">
        <v>399418</v>
      </c>
      <c r="AG256" s="5" t="s">
        <v>38</v>
      </c>
      <c r="AH256" s="5" t="s">
        <v>157</v>
      </c>
      <c r="AI256" s="6">
        <v>46000</v>
      </c>
      <c r="AJ256" s="6">
        <v>46003</v>
      </c>
    </row>
    <row r="257" spans="1:37" hidden="1" x14ac:dyDescent="0.55000000000000004">
      <c r="A257">
        <v>2948</v>
      </c>
      <c r="B257">
        <v>1009000</v>
      </c>
      <c r="C257">
        <v>-56.7</v>
      </c>
      <c r="E257">
        <v>-56.7</v>
      </c>
      <c r="G257">
        <v>-56.7</v>
      </c>
      <c r="H257"/>
      <c r="I257"/>
      <c r="J257" s="2">
        <v>46003</v>
      </c>
      <c r="K257" s="5">
        <v>1009000</v>
      </c>
      <c r="L257" s="5">
        <v>2948</v>
      </c>
      <c r="M257" s="5">
        <v>0</v>
      </c>
      <c r="N257" s="5">
        <v>-56.7</v>
      </c>
      <c r="O257" s="7">
        <v>46000</v>
      </c>
      <c r="P257" s="5">
        <v>-56.7</v>
      </c>
      <c r="Q257" s="5">
        <v>0</v>
      </c>
      <c r="R257" s="5">
        <v>1009000</v>
      </c>
      <c r="S257" s="5" t="s">
        <v>33</v>
      </c>
      <c r="T257" s="5">
        <v>0</v>
      </c>
      <c r="U257" s="5">
        <v>-56.7</v>
      </c>
      <c r="V257" s="5" t="s">
        <v>34</v>
      </c>
      <c r="W257" s="5">
        <v>2</v>
      </c>
      <c r="X257" s="5">
        <v>3080223843337</v>
      </c>
      <c r="Y257" s="7">
        <v>46003</v>
      </c>
      <c r="Z257" s="7">
        <v>46000</v>
      </c>
      <c r="AB257" s="6">
        <v>46003</v>
      </c>
      <c r="AC257" s="7">
        <v>46003.340277777781</v>
      </c>
      <c r="AD257" s="5">
        <v>29481009000</v>
      </c>
      <c r="AE257" s="8">
        <v>46000</v>
      </c>
      <c r="AF257" s="5">
        <v>399522</v>
      </c>
      <c r="AG257" s="5" t="s">
        <v>38</v>
      </c>
      <c r="AH257" s="5" t="s">
        <v>158</v>
      </c>
      <c r="AI257" s="6">
        <v>46000</v>
      </c>
      <c r="AJ257" s="6">
        <v>46003</v>
      </c>
    </row>
    <row r="258" spans="1:37" hidden="1" x14ac:dyDescent="0.55000000000000004">
      <c r="A258">
        <v>2948</v>
      </c>
      <c r="B258">
        <v>1009007</v>
      </c>
      <c r="C258">
        <v>-178.2</v>
      </c>
      <c r="E258">
        <v>-178.2</v>
      </c>
      <c r="G258">
        <v>-178.2</v>
      </c>
      <c r="H258"/>
      <c r="I258"/>
      <c r="J258" s="2">
        <v>46003</v>
      </c>
      <c r="K258" s="5">
        <v>1009007</v>
      </c>
      <c r="L258" s="5">
        <v>2948</v>
      </c>
      <c r="M258" s="5">
        <v>0</v>
      </c>
      <c r="N258" s="5">
        <v>-178.2</v>
      </c>
      <c r="O258" s="7">
        <v>46000</v>
      </c>
      <c r="P258" s="5">
        <v>-178.2</v>
      </c>
      <c r="Q258" s="5">
        <v>0</v>
      </c>
      <c r="R258" s="5">
        <v>1009007</v>
      </c>
      <c r="S258" s="5" t="s">
        <v>33</v>
      </c>
      <c r="T258" s="5">
        <v>0</v>
      </c>
      <c r="U258" s="5">
        <v>-178.2</v>
      </c>
      <c r="V258" s="5" t="s">
        <v>34</v>
      </c>
      <c r="W258" s="5">
        <v>2</v>
      </c>
      <c r="X258" s="5">
        <v>3080223843337</v>
      </c>
      <c r="Y258" s="7">
        <v>46003</v>
      </c>
      <c r="Z258" s="7">
        <v>46000</v>
      </c>
      <c r="AB258" s="6">
        <v>46003</v>
      </c>
      <c r="AC258" s="7">
        <v>46003.340277777781</v>
      </c>
      <c r="AD258" s="5">
        <v>29481009007</v>
      </c>
      <c r="AE258" s="8">
        <v>46000</v>
      </c>
      <c r="AF258" s="5">
        <v>399681</v>
      </c>
      <c r="AG258" s="5" t="s">
        <v>38</v>
      </c>
      <c r="AH258" s="5" t="s">
        <v>159</v>
      </c>
      <c r="AI258" s="6">
        <v>46000</v>
      </c>
      <c r="AJ258" s="6">
        <v>46003</v>
      </c>
    </row>
    <row r="259" spans="1:37" hidden="1" x14ac:dyDescent="0.55000000000000004">
      <c r="A259">
        <v>2948</v>
      </c>
      <c r="B259">
        <v>1009353</v>
      </c>
      <c r="C259">
        <v>-172.89</v>
      </c>
      <c r="E259">
        <v>-172.89</v>
      </c>
      <c r="G259">
        <v>-172.89</v>
      </c>
      <c r="H259"/>
      <c r="I259"/>
      <c r="J259" s="2">
        <v>46003</v>
      </c>
      <c r="K259" s="5">
        <v>1009353</v>
      </c>
      <c r="L259" s="5">
        <v>2948</v>
      </c>
      <c r="M259" s="5">
        <v>0</v>
      </c>
      <c r="N259" s="5">
        <v>-172.89</v>
      </c>
      <c r="O259" s="7">
        <v>46001</v>
      </c>
      <c r="P259" s="5">
        <v>-172.89</v>
      </c>
      <c r="Q259" s="5">
        <v>0</v>
      </c>
      <c r="R259" s="5">
        <v>1009353</v>
      </c>
      <c r="S259" s="5" t="s">
        <v>33</v>
      </c>
      <c r="T259" s="5">
        <v>0</v>
      </c>
      <c r="U259" s="5">
        <v>-172.89</v>
      </c>
      <c r="V259" s="5" t="s">
        <v>34</v>
      </c>
      <c r="W259" s="5">
        <v>2</v>
      </c>
      <c r="X259" s="5">
        <v>3080223843337</v>
      </c>
      <c r="Y259" s="7">
        <v>46003</v>
      </c>
      <c r="Z259" s="7">
        <v>46001</v>
      </c>
      <c r="AB259" s="6">
        <v>46003</v>
      </c>
      <c r="AC259" s="7">
        <v>46003.340277777781</v>
      </c>
      <c r="AD259" s="5">
        <v>29481009353</v>
      </c>
      <c r="AE259" s="8">
        <v>46001</v>
      </c>
      <c r="AF259" s="5" t="s">
        <v>41</v>
      </c>
      <c r="AG259" s="5" t="s">
        <v>38</v>
      </c>
      <c r="AH259" s="5" t="s">
        <v>40</v>
      </c>
      <c r="AI259" s="6">
        <v>46001</v>
      </c>
      <c r="AJ259" s="6">
        <v>46003</v>
      </c>
    </row>
    <row r="260" spans="1:37" hidden="1" x14ac:dyDescent="0.55000000000000004">
      <c r="A260">
        <v>2948</v>
      </c>
      <c r="B260" t="s">
        <v>0</v>
      </c>
      <c r="C260">
        <v>390.73</v>
      </c>
      <c r="E260">
        <v>390.73</v>
      </c>
      <c r="F260">
        <v>3.91</v>
      </c>
      <c r="G260">
        <v>386.82</v>
      </c>
      <c r="H260"/>
      <c r="I260"/>
      <c r="J260" s="2">
        <v>46003</v>
      </c>
      <c r="K260" s="5" t="s">
        <v>0</v>
      </c>
      <c r="L260" s="5">
        <v>2948</v>
      </c>
      <c r="M260" s="5">
        <v>0</v>
      </c>
      <c r="N260" s="5">
        <v>390.73</v>
      </c>
      <c r="O260" s="7">
        <v>45991</v>
      </c>
      <c r="P260" s="5">
        <v>390.73</v>
      </c>
      <c r="Q260" s="5">
        <v>0</v>
      </c>
      <c r="R260" s="5" t="s">
        <v>32</v>
      </c>
      <c r="S260" s="5" t="s">
        <v>33</v>
      </c>
      <c r="T260" s="5">
        <v>3.91</v>
      </c>
      <c r="U260" s="5">
        <v>386.82</v>
      </c>
      <c r="V260" s="5" t="s">
        <v>34</v>
      </c>
      <c r="W260" s="5">
        <v>2</v>
      </c>
      <c r="X260" s="5">
        <v>3080223843337</v>
      </c>
      <c r="Y260" s="7">
        <v>46003</v>
      </c>
      <c r="Z260" s="7">
        <v>45991</v>
      </c>
      <c r="AB260" s="6">
        <v>46003</v>
      </c>
      <c r="AC260" s="7">
        <v>46003.340277777781</v>
      </c>
      <c r="AD260" s="5" t="s">
        <v>162</v>
      </c>
      <c r="AE260" s="8">
        <v>45991</v>
      </c>
      <c r="AF260" s="5" t="s">
        <v>32</v>
      </c>
      <c r="AG260" s="5" t="s">
        <v>82</v>
      </c>
      <c r="AH260" s="5" t="s">
        <v>32</v>
      </c>
      <c r="AI260" s="6">
        <v>45991</v>
      </c>
      <c r="AJ260" s="6">
        <v>46003</v>
      </c>
    </row>
    <row r="261" spans="1:37" x14ac:dyDescent="0.55000000000000004">
      <c r="A261">
        <v>3004</v>
      </c>
      <c r="B261">
        <v>1007198</v>
      </c>
      <c r="C261">
        <v>66.36</v>
      </c>
      <c r="D261" s="4">
        <v>1.33</v>
      </c>
      <c r="E261">
        <v>65.03</v>
      </c>
      <c r="F261">
        <v>0.66</v>
      </c>
      <c r="G261">
        <v>64.37</v>
      </c>
      <c r="H261" s="14">
        <f t="shared" ref="H261:H275" si="122">C261-D261-F261</f>
        <v>64.37</v>
      </c>
      <c r="I261" s="14" t="b">
        <f t="shared" ref="I261:I275" si="123">G261=H261</f>
        <v>1</v>
      </c>
      <c r="J261" s="2">
        <v>46003</v>
      </c>
      <c r="K261" s="5">
        <v>1007198</v>
      </c>
      <c r="L261" s="5">
        <v>3004</v>
      </c>
      <c r="M261" s="5">
        <v>1.33</v>
      </c>
      <c r="N261" s="5">
        <v>66.36</v>
      </c>
      <c r="O261" s="7">
        <v>45992</v>
      </c>
      <c r="P261" s="5">
        <v>65.03</v>
      </c>
      <c r="Q261" s="5">
        <v>1.33</v>
      </c>
      <c r="R261" s="5" t="s">
        <v>32</v>
      </c>
      <c r="S261" s="5" t="s">
        <v>33</v>
      </c>
      <c r="T261" s="5">
        <v>0.66</v>
      </c>
      <c r="U261" s="5">
        <v>64.37</v>
      </c>
      <c r="V261" s="5" t="s">
        <v>34</v>
      </c>
      <c r="W261" s="5">
        <v>2</v>
      </c>
      <c r="X261" s="5">
        <v>1674855672133</v>
      </c>
      <c r="Y261" s="7">
        <v>46003</v>
      </c>
      <c r="Z261" s="7">
        <v>45992</v>
      </c>
      <c r="AB261" s="6">
        <v>46003</v>
      </c>
      <c r="AC261" s="7">
        <v>46000.384027777778</v>
      </c>
      <c r="AD261" s="5">
        <v>30041007198</v>
      </c>
      <c r="AE261" s="8">
        <v>45992</v>
      </c>
      <c r="AF261" s="5" t="s">
        <v>163</v>
      </c>
      <c r="AG261" s="5" t="s">
        <v>37</v>
      </c>
      <c r="AH261" s="5">
        <v>205759</v>
      </c>
      <c r="AI261" s="6">
        <v>45992</v>
      </c>
      <c r="AJ261" s="6">
        <v>46003</v>
      </c>
      <c r="AK261" s="1">
        <f t="shared" ref="AK261:AK275" si="124">0.02*C261</f>
        <v>1.3271999999999999</v>
      </c>
    </row>
    <row r="262" spans="1:37" x14ac:dyDescent="0.55000000000000004">
      <c r="A262">
        <v>3004</v>
      </c>
      <c r="B262">
        <v>1007199</v>
      </c>
      <c r="C262">
        <v>66.36</v>
      </c>
      <c r="D262" s="4">
        <v>1.33</v>
      </c>
      <c r="E262">
        <v>65.03</v>
      </c>
      <c r="F262">
        <v>0.66</v>
      </c>
      <c r="G262">
        <v>64.37</v>
      </c>
      <c r="H262" s="14">
        <f t="shared" si="122"/>
        <v>64.37</v>
      </c>
      <c r="I262" s="14" t="b">
        <f t="shared" si="123"/>
        <v>1</v>
      </c>
      <c r="J262" s="2">
        <v>46003</v>
      </c>
      <c r="K262" s="5">
        <v>1007199</v>
      </c>
      <c r="L262" s="5">
        <v>3004</v>
      </c>
      <c r="M262" s="5">
        <v>1.33</v>
      </c>
      <c r="N262" s="5">
        <v>66.36</v>
      </c>
      <c r="O262" s="7">
        <v>45992</v>
      </c>
      <c r="P262" s="5">
        <v>65.03</v>
      </c>
      <c r="Q262" s="5">
        <v>1.33</v>
      </c>
      <c r="R262" s="5" t="s">
        <v>32</v>
      </c>
      <c r="S262" s="5" t="s">
        <v>33</v>
      </c>
      <c r="T262" s="5">
        <v>0.66</v>
      </c>
      <c r="U262" s="5">
        <v>64.37</v>
      </c>
      <c r="V262" s="5" t="s">
        <v>34</v>
      </c>
      <c r="W262" s="5">
        <v>2</v>
      </c>
      <c r="X262" s="5">
        <v>1674855672133</v>
      </c>
      <c r="Y262" s="7">
        <v>46003</v>
      </c>
      <c r="Z262" s="7">
        <v>45992</v>
      </c>
      <c r="AB262" s="6">
        <v>46003</v>
      </c>
      <c r="AC262" s="7">
        <v>46000.384027777778</v>
      </c>
      <c r="AD262" s="5">
        <v>30041007199</v>
      </c>
      <c r="AE262" s="8">
        <v>45992</v>
      </c>
      <c r="AF262" s="5" t="s">
        <v>164</v>
      </c>
      <c r="AG262" s="5" t="s">
        <v>37</v>
      </c>
      <c r="AH262" s="5">
        <v>205755</v>
      </c>
      <c r="AI262" s="6">
        <v>45992</v>
      </c>
      <c r="AJ262" s="6">
        <v>46003</v>
      </c>
      <c r="AK262" s="1">
        <f t="shared" si="124"/>
        <v>1.3271999999999999</v>
      </c>
    </row>
    <row r="263" spans="1:37" x14ac:dyDescent="0.55000000000000004">
      <c r="A263">
        <v>3004</v>
      </c>
      <c r="B263">
        <v>1007200</v>
      </c>
      <c r="C263">
        <v>66.36</v>
      </c>
      <c r="D263" s="4">
        <v>1.33</v>
      </c>
      <c r="E263">
        <v>65.03</v>
      </c>
      <c r="F263">
        <v>0.66</v>
      </c>
      <c r="G263">
        <v>64.37</v>
      </c>
      <c r="H263" s="14">
        <f t="shared" si="122"/>
        <v>64.37</v>
      </c>
      <c r="I263" s="14" t="b">
        <f t="shared" si="123"/>
        <v>1</v>
      </c>
      <c r="J263" s="2">
        <v>46003</v>
      </c>
      <c r="K263" s="5">
        <v>1007200</v>
      </c>
      <c r="L263" s="5">
        <v>3004</v>
      </c>
      <c r="M263" s="5">
        <v>1.33</v>
      </c>
      <c r="N263" s="5">
        <v>66.36</v>
      </c>
      <c r="O263" s="7">
        <v>45992</v>
      </c>
      <c r="P263" s="5">
        <v>65.03</v>
      </c>
      <c r="Q263" s="5">
        <v>1.33</v>
      </c>
      <c r="R263" s="5" t="s">
        <v>32</v>
      </c>
      <c r="S263" s="5" t="s">
        <v>33</v>
      </c>
      <c r="T263" s="5">
        <v>0.66</v>
      </c>
      <c r="U263" s="5">
        <v>64.37</v>
      </c>
      <c r="V263" s="5" t="s">
        <v>34</v>
      </c>
      <c r="W263" s="5">
        <v>2</v>
      </c>
      <c r="X263" s="5">
        <v>1674855672133</v>
      </c>
      <c r="Y263" s="7">
        <v>46003</v>
      </c>
      <c r="Z263" s="7">
        <v>45992</v>
      </c>
      <c r="AB263" s="6">
        <v>46003</v>
      </c>
      <c r="AC263" s="7">
        <v>46000.384027777778</v>
      </c>
      <c r="AD263" s="5">
        <v>30041007200</v>
      </c>
      <c r="AE263" s="8">
        <v>45992</v>
      </c>
      <c r="AF263" s="5" t="s">
        <v>165</v>
      </c>
      <c r="AG263" s="5" t="s">
        <v>37</v>
      </c>
      <c r="AH263" s="5">
        <v>205757</v>
      </c>
      <c r="AI263" s="6">
        <v>45992</v>
      </c>
      <c r="AJ263" s="6">
        <v>46003</v>
      </c>
      <c r="AK263" s="1">
        <f t="shared" si="124"/>
        <v>1.3271999999999999</v>
      </c>
    </row>
    <row r="264" spans="1:37" x14ac:dyDescent="0.55000000000000004">
      <c r="A264">
        <v>3004</v>
      </c>
      <c r="B264">
        <v>1007201</v>
      </c>
      <c r="C264">
        <v>20.57</v>
      </c>
      <c r="D264" s="4">
        <v>0.41</v>
      </c>
      <c r="E264">
        <v>20.16</v>
      </c>
      <c r="F264">
        <v>0.21</v>
      </c>
      <c r="G264">
        <v>19.95</v>
      </c>
      <c r="H264" s="14">
        <f t="shared" si="122"/>
        <v>19.95</v>
      </c>
      <c r="I264" s="14" t="b">
        <f t="shared" si="123"/>
        <v>1</v>
      </c>
      <c r="J264" s="2">
        <v>46003</v>
      </c>
      <c r="K264" s="5">
        <v>1007201</v>
      </c>
      <c r="L264" s="5">
        <v>3004</v>
      </c>
      <c r="M264" s="5">
        <v>0.41</v>
      </c>
      <c r="N264" s="5">
        <v>20.57</v>
      </c>
      <c r="O264" s="7">
        <v>45992</v>
      </c>
      <c r="P264" s="5">
        <v>20.16</v>
      </c>
      <c r="Q264" s="5">
        <v>0.41</v>
      </c>
      <c r="R264" s="5" t="s">
        <v>32</v>
      </c>
      <c r="S264" s="5" t="s">
        <v>33</v>
      </c>
      <c r="T264" s="5">
        <v>0.21</v>
      </c>
      <c r="U264" s="5">
        <v>19.95</v>
      </c>
      <c r="V264" s="5" t="s">
        <v>34</v>
      </c>
      <c r="W264" s="5">
        <v>2</v>
      </c>
      <c r="X264" s="5">
        <v>1674855672133</v>
      </c>
      <c r="Y264" s="7">
        <v>46003</v>
      </c>
      <c r="Z264" s="7">
        <v>45992</v>
      </c>
      <c r="AB264" s="6">
        <v>46003</v>
      </c>
      <c r="AC264" s="7">
        <v>46000.384027777778</v>
      </c>
      <c r="AD264" s="5">
        <v>30041007201</v>
      </c>
      <c r="AE264" s="8">
        <v>45992</v>
      </c>
      <c r="AF264" s="5" t="s">
        <v>166</v>
      </c>
      <c r="AG264" s="5" t="s">
        <v>37</v>
      </c>
      <c r="AH264" s="5">
        <v>205753</v>
      </c>
      <c r="AI264" s="6">
        <v>45992</v>
      </c>
      <c r="AJ264" s="6">
        <v>46003</v>
      </c>
      <c r="AK264" s="1">
        <f t="shared" si="124"/>
        <v>0.41139999999999999</v>
      </c>
    </row>
    <row r="265" spans="1:37" x14ac:dyDescent="0.55000000000000004">
      <c r="A265">
        <v>3004</v>
      </c>
      <c r="B265">
        <v>1007202</v>
      </c>
      <c r="C265">
        <v>66.36</v>
      </c>
      <c r="D265" s="4">
        <v>1.33</v>
      </c>
      <c r="E265">
        <v>65.03</v>
      </c>
      <c r="F265">
        <v>0.66</v>
      </c>
      <c r="G265">
        <v>64.37</v>
      </c>
      <c r="H265" s="14">
        <f t="shared" si="122"/>
        <v>64.37</v>
      </c>
      <c r="I265" s="14" t="b">
        <f t="shared" si="123"/>
        <v>1</v>
      </c>
      <c r="J265" s="2">
        <v>46003</v>
      </c>
      <c r="K265" s="5">
        <v>1007202</v>
      </c>
      <c r="L265" s="5">
        <v>3004</v>
      </c>
      <c r="M265" s="5">
        <v>1.33</v>
      </c>
      <c r="N265" s="5">
        <v>66.36</v>
      </c>
      <c r="O265" s="7">
        <v>45992</v>
      </c>
      <c r="P265" s="5">
        <v>65.03</v>
      </c>
      <c r="Q265" s="5">
        <v>1.33</v>
      </c>
      <c r="R265" s="5" t="s">
        <v>32</v>
      </c>
      <c r="S265" s="5" t="s">
        <v>33</v>
      </c>
      <c r="T265" s="5">
        <v>0.66</v>
      </c>
      <c r="U265" s="5">
        <v>64.37</v>
      </c>
      <c r="V265" s="5" t="s">
        <v>34</v>
      </c>
      <c r="W265" s="5">
        <v>2</v>
      </c>
      <c r="X265" s="5">
        <v>1674855672133</v>
      </c>
      <c r="Y265" s="7">
        <v>46003</v>
      </c>
      <c r="Z265" s="7">
        <v>45992</v>
      </c>
      <c r="AB265" s="6">
        <v>46003</v>
      </c>
      <c r="AC265" s="7">
        <v>46000.384027777778</v>
      </c>
      <c r="AD265" s="5">
        <v>30041007202</v>
      </c>
      <c r="AE265" s="8">
        <v>45992</v>
      </c>
      <c r="AF265" s="5" t="s">
        <v>167</v>
      </c>
      <c r="AG265" s="5" t="s">
        <v>37</v>
      </c>
      <c r="AH265" s="5">
        <v>205752</v>
      </c>
      <c r="AI265" s="6">
        <v>45992</v>
      </c>
      <c r="AJ265" s="6">
        <v>46003</v>
      </c>
      <c r="AK265" s="1">
        <f t="shared" si="124"/>
        <v>1.3271999999999999</v>
      </c>
    </row>
    <row r="266" spans="1:37" x14ac:dyDescent="0.55000000000000004">
      <c r="A266">
        <v>3004</v>
      </c>
      <c r="B266">
        <v>1007203</v>
      </c>
      <c r="C266">
        <v>205.63</v>
      </c>
      <c r="D266" s="4">
        <v>4.1100000000000003</v>
      </c>
      <c r="E266">
        <v>201.52</v>
      </c>
      <c r="F266">
        <v>2.06</v>
      </c>
      <c r="G266">
        <v>199.46</v>
      </c>
      <c r="H266" s="14">
        <f t="shared" si="122"/>
        <v>199.45999999999998</v>
      </c>
      <c r="I266" s="14" t="b">
        <f t="shared" si="123"/>
        <v>1</v>
      </c>
      <c r="J266" s="2">
        <v>46003</v>
      </c>
      <c r="K266" s="5">
        <v>1007203</v>
      </c>
      <c r="L266" s="5">
        <v>3004</v>
      </c>
      <c r="M266" s="5">
        <v>4.1100000000000003</v>
      </c>
      <c r="N266" s="5">
        <v>205.63</v>
      </c>
      <c r="O266" s="7">
        <v>45992</v>
      </c>
      <c r="P266" s="5">
        <v>201.52</v>
      </c>
      <c r="Q266" s="5">
        <v>4.1100000000000003</v>
      </c>
      <c r="R266" s="5" t="s">
        <v>32</v>
      </c>
      <c r="S266" s="5" t="s">
        <v>33</v>
      </c>
      <c r="T266" s="5">
        <v>2.06</v>
      </c>
      <c r="U266" s="5">
        <v>199.46</v>
      </c>
      <c r="V266" s="5" t="s">
        <v>34</v>
      </c>
      <c r="W266" s="5">
        <v>2</v>
      </c>
      <c r="X266" s="5">
        <v>1674855672133</v>
      </c>
      <c r="Y266" s="7">
        <v>46003</v>
      </c>
      <c r="Z266" s="7">
        <v>45992</v>
      </c>
      <c r="AB266" s="6">
        <v>46003</v>
      </c>
      <c r="AC266" s="7">
        <v>46000.384027777778</v>
      </c>
      <c r="AD266" s="5">
        <v>30041007203</v>
      </c>
      <c r="AE266" s="8">
        <v>45992</v>
      </c>
      <c r="AF266" s="5" t="s">
        <v>168</v>
      </c>
      <c r="AG266" s="5" t="s">
        <v>37</v>
      </c>
      <c r="AH266" s="5">
        <v>205756</v>
      </c>
      <c r="AI266" s="6">
        <v>45992</v>
      </c>
      <c r="AJ266" s="6">
        <v>46003</v>
      </c>
      <c r="AK266" s="1">
        <f t="shared" si="124"/>
        <v>4.1125999999999996</v>
      </c>
    </row>
    <row r="267" spans="1:37" x14ac:dyDescent="0.55000000000000004">
      <c r="A267">
        <v>3004</v>
      </c>
      <c r="B267">
        <v>1007205</v>
      </c>
      <c r="C267">
        <v>20.57</v>
      </c>
      <c r="D267" s="4">
        <v>0.41</v>
      </c>
      <c r="E267">
        <v>20.16</v>
      </c>
      <c r="F267">
        <v>0.21</v>
      </c>
      <c r="G267">
        <v>19.95</v>
      </c>
      <c r="H267" s="14">
        <f t="shared" si="122"/>
        <v>19.95</v>
      </c>
      <c r="I267" s="14" t="b">
        <f t="shared" si="123"/>
        <v>1</v>
      </c>
      <c r="J267" s="2">
        <v>46003</v>
      </c>
      <c r="K267" s="5">
        <v>1007205</v>
      </c>
      <c r="L267" s="5">
        <v>3004</v>
      </c>
      <c r="M267" s="5">
        <v>0.41</v>
      </c>
      <c r="N267" s="5">
        <v>20.57</v>
      </c>
      <c r="O267" s="7">
        <v>45992</v>
      </c>
      <c r="P267" s="5">
        <v>20.16</v>
      </c>
      <c r="Q267" s="5">
        <v>0.41</v>
      </c>
      <c r="R267" s="5" t="s">
        <v>32</v>
      </c>
      <c r="S267" s="5" t="s">
        <v>33</v>
      </c>
      <c r="T267" s="5">
        <v>0.21</v>
      </c>
      <c r="U267" s="5">
        <v>19.95</v>
      </c>
      <c r="V267" s="5" t="s">
        <v>34</v>
      </c>
      <c r="W267" s="5">
        <v>2</v>
      </c>
      <c r="X267" s="5">
        <v>1674855672133</v>
      </c>
      <c r="Y267" s="7">
        <v>46003</v>
      </c>
      <c r="Z267" s="7">
        <v>45992</v>
      </c>
      <c r="AB267" s="6">
        <v>46003</v>
      </c>
      <c r="AC267" s="7">
        <v>46000.384027777778</v>
      </c>
      <c r="AD267" s="5">
        <v>30041007205</v>
      </c>
      <c r="AE267" s="8">
        <v>45992</v>
      </c>
      <c r="AF267" s="5" t="s">
        <v>169</v>
      </c>
      <c r="AG267" s="5" t="s">
        <v>37</v>
      </c>
      <c r="AH267" s="5">
        <v>205758</v>
      </c>
      <c r="AI267" s="6">
        <v>45992</v>
      </c>
      <c r="AJ267" s="6">
        <v>46003</v>
      </c>
      <c r="AK267" s="1">
        <f t="shared" si="124"/>
        <v>0.41139999999999999</v>
      </c>
    </row>
    <row r="268" spans="1:37" x14ac:dyDescent="0.55000000000000004">
      <c r="A268">
        <v>3004</v>
      </c>
      <c r="B268">
        <v>1007206</v>
      </c>
      <c r="C268">
        <v>532.79999999999995</v>
      </c>
      <c r="D268" s="4">
        <v>10.66</v>
      </c>
      <c r="E268">
        <v>522.14</v>
      </c>
      <c r="F268">
        <v>5.33</v>
      </c>
      <c r="G268">
        <v>516.80999999999995</v>
      </c>
      <c r="H268" s="14">
        <f t="shared" si="122"/>
        <v>516.80999999999995</v>
      </c>
      <c r="I268" s="14" t="b">
        <f t="shared" si="123"/>
        <v>1</v>
      </c>
      <c r="J268" s="2">
        <v>46003</v>
      </c>
      <c r="K268" s="5">
        <v>1007206</v>
      </c>
      <c r="L268" s="5">
        <v>3004</v>
      </c>
      <c r="M268" s="5">
        <v>10.66</v>
      </c>
      <c r="N268" s="5">
        <v>532.79999999999995</v>
      </c>
      <c r="O268" s="7">
        <v>45992</v>
      </c>
      <c r="P268" s="5">
        <v>522.14</v>
      </c>
      <c r="Q268" s="5">
        <v>10.66</v>
      </c>
      <c r="R268" s="5" t="s">
        <v>32</v>
      </c>
      <c r="S268" s="5" t="s">
        <v>33</v>
      </c>
      <c r="T268" s="5">
        <v>5.33</v>
      </c>
      <c r="U268" s="5">
        <v>516.80999999999995</v>
      </c>
      <c r="V268" s="5" t="s">
        <v>34</v>
      </c>
      <c r="W268" s="5">
        <v>2</v>
      </c>
      <c r="X268" s="5">
        <v>1674855672133</v>
      </c>
      <c r="Y268" s="7">
        <v>46003</v>
      </c>
      <c r="Z268" s="7">
        <v>45992</v>
      </c>
      <c r="AB268" s="6">
        <v>46003</v>
      </c>
      <c r="AC268" s="7">
        <v>46000.384027777778</v>
      </c>
      <c r="AD268" s="5">
        <v>30041007206</v>
      </c>
      <c r="AE268" s="8">
        <v>45992</v>
      </c>
      <c r="AF268" s="5" t="s">
        <v>170</v>
      </c>
      <c r="AG268" s="5" t="s">
        <v>37</v>
      </c>
      <c r="AH268" s="5">
        <v>205754</v>
      </c>
      <c r="AI268" s="6">
        <v>45992</v>
      </c>
      <c r="AJ268" s="6">
        <v>46003</v>
      </c>
      <c r="AK268" s="1">
        <f t="shared" si="124"/>
        <v>10.655999999999999</v>
      </c>
    </row>
    <row r="269" spans="1:37" x14ac:dyDescent="0.55000000000000004">
      <c r="A269">
        <v>3004</v>
      </c>
      <c r="B269">
        <v>1007257</v>
      </c>
      <c r="C269">
        <v>127.89</v>
      </c>
      <c r="D269" s="4">
        <v>2.56</v>
      </c>
      <c r="E269">
        <v>125.33</v>
      </c>
      <c r="F269">
        <v>1.28</v>
      </c>
      <c r="G269">
        <v>124.05</v>
      </c>
      <c r="H269" s="14">
        <f t="shared" si="122"/>
        <v>124.05</v>
      </c>
      <c r="I269" s="14" t="b">
        <f t="shared" si="123"/>
        <v>1</v>
      </c>
      <c r="J269" s="2">
        <v>46003</v>
      </c>
      <c r="K269" s="5">
        <v>1007257</v>
      </c>
      <c r="L269" s="5">
        <v>3004</v>
      </c>
      <c r="M269" s="5">
        <v>2.56</v>
      </c>
      <c r="N269" s="5">
        <v>127.89</v>
      </c>
      <c r="O269" s="7">
        <v>45992</v>
      </c>
      <c r="P269" s="5">
        <v>125.33</v>
      </c>
      <c r="Q269" s="5">
        <v>2.56</v>
      </c>
      <c r="R269" s="5" t="s">
        <v>32</v>
      </c>
      <c r="S269" s="5" t="s">
        <v>33</v>
      </c>
      <c r="T269" s="5">
        <v>1.28</v>
      </c>
      <c r="U269" s="5">
        <v>124.05</v>
      </c>
      <c r="V269" s="5" t="s">
        <v>34</v>
      </c>
      <c r="W269" s="5">
        <v>2</v>
      </c>
      <c r="X269" s="5">
        <v>1674855672133</v>
      </c>
      <c r="Y269" s="7">
        <v>46003</v>
      </c>
      <c r="Z269" s="7">
        <v>45992</v>
      </c>
      <c r="AB269" s="6">
        <v>46003</v>
      </c>
      <c r="AC269" s="7">
        <v>46000.384027777778</v>
      </c>
      <c r="AD269" s="5">
        <v>30041007257</v>
      </c>
      <c r="AE269" s="8">
        <v>45992</v>
      </c>
      <c r="AF269" s="5" t="s">
        <v>171</v>
      </c>
      <c r="AG269" s="5" t="s">
        <v>37</v>
      </c>
      <c r="AH269" s="5">
        <v>205766</v>
      </c>
      <c r="AI269" s="6">
        <v>45992</v>
      </c>
      <c r="AJ269" s="6">
        <v>46003</v>
      </c>
      <c r="AK269" s="1">
        <f t="shared" si="124"/>
        <v>2.5577999999999999</v>
      </c>
    </row>
    <row r="270" spans="1:37" x14ac:dyDescent="0.55000000000000004">
      <c r="A270">
        <v>3004</v>
      </c>
      <c r="B270">
        <v>1007258</v>
      </c>
      <c r="C270">
        <v>66.36</v>
      </c>
      <c r="D270" s="4">
        <v>1.33</v>
      </c>
      <c r="E270">
        <v>65.03</v>
      </c>
      <c r="F270">
        <v>0.66</v>
      </c>
      <c r="G270">
        <v>64.37</v>
      </c>
      <c r="H270" s="14">
        <f t="shared" si="122"/>
        <v>64.37</v>
      </c>
      <c r="I270" s="14" t="b">
        <f t="shared" si="123"/>
        <v>1</v>
      </c>
      <c r="J270" s="2">
        <v>46003</v>
      </c>
      <c r="K270" s="5">
        <v>1007258</v>
      </c>
      <c r="L270" s="5">
        <v>3004</v>
      </c>
      <c r="M270" s="5">
        <v>1.33</v>
      </c>
      <c r="N270" s="5">
        <v>66.36</v>
      </c>
      <c r="O270" s="7">
        <v>45992</v>
      </c>
      <c r="P270" s="5">
        <v>65.03</v>
      </c>
      <c r="Q270" s="5">
        <v>1.33</v>
      </c>
      <c r="R270" s="5" t="s">
        <v>32</v>
      </c>
      <c r="S270" s="5" t="s">
        <v>33</v>
      </c>
      <c r="T270" s="5">
        <v>0.66</v>
      </c>
      <c r="U270" s="5">
        <v>64.37</v>
      </c>
      <c r="V270" s="5" t="s">
        <v>34</v>
      </c>
      <c r="W270" s="5">
        <v>2</v>
      </c>
      <c r="X270" s="5">
        <v>1674855672133</v>
      </c>
      <c r="Y270" s="7">
        <v>46003</v>
      </c>
      <c r="Z270" s="7">
        <v>45992</v>
      </c>
      <c r="AB270" s="6">
        <v>46003</v>
      </c>
      <c r="AC270" s="7">
        <v>46000.384027777778</v>
      </c>
      <c r="AD270" s="5">
        <v>30041007258</v>
      </c>
      <c r="AE270" s="8">
        <v>45992</v>
      </c>
      <c r="AF270" s="5" t="s">
        <v>172</v>
      </c>
      <c r="AG270" s="5" t="s">
        <v>37</v>
      </c>
      <c r="AH270" s="5">
        <v>205762</v>
      </c>
      <c r="AI270" s="6">
        <v>45992</v>
      </c>
      <c r="AJ270" s="6">
        <v>46003</v>
      </c>
      <c r="AK270" s="1">
        <f t="shared" si="124"/>
        <v>1.3271999999999999</v>
      </c>
    </row>
    <row r="271" spans="1:37" x14ac:dyDescent="0.55000000000000004">
      <c r="A271">
        <v>3004</v>
      </c>
      <c r="B271">
        <v>1007259</v>
      </c>
      <c r="C271">
        <v>59.72</v>
      </c>
      <c r="D271" s="4">
        <v>1.19</v>
      </c>
      <c r="E271">
        <v>58.53</v>
      </c>
      <c r="F271">
        <v>0.6</v>
      </c>
      <c r="G271">
        <v>57.93</v>
      </c>
      <c r="H271" s="14">
        <f t="shared" si="122"/>
        <v>57.93</v>
      </c>
      <c r="I271" s="14" t="b">
        <f t="shared" si="123"/>
        <v>1</v>
      </c>
      <c r="J271" s="2">
        <v>46003</v>
      </c>
      <c r="K271" s="5">
        <v>1007259</v>
      </c>
      <c r="L271" s="5">
        <v>3004</v>
      </c>
      <c r="M271" s="5">
        <v>1.19</v>
      </c>
      <c r="N271" s="5">
        <v>59.72</v>
      </c>
      <c r="O271" s="7">
        <v>45992</v>
      </c>
      <c r="P271" s="5">
        <v>58.53</v>
      </c>
      <c r="Q271" s="5">
        <v>1.19</v>
      </c>
      <c r="R271" s="5" t="s">
        <v>32</v>
      </c>
      <c r="S271" s="5" t="s">
        <v>33</v>
      </c>
      <c r="T271" s="5">
        <v>0.6</v>
      </c>
      <c r="U271" s="5">
        <v>57.93</v>
      </c>
      <c r="V271" s="5" t="s">
        <v>34</v>
      </c>
      <c r="W271" s="5">
        <v>2</v>
      </c>
      <c r="X271" s="5">
        <v>1674855672133</v>
      </c>
      <c r="Y271" s="7">
        <v>46003</v>
      </c>
      <c r="Z271" s="7">
        <v>45992</v>
      </c>
      <c r="AB271" s="6">
        <v>46003</v>
      </c>
      <c r="AC271" s="7">
        <v>46000.384027777778</v>
      </c>
      <c r="AD271" s="5">
        <v>30041007259</v>
      </c>
      <c r="AE271" s="8">
        <v>45992</v>
      </c>
      <c r="AF271" s="5" t="s">
        <v>173</v>
      </c>
      <c r="AG271" s="5" t="s">
        <v>37</v>
      </c>
      <c r="AH271" s="5">
        <v>205764</v>
      </c>
      <c r="AI271" s="6">
        <v>45992</v>
      </c>
      <c r="AJ271" s="6">
        <v>46003</v>
      </c>
      <c r="AK271" s="1">
        <f t="shared" si="124"/>
        <v>1.1943999999999999</v>
      </c>
    </row>
    <row r="272" spans="1:37" x14ac:dyDescent="0.55000000000000004">
      <c r="A272">
        <v>3004</v>
      </c>
      <c r="B272">
        <v>1007260</v>
      </c>
      <c r="C272">
        <v>33.18</v>
      </c>
      <c r="D272" s="4">
        <v>0.66</v>
      </c>
      <c r="E272">
        <v>32.520000000000003</v>
      </c>
      <c r="F272">
        <v>0.33</v>
      </c>
      <c r="G272">
        <v>32.19</v>
      </c>
      <c r="H272" s="14">
        <f t="shared" si="122"/>
        <v>32.190000000000005</v>
      </c>
      <c r="I272" s="14" t="b">
        <f t="shared" si="123"/>
        <v>1</v>
      </c>
      <c r="J272" s="2">
        <v>46003</v>
      </c>
      <c r="K272" s="5">
        <v>1007260</v>
      </c>
      <c r="L272" s="5">
        <v>3004</v>
      </c>
      <c r="M272" s="5">
        <v>0.66</v>
      </c>
      <c r="N272" s="5">
        <v>33.18</v>
      </c>
      <c r="O272" s="7">
        <v>45992</v>
      </c>
      <c r="P272" s="5">
        <v>32.520000000000003</v>
      </c>
      <c r="Q272" s="5">
        <v>0.66</v>
      </c>
      <c r="R272" s="5" t="s">
        <v>32</v>
      </c>
      <c r="S272" s="5" t="s">
        <v>33</v>
      </c>
      <c r="T272" s="5">
        <v>0.33</v>
      </c>
      <c r="U272" s="5">
        <v>32.19</v>
      </c>
      <c r="V272" s="5" t="s">
        <v>34</v>
      </c>
      <c r="W272" s="5">
        <v>2</v>
      </c>
      <c r="X272" s="5">
        <v>1674855672133</v>
      </c>
      <c r="Y272" s="7">
        <v>46003</v>
      </c>
      <c r="Z272" s="7">
        <v>45992</v>
      </c>
      <c r="AB272" s="6">
        <v>46003</v>
      </c>
      <c r="AC272" s="7">
        <v>46000.384027777778</v>
      </c>
      <c r="AD272" s="5">
        <v>30041007260</v>
      </c>
      <c r="AE272" s="8">
        <v>45992</v>
      </c>
      <c r="AF272" s="5" t="s">
        <v>174</v>
      </c>
      <c r="AG272" s="5" t="s">
        <v>37</v>
      </c>
      <c r="AH272" s="5">
        <v>205760</v>
      </c>
      <c r="AI272" s="6">
        <v>45992</v>
      </c>
      <c r="AJ272" s="6">
        <v>46003</v>
      </c>
      <c r="AK272" s="1">
        <f t="shared" si="124"/>
        <v>0.66359999999999997</v>
      </c>
    </row>
    <row r="273" spans="1:37" x14ac:dyDescent="0.55000000000000004">
      <c r="A273">
        <v>3004</v>
      </c>
      <c r="B273">
        <v>1007262</v>
      </c>
      <c r="C273">
        <v>182.97</v>
      </c>
      <c r="D273" s="4">
        <v>3.66</v>
      </c>
      <c r="E273">
        <v>179.31</v>
      </c>
      <c r="F273">
        <v>1.83</v>
      </c>
      <c r="G273">
        <v>177.48</v>
      </c>
      <c r="H273" s="14">
        <f t="shared" si="122"/>
        <v>177.48</v>
      </c>
      <c r="I273" s="14" t="b">
        <f t="shared" si="123"/>
        <v>1</v>
      </c>
      <c r="J273" s="2">
        <v>46003</v>
      </c>
      <c r="K273" s="5">
        <v>1007262</v>
      </c>
      <c r="L273" s="5">
        <v>3004</v>
      </c>
      <c r="M273" s="5">
        <v>3.66</v>
      </c>
      <c r="N273" s="5">
        <v>182.97</v>
      </c>
      <c r="O273" s="7">
        <v>45992</v>
      </c>
      <c r="P273" s="5">
        <v>179.31</v>
      </c>
      <c r="Q273" s="5">
        <v>3.66</v>
      </c>
      <c r="R273" s="5" t="s">
        <v>32</v>
      </c>
      <c r="S273" s="5" t="s">
        <v>33</v>
      </c>
      <c r="T273" s="5">
        <v>1.83</v>
      </c>
      <c r="U273" s="5">
        <v>177.48</v>
      </c>
      <c r="V273" s="5" t="s">
        <v>34</v>
      </c>
      <c r="W273" s="5">
        <v>2</v>
      </c>
      <c r="X273" s="5">
        <v>1674855672133</v>
      </c>
      <c r="Y273" s="7">
        <v>46003</v>
      </c>
      <c r="Z273" s="7">
        <v>45992</v>
      </c>
      <c r="AB273" s="6">
        <v>46003</v>
      </c>
      <c r="AC273" s="7">
        <v>46000.384027777778</v>
      </c>
      <c r="AD273" s="5">
        <v>30041007262</v>
      </c>
      <c r="AE273" s="8">
        <v>45992</v>
      </c>
      <c r="AF273" s="5" t="s">
        <v>175</v>
      </c>
      <c r="AG273" s="5" t="s">
        <v>37</v>
      </c>
      <c r="AH273" s="5">
        <v>205763</v>
      </c>
      <c r="AI273" s="6">
        <v>45992</v>
      </c>
      <c r="AJ273" s="6">
        <v>46003</v>
      </c>
      <c r="AK273" s="1">
        <f t="shared" si="124"/>
        <v>3.6594000000000002</v>
      </c>
    </row>
    <row r="274" spans="1:37" x14ac:dyDescent="0.55000000000000004">
      <c r="A274">
        <v>3004</v>
      </c>
      <c r="B274">
        <v>1007264</v>
      </c>
      <c r="C274">
        <v>99.54</v>
      </c>
      <c r="D274" s="4">
        <v>1.99</v>
      </c>
      <c r="E274">
        <v>97.55</v>
      </c>
      <c r="F274">
        <v>1</v>
      </c>
      <c r="G274">
        <v>96.55</v>
      </c>
      <c r="H274" s="14">
        <f t="shared" si="122"/>
        <v>96.550000000000011</v>
      </c>
      <c r="I274" s="14" t="b">
        <f t="shared" si="123"/>
        <v>1</v>
      </c>
      <c r="J274" s="2">
        <v>46003</v>
      </c>
      <c r="K274" s="5">
        <v>1007264</v>
      </c>
      <c r="L274" s="5">
        <v>3004</v>
      </c>
      <c r="M274" s="5">
        <v>1.99</v>
      </c>
      <c r="N274" s="5">
        <v>99.54</v>
      </c>
      <c r="O274" s="7">
        <v>45992</v>
      </c>
      <c r="P274" s="5">
        <v>97.55</v>
      </c>
      <c r="Q274" s="5">
        <v>1.99</v>
      </c>
      <c r="R274" s="5" t="s">
        <v>32</v>
      </c>
      <c r="S274" s="5" t="s">
        <v>33</v>
      </c>
      <c r="T274" s="5">
        <v>1</v>
      </c>
      <c r="U274" s="5">
        <v>96.55</v>
      </c>
      <c r="V274" s="5" t="s">
        <v>34</v>
      </c>
      <c r="W274" s="5">
        <v>2</v>
      </c>
      <c r="X274" s="5">
        <v>1674855672133</v>
      </c>
      <c r="Y274" s="7">
        <v>46003</v>
      </c>
      <c r="Z274" s="7">
        <v>45992</v>
      </c>
      <c r="AB274" s="6">
        <v>46003</v>
      </c>
      <c r="AC274" s="7">
        <v>46000.384027777778</v>
      </c>
      <c r="AD274" s="5">
        <v>30041007264</v>
      </c>
      <c r="AE274" s="8">
        <v>45992</v>
      </c>
      <c r="AF274" s="5" t="s">
        <v>176</v>
      </c>
      <c r="AG274" s="5" t="s">
        <v>37</v>
      </c>
      <c r="AH274" s="5">
        <v>205761</v>
      </c>
      <c r="AI274" s="6">
        <v>45992</v>
      </c>
      <c r="AJ274" s="6">
        <v>46003</v>
      </c>
      <c r="AK274" s="1">
        <f t="shared" si="124"/>
        <v>1.9908000000000001</v>
      </c>
    </row>
    <row r="275" spans="1:37" x14ac:dyDescent="0.55000000000000004">
      <c r="A275">
        <v>3004</v>
      </c>
      <c r="B275">
        <v>1007266</v>
      </c>
      <c r="C275">
        <v>20.57</v>
      </c>
      <c r="D275" s="4">
        <v>0.41</v>
      </c>
      <c r="E275">
        <v>20.16</v>
      </c>
      <c r="F275">
        <v>0.21</v>
      </c>
      <c r="G275">
        <v>19.95</v>
      </c>
      <c r="H275" s="14">
        <f t="shared" si="122"/>
        <v>19.95</v>
      </c>
      <c r="I275" s="14" t="b">
        <f t="shared" si="123"/>
        <v>1</v>
      </c>
      <c r="J275" s="2">
        <v>46003</v>
      </c>
      <c r="K275" s="5">
        <v>1007266</v>
      </c>
      <c r="L275" s="5">
        <v>3004</v>
      </c>
      <c r="M275" s="5">
        <v>0.41</v>
      </c>
      <c r="N275" s="5">
        <v>20.57</v>
      </c>
      <c r="O275" s="7">
        <v>45992</v>
      </c>
      <c r="P275" s="5">
        <v>20.16</v>
      </c>
      <c r="Q275" s="5">
        <v>0.41</v>
      </c>
      <c r="R275" s="5" t="s">
        <v>32</v>
      </c>
      <c r="S275" s="5" t="s">
        <v>33</v>
      </c>
      <c r="T275" s="5">
        <v>0.21</v>
      </c>
      <c r="U275" s="5">
        <v>19.95</v>
      </c>
      <c r="V275" s="5" t="s">
        <v>34</v>
      </c>
      <c r="W275" s="5">
        <v>2</v>
      </c>
      <c r="X275" s="5">
        <v>1674855672133</v>
      </c>
      <c r="Y275" s="7">
        <v>46003</v>
      </c>
      <c r="Z275" s="7">
        <v>45992</v>
      </c>
      <c r="AB275" s="6">
        <v>46003</v>
      </c>
      <c r="AC275" s="7">
        <v>46000.384027777778</v>
      </c>
      <c r="AD275" s="5">
        <v>30041007266</v>
      </c>
      <c r="AE275" s="8">
        <v>45992</v>
      </c>
      <c r="AF275" s="5" t="s">
        <v>177</v>
      </c>
      <c r="AG275" s="5" t="s">
        <v>37</v>
      </c>
      <c r="AH275" s="5">
        <v>205765</v>
      </c>
      <c r="AI275" s="6">
        <v>45992</v>
      </c>
      <c r="AJ275" s="6">
        <v>46003</v>
      </c>
      <c r="AK275" s="1">
        <f t="shared" si="124"/>
        <v>0.41139999999999999</v>
      </c>
    </row>
    <row r="276" spans="1:37" hidden="1" x14ac:dyDescent="0.55000000000000004">
      <c r="A276">
        <v>3004</v>
      </c>
      <c r="B276">
        <v>1007441</v>
      </c>
      <c r="C276" s="1">
        <v>8786.67</v>
      </c>
      <c r="E276" s="1">
        <v>8786.67</v>
      </c>
      <c r="F276">
        <v>87.87</v>
      </c>
      <c r="G276" s="1">
        <v>8698.7999999999993</v>
      </c>
      <c r="H276" s="1"/>
      <c r="I276" s="1"/>
      <c r="J276" s="2">
        <v>46003</v>
      </c>
      <c r="K276" s="5">
        <v>1007441</v>
      </c>
      <c r="L276" s="5">
        <v>3004</v>
      </c>
      <c r="M276" s="5">
        <v>0</v>
      </c>
      <c r="N276" s="5">
        <v>8786.67</v>
      </c>
      <c r="O276" s="7">
        <v>45992</v>
      </c>
      <c r="P276" s="5">
        <v>8786.67</v>
      </c>
      <c r="Q276" s="5">
        <v>0</v>
      </c>
      <c r="R276" s="5" t="s">
        <v>32</v>
      </c>
      <c r="S276" s="5" t="s">
        <v>33</v>
      </c>
      <c r="T276" s="5">
        <v>87.87</v>
      </c>
      <c r="U276" s="5">
        <v>8698.7999999999993</v>
      </c>
      <c r="V276" s="5" t="s">
        <v>34</v>
      </c>
      <c r="W276" s="5">
        <v>2</v>
      </c>
      <c r="X276" s="5">
        <v>1674855672133</v>
      </c>
      <c r="Y276" s="7">
        <v>46003</v>
      </c>
      <c r="Z276" s="7">
        <v>45992</v>
      </c>
      <c r="AB276" s="6">
        <v>46003</v>
      </c>
      <c r="AC276" s="7">
        <v>46000.384027777778</v>
      </c>
      <c r="AD276" s="5">
        <v>30041007441</v>
      </c>
      <c r="AE276" s="8">
        <v>45992</v>
      </c>
      <c r="AF276" s="5" t="s">
        <v>178</v>
      </c>
      <c r="AG276" s="5" t="s">
        <v>38</v>
      </c>
      <c r="AH276" s="5">
        <v>205907</v>
      </c>
      <c r="AI276" s="6">
        <v>45992</v>
      </c>
      <c r="AJ276" s="6">
        <v>46003</v>
      </c>
    </row>
    <row r="277" spans="1:37" hidden="1" x14ac:dyDescent="0.55000000000000004">
      <c r="A277">
        <v>3004</v>
      </c>
      <c r="B277">
        <v>1007584</v>
      </c>
      <c r="C277" s="1">
        <v>3990</v>
      </c>
      <c r="E277" s="1">
        <v>3990</v>
      </c>
      <c r="F277">
        <v>39.9</v>
      </c>
      <c r="G277" s="1">
        <v>3950.1</v>
      </c>
      <c r="H277" s="1"/>
      <c r="I277" s="1"/>
      <c r="J277" s="2">
        <v>46003</v>
      </c>
      <c r="K277" s="5">
        <v>1007584</v>
      </c>
      <c r="L277" s="5">
        <v>3004</v>
      </c>
      <c r="M277" s="5">
        <v>0</v>
      </c>
      <c r="N277" s="5">
        <v>3990</v>
      </c>
      <c r="O277" s="7">
        <v>45993</v>
      </c>
      <c r="P277" s="5">
        <v>3990</v>
      </c>
      <c r="Q277" s="5">
        <v>0</v>
      </c>
      <c r="R277" s="5" t="s">
        <v>32</v>
      </c>
      <c r="S277" s="5" t="s">
        <v>33</v>
      </c>
      <c r="T277" s="5">
        <v>39.9</v>
      </c>
      <c r="U277" s="5">
        <v>3950.1</v>
      </c>
      <c r="V277" s="5" t="s">
        <v>34</v>
      </c>
      <c r="W277" s="5">
        <v>2</v>
      </c>
      <c r="X277" s="5">
        <v>1674855672133</v>
      </c>
      <c r="Y277" s="7">
        <v>46003</v>
      </c>
      <c r="Z277" s="7">
        <v>45993</v>
      </c>
      <c r="AB277" s="6">
        <v>46003</v>
      </c>
      <c r="AC277" s="7">
        <v>46000.384027777778</v>
      </c>
      <c r="AD277" s="5">
        <v>30041007584</v>
      </c>
      <c r="AE277" s="8">
        <v>45993</v>
      </c>
      <c r="AF277" s="5" t="s">
        <v>32</v>
      </c>
      <c r="AG277" s="5" t="s">
        <v>35</v>
      </c>
      <c r="AH277" s="5" t="s">
        <v>32</v>
      </c>
      <c r="AI277" s="6">
        <v>45993</v>
      </c>
      <c r="AJ277" s="6">
        <v>46003</v>
      </c>
    </row>
    <row r="278" spans="1:37" hidden="1" x14ac:dyDescent="0.55000000000000004">
      <c r="A278">
        <v>3004</v>
      </c>
      <c r="B278">
        <v>1007679</v>
      </c>
      <c r="C278" s="1">
        <v>1656.38</v>
      </c>
      <c r="E278" s="1">
        <v>1656.38</v>
      </c>
      <c r="F278">
        <v>16.559999999999999</v>
      </c>
      <c r="G278" s="1">
        <v>1639.82</v>
      </c>
      <c r="H278" s="1"/>
      <c r="I278" s="1"/>
      <c r="J278" s="2">
        <v>46003</v>
      </c>
      <c r="K278" s="5">
        <v>1007679</v>
      </c>
      <c r="L278" s="5">
        <v>3004</v>
      </c>
      <c r="M278" s="5">
        <v>0</v>
      </c>
      <c r="N278" s="5">
        <v>1656.38</v>
      </c>
      <c r="O278" s="7">
        <v>45993</v>
      </c>
      <c r="P278" s="5">
        <v>1656.38</v>
      </c>
      <c r="Q278" s="5">
        <v>0</v>
      </c>
      <c r="R278" s="5" t="s">
        <v>32</v>
      </c>
      <c r="S278" s="5" t="s">
        <v>33</v>
      </c>
      <c r="T278" s="5">
        <v>16.559999999999999</v>
      </c>
      <c r="U278" s="5">
        <v>1639.82</v>
      </c>
      <c r="V278" s="5" t="s">
        <v>34</v>
      </c>
      <c r="W278" s="5">
        <v>2</v>
      </c>
      <c r="X278" s="5">
        <v>1674855672133</v>
      </c>
      <c r="Y278" s="7">
        <v>46003</v>
      </c>
      <c r="Z278" s="7">
        <v>45993</v>
      </c>
      <c r="AB278" s="6">
        <v>46003</v>
      </c>
      <c r="AC278" s="7">
        <v>46000.384027777778</v>
      </c>
      <c r="AD278" s="5">
        <v>30041007679</v>
      </c>
      <c r="AE278" s="8">
        <v>45993</v>
      </c>
      <c r="AF278" s="5" t="s">
        <v>179</v>
      </c>
      <c r="AG278" s="5" t="s">
        <v>38</v>
      </c>
      <c r="AH278" s="5">
        <v>206105</v>
      </c>
      <c r="AI278" s="6">
        <v>45993</v>
      </c>
      <c r="AJ278" s="6">
        <v>46003</v>
      </c>
    </row>
    <row r="279" spans="1:37" hidden="1" x14ac:dyDescent="0.55000000000000004">
      <c r="A279">
        <v>3004</v>
      </c>
      <c r="B279">
        <v>1007680</v>
      </c>
      <c r="C279" s="1">
        <v>1739.21</v>
      </c>
      <c r="E279" s="1">
        <v>1739.21</v>
      </c>
      <c r="F279">
        <v>17.39</v>
      </c>
      <c r="G279" s="1">
        <v>1721.82</v>
      </c>
      <c r="H279" s="1"/>
      <c r="I279" s="1"/>
      <c r="J279" s="2">
        <v>46003</v>
      </c>
      <c r="K279" s="5">
        <v>1007680</v>
      </c>
      <c r="L279" s="5">
        <v>3004</v>
      </c>
      <c r="M279" s="5">
        <v>0</v>
      </c>
      <c r="N279" s="5">
        <v>1739.21</v>
      </c>
      <c r="O279" s="7">
        <v>45993</v>
      </c>
      <c r="P279" s="5">
        <v>1739.21</v>
      </c>
      <c r="Q279" s="5">
        <v>0</v>
      </c>
      <c r="R279" s="5" t="s">
        <v>32</v>
      </c>
      <c r="S279" s="5" t="s">
        <v>33</v>
      </c>
      <c r="T279" s="5">
        <v>17.39</v>
      </c>
      <c r="U279" s="5">
        <v>1721.82</v>
      </c>
      <c r="V279" s="5" t="s">
        <v>34</v>
      </c>
      <c r="W279" s="5">
        <v>2</v>
      </c>
      <c r="X279" s="5">
        <v>1674855672133</v>
      </c>
      <c r="Y279" s="7">
        <v>46003</v>
      </c>
      <c r="Z279" s="7">
        <v>45993</v>
      </c>
      <c r="AB279" s="6">
        <v>46003</v>
      </c>
      <c r="AC279" s="7">
        <v>46000.384027777778</v>
      </c>
      <c r="AD279" s="5">
        <v>30041007680</v>
      </c>
      <c r="AE279" s="8">
        <v>45993</v>
      </c>
      <c r="AF279" s="5" t="s">
        <v>180</v>
      </c>
      <c r="AG279" s="5" t="s">
        <v>38</v>
      </c>
      <c r="AH279" s="5">
        <v>206104</v>
      </c>
      <c r="AI279" s="6">
        <v>45993</v>
      </c>
      <c r="AJ279" s="6">
        <v>46003</v>
      </c>
    </row>
    <row r="280" spans="1:37" hidden="1" x14ac:dyDescent="0.55000000000000004">
      <c r="A280">
        <v>3004</v>
      </c>
      <c r="B280">
        <v>1007684</v>
      </c>
      <c r="C280">
        <v>971.96</v>
      </c>
      <c r="E280">
        <v>971.96</v>
      </c>
      <c r="F280">
        <v>9.7200000000000006</v>
      </c>
      <c r="G280">
        <v>962.24</v>
      </c>
      <c r="H280"/>
      <c r="I280"/>
      <c r="J280" s="2">
        <v>46003</v>
      </c>
      <c r="K280" s="5">
        <v>1007684</v>
      </c>
      <c r="L280" s="5">
        <v>3004</v>
      </c>
      <c r="M280" s="5">
        <v>0</v>
      </c>
      <c r="N280" s="5">
        <v>971.96</v>
      </c>
      <c r="O280" s="7">
        <v>45993</v>
      </c>
      <c r="P280" s="5">
        <v>971.96</v>
      </c>
      <c r="Q280" s="5">
        <v>0</v>
      </c>
      <c r="R280" s="5" t="s">
        <v>32</v>
      </c>
      <c r="S280" s="5" t="s">
        <v>33</v>
      </c>
      <c r="T280" s="5">
        <v>9.7200000000000006</v>
      </c>
      <c r="U280" s="5">
        <v>962.24</v>
      </c>
      <c r="V280" s="5" t="s">
        <v>34</v>
      </c>
      <c r="W280" s="5">
        <v>2</v>
      </c>
      <c r="X280" s="5">
        <v>1674855672133</v>
      </c>
      <c r="Y280" s="7">
        <v>46003</v>
      </c>
      <c r="Z280" s="7">
        <v>45993</v>
      </c>
      <c r="AB280" s="6">
        <v>46003</v>
      </c>
      <c r="AC280" s="7">
        <v>46000.384027777778</v>
      </c>
      <c r="AD280" s="5">
        <v>30041007684</v>
      </c>
      <c r="AE280" s="8">
        <v>45993</v>
      </c>
      <c r="AF280" s="5" t="s">
        <v>181</v>
      </c>
      <c r="AG280" s="5" t="s">
        <v>38</v>
      </c>
      <c r="AH280" s="5">
        <v>206106</v>
      </c>
      <c r="AI280" s="6">
        <v>45993</v>
      </c>
      <c r="AJ280" s="6">
        <v>46003</v>
      </c>
    </row>
    <row r="281" spans="1:37" x14ac:dyDescent="0.55000000000000004">
      <c r="A281">
        <v>3004</v>
      </c>
      <c r="B281">
        <v>1007745</v>
      </c>
      <c r="C281">
        <v>547.70000000000005</v>
      </c>
      <c r="D281" s="4">
        <v>10.95</v>
      </c>
      <c r="E281">
        <v>536.75</v>
      </c>
      <c r="F281">
        <v>5.48</v>
      </c>
      <c r="G281">
        <v>531.27</v>
      </c>
      <c r="H281" s="14">
        <f t="shared" ref="H281:H282" si="125">C281-D281-F281</f>
        <v>531.27</v>
      </c>
      <c r="I281" s="14" t="b">
        <f t="shared" ref="I281:I282" si="126">G281=H281</f>
        <v>1</v>
      </c>
      <c r="J281" s="2">
        <v>46003</v>
      </c>
      <c r="K281" s="5">
        <v>1007745</v>
      </c>
      <c r="L281" s="5">
        <v>3004</v>
      </c>
      <c r="M281" s="5">
        <v>10.95</v>
      </c>
      <c r="N281" s="5">
        <v>547.70000000000005</v>
      </c>
      <c r="O281" s="7">
        <v>45993</v>
      </c>
      <c r="P281" s="5">
        <v>536.75</v>
      </c>
      <c r="Q281" s="5">
        <v>10.95</v>
      </c>
      <c r="R281" s="5" t="s">
        <v>32</v>
      </c>
      <c r="S281" s="5" t="s">
        <v>33</v>
      </c>
      <c r="T281" s="5">
        <v>5.48</v>
      </c>
      <c r="U281" s="5">
        <v>531.27</v>
      </c>
      <c r="V281" s="5" t="s">
        <v>34</v>
      </c>
      <c r="W281" s="5">
        <v>2</v>
      </c>
      <c r="X281" s="5">
        <v>1674855672133</v>
      </c>
      <c r="Y281" s="7">
        <v>46003</v>
      </c>
      <c r="Z281" s="7">
        <v>45993</v>
      </c>
      <c r="AB281" s="6">
        <v>46003</v>
      </c>
      <c r="AC281" s="7">
        <v>46000.384027777778</v>
      </c>
      <c r="AD281" s="5">
        <v>30041007745</v>
      </c>
      <c r="AE281" s="8">
        <v>45993</v>
      </c>
      <c r="AF281" s="5" t="s">
        <v>182</v>
      </c>
      <c r="AG281" s="5" t="s">
        <v>37</v>
      </c>
      <c r="AH281" s="5">
        <v>206205</v>
      </c>
      <c r="AI281" s="6">
        <v>45993</v>
      </c>
      <c r="AJ281" s="6">
        <v>46003</v>
      </c>
      <c r="AK281" s="1">
        <f t="shared" ref="AK281:AK282" si="127">0.02*C281</f>
        <v>10.954000000000001</v>
      </c>
    </row>
    <row r="282" spans="1:37" x14ac:dyDescent="0.55000000000000004">
      <c r="A282">
        <v>3004</v>
      </c>
      <c r="B282">
        <v>1007750</v>
      </c>
      <c r="C282">
        <v>362.58</v>
      </c>
      <c r="D282" s="4">
        <v>7.25</v>
      </c>
      <c r="E282">
        <v>355.33</v>
      </c>
      <c r="F282">
        <v>3.63</v>
      </c>
      <c r="G282">
        <v>351.7</v>
      </c>
      <c r="H282" s="14">
        <f t="shared" si="125"/>
        <v>351.7</v>
      </c>
      <c r="I282" s="14" t="b">
        <f t="shared" si="126"/>
        <v>1</v>
      </c>
      <c r="J282" s="2">
        <v>46003</v>
      </c>
      <c r="K282" s="5">
        <v>1007750</v>
      </c>
      <c r="L282" s="5">
        <v>3004</v>
      </c>
      <c r="M282" s="5">
        <v>7.25</v>
      </c>
      <c r="N282" s="5">
        <v>362.58</v>
      </c>
      <c r="O282" s="7">
        <v>45993</v>
      </c>
      <c r="P282" s="5">
        <v>355.33</v>
      </c>
      <c r="Q282" s="5">
        <v>7.25</v>
      </c>
      <c r="R282" s="5" t="s">
        <v>32</v>
      </c>
      <c r="S282" s="5" t="s">
        <v>33</v>
      </c>
      <c r="T282" s="5">
        <v>3.63</v>
      </c>
      <c r="U282" s="5">
        <v>351.7</v>
      </c>
      <c r="V282" s="5" t="s">
        <v>34</v>
      </c>
      <c r="W282" s="5">
        <v>2</v>
      </c>
      <c r="X282" s="5">
        <v>1674855672133</v>
      </c>
      <c r="Y282" s="7">
        <v>46003</v>
      </c>
      <c r="Z282" s="7">
        <v>45993</v>
      </c>
      <c r="AB282" s="6">
        <v>46003</v>
      </c>
      <c r="AC282" s="7">
        <v>46000.384027777778</v>
      </c>
      <c r="AD282" s="5">
        <v>30041007750</v>
      </c>
      <c r="AE282" s="8">
        <v>45993</v>
      </c>
      <c r="AF282" s="5" t="s">
        <v>183</v>
      </c>
      <c r="AG282" s="5" t="s">
        <v>37</v>
      </c>
      <c r="AH282" s="5">
        <v>206206</v>
      </c>
      <c r="AI282" s="6">
        <v>45993</v>
      </c>
      <c r="AJ282" s="6">
        <v>46003</v>
      </c>
      <c r="AK282" s="1">
        <f t="shared" si="127"/>
        <v>7.2515999999999998</v>
      </c>
    </row>
    <row r="283" spans="1:37" hidden="1" x14ac:dyDescent="0.55000000000000004">
      <c r="A283">
        <v>3004</v>
      </c>
      <c r="B283">
        <v>1007874</v>
      </c>
      <c r="C283" s="1">
        <v>1656.38</v>
      </c>
      <c r="E283" s="1">
        <v>1656.38</v>
      </c>
      <c r="F283">
        <v>16.559999999999999</v>
      </c>
      <c r="G283" s="1">
        <v>1639.82</v>
      </c>
      <c r="H283" s="1"/>
      <c r="I283" s="1"/>
      <c r="J283" s="2">
        <v>46003</v>
      </c>
      <c r="K283" s="5">
        <v>1007874</v>
      </c>
      <c r="L283" s="5">
        <v>3004</v>
      </c>
      <c r="M283" s="5">
        <v>0</v>
      </c>
      <c r="N283" s="5">
        <v>1656.38</v>
      </c>
      <c r="O283" s="7">
        <v>45994</v>
      </c>
      <c r="P283" s="5">
        <v>1656.38</v>
      </c>
      <c r="Q283" s="5">
        <v>0</v>
      </c>
      <c r="R283" s="5" t="s">
        <v>32</v>
      </c>
      <c r="S283" s="5" t="s">
        <v>33</v>
      </c>
      <c r="T283" s="5">
        <v>16.559999999999999</v>
      </c>
      <c r="U283" s="5">
        <v>1639.82</v>
      </c>
      <c r="V283" s="5" t="s">
        <v>34</v>
      </c>
      <c r="W283" s="5">
        <v>2</v>
      </c>
      <c r="X283" s="5">
        <v>1674855672133</v>
      </c>
      <c r="Y283" s="7">
        <v>46003</v>
      </c>
      <c r="Z283" s="7">
        <v>45994</v>
      </c>
      <c r="AB283" s="6">
        <v>46003</v>
      </c>
      <c r="AC283" s="7">
        <v>46000.384027777778</v>
      </c>
      <c r="AD283" s="5">
        <v>30041007874</v>
      </c>
      <c r="AE283" s="8">
        <v>45994</v>
      </c>
      <c r="AF283" s="5" t="s">
        <v>184</v>
      </c>
      <c r="AG283" s="5" t="s">
        <v>38</v>
      </c>
      <c r="AH283" s="5">
        <v>206436</v>
      </c>
      <c r="AI283" s="6">
        <v>45994</v>
      </c>
      <c r="AJ283" s="6">
        <v>46003</v>
      </c>
    </row>
    <row r="284" spans="1:37" x14ac:dyDescent="0.55000000000000004">
      <c r="A284">
        <v>3004</v>
      </c>
      <c r="B284">
        <v>1008313</v>
      </c>
      <c r="C284" s="1">
        <v>3936.71</v>
      </c>
      <c r="D284" s="4">
        <v>39.369999999999997</v>
      </c>
      <c r="E284" s="1">
        <v>3897.34</v>
      </c>
      <c r="F284">
        <v>39.369999999999997</v>
      </c>
      <c r="G284" s="1">
        <v>3857.97</v>
      </c>
      <c r="H284" s="14">
        <f t="shared" ref="H284:H286" si="128">C284-D284-F284</f>
        <v>3857.9700000000003</v>
      </c>
      <c r="I284" s="14" t="b">
        <f t="shared" ref="I284:I286" si="129">G284=H284</f>
        <v>1</v>
      </c>
      <c r="J284" s="2">
        <v>46003</v>
      </c>
      <c r="K284" s="5">
        <v>1008313</v>
      </c>
      <c r="L284" s="5">
        <v>3004</v>
      </c>
      <c r="M284" s="5">
        <v>39.369999999999997</v>
      </c>
      <c r="N284" s="5">
        <v>3936.71</v>
      </c>
      <c r="O284" s="7">
        <v>45996</v>
      </c>
      <c r="P284" s="5">
        <v>3897.34</v>
      </c>
      <c r="Q284" s="5">
        <v>39.369999999999997</v>
      </c>
      <c r="R284" s="5">
        <v>1067776</v>
      </c>
      <c r="S284" s="5" t="s">
        <v>152</v>
      </c>
      <c r="T284" s="5">
        <v>39.369999999999997</v>
      </c>
      <c r="U284" s="5">
        <v>3857.97</v>
      </c>
      <c r="V284" s="5" t="s">
        <v>34</v>
      </c>
      <c r="W284" s="5">
        <v>2</v>
      </c>
      <c r="X284" s="5">
        <v>1674855672133</v>
      </c>
      <c r="Y284" s="7">
        <v>46003</v>
      </c>
      <c r="Z284" s="7">
        <v>45996</v>
      </c>
      <c r="AB284" s="6">
        <v>46003</v>
      </c>
      <c r="AC284" s="7">
        <v>46000.384027777778</v>
      </c>
      <c r="AD284" s="5">
        <v>30041008313</v>
      </c>
      <c r="AE284" s="8">
        <v>45996</v>
      </c>
      <c r="AF284" s="5">
        <v>3600887</v>
      </c>
      <c r="AG284" s="5" t="s">
        <v>154</v>
      </c>
      <c r="AH284" s="5">
        <v>1067776</v>
      </c>
      <c r="AI284" s="6">
        <v>45996</v>
      </c>
      <c r="AJ284" s="6">
        <v>46003</v>
      </c>
    </row>
    <row r="285" spans="1:37" x14ac:dyDescent="0.55000000000000004">
      <c r="A285">
        <v>3004</v>
      </c>
      <c r="B285">
        <v>1008320</v>
      </c>
      <c r="C285" s="1">
        <v>2232</v>
      </c>
      <c r="D285" s="4">
        <v>22.32</v>
      </c>
      <c r="E285" s="1">
        <v>2209.6799999999998</v>
      </c>
      <c r="F285">
        <v>22.32</v>
      </c>
      <c r="G285" s="1">
        <v>2187.36</v>
      </c>
      <c r="H285" s="14">
        <f t="shared" si="128"/>
        <v>2187.3599999999997</v>
      </c>
      <c r="I285" s="14" t="b">
        <f t="shared" si="129"/>
        <v>1</v>
      </c>
      <c r="J285" s="2">
        <v>46003</v>
      </c>
      <c r="K285" s="5">
        <v>1008320</v>
      </c>
      <c r="L285" s="5">
        <v>3004</v>
      </c>
      <c r="M285" s="5">
        <v>22.32</v>
      </c>
      <c r="N285" s="5">
        <v>2232</v>
      </c>
      <c r="O285" s="7">
        <v>45996</v>
      </c>
      <c r="P285" s="5">
        <v>2209.6799999999998</v>
      </c>
      <c r="Q285" s="5">
        <v>22.32</v>
      </c>
      <c r="R285" s="5">
        <v>1068200</v>
      </c>
      <c r="S285" s="5" t="s">
        <v>152</v>
      </c>
      <c r="T285" s="5">
        <v>22.32</v>
      </c>
      <c r="U285" s="5">
        <v>2187.36</v>
      </c>
      <c r="V285" s="5" t="s">
        <v>34</v>
      </c>
      <c r="W285" s="5">
        <v>2</v>
      </c>
      <c r="X285" s="5">
        <v>1674855672133</v>
      </c>
      <c r="Y285" s="7">
        <v>46003</v>
      </c>
      <c r="Z285" s="7">
        <v>45996</v>
      </c>
      <c r="AB285" s="6">
        <v>46003</v>
      </c>
      <c r="AC285" s="7">
        <v>46000.384027777778</v>
      </c>
      <c r="AD285" s="5">
        <v>30041008320</v>
      </c>
      <c r="AE285" s="8">
        <v>45996</v>
      </c>
      <c r="AF285" s="5">
        <v>3600887</v>
      </c>
      <c r="AG285" s="5" t="s">
        <v>154</v>
      </c>
      <c r="AH285" s="5">
        <v>1068200</v>
      </c>
      <c r="AI285" s="6">
        <v>45996</v>
      </c>
      <c r="AJ285" s="6">
        <v>46003</v>
      </c>
    </row>
    <row r="286" spans="1:37" x14ac:dyDescent="0.55000000000000004">
      <c r="A286">
        <v>3004</v>
      </c>
      <c r="B286">
        <v>1008321</v>
      </c>
      <c r="C286">
        <v>231.09</v>
      </c>
      <c r="D286" s="4">
        <v>2.31</v>
      </c>
      <c r="E286">
        <v>228.78</v>
      </c>
      <c r="F286">
        <v>2.31</v>
      </c>
      <c r="G286">
        <v>226.47</v>
      </c>
      <c r="H286" s="14">
        <f t="shared" si="128"/>
        <v>226.47</v>
      </c>
      <c r="I286" s="14" t="b">
        <f t="shared" si="129"/>
        <v>1</v>
      </c>
      <c r="J286" s="2">
        <v>46003</v>
      </c>
      <c r="K286" s="5">
        <v>1008321</v>
      </c>
      <c r="L286" s="5">
        <v>3004</v>
      </c>
      <c r="M286" s="5">
        <v>2.31</v>
      </c>
      <c r="N286" s="5">
        <v>231.09</v>
      </c>
      <c r="O286" s="7">
        <v>45996</v>
      </c>
      <c r="P286" s="5">
        <v>228.78</v>
      </c>
      <c r="Q286" s="5">
        <v>2.31</v>
      </c>
      <c r="R286" s="5">
        <v>1068318</v>
      </c>
      <c r="S286" s="5" t="s">
        <v>152</v>
      </c>
      <c r="T286" s="5">
        <v>2.31</v>
      </c>
      <c r="U286" s="5">
        <v>226.47</v>
      </c>
      <c r="V286" s="5" t="s">
        <v>34</v>
      </c>
      <c r="W286" s="5">
        <v>2</v>
      </c>
      <c r="X286" s="5">
        <v>1674855672133</v>
      </c>
      <c r="Y286" s="7">
        <v>46003</v>
      </c>
      <c r="Z286" s="7">
        <v>45996</v>
      </c>
      <c r="AB286" s="6">
        <v>46003</v>
      </c>
      <c r="AC286" s="7">
        <v>46000.384027777778</v>
      </c>
      <c r="AD286" s="5">
        <v>30041008321</v>
      </c>
      <c r="AE286" s="8">
        <v>45996</v>
      </c>
      <c r="AF286" s="5">
        <v>3601097</v>
      </c>
      <c r="AG286" s="5" t="s">
        <v>154</v>
      </c>
      <c r="AH286" s="5">
        <v>1068318</v>
      </c>
      <c r="AI286" s="6">
        <v>45996</v>
      </c>
      <c r="AJ286" s="6">
        <v>46003</v>
      </c>
    </row>
    <row r="287" spans="1:37" hidden="1" x14ac:dyDescent="0.55000000000000004">
      <c r="A287">
        <v>3004</v>
      </c>
      <c r="B287">
        <v>1008360</v>
      </c>
      <c r="C287">
        <v>-532.79999999999995</v>
      </c>
      <c r="E287">
        <v>-532.79999999999995</v>
      </c>
      <c r="G287">
        <v>-532.79999999999995</v>
      </c>
      <c r="H287"/>
      <c r="I287"/>
      <c r="J287" s="2">
        <v>46003</v>
      </c>
      <c r="K287" s="5">
        <v>1008360</v>
      </c>
      <c r="L287" s="5">
        <v>3004</v>
      </c>
      <c r="M287" s="5">
        <v>0</v>
      </c>
      <c r="N287" s="5">
        <v>-532.79999999999995</v>
      </c>
      <c r="O287" s="7">
        <v>45996</v>
      </c>
      <c r="P287" s="5">
        <v>-532.79999999999995</v>
      </c>
      <c r="Q287" s="5">
        <v>0</v>
      </c>
      <c r="R287" s="5" t="s">
        <v>185</v>
      </c>
      <c r="S287" s="5" t="s">
        <v>186</v>
      </c>
      <c r="T287" s="5">
        <v>0</v>
      </c>
      <c r="U287" s="5">
        <v>-532.79999999999995</v>
      </c>
      <c r="V287" s="5" t="s">
        <v>34</v>
      </c>
      <c r="W287" s="5">
        <v>2</v>
      </c>
      <c r="X287" s="5">
        <v>1674855672133</v>
      </c>
      <c r="Y287" s="7">
        <v>46003</v>
      </c>
      <c r="Z287" s="7">
        <v>45996</v>
      </c>
      <c r="AB287" s="6">
        <v>46003</v>
      </c>
      <c r="AC287" s="7">
        <v>46000.384027777778</v>
      </c>
      <c r="AD287" s="5">
        <v>30041008360</v>
      </c>
      <c r="AE287" s="8">
        <v>45996</v>
      </c>
      <c r="AF287" s="5">
        <v>3600102</v>
      </c>
      <c r="AG287" s="5" t="s">
        <v>38</v>
      </c>
      <c r="AH287" s="5" t="s">
        <v>185</v>
      </c>
      <c r="AI287" s="6">
        <v>45996</v>
      </c>
      <c r="AJ287" s="6">
        <v>46003</v>
      </c>
    </row>
    <row r="288" spans="1:37" hidden="1" x14ac:dyDescent="0.55000000000000004">
      <c r="A288">
        <v>3039</v>
      </c>
      <c r="B288">
        <v>1007577</v>
      </c>
      <c r="C288" s="1">
        <v>3990</v>
      </c>
      <c r="E288" s="1">
        <v>3990</v>
      </c>
      <c r="F288">
        <v>39.9</v>
      </c>
      <c r="G288" s="1">
        <v>3950.1</v>
      </c>
      <c r="H288" s="1"/>
      <c r="I288" s="1"/>
      <c r="J288" s="2">
        <v>46003</v>
      </c>
      <c r="K288" s="5">
        <v>1007577</v>
      </c>
      <c r="L288" s="5">
        <v>3039</v>
      </c>
      <c r="M288" s="5">
        <v>0</v>
      </c>
      <c r="N288" s="5">
        <v>3990</v>
      </c>
      <c r="O288" s="7">
        <v>45993</v>
      </c>
      <c r="P288" s="5">
        <v>3990</v>
      </c>
      <c r="Q288" s="5">
        <v>0</v>
      </c>
      <c r="R288" s="5" t="s">
        <v>32</v>
      </c>
      <c r="S288" s="5" t="s">
        <v>33</v>
      </c>
      <c r="T288" s="5">
        <v>39.9</v>
      </c>
      <c r="U288" s="5">
        <v>3950.1</v>
      </c>
      <c r="V288" s="5" t="s">
        <v>34</v>
      </c>
      <c r="W288" s="5">
        <v>2</v>
      </c>
      <c r="X288" s="5">
        <v>3734831650633</v>
      </c>
      <c r="Y288" s="7">
        <v>46003</v>
      </c>
      <c r="Z288" s="7">
        <v>45993</v>
      </c>
      <c r="AB288" s="6">
        <v>46003</v>
      </c>
      <c r="AC288" s="7">
        <v>45999.534722222219</v>
      </c>
      <c r="AD288" s="5">
        <v>30391007577</v>
      </c>
      <c r="AE288" s="8">
        <v>45993</v>
      </c>
      <c r="AF288" s="5" t="s">
        <v>32</v>
      </c>
      <c r="AG288" s="5" t="s">
        <v>35</v>
      </c>
      <c r="AH288" s="5" t="s">
        <v>32</v>
      </c>
      <c r="AI288" s="6">
        <v>45993</v>
      </c>
      <c r="AJ288" s="6">
        <v>46003</v>
      </c>
    </row>
    <row r="289" spans="1:37" x14ac:dyDescent="0.55000000000000004">
      <c r="A289">
        <v>3039</v>
      </c>
      <c r="B289">
        <v>1008170</v>
      </c>
      <c r="C289">
        <v>766.36</v>
      </c>
      <c r="D289" s="4">
        <v>15.33</v>
      </c>
      <c r="E289">
        <v>751.03</v>
      </c>
      <c r="F289">
        <v>7.66</v>
      </c>
      <c r="G289">
        <v>743.37</v>
      </c>
      <c r="H289" s="14">
        <f>C289-D289-F289</f>
        <v>743.37</v>
      </c>
      <c r="I289" s="14" t="b">
        <f>G289=H289</f>
        <v>1</v>
      </c>
      <c r="J289" s="2">
        <v>46003</v>
      </c>
      <c r="K289" s="5">
        <v>1008170</v>
      </c>
      <c r="L289" s="5">
        <v>3039</v>
      </c>
      <c r="M289" s="5">
        <v>15.33</v>
      </c>
      <c r="N289" s="5">
        <v>766.36</v>
      </c>
      <c r="O289" s="7">
        <v>45995</v>
      </c>
      <c r="P289" s="5">
        <v>751.03</v>
      </c>
      <c r="Q289" s="5">
        <v>15.33</v>
      </c>
      <c r="R289" s="5" t="s">
        <v>32</v>
      </c>
      <c r="S289" s="5" t="s">
        <v>33</v>
      </c>
      <c r="T289" s="5">
        <v>7.66</v>
      </c>
      <c r="U289" s="5">
        <v>743.37</v>
      </c>
      <c r="V289" s="5" t="s">
        <v>34</v>
      </c>
      <c r="W289" s="5">
        <v>2</v>
      </c>
      <c r="X289" s="5">
        <v>3734831650633</v>
      </c>
      <c r="Y289" s="7">
        <v>46003</v>
      </c>
      <c r="Z289" s="7">
        <v>45995</v>
      </c>
      <c r="AB289" s="6">
        <v>46003</v>
      </c>
      <c r="AC289" s="7">
        <v>45999.534722222219</v>
      </c>
      <c r="AD289" s="5">
        <v>30391008170</v>
      </c>
      <c r="AE289" s="8">
        <v>45995</v>
      </c>
      <c r="AF289" s="5">
        <v>2867</v>
      </c>
      <c r="AG289" s="5" t="s">
        <v>37</v>
      </c>
      <c r="AH289" s="5">
        <v>206727</v>
      </c>
      <c r="AI289" s="6">
        <v>45995</v>
      </c>
      <c r="AJ289" s="6">
        <v>46003</v>
      </c>
      <c r="AK289" s="1">
        <f t="shared" ref="AK289" si="130">0.02*C289</f>
        <v>15.327200000000001</v>
      </c>
    </row>
    <row r="290" spans="1:37" hidden="1" x14ac:dyDescent="0.55000000000000004">
      <c r="A290">
        <v>3039</v>
      </c>
      <c r="B290">
        <v>1008364</v>
      </c>
      <c r="C290">
        <v>206.42</v>
      </c>
      <c r="E290">
        <v>206.42</v>
      </c>
      <c r="F290">
        <v>2.06</v>
      </c>
      <c r="G290">
        <v>204.36</v>
      </c>
      <c r="H290"/>
      <c r="I290"/>
      <c r="J290" s="2">
        <v>46003</v>
      </c>
      <c r="K290" s="5">
        <v>1008364</v>
      </c>
      <c r="L290" s="5">
        <v>3039</v>
      </c>
      <c r="M290" s="5">
        <v>0</v>
      </c>
      <c r="N290" s="5">
        <v>206.42</v>
      </c>
      <c r="O290" s="7">
        <v>45996</v>
      </c>
      <c r="P290" s="5">
        <v>206.42</v>
      </c>
      <c r="Q290" s="5">
        <v>0</v>
      </c>
      <c r="R290" s="5" t="s">
        <v>187</v>
      </c>
      <c r="S290" s="5" t="s">
        <v>138</v>
      </c>
      <c r="T290" s="5">
        <v>2.06</v>
      </c>
      <c r="U290" s="5">
        <v>204.36</v>
      </c>
      <c r="V290" s="5" t="s">
        <v>34</v>
      </c>
      <c r="W290" s="5">
        <v>2</v>
      </c>
      <c r="X290" s="5">
        <v>3734831650633</v>
      </c>
      <c r="Y290" s="7">
        <v>46003</v>
      </c>
      <c r="Z290" s="7">
        <v>45996</v>
      </c>
      <c r="AB290" s="6">
        <v>46003</v>
      </c>
      <c r="AC290" s="7">
        <v>45999.534722222219</v>
      </c>
      <c r="AD290" s="5">
        <v>30391008364</v>
      </c>
      <c r="AE290" s="8">
        <v>45996</v>
      </c>
      <c r="AF290" s="5">
        <v>2868</v>
      </c>
      <c r="AG290" s="5" t="s">
        <v>38</v>
      </c>
      <c r="AH290" s="5" t="s">
        <v>187</v>
      </c>
      <c r="AI290" s="6">
        <v>45996</v>
      </c>
      <c r="AJ290" s="6">
        <v>46003</v>
      </c>
    </row>
    <row r="291" spans="1:37" hidden="1" x14ac:dyDescent="0.55000000000000004">
      <c r="A291">
        <v>3039</v>
      </c>
      <c r="B291">
        <v>1008379</v>
      </c>
      <c r="C291">
        <v>314.33</v>
      </c>
      <c r="E291">
        <v>314.33</v>
      </c>
      <c r="F291">
        <v>3.14</v>
      </c>
      <c r="G291">
        <v>311.19</v>
      </c>
      <c r="H291"/>
      <c r="I291"/>
      <c r="J291" s="2">
        <v>46003</v>
      </c>
      <c r="K291" s="5">
        <v>1008379</v>
      </c>
      <c r="L291" s="5">
        <v>3039</v>
      </c>
      <c r="M291" s="5">
        <v>0</v>
      </c>
      <c r="N291" s="5">
        <v>314.33</v>
      </c>
      <c r="O291" s="7">
        <v>45996</v>
      </c>
      <c r="P291" s="5">
        <v>314.33</v>
      </c>
      <c r="Q291" s="5">
        <v>0</v>
      </c>
      <c r="R291" s="5" t="s">
        <v>188</v>
      </c>
      <c r="S291" s="5" t="s">
        <v>138</v>
      </c>
      <c r="T291" s="5">
        <v>3.14</v>
      </c>
      <c r="U291" s="5">
        <v>311.19</v>
      </c>
      <c r="V291" s="5" t="s">
        <v>34</v>
      </c>
      <c r="W291" s="5">
        <v>2</v>
      </c>
      <c r="X291" s="5">
        <v>3734831650633</v>
      </c>
      <c r="Y291" s="7">
        <v>46003</v>
      </c>
      <c r="Z291" s="7">
        <v>45996</v>
      </c>
      <c r="AB291" s="6">
        <v>46003</v>
      </c>
      <c r="AC291" s="7">
        <v>45999.534722222219</v>
      </c>
      <c r="AD291" s="5">
        <v>30391008379</v>
      </c>
      <c r="AE291" s="8">
        <v>45996</v>
      </c>
      <c r="AF291" s="5">
        <v>2839</v>
      </c>
      <c r="AG291" s="5" t="s">
        <v>38</v>
      </c>
      <c r="AH291" s="5" t="s">
        <v>188</v>
      </c>
      <c r="AI291" s="6">
        <v>45996</v>
      </c>
      <c r="AJ291" s="6">
        <v>46003</v>
      </c>
    </row>
    <row r="292" spans="1:37" x14ac:dyDescent="0.55000000000000004">
      <c r="A292">
        <v>3039</v>
      </c>
      <c r="B292">
        <v>1008435</v>
      </c>
      <c r="C292" s="1">
        <v>2358.73</v>
      </c>
      <c r="D292" s="4">
        <v>47.17</v>
      </c>
      <c r="E292" s="1">
        <v>2311.56</v>
      </c>
      <c r="F292">
        <v>23.59</v>
      </c>
      <c r="G292" s="1">
        <v>2287.9699999999998</v>
      </c>
      <c r="H292" s="14">
        <f>C292-D292-F292</f>
        <v>2287.9699999999998</v>
      </c>
      <c r="I292" s="14" t="b">
        <f>G292=H292</f>
        <v>1</v>
      </c>
      <c r="J292" s="2">
        <v>46003</v>
      </c>
      <c r="K292" s="5">
        <v>1008435</v>
      </c>
      <c r="L292" s="5">
        <v>3039</v>
      </c>
      <c r="M292" s="5">
        <v>47.17</v>
      </c>
      <c r="N292" s="5">
        <v>2358.73</v>
      </c>
      <c r="O292" s="7">
        <v>45996</v>
      </c>
      <c r="P292" s="5">
        <v>2311.56</v>
      </c>
      <c r="Q292" s="5">
        <v>47.17</v>
      </c>
      <c r="R292" s="5" t="s">
        <v>32</v>
      </c>
      <c r="S292" s="5" t="s">
        <v>33</v>
      </c>
      <c r="T292" s="5">
        <v>23.59</v>
      </c>
      <c r="U292" s="5">
        <v>2287.9699999999998</v>
      </c>
      <c r="V292" s="5" t="s">
        <v>34</v>
      </c>
      <c r="W292" s="5">
        <v>2</v>
      </c>
      <c r="X292" s="5">
        <v>3734831650633</v>
      </c>
      <c r="Y292" s="7">
        <v>46003</v>
      </c>
      <c r="Z292" s="7">
        <v>45996</v>
      </c>
      <c r="AB292" s="6">
        <v>46003</v>
      </c>
      <c r="AC292" s="7">
        <v>45999.534722222219</v>
      </c>
      <c r="AD292" s="5">
        <v>30391008435</v>
      </c>
      <c r="AE292" s="8">
        <v>45996</v>
      </c>
      <c r="AF292" s="5">
        <v>2867</v>
      </c>
      <c r="AG292" s="5" t="s">
        <v>37</v>
      </c>
      <c r="AH292" s="5">
        <v>206735</v>
      </c>
      <c r="AI292" s="6">
        <v>45996</v>
      </c>
      <c r="AJ292" s="6">
        <v>46003</v>
      </c>
      <c r="AK292" s="1">
        <f t="shared" ref="AK292" si="131">0.02*C292</f>
        <v>47.174599999999998</v>
      </c>
    </row>
    <row r="293" spans="1:37" hidden="1" x14ac:dyDescent="0.55000000000000004">
      <c r="A293">
        <v>3039</v>
      </c>
      <c r="B293">
        <v>1008438</v>
      </c>
      <c r="C293">
        <v>215.88</v>
      </c>
      <c r="E293">
        <v>215.88</v>
      </c>
      <c r="F293">
        <v>2.16</v>
      </c>
      <c r="G293">
        <v>213.72</v>
      </c>
      <c r="H293"/>
      <c r="I293"/>
      <c r="J293" s="2">
        <v>46003</v>
      </c>
      <c r="K293" s="5">
        <v>1008438</v>
      </c>
      <c r="L293" s="5">
        <v>3039</v>
      </c>
      <c r="M293" s="5">
        <v>0</v>
      </c>
      <c r="N293" s="5">
        <v>215.88</v>
      </c>
      <c r="O293" s="7">
        <v>45996</v>
      </c>
      <c r="P293" s="5">
        <v>215.88</v>
      </c>
      <c r="Q293" s="5">
        <v>0</v>
      </c>
      <c r="R293" s="5" t="s">
        <v>32</v>
      </c>
      <c r="S293" s="5" t="s">
        <v>33</v>
      </c>
      <c r="T293" s="5">
        <v>2.16</v>
      </c>
      <c r="U293" s="5">
        <v>213.72</v>
      </c>
      <c r="V293" s="5" t="s">
        <v>34</v>
      </c>
      <c r="W293" s="5">
        <v>2</v>
      </c>
      <c r="X293" s="5">
        <v>3734831650633</v>
      </c>
      <c r="Y293" s="7">
        <v>46003</v>
      </c>
      <c r="Z293" s="7">
        <v>45996</v>
      </c>
      <c r="AB293" s="6">
        <v>46003</v>
      </c>
      <c r="AC293" s="7">
        <v>45999.534722222219</v>
      </c>
      <c r="AD293" s="5">
        <v>30391008438</v>
      </c>
      <c r="AE293" s="8">
        <v>45996</v>
      </c>
      <c r="AF293" s="5">
        <v>2867</v>
      </c>
      <c r="AG293" s="5" t="s">
        <v>38</v>
      </c>
      <c r="AH293" s="5">
        <v>206736</v>
      </c>
      <c r="AI293" s="6">
        <v>45996</v>
      </c>
      <c r="AJ293" s="6">
        <v>46003</v>
      </c>
    </row>
    <row r="294" spans="1:37" x14ac:dyDescent="0.55000000000000004">
      <c r="A294">
        <v>3046</v>
      </c>
      <c r="B294">
        <v>1007238</v>
      </c>
      <c r="C294">
        <v>66.36</v>
      </c>
      <c r="D294" s="4">
        <v>1.33</v>
      </c>
      <c r="E294">
        <v>65.03</v>
      </c>
      <c r="F294">
        <v>0.66</v>
      </c>
      <c r="G294">
        <v>64.37</v>
      </c>
      <c r="H294" s="14">
        <f t="shared" ref="H294:H301" si="132">C294-D294-F294</f>
        <v>64.37</v>
      </c>
      <c r="I294" s="14" t="b">
        <f t="shared" ref="I294:I301" si="133">G294=H294</f>
        <v>1</v>
      </c>
      <c r="J294" s="2">
        <v>46003</v>
      </c>
      <c r="K294" s="5">
        <v>1007238</v>
      </c>
      <c r="L294" s="5">
        <v>3046</v>
      </c>
      <c r="M294" s="5">
        <v>1.33</v>
      </c>
      <c r="N294" s="5">
        <v>66.36</v>
      </c>
      <c r="O294" s="7">
        <v>45992</v>
      </c>
      <c r="P294" s="5">
        <v>65.03</v>
      </c>
      <c r="Q294" s="5">
        <v>1.33</v>
      </c>
      <c r="R294" s="5" t="s">
        <v>32</v>
      </c>
      <c r="S294" s="5" t="s">
        <v>33</v>
      </c>
      <c r="T294" s="5">
        <v>0.66</v>
      </c>
      <c r="U294" s="5">
        <v>64.37</v>
      </c>
      <c r="V294" s="5" t="s">
        <v>34</v>
      </c>
      <c r="W294" s="5">
        <v>2</v>
      </c>
      <c r="X294" s="5">
        <v>7059144563221</v>
      </c>
      <c r="Y294" s="7">
        <v>46003</v>
      </c>
      <c r="Z294" s="7">
        <v>45992</v>
      </c>
      <c r="AB294" s="6">
        <v>46003</v>
      </c>
      <c r="AC294" s="7">
        <v>46000.45208333333</v>
      </c>
      <c r="AD294" s="5">
        <v>30461007238</v>
      </c>
      <c r="AE294" s="8">
        <v>45992</v>
      </c>
      <c r="AF294" s="5">
        <v>28211</v>
      </c>
      <c r="AG294" s="5" t="s">
        <v>37</v>
      </c>
      <c r="AH294" s="5">
        <v>205786</v>
      </c>
      <c r="AI294" s="6">
        <v>45992</v>
      </c>
      <c r="AJ294" s="6">
        <v>46003</v>
      </c>
      <c r="AK294" s="1">
        <f t="shared" ref="AK294:AK301" si="134">0.02*C294</f>
        <v>1.3271999999999999</v>
      </c>
    </row>
    <row r="295" spans="1:37" x14ac:dyDescent="0.55000000000000004">
      <c r="A295">
        <v>3046</v>
      </c>
      <c r="B295">
        <v>1007240</v>
      </c>
      <c r="C295">
        <v>33.18</v>
      </c>
      <c r="D295" s="4">
        <v>0.66</v>
      </c>
      <c r="E295">
        <v>32.520000000000003</v>
      </c>
      <c r="F295">
        <v>0.33</v>
      </c>
      <c r="G295">
        <v>32.19</v>
      </c>
      <c r="H295" s="14">
        <f t="shared" si="132"/>
        <v>32.190000000000005</v>
      </c>
      <c r="I295" s="14" t="b">
        <f t="shared" si="133"/>
        <v>1</v>
      </c>
      <c r="J295" s="2">
        <v>46003</v>
      </c>
      <c r="K295" s="5">
        <v>1007240</v>
      </c>
      <c r="L295" s="5">
        <v>3046</v>
      </c>
      <c r="M295" s="5">
        <v>0.66</v>
      </c>
      <c r="N295" s="5">
        <v>33.18</v>
      </c>
      <c r="O295" s="7">
        <v>45992</v>
      </c>
      <c r="P295" s="5">
        <v>32.520000000000003</v>
      </c>
      <c r="Q295" s="5">
        <v>0.66</v>
      </c>
      <c r="R295" s="5" t="s">
        <v>32</v>
      </c>
      <c r="S295" s="5" t="s">
        <v>33</v>
      </c>
      <c r="T295" s="5">
        <v>0.33</v>
      </c>
      <c r="U295" s="5">
        <v>32.19</v>
      </c>
      <c r="V295" s="5" t="s">
        <v>34</v>
      </c>
      <c r="W295" s="5">
        <v>2</v>
      </c>
      <c r="X295" s="5">
        <v>7059144563221</v>
      </c>
      <c r="Y295" s="7">
        <v>46003</v>
      </c>
      <c r="Z295" s="7">
        <v>45992</v>
      </c>
      <c r="AB295" s="6">
        <v>46003</v>
      </c>
      <c r="AC295" s="7">
        <v>46000.45208333333</v>
      </c>
      <c r="AD295" s="5">
        <v>30461007240</v>
      </c>
      <c r="AE295" s="8">
        <v>45992</v>
      </c>
      <c r="AF295" s="5">
        <v>28421</v>
      </c>
      <c r="AG295" s="5" t="s">
        <v>37</v>
      </c>
      <c r="AH295" s="5">
        <v>205788</v>
      </c>
      <c r="AI295" s="6">
        <v>45992</v>
      </c>
      <c r="AJ295" s="6">
        <v>46003</v>
      </c>
      <c r="AK295" s="1">
        <f t="shared" si="134"/>
        <v>0.66359999999999997</v>
      </c>
    </row>
    <row r="296" spans="1:37" x14ac:dyDescent="0.55000000000000004">
      <c r="A296">
        <v>3046</v>
      </c>
      <c r="B296">
        <v>1007241</v>
      </c>
      <c r="C296">
        <v>99.54</v>
      </c>
      <c r="D296" s="4">
        <v>1.99</v>
      </c>
      <c r="E296">
        <v>97.55</v>
      </c>
      <c r="F296">
        <v>1</v>
      </c>
      <c r="G296">
        <v>96.55</v>
      </c>
      <c r="H296" s="14">
        <f t="shared" si="132"/>
        <v>96.550000000000011</v>
      </c>
      <c r="I296" s="14" t="b">
        <f t="shared" si="133"/>
        <v>1</v>
      </c>
      <c r="J296" s="2">
        <v>46003</v>
      </c>
      <c r="K296" s="5">
        <v>1007241</v>
      </c>
      <c r="L296" s="5">
        <v>3046</v>
      </c>
      <c r="M296" s="5">
        <v>1.99</v>
      </c>
      <c r="N296" s="5">
        <v>99.54</v>
      </c>
      <c r="O296" s="7">
        <v>45992</v>
      </c>
      <c r="P296" s="5">
        <v>97.55</v>
      </c>
      <c r="Q296" s="5">
        <v>1.99</v>
      </c>
      <c r="R296" s="5" t="s">
        <v>32</v>
      </c>
      <c r="S296" s="5" t="s">
        <v>33</v>
      </c>
      <c r="T296" s="5">
        <v>1</v>
      </c>
      <c r="U296" s="5">
        <v>96.55</v>
      </c>
      <c r="V296" s="5" t="s">
        <v>34</v>
      </c>
      <c r="W296" s="5">
        <v>2</v>
      </c>
      <c r="X296" s="5">
        <v>7059144563221</v>
      </c>
      <c r="Y296" s="7">
        <v>46003</v>
      </c>
      <c r="Z296" s="7">
        <v>45992</v>
      </c>
      <c r="AB296" s="6">
        <v>46003</v>
      </c>
      <c r="AC296" s="7">
        <v>46000.45208333333</v>
      </c>
      <c r="AD296" s="5">
        <v>30461007241</v>
      </c>
      <c r="AE296" s="8">
        <v>45992</v>
      </c>
      <c r="AF296" s="5">
        <v>28197</v>
      </c>
      <c r="AG296" s="5" t="s">
        <v>37</v>
      </c>
      <c r="AH296" s="5">
        <v>205784</v>
      </c>
      <c r="AI296" s="6">
        <v>45992</v>
      </c>
      <c r="AJ296" s="6">
        <v>46003</v>
      </c>
      <c r="AK296" s="1">
        <f t="shared" si="134"/>
        <v>1.9908000000000001</v>
      </c>
    </row>
    <row r="297" spans="1:37" x14ac:dyDescent="0.55000000000000004">
      <c r="A297">
        <v>3046</v>
      </c>
      <c r="B297">
        <v>1007242</v>
      </c>
      <c r="C297">
        <v>33.18</v>
      </c>
      <c r="D297" s="4">
        <v>0.66</v>
      </c>
      <c r="E297">
        <v>32.520000000000003</v>
      </c>
      <c r="F297">
        <v>0.33</v>
      </c>
      <c r="G297">
        <v>32.19</v>
      </c>
      <c r="H297" s="14">
        <f t="shared" si="132"/>
        <v>32.190000000000005</v>
      </c>
      <c r="I297" s="14" t="b">
        <f t="shared" si="133"/>
        <v>1</v>
      </c>
      <c r="J297" s="2">
        <v>46003</v>
      </c>
      <c r="K297" s="5">
        <v>1007242</v>
      </c>
      <c r="L297" s="5">
        <v>3046</v>
      </c>
      <c r="M297" s="5">
        <v>0.66</v>
      </c>
      <c r="N297" s="5">
        <v>33.18</v>
      </c>
      <c r="O297" s="7">
        <v>45992</v>
      </c>
      <c r="P297" s="5">
        <v>32.520000000000003</v>
      </c>
      <c r="Q297" s="5">
        <v>0.66</v>
      </c>
      <c r="R297" s="5" t="s">
        <v>32</v>
      </c>
      <c r="S297" s="5" t="s">
        <v>33</v>
      </c>
      <c r="T297" s="5">
        <v>0.33</v>
      </c>
      <c r="U297" s="5">
        <v>32.19</v>
      </c>
      <c r="V297" s="5" t="s">
        <v>34</v>
      </c>
      <c r="W297" s="5">
        <v>2</v>
      </c>
      <c r="X297" s="5">
        <v>7059144563221</v>
      </c>
      <c r="Y297" s="7">
        <v>46003</v>
      </c>
      <c r="Z297" s="7">
        <v>45992</v>
      </c>
      <c r="AB297" s="6">
        <v>46003</v>
      </c>
      <c r="AC297" s="7">
        <v>46000.45208333333</v>
      </c>
      <c r="AD297" s="5">
        <v>30461007242</v>
      </c>
      <c r="AE297" s="8">
        <v>45992</v>
      </c>
      <c r="AF297" s="5">
        <v>28222</v>
      </c>
      <c r="AG297" s="5" t="s">
        <v>37</v>
      </c>
      <c r="AH297" s="5">
        <v>205787</v>
      </c>
      <c r="AI297" s="6">
        <v>45992</v>
      </c>
      <c r="AJ297" s="6">
        <v>46003</v>
      </c>
      <c r="AK297" s="1">
        <f t="shared" si="134"/>
        <v>0.66359999999999997</v>
      </c>
    </row>
    <row r="298" spans="1:37" x14ac:dyDescent="0.55000000000000004">
      <c r="A298">
        <v>3046</v>
      </c>
      <c r="B298">
        <v>1007243</v>
      </c>
      <c r="C298">
        <v>33.18</v>
      </c>
      <c r="D298" s="4">
        <v>0.66</v>
      </c>
      <c r="E298">
        <v>32.520000000000003</v>
      </c>
      <c r="F298">
        <v>0.33</v>
      </c>
      <c r="G298">
        <v>32.19</v>
      </c>
      <c r="H298" s="14">
        <f t="shared" si="132"/>
        <v>32.190000000000005</v>
      </c>
      <c r="I298" s="14" t="b">
        <f t="shared" si="133"/>
        <v>1</v>
      </c>
      <c r="J298" s="2">
        <v>46003</v>
      </c>
      <c r="K298" s="5">
        <v>1007243</v>
      </c>
      <c r="L298" s="5">
        <v>3046</v>
      </c>
      <c r="M298" s="5">
        <v>0.66</v>
      </c>
      <c r="N298" s="5">
        <v>33.18</v>
      </c>
      <c r="O298" s="7">
        <v>45992</v>
      </c>
      <c r="P298" s="5">
        <v>32.520000000000003</v>
      </c>
      <c r="Q298" s="5">
        <v>0.66</v>
      </c>
      <c r="R298" s="5" t="s">
        <v>32</v>
      </c>
      <c r="S298" s="5" t="s">
        <v>33</v>
      </c>
      <c r="T298" s="5">
        <v>0.33</v>
      </c>
      <c r="U298" s="5">
        <v>32.19</v>
      </c>
      <c r="V298" s="5" t="s">
        <v>34</v>
      </c>
      <c r="W298" s="5">
        <v>2</v>
      </c>
      <c r="X298" s="5">
        <v>7059144563221</v>
      </c>
      <c r="Y298" s="7">
        <v>46003</v>
      </c>
      <c r="Z298" s="7">
        <v>45992</v>
      </c>
      <c r="AB298" s="6">
        <v>46003</v>
      </c>
      <c r="AC298" s="7">
        <v>46000.45208333333</v>
      </c>
      <c r="AD298" s="5">
        <v>30461007243</v>
      </c>
      <c r="AE298" s="8">
        <v>45992</v>
      </c>
      <c r="AF298" s="5">
        <v>28184</v>
      </c>
      <c r="AG298" s="5" t="s">
        <v>37</v>
      </c>
      <c r="AH298" s="5">
        <v>205783</v>
      </c>
      <c r="AI298" s="6">
        <v>45992</v>
      </c>
      <c r="AJ298" s="6">
        <v>46003</v>
      </c>
      <c r="AK298" s="1">
        <f t="shared" si="134"/>
        <v>0.66359999999999997</v>
      </c>
    </row>
    <row r="299" spans="1:37" x14ac:dyDescent="0.55000000000000004">
      <c r="A299">
        <v>3046</v>
      </c>
      <c r="B299">
        <v>1007244</v>
      </c>
      <c r="C299">
        <v>33.18</v>
      </c>
      <c r="D299" s="4">
        <v>0.66</v>
      </c>
      <c r="E299">
        <v>32.520000000000003</v>
      </c>
      <c r="F299">
        <v>0.33</v>
      </c>
      <c r="G299">
        <v>32.19</v>
      </c>
      <c r="H299" s="14">
        <f t="shared" si="132"/>
        <v>32.190000000000005</v>
      </c>
      <c r="I299" s="14" t="b">
        <f t="shared" si="133"/>
        <v>1</v>
      </c>
      <c r="J299" s="2">
        <v>46003</v>
      </c>
      <c r="K299" s="5">
        <v>1007244</v>
      </c>
      <c r="L299" s="5">
        <v>3046</v>
      </c>
      <c r="M299" s="5">
        <v>0.66</v>
      </c>
      <c r="N299" s="5">
        <v>33.18</v>
      </c>
      <c r="O299" s="7">
        <v>45992</v>
      </c>
      <c r="P299" s="5">
        <v>32.520000000000003</v>
      </c>
      <c r="Q299" s="5">
        <v>0.66</v>
      </c>
      <c r="R299" s="5" t="s">
        <v>32</v>
      </c>
      <c r="S299" s="5" t="s">
        <v>33</v>
      </c>
      <c r="T299" s="5">
        <v>0.33</v>
      </c>
      <c r="U299" s="5">
        <v>32.19</v>
      </c>
      <c r="V299" s="5" t="s">
        <v>34</v>
      </c>
      <c r="W299" s="5">
        <v>2</v>
      </c>
      <c r="X299" s="5">
        <v>7059144563221</v>
      </c>
      <c r="Y299" s="7">
        <v>46003</v>
      </c>
      <c r="Z299" s="7">
        <v>45992</v>
      </c>
      <c r="AB299" s="6">
        <v>46003</v>
      </c>
      <c r="AC299" s="7">
        <v>46000.45208333333</v>
      </c>
      <c r="AD299" s="5">
        <v>30461007244</v>
      </c>
      <c r="AE299" s="8">
        <v>45992</v>
      </c>
      <c r="AF299" s="5">
        <v>28199</v>
      </c>
      <c r="AG299" s="5" t="s">
        <v>37</v>
      </c>
      <c r="AH299" s="5">
        <v>205785</v>
      </c>
      <c r="AI299" s="6">
        <v>45992</v>
      </c>
      <c r="AJ299" s="6">
        <v>46003</v>
      </c>
      <c r="AK299" s="1">
        <f t="shared" si="134"/>
        <v>0.66359999999999997</v>
      </c>
    </row>
    <row r="300" spans="1:37" x14ac:dyDescent="0.55000000000000004">
      <c r="A300">
        <v>3046</v>
      </c>
      <c r="B300">
        <v>1007294</v>
      </c>
      <c r="C300">
        <v>159.43</v>
      </c>
      <c r="D300" s="4">
        <v>3.19</v>
      </c>
      <c r="E300">
        <v>156.24</v>
      </c>
      <c r="F300">
        <v>1.59</v>
      </c>
      <c r="G300">
        <v>154.65</v>
      </c>
      <c r="H300" s="14">
        <f t="shared" si="132"/>
        <v>154.65</v>
      </c>
      <c r="I300" s="14" t="b">
        <f t="shared" si="133"/>
        <v>1</v>
      </c>
      <c r="J300" s="2">
        <v>46003</v>
      </c>
      <c r="K300" s="5">
        <v>1007294</v>
      </c>
      <c r="L300" s="5">
        <v>3046</v>
      </c>
      <c r="M300" s="5">
        <v>3.19</v>
      </c>
      <c r="N300" s="5">
        <v>159.43</v>
      </c>
      <c r="O300" s="7">
        <v>45992</v>
      </c>
      <c r="P300" s="5">
        <v>156.24</v>
      </c>
      <c r="Q300" s="5">
        <v>3.19</v>
      </c>
      <c r="R300" s="5" t="s">
        <v>32</v>
      </c>
      <c r="S300" s="5" t="s">
        <v>33</v>
      </c>
      <c r="T300" s="5">
        <v>1.59</v>
      </c>
      <c r="U300" s="5">
        <v>154.65</v>
      </c>
      <c r="V300" s="5" t="s">
        <v>34</v>
      </c>
      <c r="W300" s="5">
        <v>2</v>
      </c>
      <c r="X300" s="5">
        <v>7059144563221</v>
      </c>
      <c r="Y300" s="7">
        <v>46003</v>
      </c>
      <c r="Z300" s="7">
        <v>45992</v>
      </c>
      <c r="AB300" s="6">
        <v>46003</v>
      </c>
      <c r="AC300" s="7">
        <v>46000.45208333333</v>
      </c>
      <c r="AD300" s="5">
        <v>30461007294</v>
      </c>
      <c r="AE300" s="8">
        <v>45992</v>
      </c>
      <c r="AF300" s="5">
        <v>28496</v>
      </c>
      <c r="AG300" s="5" t="s">
        <v>37</v>
      </c>
      <c r="AH300" s="5">
        <v>205891</v>
      </c>
      <c r="AI300" s="6">
        <v>45992</v>
      </c>
      <c r="AJ300" s="6">
        <v>46003</v>
      </c>
      <c r="AK300" s="1">
        <f t="shared" si="134"/>
        <v>3.1886000000000001</v>
      </c>
    </row>
    <row r="301" spans="1:37" x14ac:dyDescent="0.55000000000000004">
      <c r="A301">
        <v>3046</v>
      </c>
      <c r="B301">
        <v>1007406</v>
      </c>
      <c r="C301">
        <v>382.03</v>
      </c>
      <c r="D301" s="4">
        <v>7.64</v>
      </c>
      <c r="E301">
        <v>374.39</v>
      </c>
      <c r="F301">
        <v>3.82</v>
      </c>
      <c r="G301">
        <v>370.57</v>
      </c>
      <c r="H301" s="14">
        <f t="shared" si="132"/>
        <v>370.57</v>
      </c>
      <c r="I301" s="14" t="b">
        <f t="shared" si="133"/>
        <v>1</v>
      </c>
      <c r="J301" s="2">
        <v>46003</v>
      </c>
      <c r="K301" s="5">
        <v>1007406</v>
      </c>
      <c r="L301" s="5">
        <v>3046</v>
      </c>
      <c r="M301" s="5">
        <v>7.64</v>
      </c>
      <c r="N301" s="5">
        <v>382.03</v>
      </c>
      <c r="O301" s="7">
        <v>45992</v>
      </c>
      <c r="P301" s="5">
        <v>374.39</v>
      </c>
      <c r="Q301" s="5">
        <v>7.64</v>
      </c>
      <c r="R301" s="5" t="s">
        <v>32</v>
      </c>
      <c r="S301" s="5" t="s">
        <v>33</v>
      </c>
      <c r="T301" s="5">
        <v>3.82</v>
      </c>
      <c r="U301" s="5">
        <v>370.57</v>
      </c>
      <c r="V301" s="5" t="s">
        <v>34</v>
      </c>
      <c r="W301" s="5">
        <v>2</v>
      </c>
      <c r="X301" s="5">
        <v>7059144563221</v>
      </c>
      <c r="Y301" s="7">
        <v>46003</v>
      </c>
      <c r="Z301" s="7">
        <v>45992</v>
      </c>
      <c r="AB301" s="6">
        <v>46003</v>
      </c>
      <c r="AC301" s="7">
        <v>46000.45208333333</v>
      </c>
      <c r="AD301" s="5">
        <v>30461007406</v>
      </c>
      <c r="AE301" s="8">
        <v>45992</v>
      </c>
      <c r="AF301" s="5">
        <v>28496</v>
      </c>
      <c r="AG301" s="5" t="s">
        <v>37</v>
      </c>
      <c r="AH301" s="5">
        <v>205912</v>
      </c>
      <c r="AI301" s="6">
        <v>45992</v>
      </c>
      <c r="AJ301" s="6">
        <v>46003</v>
      </c>
      <c r="AK301" s="1">
        <f t="shared" si="134"/>
        <v>7.6405999999999992</v>
      </c>
    </row>
    <row r="302" spans="1:37" hidden="1" x14ac:dyDescent="0.55000000000000004">
      <c r="A302">
        <v>3046</v>
      </c>
      <c r="B302">
        <v>1007412</v>
      </c>
      <c r="C302">
        <v>368.89</v>
      </c>
      <c r="E302">
        <v>368.89</v>
      </c>
      <c r="F302">
        <v>3.69</v>
      </c>
      <c r="G302">
        <v>365.2</v>
      </c>
      <c r="H302"/>
      <c r="I302"/>
      <c r="J302" s="2">
        <v>46003</v>
      </c>
      <c r="K302" s="5">
        <v>1007412</v>
      </c>
      <c r="L302" s="5">
        <v>3046</v>
      </c>
      <c r="M302" s="5">
        <v>0</v>
      </c>
      <c r="N302" s="5">
        <v>368.89</v>
      </c>
      <c r="O302" s="7">
        <v>45992</v>
      </c>
      <c r="P302" s="5">
        <v>368.89</v>
      </c>
      <c r="Q302" s="5">
        <v>0</v>
      </c>
      <c r="R302" s="5" t="s">
        <v>32</v>
      </c>
      <c r="S302" s="5" t="s">
        <v>33</v>
      </c>
      <c r="T302" s="5">
        <v>3.69</v>
      </c>
      <c r="U302" s="5">
        <v>365.2</v>
      </c>
      <c r="V302" s="5" t="s">
        <v>34</v>
      </c>
      <c r="W302" s="5">
        <v>2</v>
      </c>
      <c r="X302" s="5">
        <v>7059144563221</v>
      </c>
      <c r="Y302" s="7">
        <v>46003</v>
      </c>
      <c r="Z302" s="7">
        <v>45992</v>
      </c>
      <c r="AB302" s="6">
        <v>46003</v>
      </c>
      <c r="AC302" s="7">
        <v>46000.45208333333</v>
      </c>
      <c r="AD302" s="5">
        <v>30461007412</v>
      </c>
      <c r="AE302" s="8">
        <v>45992</v>
      </c>
      <c r="AF302" s="5">
        <v>28496</v>
      </c>
      <c r="AG302" s="5" t="s">
        <v>38</v>
      </c>
      <c r="AH302" s="5">
        <v>205913</v>
      </c>
      <c r="AI302" s="6">
        <v>45992</v>
      </c>
      <c r="AJ302" s="6">
        <v>46003</v>
      </c>
    </row>
    <row r="303" spans="1:37" x14ac:dyDescent="0.55000000000000004">
      <c r="A303">
        <v>3046</v>
      </c>
      <c r="B303">
        <v>1007461</v>
      </c>
      <c r="C303">
        <v>9.51</v>
      </c>
      <c r="D303" s="4">
        <v>0.19</v>
      </c>
      <c r="E303">
        <v>9.32</v>
      </c>
      <c r="F303">
        <v>0.1</v>
      </c>
      <c r="G303">
        <v>9.2200000000000006</v>
      </c>
      <c r="H303" s="14">
        <f>C303-D303-F303</f>
        <v>9.2200000000000006</v>
      </c>
      <c r="I303" s="14" t="b">
        <f>G303=H303</f>
        <v>1</v>
      </c>
      <c r="J303" s="2">
        <v>46003</v>
      </c>
      <c r="K303" s="5">
        <v>1007461</v>
      </c>
      <c r="L303" s="5">
        <v>3046</v>
      </c>
      <c r="M303" s="5">
        <v>0.19</v>
      </c>
      <c r="N303" s="5">
        <v>9.51</v>
      </c>
      <c r="O303" s="7">
        <v>45992</v>
      </c>
      <c r="P303" s="5">
        <v>9.32</v>
      </c>
      <c r="Q303" s="5">
        <v>0.19</v>
      </c>
      <c r="R303" s="5" t="s">
        <v>32</v>
      </c>
      <c r="S303" s="5" t="s">
        <v>33</v>
      </c>
      <c r="T303" s="5">
        <v>0.1</v>
      </c>
      <c r="U303" s="5">
        <v>9.2200000000000006</v>
      </c>
      <c r="V303" s="5" t="s">
        <v>34</v>
      </c>
      <c r="W303" s="5">
        <v>2</v>
      </c>
      <c r="X303" s="5">
        <v>7059144563221</v>
      </c>
      <c r="Y303" s="7">
        <v>46003</v>
      </c>
      <c r="Z303" s="7">
        <v>45992</v>
      </c>
      <c r="AB303" s="6">
        <v>46003</v>
      </c>
      <c r="AC303" s="7">
        <v>46000.45208333333</v>
      </c>
      <c r="AD303" s="5">
        <v>30461007461</v>
      </c>
      <c r="AE303" s="8">
        <v>45992</v>
      </c>
      <c r="AF303" s="5">
        <v>28438</v>
      </c>
      <c r="AG303" s="5" t="s">
        <v>37</v>
      </c>
      <c r="AH303" s="5">
        <v>205962</v>
      </c>
      <c r="AI303" s="6">
        <v>45992</v>
      </c>
      <c r="AJ303" s="6">
        <v>46003</v>
      </c>
      <c r="AK303" s="1">
        <f t="shared" ref="AK303" si="135">0.02*C303</f>
        <v>0.19020000000000001</v>
      </c>
    </row>
    <row r="304" spans="1:37" hidden="1" x14ac:dyDescent="0.55000000000000004">
      <c r="A304">
        <v>3046</v>
      </c>
      <c r="B304">
        <v>1007612</v>
      </c>
      <c r="C304" s="1">
        <v>3990</v>
      </c>
      <c r="E304" s="1">
        <v>3990</v>
      </c>
      <c r="F304">
        <v>39.9</v>
      </c>
      <c r="G304" s="1">
        <v>3950.1</v>
      </c>
      <c r="H304" s="1"/>
      <c r="I304" s="1"/>
      <c r="J304" s="2">
        <v>46003</v>
      </c>
      <c r="K304" s="5">
        <v>1007612</v>
      </c>
      <c r="L304" s="5">
        <v>3046</v>
      </c>
      <c r="M304" s="5">
        <v>0</v>
      </c>
      <c r="N304" s="5">
        <v>3990</v>
      </c>
      <c r="O304" s="7">
        <v>45993</v>
      </c>
      <c r="P304" s="5">
        <v>3990</v>
      </c>
      <c r="Q304" s="5">
        <v>0</v>
      </c>
      <c r="R304" s="5" t="s">
        <v>32</v>
      </c>
      <c r="S304" s="5" t="s">
        <v>33</v>
      </c>
      <c r="T304" s="5">
        <v>39.9</v>
      </c>
      <c r="U304" s="5">
        <v>3950.1</v>
      </c>
      <c r="V304" s="5" t="s">
        <v>34</v>
      </c>
      <c r="W304" s="5">
        <v>2</v>
      </c>
      <c r="X304" s="5">
        <v>7059144563221</v>
      </c>
      <c r="Y304" s="7">
        <v>46003</v>
      </c>
      <c r="Z304" s="7">
        <v>45993</v>
      </c>
      <c r="AB304" s="6">
        <v>46003</v>
      </c>
      <c r="AC304" s="7">
        <v>46000.45208333333</v>
      </c>
      <c r="AD304" s="5">
        <v>30461007612</v>
      </c>
      <c r="AE304" s="8">
        <v>45993</v>
      </c>
      <c r="AF304" s="5" t="s">
        <v>32</v>
      </c>
      <c r="AG304" s="5" t="s">
        <v>35</v>
      </c>
      <c r="AH304" s="5" t="s">
        <v>32</v>
      </c>
      <c r="AI304" s="6">
        <v>45993</v>
      </c>
      <c r="AJ304" s="6">
        <v>46003</v>
      </c>
    </row>
    <row r="305" spans="1:37" hidden="1" x14ac:dyDescent="0.55000000000000004">
      <c r="A305">
        <v>3046</v>
      </c>
      <c r="B305">
        <v>1007682</v>
      </c>
      <c r="C305">
        <v>81.7</v>
      </c>
      <c r="E305">
        <v>81.7</v>
      </c>
      <c r="F305">
        <v>0.82</v>
      </c>
      <c r="G305">
        <v>80.88</v>
      </c>
      <c r="H305"/>
      <c r="I305"/>
      <c r="J305" s="2">
        <v>46003</v>
      </c>
      <c r="K305" s="5">
        <v>1007682</v>
      </c>
      <c r="L305" s="5">
        <v>3046</v>
      </c>
      <c r="M305" s="5">
        <v>0</v>
      </c>
      <c r="N305" s="5">
        <v>81.7</v>
      </c>
      <c r="O305" s="7">
        <v>45993</v>
      </c>
      <c r="P305" s="5">
        <v>81.7</v>
      </c>
      <c r="Q305" s="5">
        <v>0</v>
      </c>
      <c r="R305" s="5" t="s">
        <v>32</v>
      </c>
      <c r="S305" s="5" t="s">
        <v>33</v>
      </c>
      <c r="T305" s="5">
        <v>0.82</v>
      </c>
      <c r="U305" s="5">
        <v>80.88</v>
      </c>
      <c r="V305" s="5" t="s">
        <v>34</v>
      </c>
      <c r="W305" s="5">
        <v>2</v>
      </c>
      <c r="X305" s="5">
        <v>7059144563221</v>
      </c>
      <c r="Y305" s="7">
        <v>46003</v>
      </c>
      <c r="Z305" s="7">
        <v>45993</v>
      </c>
      <c r="AB305" s="6">
        <v>46003</v>
      </c>
      <c r="AC305" s="7">
        <v>46000.45208333333</v>
      </c>
      <c r="AD305" s="5">
        <v>30461007682</v>
      </c>
      <c r="AE305" s="8">
        <v>45993</v>
      </c>
      <c r="AF305" s="5">
        <v>28487</v>
      </c>
      <c r="AG305" s="5" t="s">
        <v>38</v>
      </c>
      <c r="AH305" s="5">
        <v>206108</v>
      </c>
      <c r="AI305" s="6">
        <v>45993</v>
      </c>
      <c r="AJ305" s="6">
        <v>46003</v>
      </c>
    </row>
    <row r="306" spans="1:37" x14ac:dyDescent="0.55000000000000004">
      <c r="A306">
        <v>3046</v>
      </c>
      <c r="B306">
        <v>1007738</v>
      </c>
      <c r="C306">
        <v>23.5</v>
      </c>
      <c r="D306" s="4">
        <v>0.47</v>
      </c>
      <c r="E306">
        <v>23.03</v>
      </c>
      <c r="F306">
        <v>0.24</v>
      </c>
      <c r="G306">
        <v>22.79</v>
      </c>
      <c r="H306" s="14">
        <f>C306-D306-F306</f>
        <v>22.790000000000003</v>
      </c>
      <c r="I306" s="14" t="b">
        <f>G306=H306</f>
        <v>1</v>
      </c>
      <c r="J306" s="2">
        <v>46003</v>
      </c>
      <c r="K306" s="5">
        <v>1007738</v>
      </c>
      <c r="L306" s="5">
        <v>3046</v>
      </c>
      <c r="M306" s="5">
        <v>0.47</v>
      </c>
      <c r="N306" s="5">
        <v>23.5</v>
      </c>
      <c r="O306" s="7">
        <v>45993</v>
      </c>
      <c r="P306" s="5">
        <v>23.03</v>
      </c>
      <c r="Q306" s="5">
        <v>0.47</v>
      </c>
      <c r="R306" s="5" t="s">
        <v>32</v>
      </c>
      <c r="S306" s="5" t="s">
        <v>33</v>
      </c>
      <c r="T306" s="5">
        <v>0.24</v>
      </c>
      <c r="U306" s="5">
        <v>22.79</v>
      </c>
      <c r="V306" s="5" t="s">
        <v>34</v>
      </c>
      <c r="W306" s="5">
        <v>2</v>
      </c>
      <c r="X306" s="5">
        <v>7059144563221</v>
      </c>
      <c r="Y306" s="7">
        <v>46003</v>
      </c>
      <c r="Z306" s="7">
        <v>45993</v>
      </c>
      <c r="AB306" s="6">
        <v>46003</v>
      </c>
      <c r="AC306" s="7">
        <v>46000.45208333333</v>
      </c>
      <c r="AD306" s="5">
        <v>30461007738</v>
      </c>
      <c r="AE306" s="8">
        <v>45993</v>
      </c>
      <c r="AF306" s="5">
        <v>28490</v>
      </c>
      <c r="AG306" s="5" t="s">
        <v>37</v>
      </c>
      <c r="AH306" s="5">
        <v>206153</v>
      </c>
      <c r="AI306" s="6">
        <v>45993</v>
      </c>
      <c r="AJ306" s="6">
        <v>46003</v>
      </c>
      <c r="AK306" s="1">
        <f t="shared" ref="AK306" si="136">0.02*C306</f>
        <v>0.47000000000000003</v>
      </c>
    </row>
    <row r="307" spans="1:37" hidden="1" x14ac:dyDescent="0.55000000000000004">
      <c r="A307">
        <v>3046</v>
      </c>
      <c r="B307">
        <v>1007759</v>
      </c>
      <c r="C307" s="1">
        <v>2225.65</v>
      </c>
      <c r="E307" s="1">
        <v>2225.65</v>
      </c>
      <c r="F307">
        <v>22.26</v>
      </c>
      <c r="G307" s="1">
        <v>2203.39</v>
      </c>
      <c r="H307" s="1"/>
      <c r="I307" s="1"/>
      <c r="J307" s="2">
        <v>46003</v>
      </c>
      <c r="K307" s="5">
        <v>1007759</v>
      </c>
      <c r="L307" s="5">
        <v>3046</v>
      </c>
      <c r="M307" s="5">
        <v>0</v>
      </c>
      <c r="N307" s="5">
        <v>2225.65</v>
      </c>
      <c r="O307" s="7">
        <v>45993</v>
      </c>
      <c r="P307" s="5">
        <v>2225.65</v>
      </c>
      <c r="Q307" s="5">
        <v>0</v>
      </c>
      <c r="R307" s="5" t="s">
        <v>32</v>
      </c>
      <c r="S307" s="5" t="s">
        <v>33</v>
      </c>
      <c r="T307" s="5">
        <v>22.26</v>
      </c>
      <c r="U307" s="5">
        <v>2203.39</v>
      </c>
      <c r="V307" s="5" t="s">
        <v>34</v>
      </c>
      <c r="W307" s="5">
        <v>2</v>
      </c>
      <c r="X307" s="5">
        <v>7059144563221</v>
      </c>
      <c r="Y307" s="7">
        <v>46003</v>
      </c>
      <c r="Z307" s="7">
        <v>45993</v>
      </c>
      <c r="AB307" s="6">
        <v>46003</v>
      </c>
      <c r="AC307" s="7">
        <v>46000.45208333333</v>
      </c>
      <c r="AD307" s="5">
        <v>30461007759</v>
      </c>
      <c r="AE307" s="8">
        <v>45993</v>
      </c>
      <c r="AF307" s="5">
        <v>28490</v>
      </c>
      <c r="AG307" s="5" t="s">
        <v>38</v>
      </c>
      <c r="AH307" s="5">
        <v>206220</v>
      </c>
      <c r="AI307" s="6">
        <v>45993</v>
      </c>
      <c r="AJ307" s="6">
        <v>46003</v>
      </c>
    </row>
    <row r="308" spans="1:37" x14ac:dyDescent="0.55000000000000004">
      <c r="A308">
        <v>3046</v>
      </c>
      <c r="B308">
        <v>1007763</v>
      </c>
      <c r="C308">
        <v>301.93</v>
      </c>
      <c r="D308" s="4">
        <v>6.04</v>
      </c>
      <c r="E308">
        <v>295.89</v>
      </c>
      <c r="F308">
        <v>3.02</v>
      </c>
      <c r="G308">
        <v>292.87</v>
      </c>
      <c r="H308" s="14">
        <f>C308-D308-F308</f>
        <v>292.87</v>
      </c>
      <c r="I308" s="14" t="b">
        <f>G308=H308</f>
        <v>1</v>
      </c>
      <c r="J308" s="2">
        <v>46003</v>
      </c>
      <c r="K308" s="5">
        <v>1007763</v>
      </c>
      <c r="L308" s="5">
        <v>3046</v>
      </c>
      <c r="M308" s="5">
        <v>6.04</v>
      </c>
      <c r="N308" s="5">
        <v>301.93</v>
      </c>
      <c r="O308" s="7">
        <v>45993</v>
      </c>
      <c r="P308" s="5">
        <v>295.89</v>
      </c>
      <c r="Q308" s="5">
        <v>6.04</v>
      </c>
      <c r="R308" s="5" t="s">
        <v>32</v>
      </c>
      <c r="S308" s="5" t="s">
        <v>33</v>
      </c>
      <c r="T308" s="5">
        <v>3.02</v>
      </c>
      <c r="U308" s="5">
        <v>292.87</v>
      </c>
      <c r="V308" s="5" t="s">
        <v>34</v>
      </c>
      <c r="W308" s="5">
        <v>2</v>
      </c>
      <c r="X308" s="5">
        <v>7059144563221</v>
      </c>
      <c r="Y308" s="7">
        <v>46003</v>
      </c>
      <c r="Z308" s="7">
        <v>45993</v>
      </c>
      <c r="AB308" s="6">
        <v>46003</v>
      </c>
      <c r="AC308" s="7">
        <v>46000.45208333333</v>
      </c>
      <c r="AD308" s="5">
        <v>30461007763</v>
      </c>
      <c r="AE308" s="8">
        <v>45993</v>
      </c>
      <c r="AF308" s="5">
        <v>28490</v>
      </c>
      <c r="AG308" s="5" t="s">
        <v>37</v>
      </c>
      <c r="AH308" s="5">
        <v>206219</v>
      </c>
      <c r="AI308" s="6">
        <v>45993</v>
      </c>
      <c r="AJ308" s="6">
        <v>46003</v>
      </c>
      <c r="AK308" s="1">
        <f t="shared" ref="AK308" si="137">0.02*C308</f>
        <v>6.0386000000000006</v>
      </c>
    </row>
    <row r="309" spans="1:37" hidden="1" x14ac:dyDescent="0.55000000000000004">
      <c r="A309">
        <v>3046</v>
      </c>
      <c r="B309">
        <v>1007907</v>
      </c>
      <c r="C309">
        <v>42.72</v>
      </c>
      <c r="E309">
        <v>42.72</v>
      </c>
      <c r="F309">
        <v>0.43</v>
      </c>
      <c r="G309">
        <v>42.29</v>
      </c>
      <c r="H309"/>
      <c r="I309"/>
      <c r="J309" s="2">
        <v>46003</v>
      </c>
      <c r="K309" s="5">
        <v>1007907</v>
      </c>
      <c r="L309" s="5">
        <v>3046</v>
      </c>
      <c r="M309" s="5">
        <v>0</v>
      </c>
      <c r="N309" s="5">
        <v>42.72</v>
      </c>
      <c r="O309" s="7">
        <v>45994</v>
      </c>
      <c r="P309" s="5">
        <v>42.72</v>
      </c>
      <c r="Q309" s="5">
        <v>0</v>
      </c>
      <c r="R309" s="5" t="s">
        <v>32</v>
      </c>
      <c r="S309" s="5" t="s">
        <v>33</v>
      </c>
      <c r="T309" s="5">
        <v>0.43</v>
      </c>
      <c r="U309" s="5">
        <v>42.29</v>
      </c>
      <c r="V309" s="5" t="s">
        <v>34</v>
      </c>
      <c r="W309" s="5">
        <v>2</v>
      </c>
      <c r="X309" s="5">
        <v>7059144563221</v>
      </c>
      <c r="Y309" s="7">
        <v>46003</v>
      </c>
      <c r="Z309" s="7">
        <v>45994</v>
      </c>
      <c r="AB309" s="6">
        <v>46003</v>
      </c>
      <c r="AC309" s="7">
        <v>46000.45208333333</v>
      </c>
      <c r="AD309" s="5">
        <v>30461007907</v>
      </c>
      <c r="AE309" s="8">
        <v>45994</v>
      </c>
      <c r="AF309" s="5">
        <v>28496</v>
      </c>
      <c r="AG309" s="5" t="s">
        <v>38</v>
      </c>
      <c r="AH309" s="5">
        <v>206443</v>
      </c>
      <c r="AI309" s="6">
        <v>45994</v>
      </c>
      <c r="AJ309" s="6">
        <v>46003</v>
      </c>
    </row>
    <row r="310" spans="1:37" hidden="1" x14ac:dyDescent="0.55000000000000004">
      <c r="A310">
        <v>3046</v>
      </c>
      <c r="B310">
        <v>1007915</v>
      </c>
      <c r="C310">
        <v>42.72</v>
      </c>
      <c r="E310">
        <v>42.72</v>
      </c>
      <c r="F310">
        <v>0.43</v>
      </c>
      <c r="G310">
        <v>42.29</v>
      </c>
      <c r="H310"/>
      <c r="I310"/>
      <c r="J310" s="2">
        <v>46003</v>
      </c>
      <c r="K310" s="5">
        <v>1007915</v>
      </c>
      <c r="L310" s="5">
        <v>3046</v>
      </c>
      <c r="M310" s="5">
        <v>0</v>
      </c>
      <c r="N310" s="5">
        <v>42.72</v>
      </c>
      <c r="O310" s="7">
        <v>45994</v>
      </c>
      <c r="P310" s="5">
        <v>42.72</v>
      </c>
      <c r="Q310" s="5">
        <v>0</v>
      </c>
      <c r="R310" s="5" t="s">
        <v>32</v>
      </c>
      <c r="S310" s="5" t="s">
        <v>33</v>
      </c>
      <c r="T310" s="5">
        <v>0.43</v>
      </c>
      <c r="U310" s="5">
        <v>42.29</v>
      </c>
      <c r="V310" s="5" t="s">
        <v>34</v>
      </c>
      <c r="W310" s="5">
        <v>2</v>
      </c>
      <c r="X310" s="5">
        <v>7059144563221</v>
      </c>
      <c r="Y310" s="7">
        <v>46003</v>
      </c>
      <c r="Z310" s="7">
        <v>45994</v>
      </c>
      <c r="AB310" s="6">
        <v>46003</v>
      </c>
      <c r="AC310" s="7">
        <v>46000.45208333333</v>
      </c>
      <c r="AD310" s="5">
        <v>30461007915</v>
      </c>
      <c r="AE310" s="8">
        <v>45994</v>
      </c>
      <c r="AF310" s="5">
        <v>28487</v>
      </c>
      <c r="AG310" s="5" t="s">
        <v>38</v>
      </c>
      <c r="AH310" s="5">
        <v>206442</v>
      </c>
      <c r="AI310" s="6">
        <v>45994</v>
      </c>
      <c r="AJ310" s="6">
        <v>46003</v>
      </c>
    </row>
    <row r="311" spans="1:37" x14ac:dyDescent="0.55000000000000004">
      <c r="A311">
        <v>3046</v>
      </c>
      <c r="B311">
        <v>1008049</v>
      </c>
      <c r="C311">
        <v>167.23</v>
      </c>
      <c r="D311" s="4">
        <v>3.34</v>
      </c>
      <c r="E311">
        <v>163.89</v>
      </c>
      <c r="F311">
        <v>1.67</v>
      </c>
      <c r="G311">
        <v>162.22</v>
      </c>
      <c r="H311" s="14">
        <f t="shared" ref="H311:H313" si="138">C311-D311-F311</f>
        <v>162.22</v>
      </c>
      <c r="I311" s="14" t="b">
        <f t="shared" ref="I311:I313" si="139">G311=H311</f>
        <v>1</v>
      </c>
      <c r="J311" s="2">
        <v>46003</v>
      </c>
      <c r="K311" s="5">
        <v>1008049</v>
      </c>
      <c r="L311" s="5">
        <v>3046</v>
      </c>
      <c r="M311" s="5">
        <v>3.34</v>
      </c>
      <c r="N311" s="5">
        <v>167.23</v>
      </c>
      <c r="O311" s="7">
        <v>45994</v>
      </c>
      <c r="P311" s="5">
        <v>163.89</v>
      </c>
      <c r="Q311" s="5">
        <v>3.34</v>
      </c>
      <c r="R311" s="5" t="s">
        <v>32</v>
      </c>
      <c r="S311" s="5" t="s">
        <v>33</v>
      </c>
      <c r="T311" s="5">
        <v>1.67</v>
      </c>
      <c r="U311" s="5">
        <v>162.22</v>
      </c>
      <c r="V311" s="5" t="s">
        <v>34</v>
      </c>
      <c r="W311" s="5">
        <v>2</v>
      </c>
      <c r="X311" s="5">
        <v>7059144563221</v>
      </c>
      <c r="Y311" s="7">
        <v>46003</v>
      </c>
      <c r="Z311" s="7">
        <v>45994</v>
      </c>
      <c r="AB311" s="6">
        <v>46003</v>
      </c>
      <c r="AC311" s="7">
        <v>46000.45208333333</v>
      </c>
      <c r="AD311" s="5">
        <v>30461008049</v>
      </c>
      <c r="AE311" s="8">
        <v>45994</v>
      </c>
      <c r="AF311" s="5">
        <v>28507</v>
      </c>
      <c r="AG311" s="5" t="s">
        <v>37</v>
      </c>
      <c r="AH311" s="5">
        <v>206521</v>
      </c>
      <c r="AI311" s="6">
        <v>45994</v>
      </c>
      <c r="AJ311" s="6">
        <v>46003</v>
      </c>
      <c r="AK311" s="1">
        <f t="shared" ref="AK311:AK313" si="140">0.02*C311</f>
        <v>3.3445999999999998</v>
      </c>
    </row>
    <row r="312" spans="1:37" x14ac:dyDescent="0.55000000000000004">
      <c r="A312">
        <v>3046</v>
      </c>
      <c r="B312">
        <v>1008121</v>
      </c>
      <c r="C312">
        <v>17.55</v>
      </c>
      <c r="D312" s="4">
        <v>0.35</v>
      </c>
      <c r="E312">
        <v>17.2</v>
      </c>
      <c r="F312">
        <v>0.18</v>
      </c>
      <c r="G312">
        <v>17.02</v>
      </c>
      <c r="H312" s="14">
        <f t="shared" si="138"/>
        <v>17.02</v>
      </c>
      <c r="I312" s="14" t="b">
        <f t="shared" si="139"/>
        <v>1</v>
      </c>
      <c r="J312" s="2">
        <v>46003</v>
      </c>
      <c r="K312" s="5">
        <v>1008121</v>
      </c>
      <c r="L312" s="5">
        <v>3046</v>
      </c>
      <c r="M312" s="5">
        <v>0.35</v>
      </c>
      <c r="N312" s="5">
        <v>17.55</v>
      </c>
      <c r="O312" s="7">
        <v>45995</v>
      </c>
      <c r="P312" s="5">
        <v>17.2</v>
      </c>
      <c r="Q312" s="5">
        <v>0.35</v>
      </c>
      <c r="R312" s="5" t="s">
        <v>32</v>
      </c>
      <c r="S312" s="5" t="s">
        <v>33</v>
      </c>
      <c r="T312" s="5">
        <v>0.18</v>
      </c>
      <c r="U312" s="5">
        <v>17.02</v>
      </c>
      <c r="V312" s="5" t="s">
        <v>34</v>
      </c>
      <c r="W312" s="5">
        <v>2</v>
      </c>
      <c r="X312" s="5">
        <v>7059144563221</v>
      </c>
      <c r="Y312" s="7">
        <v>46003</v>
      </c>
      <c r="Z312" s="7">
        <v>45995</v>
      </c>
      <c r="AB312" s="6">
        <v>46003</v>
      </c>
      <c r="AC312" s="7">
        <v>46000.45208333333</v>
      </c>
      <c r="AD312" s="5">
        <v>30461008121</v>
      </c>
      <c r="AE312" s="8">
        <v>45995</v>
      </c>
      <c r="AF312" s="5">
        <v>28416</v>
      </c>
      <c r="AG312" s="5" t="s">
        <v>37</v>
      </c>
      <c r="AH312" s="5">
        <v>206393</v>
      </c>
      <c r="AI312" s="6">
        <v>45995</v>
      </c>
      <c r="AJ312" s="6">
        <v>46003</v>
      </c>
      <c r="AK312" s="1">
        <f t="shared" si="140"/>
        <v>0.35100000000000003</v>
      </c>
    </row>
    <row r="313" spans="1:37" x14ac:dyDescent="0.55000000000000004">
      <c r="A313">
        <v>3046</v>
      </c>
      <c r="B313">
        <v>1008216</v>
      </c>
      <c r="C313">
        <v>304.92</v>
      </c>
      <c r="D313" s="4">
        <v>6.1</v>
      </c>
      <c r="E313">
        <v>298.82</v>
      </c>
      <c r="F313">
        <v>3.05</v>
      </c>
      <c r="G313">
        <v>295.77</v>
      </c>
      <c r="H313" s="14">
        <f t="shared" si="138"/>
        <v>295.77</v>
      </c>
      <c r="I313" s="14" t="b">
        <f t="shared" si="139"/>
        <v>1</v>
      </c>
      <c r="J313" s="2">
        <v>46003</v>
      </c>
      <c r="K313" s="5">
        <v>1008216</v>
      </c>
      <c r="L313" s="5">
        <v>3046</v>
      </c>
      <c r="M313" s="5">
        <v>6.1</v>
      </c>
      <c r="N313" s="5">
        <v>304.92</v>
      </c>
      <c r="O313" s="7">
        <v>45995</v>
      </c>
      <c r="P313" s="5">
        <v>298.82</v>
      </c>
      <c r="Q313" s="5">
        <v>6.1</v>
      </c>
      <c r="R313" s="5" t="s">
        <v>32</v>
      </c>
      <c r="S313" s="5" t="s">
        <v>33</v>
      </c>
      <c r="T313" s="5">
        <v>3.05</v>
      </c>
      <c r="U313" s="5">
        <v>295.77</v>
      </c>
      <c r="V313" s="5" t="s">
        <v>34</v>
      </c>
      <c r="W313" s="5">
        <v>2</v>
      </c>
      <c r="X313" s="5">
        <v>7059144563221</v>
      </c>
      <c r="Y313" s="7">
        <v>46003</v>
      </c>
      <c r="Z313" s="7">
        <v>45995</v>
      </c>
      <c r="AB313" s="6">
        <v>46003</v>
      </c>
      <c r="AC313" s="7">
        <v>46000.45208333333</v>
      </c>
      <c r="AD313" s="5">
        <v>30461008216</v>
      </c>
      <c r="AE313" s="8">
        <v>45995</v>
      </c>
      <c r="AF313" s="5" t="s">
        <v>189</v>
      </c>
      <c r="AG313" s="5" t="s">
        <v>37</v>
      </c>
      <c r="AH313" s="5">
        <v>206568</v>
      </c>
      <c r="AI313" s="6">
        <v>45995</v>
      </c>
      <c r="AJ313" s="6">
        <v>46003</v>
      </c>
      <c r="AK313" s="1">
        <f t="shared" si="140"/>
        <v>6.0984000000000007</v>
      </c>
    </row>
    <row r="314" spans="1:37" hidden="1" x14ac:dyDescent="0.55000000000000004">
      <c r="A314">
        <v>3046</v>
      </c>
      <c r="B314">
        <v>1008225</v>
      </c>
      <c r="C314">
        <v>384.16</v>
      </c>
      <c r="E314">
        <v>384.16</v>
      </c>
      <c r="F314">
        <v>3.84</v>
      </c>
      <c r="G314">
        <v>380.32</v>
      </c>
      <c r="H314"/>
      <c r="I314"/>
      <c r="J314" s="2">
        <v>46003</v>
      </c>
      <c r="K314" s="5">
        <v>1008225</v>
      </c>
      <c r="L314" s="5">
        <v>3046</v>
      </c>
      <c r="M314" s="5">
        <v>0</v>
      </c>
      <c r="N314" s="5">
        <v>384.16</v>
      </c>
      <c r="O314" s="7">
        <v>45995</v>
      </c>
      <c r="P314" s="5">
        <v>384.16</v>
      </c>
      <c r="Q314" s="5">
        <v>0</v>
      </c>
      <c r="R314" s="5" t="s">
        <v>32</v>
      </c>
      <c r="S314" s="5" t="s">
        <v>33</v>
      </c>
      <c r="T314" s="5">
        <v>3.84</v>
      </c>
      <c r="U314" s="5">
        <v>380.32</v>
      </c>
      <c r="V314" s="5" t="s">
        <v>34</v>
      </c>
      <c r="W314" s="5">
        <v>2</v>
      </c>
      <c r="X314" s="5">
        <v>7059144563221</v>
      </c>
      <c r="Y314" s="7">
        <v>46003</v>
      </c>
      <c r="Z314" s="7">
        <v>45995</v>
      </c>
      <c r="AB314" s="6">
        <v>46003</v>
      </c>
      <c r="AC314" s="7">
        <v>46000.45208333333</v>
      </c>
      <c r="AD314" s="5">
        <v>30461008225</v>
      </c>
      <c r="AE314" s="8">
        <v>45995</v>
      </c>
      <c r="AF314" s="5">
        <v>28507</v>
      </c>
      <c r="AG314" s="5" t="s">
        <v>38</v>
      </c>
      <c r="AH314" s="5">
        <v>206528</v>
      </c>
      <c r="AI314" s="6">
        <v>45995</v>
      </c>
      <c r="AJ314" s="6">
        <v>46003</v>
      </c>
    </row>
    <row r="315" spans="1:37" x14ac:dyDescent="0.55000000000000004">
      <c r="A315">
        <v>3046</v>
      </c>
      <c r="B315">
        <v>1008229</v>
      </c>
      <c r="C315">
        <v>181.68</v>
      </c>
      <c r="D315" s="4">
        <v>3.63</v>
      </c>
      <c r="E315">
        <v>178.05</v>
      </c>
      <c r="F315">
        <v>1.82</v>
      </c>
      <c r="G315">
        <v>176.23</v>
      </c>
      <c r="H315" s="14">
        <f>C315-D315-F315</f>
        <v>176.23000000000002</v>
      </c>
      <c r="I315" s="14" t="b">
        <f>G315=H315</f>
        <v>1</v>
      </c>
      <c r="J315" s="2">
        <v>46003</v>
      </c>
      <c r="K315" s="5">
        <v>1008229</v>
      </c>
      <c r="L315" s="5">
        <v>3046</v>
      </c>
      <c r="M315" s="5">
        <v>3.63</v>
      </c>
      <c r="N315" s="5">
        <v>181.68</v>
      </c>
      <c r="O315" s="7">
        <v>45995</v>
      </c>
      <c r="P315" s="5">
        <v>178.05</v>
      </c>
      <c r="Q315" s="5">
        <v>3.63</v>
      </c>
      <c r="R315" s="5" t="s">
        <v>32</v>
      </c>
      <c r="S315" s="5" t="s">
        <v>33</v>
      </c>
      <c r="T315" s="5">
        <v>1.82</v>
      </c>
      <c r="U315" s="5">
        <v>176.23</v>
      </c>
      <c r="V315" s="5" t="s">
        <v>34</v>
      </c>
      <c r="W315" s="5">
        <v>2</v>
      </c>
      <c r="X315" s="5">
        <v>7059144563221</v>
      </c>
      <c r="Y315" s="7">
        <v>46003</v>
      </c>
      <c r="Z315" s="7">
        <v>45995</v>
      </c>
      <c r="AB315" s="6">
        <v>46003</v>
      </c>
      <c r="AC315" s="7">
        <v>46000.45208333333</v>
      </c>
      <c r="AD315" s="5">
        <v>30461008229</v>
      </c>
      <c r="AE315" s="8">
        <v>45995</v>
      </c>
      <c r="AF315" s="5">
        <v>28507</v>
      </c>
      <c r="AG315" s="5" t="s">
        <v>37</v>
      </c>
      <c r="AH315" s="5">
        <v>206527</v>
      </c>
      <c r="AI315" s="6">
        <v>45995</v>
      </c>
      <c r="AJ315" s="6">
        <v>46003</v>
      </c>
      <c r="AK315" s="1">
        <f t="shared" ref="AK315" si="141">0.02*C315</f>
        <v>3.6336000000000004</v>
      </c>
    </row>
    <row r="316" spans="1:37" hidden="1" x14ac:dyDescent="0.55000000000000004">
      <c r="A316">
        <v>3046</v>
      </c>
      <c r="B316">
        <v>1008329</v>
      </c>
      <c r="C316">
        <v>-50</v>
      </c>
      <c r="E316">
        <v>-50</v>
      </c>
      <c r="G316">
        <v>-50</v>
      </c>
      <c r="H316"/>
      <c r="I316"/>
      <c r="J316" s="2">
        <v>46003</v>
      </c>
      <c r="K316" s="5">
        <v>1008329</v>
      </c>
      <c r="L316" s="5">
        <v>3046</v>
      </c>
      <c r="M316" s="5">
        <v>0</v>
      </c>
      <c r="N316" s="5">
        <v>-50</v>
      </c>
      <c r="O316" s="7">
        <v>45996</v>
      </c>
      <c r="P316" s="5">
        <v>-50</v>
      </c>
      <c r="Q316" s="5">
        <v>0</v>
      </c>
      <c r="R316" s="5" t="s">
        <v>190</v>
      </c>
      <c r="S316" s="5" t="s">
        <v>191</v>
      </c>
      <c r="T316" s="5">
        <v>0</v>
      </c>
      <c r="U316" s="5">
        <v>-50</v>
      </c>
      <c r="V316" s="5" t="s">
        <v>34</v>
      </c>
      <c r="W316" s="5">
        <v>2</v>
      </c>
      <c r="X316" s="5">
        <v>7059144563221</v>
      </c>
      <c r="Y316" s="7">
        <v>46003</v>
      </c>
      <c r="Z316" s="7">
        <v>45996</v>
      </c>
      <c r="AB316" s="6">
        <v>46003</v>
      </c>
      <c r="AC316" s="7">
        <v>46000.45208333333</v>
      </c>
      <c r="AD316" s="5">
        <v>30461008329</v>
      </c>
      <c r="AE316" s="8">
        <v>45996</v>
      </c>
      <c r="AF316" s="5" t="s">
        <v>192</v>
      </c>
      <c r="AG316" s="5" t="s">
        <v>38</v>
      </c>
      <c r="AH316" s="5" t="s">
        <v>190</v>
      </c>
      <c r="AI316" s="6">
        <v>45996</v>
      </c>
      <c r="AJ316" s="6">
        <v>46003</v>
      </c>
    </row>
    <row r="317" spans="1:37" hidden="1" x14ac:dyDescent="0.55000000000000004">
      <c r="A317">
        <v>3046</v>
      </c>
      <c r="B317">
        <v>1008339</v>
      </c>
      <c r="C317">
        <v>769.5</v>
      </c>
      <c r="E317">
        <v>769.5</v>
      </c>
      <c r="F317">
        <v>7.7</v>
      </c>
      <c r="G317">
        <v>761.8</v>
      </c>
      <c r="H317"/>
      <c r="I317"/>
      <c r="J317" s="2">
        <v>46003</v>
      </c>
      <c r="K317" s="5">
        <v>1008339</v>
      </c>
      <c r="L317" s="5">
        <v>3046</v>
      </c>
      <c r="M317" s="5">
        <v>0</v>
      </c>
      <c r="N317" s="5">
        <v>769.5</v>
      </c>
      <c r="O317" s="7">
        <v>45996</v>
      </c>
      <c r="P317" s="5">
        <v>769.5</v>
      </c>
      <c r="Q317" s="5">
        <v>0</v>
      </c>
      <c r="R317" s="5">
        <v>1044274</v>
      </c>
      <c r="S317" s="5" t="s">
        <v>59</v>
      </c>
      <c r="T317" s="5">
        <v>7.7</v>
      </c>
      <c r="U317" s="5">
        <v>761.8</v>
      </c>
      <c r="V317" s="5" t="s">
        <v>34</v>
      </c>
      <c r="W317" s="5">
        <v>2</v>
      </c>
      <c r="X317" s="5">
        <v>7059144563221</v>
      </c>
      <c r="Y317" s="7">
        <v>46003</v>
      </c>
      <c r="Z317" s="7">
        <v>45996</v>
      </c>
      <c r="AB317" s="6">
        <v>46003</v>
      </c>
      <c r="AC317" s="7">
        <v>46000.45208333333</v>
      </c>
      <c r="AD317" s="5">
        <v>30461008339</v>
      </c>
      <c r="AE317" s="8">
        <v>45996</v>
      </c>
      <c r="AF317" s="5">
        <v>215417</v>
      </c>
      <c r="AG317" s="5" t="s">
        <v>38</v>
      </c>
      <c r="AH317" s="5">
        <v>1044274</v>
      </c>
      <c r="AI317" s="6">
        <v>45996</v>
      </c>
      <c r="AJ317" s="6">
        <v>46003</v>
      </c>
    </row>
    <row r="318" spans="1:37" hidden="1" x14ac:dyDescent="0.55000000000000004">
      <c r="A318">
        <v>3074</v>
      </c>
      <c r="B318">
        <v>1007563</v>
      </c>
      <c r="C318" s="1">
        <v>3990</v>
      </c>
      <c r="E318" s="1">
        <v>3990</v>
      </c>
      <c r="F318">
        <v>39.9</v>
      </c>
      <c r="G318" s="1">
        <v>3950.1</v>
      </c>
      <c r="H318" s="1"/>
      <c r="I318" s="1"/>
      <c r="J318" s="2">
        <v>46003</v>
      </c>
      <c r="K318" s="5">
        <v>1007563</v>
      </c>
      <c r="L318" s="5">
        <v>3074</v>
      </c>
      <c r="M318" s="5">
        <v>0</v>
      </c>
      <c r="N318" s="5">
        <v>3990</v>
      </c>
      <c r="O318" s="7">
        <v>45993</v>
      </c>
      <c r="P318" s="5">
        <v>3990</v>
      </c>
      <c r="Q318" s="5">
        <v>0</v>
      </c>
      <c r="R318" s="5" t="s">
        <v>32</v>
      </c>
      <c r="S318" s="5" t="s">
        <v>33</v>
      </c>
      <c r="T318" s="5">
        <v>39.9</v>
      </c>
      <c r="U318" s="5">
        <v>3950.1</v>
      </c>
      <c r="V318" s="5" t="s">
        <v>34</v>
      </c>
      <c r="W318" s="5">
        <v>2</v>
      </c>
      <c r="X318" s="5">
        <v>2975781967632</v>
      </c>
      <c r="Y318" s="7">
        <v>46003</v>
      </c>
      <c r="Z318" s="7">
        <v>45993</v>
      </c>
      <c r="AB318" s="6">
        <v>46003</v>
      </c>
      <c r="AC318" s="7">
        <v>46000.424305555556</v>
      </c>
      <c r="AD318" s="5">
        <v>30741007563</v>
      </c>
      <c r="AE318" s="8">
        <v>45993</v>
      </c>
      <c r="AF318" s="5" t="s">
        <v>32</v>
      </c>
      <c r="AG318" s="5" t="s">
        <v>35</v>
      </c>
      <c r="AH318" s="5" t="s">
        <v>32</v>
      </c>
      <c r="AI318" s="6">
        <v>45993</v>
      </c>
      <c r="AJ318" s="6">
        <v>46003</v>
      </c>
    </row>
    <row r="319" spans="1:37" x14ac:dyDescent="0.55000000000000004">
      <c r="A319">
        <v>3074</v>
      </c>
      <c r="B319">
        <v>1007742</v>
      </c>
      <c r="C319">
        <v>817.21</v>
      </c>
      <c r="D319" s="4">
        <v>16.34</v>
      </c>
      <c r="E319">
        <v>800.87</v>
      </c>
      <c r="F319">
        <v>8.17</v>
      </c>
      <c r="G319">
        <v>792.7</v>
      </c>
      <c r="H319" s="14">
        <f t="shared" ref="H319:H320" si="142">C319-D319-F319</f>
        <v>792.7</v>
      </c>
      <c r="I319" s="14" t="b">
        <f t="shared" ref="I319:I320" si="143">G319=H319</f>
        <v>1</v>
      </c>
      <c r="J319" s="2">
        <v>46003</v>
      </c>
      <c r="K319" s="5">
        <v>1007742</v>
      </c>
      <c r="L319" s="5">
        <v>3074</v>
      </c>
      <c r="M319" s="5">
        <v>16.34</v>
      </c>
      <c r="N319" s="5">
        <v>817.21</v>
      </c>
      <c r="O319" s="7">
        <v>45993</v>
      </c>
      <c r="P319" s="5">
        <v>800.87</v>
      </c>
      <c r="Q319" s="5">
        <v>16.34</v>
      </c>
      <c r="R319" s="5" t="s">
        <v>32</v>
      </c>
      <c r="S319" s="5" t="s">
        <v>33</v>
      </c>
      <c r="T319" s="5">
        <v>8.17</v>
      </c>
      <c r="U319" s="5">
        <v>792.7</v>
      </c>
      <c r="V319" s="5" t="s">
        <v>34</v>
      </c>
      <c r="W319" s="5">
        <v>2</v>
      </c>
      <c r="X319" s="5">
        <v>2975781967632</v>
      </c>
      <c r="Y319" s="7">
        <v>46003</v>
      </c>
      <c r="Z319" s="7">
        <v>45993</v>
      </c>
      <c r="AB319" s="6">
        <v>46003</v>
      </c>
      <c r="AC319" s="7">
        <v>46000.424305555556</v>
      </c>
      <c r="AD319" s="5">
        <v>30741007742</v>
      </c>
      <c r="AE319" s="8">
        <v>45993</v>
      </c>
      <c r="AF319" s="5">
        <v>18004498</v>
      </c>
      <c r="AG319" s="5" t="s">
        <v>37</v>
      </c>
      <c r="AH319" s="5">
        <v>206154</v>
      </c>
      <c r="AI319" s="6">
        <v>45993</v>
      </c>
      <c r="AJ319" s="6">
        <v>46003</v>
      </c>
      <c r="AK319" s="1">
        <f t="shared" ref="AK319:AK320" si="144">0.02*C319</f>
        <v>16.344200000000001</v>
      </c>
    </row>
    <row r="320" spans="1:37" x14ac:dyDescent="0.55000000000000004">
      <c r="A320">
        <v>3074</v>
      </c>
      <c r="B320">
        <v>1007970</v>
      </c>
      <c r="C320">
        <v>985.79</v>
      </c>
      <c r="D320" s="4">
        <v>19.72</v>
      </c>
      <c r="E320">
        <v>966.07</v>
      </c>
      <c r="F320">
        <v>9.86</v>
      </c>
      <c r="G320">
        <v>956.21</v>
      </c>
      <c r="H320" s="14">
        <f t="shared" si="142"/>
        <v>956.20999999999992</v>
      </c>
      <c r="I320" s="14" t="b">
        <f t="shared" si="143"/>
        <v>1</v>
      </c>
      <c r="J320" s="2">
        <v>46003</v>
      </c>
      <c r="K320" s="5">
        <v>1007970</v>
      </c>
      <c r="L320" s="5">
        <v>3074</v>
      </c>
      <c r="M320" s="5">
        <v>19.72</v>
      </c>
      <c r="N320" s="5">
        <v>985.79</v>
      </c>
      <c r="O320" s="7">
        <v>45994</v>
      </c>
      <c r="P320" s="5">
        <v>966.07</v>
      </c>
      <c r="Q320" s="5">
        <v>19.72</v>
      </c>
      <c r="R320" s="5" t="s">
        <v>32</v>
      </c>
      <c r="S320" s="5" t="s">
        <v>33</v>
      </c>
      <c r="T320" s="5">
        <v>9.86</v>
      </c>
      <c r="U320" s="5">
        <v>956.21</v>
      </c>
      <c r="V320" s="5" t="s">
        <v>34</v>
      </c>
      <c r="W320" s="5">
        <v>2</v>
      </c>
      <c r="X320" s="5">
        <v>2975781967632</v>
      </c>
      <c r="Y320" s="7">
        <v>46003</v>
      </c>
      <c r="Z320" s="7">
        <v>45994</v>
      </c>
      <c r="AB320" s="6">
        <v>46003</v>
      </c>
      <c r="AC320" s="7">
        <v>46000.424305555556</v>
      </c>
      <c r="AD320" s="5">
        <v>30741007970</v>
      </c>
      <c r="AE320" s="8">
        <v>45994</v>
      </c>
      <c r="AF320" s="5">
        <v>18004498</v>
      </c>
      <c r="AG320" s="5" t="s">
        <v>37</v>
      </c>
      <c r="AH320" s="5">
        <v>206221</v>
      </c>
      <c r="AI320" s="6">
        <v>45994</v>
      </c>
      <c r="AJ320" s="6">
        <v>46003</v>
      </c>
      <c r="AK320" s="1">
        <f t="shared" si="144"/>
        <v>19.715799999999998</v>
      </c>
    </row>
    <row r="321" spans="1:37" hidden="1" x14ac:dyDescent="0.55000000000000004">
      <c r="A321">
        <v>3074</v>
      </c>
      <c r="B321">
        <v>1007974</v>
      </c>
      <c r="C321">
        <v>95.6</v>
      </c>
      <c r="E321">
        <v>95.6</v>
      </c>
      <c r="F321">
        <v>0.96</v>
      </c>
      <c r="G321">
        <v>94.64</v>
      </c>
      <c r="H321"/>
      <c r="I321"/>
      <c r="J321" s="2">
        <v>46003</v>
      </c>
      <c r="K321" s="5">
        <v>1007974</v>
      </c>
      <c r="L321" s="5">
        <v>3074</v>
      </c>
      <c r="M321" s="5">
        <v>0</v>
      </c>
      <c r="N321" s="5">
        <v>95.6</v>
      </c>
      <c r="O321" s="7">
        <v>45994</v>
      </c>
      <c r="P321" s="5">
        <v>95.6</v>
      </c>
      <c r="Q321" s="5">
        <v>0</v>
      </c>
      <c r="R321" s="5" t="s">
        <v>32</v>
      </c>
      <c r="S321" s="5" t="s">
        <v>33</v>
      </c>
      <c r="T321" s="5">
        <v>0.96</v>
      </c>
      <c r="U321" s="5">
        <v>94.64</v>
      </c>
      <c r="V321" s="5" t="s">
        <v>34</v>
      </c>
      <c r="W321" s="5">
        <v>2</v>
      </c>
      <c r="X321" s="5">
        <v>2975781967632</v>
      </c>
      <c r="Y321" s="7">
        <v>46003</v>
      </c>
      <c r="Z321" s="7">
        <v>45994</v>
      </c>
      <c r="AB321" s="6">
        <v>46003</v>
      </c>
      <c r="AC321" s="7">
        <v>46000.424305555556</v>
      </c>
      <c r="AD321" s="5">
        <v>30741007974</v>
      </c>
      <c r="AE321" s="8">
        <v>45994</v>
      </c>
      <c r="AF321" s="5">
        <v>18004498</v>
      </c>
      <c r="AG321" s="5" t="s">
        <v>38</v>
      </c>
      <c r="AH321" s="5">
        <v>206222</v>
      </c>
      <c r="AI321" s="6">
        <v>45994</v>
      </c>
      <c r="AJ321" s="6">
        <v>46003</v>
      </c>
    </row>
    <row r="322" spans="1:37" hidden="1" x14ac:dyDescent="0.55000000000000004">
      <c r="A322">
        <v>3074</v>
      </c>
      <c r="B322">
        <v>1008373</v>
      </c>
      <c r="C322">
        <v>204.44</v>
      </c>
      <c r="E322">
        <v>204.44</v>
      </c>
      <c r="F322">
        <v>2.04</v>
      </c>
      <c r="G322">
        <v>202.4</v>
      </c>
      <c r="H322"/>
      <c r="I322"/>
      <c r="J322" s="2">
        <v>46003</v>
      </c>
      <c r="K322" s="5">
        <v>1008373</v>
      </c>
      <c r="L322" s="5">
        <v>3074</v>
      </c>
      <c r="M322" s="5">
        <v>0</v>
      </c>
      <c r="N322" s="5">
        <v>204.44</v>
      </c>
      <c r="O322" s="7">
        <v>45996</v>
      </c>
      <c r="P322" s="5">
        <v>204.44</v>
      </c>
      <c r="Q322" s="5">
        <v>0</v>
      </c>
      <c r="R322" s="5" t="s">
        <v>193</v>
      </c>
      <c r="S322" s="5" t="s">
        <v>138</v>
      </c>
      <c r="T322" s="5">
        <v>2.04</v>
      </c>
      <c r="U322" s="5">
        <v>202.4</v>
      </c>
      <c r="V322" s="5" t="s">
        <v>34</v>
      </c>
      <c r="W322" s="5">
        <v>2</v>
      </c>
      <c r="X322" s="5">
        <v>2975781967632</v>
      </c>
      <c r="Y322" s="7">
        <v>46003</v>
      </c>
      <c r="Z322" s="7">
        <v>45996</v>
      </c>
      <c r="AB322" s="6">
        <v>46003</v>
      </c>
      <c r="AC322" s="7">
        <v>46000.424305555556</v>
      </c>
      <c r="AD322" s="5">
        <v>30741008373</v>
      </c>
      <c r="AE322" s="8">
        <v>45996</v>
      </c>
      <c r="AF322" s="5">
        <v>215313</v>
      </c>
      <c r="AG322" s="5" t="s">
        <v>38</v>
      </c>
      <c r="AH322" s="5" t="s">
        <v>193</v>
      </c>
      <c r="AI322" s="6">
        <v>45996</v>
      </c>
      <c r="AJ322" s="6">
        <v>46003</v>
      </c>
    </row>
    <row r="323" spans="1:37" hidden="1" x14ac:dyDescent="0.55000000000000004">
      <c r="A323">
        <v>3081</v>
      </c>
      <c r="B323">
        <v>998573</v>
      </c>
      <c r="C323" s="1">
        <v>-1439.21</v>
      </c>
      <c r="E323" s="1">
        <v>-1439.21</v>
      </c>
      <c r="G323" s="1">
        <v>-1439.21</v>
      </c>
      <c r="H323" s="1"/>
      <c r="I323" s="1"/>
      <c r="J323" s="2">
        <v>46003</v>
      </c>
      <c r="K323" s="5">
        <v>998573</v>
      </c>
      <c r="L323" s="5">
        <v>3081</v>
      </c>
      <c r="M323" s="5">
        <v>0</v>
      </c>
      <c r="N323" s="5">
        <v>-1439.21</v>
      </c>
      <c r="O323" s="7">
        <v>45950</v>
      </c>
      <c r="P323" s="5">
        <v>-1439.21</v>
      </c>
      <c r="Q323" s="5">
        <v>0</v>
      </c>
      <c r="R323" s="5">
        <v>998573</v>
      </c>
      <c r="S323" s="5" t="s">
        <v>33</v>
      </c>
      <c r="T323" s="5">
        <v>0</v>
      </c>
      <c r="U323" s="5">
        <v>-1439.21</v>
      </c>
      <c r="V323" s="5" t="s">
        <v>34</v>
      </c>
      <c r="W323" s="5">
        <v>2</v>
      </c>
      <c r="X323" s="5">
        <v>7673975854802</v>
      </c>
      <c r="Y323" s="7">
        <v>46003</v>
      </c>
      <c r="Z323" s="7">
        <v>45950</v>
      </c>
      <c r="AB323" s="6">
        <v>46003</v>
      </c>
      <c r="AC323" s="7">
        <v>45999.461805555555</v>
      </c>
      <c r="AD323" s="5">
        <v>3081998573</v>
      </c>
      <c r="AE323" s="8">
        <v>45950</v>
      </c>
      <c r="AF323" s="5" t="s">
        <v>41</v>
      </c>
      <c r="AG323" s="5" t="s">
        <v>161</v>
      </c>
      <c r="AH323" s="5" t="s">
        <v>40</v>
      </c>
      <c r="AI323" s="6">
        <v>45950</v>
      </c>
      <c r="AJ323" s="6">
        <v>46003</v>
      </c>
    </row>
    <row r="324" spans="1:37" hidden="1" x14ac:dyDescent="0.55000000000000004">
      <c r="A324">
        <v>3081</v>
      </c>
      <c r="B324">
        <v>1004517</v>
      </c>
      <c r="C324" s="1">
        <v>-2928.89</v>
      </c>
      <c r="E324" s="1">
        <v>-2928.89</v>
      </c>
      <c r="G324" s="1">
        <v>-2928.89</v>
      </c>
      <c r="H324" s="1"/>
      <c r="I324" s="1"/>
      <c r="J324" s="2">
        <v>46003</v>
      </c>
      <c r="K324" s="5">
        <v>1004517</v>
      </c>
      <c r="L324" s="5">
        <v>3081</v>
      </c>
      <c r="M324" s="5">
        <v>0</v>
      </c>
      <c r="N324" s="5">
        <v>-2928.89</v>
      </c>
      <c r="O324" s="7">
        <v>45979</v>
      </c>
      <c r="P324" s="5">
        <v>-2928.89</v>
      </c>
      <c r="Q324" s="5">
        <v>0</v>
      </c>
      <c r="R324" s="5">
        <v>1004517</v>
      </c>
      <c r="S324" s="5" t="s">
        <v>33</v>
      </c>
      <c r="T324" s="5">
        <v>0</v>
      </c>
      <c r="U324" s="5">
        <v>-2928.89</v>
      </c>
      <c r="V324" s="5" t="s">
        <v>34</v>
      </c>
      <c r="W324" s="5">
        <v>2</v>
      </c>
      <c r="X324" s="5">
        <v>7673975854802</v>
      </c>
      <c r="Y324" s="7">
        <v>46003</v>
      </c>
      <c r="Z324" s="7">
        <v>45979</v>
      </c>
      <c r="AB324" s="6">
        <v>46003</v>
      </c>
      <c r="AC324" s="7">
        <v>45999.461805555555</v>
      </c>
      <c r="AD324" s="5">
        <v>30811004517</v>
      </c>
      <c r="AE324" s="8">
        <v>45979</v>
      </c>
      <c r="AF324" s="5">
        <v>141998</v>
      </c>
      <c r="AG324" s="5" t="s">
        <v>65</v>
      </c>
      <c r="AH324" s="5">
        <v>53457</v>
      </c>
      <c r="AI324" s="6">
        <v>45979</v>
      </c>
      <c r="AJ324" s="6">
        <v>46003</v>
      </c>
    </row>
    <row r="325" spans="1:37" x14ac:dyDescent="0.55000000000000004">
      <c r="A325">
        <v>3081</v>
      </c>
      <c r="B325">
        <v>1007277</v>
      </c>
      <c r="C325">
        <v>33.18</v>
      </c>
      <c r="D325" s="4">
        <v>0.66</v>
      </c>
      <c r="E325">
        <v>32.520000000000003</v>
      </c>
      <c r="F325">
        <v>0.33</v>
      </c>
      <c r="G325">
        <v>32.19</v>
      </c>
      <c r="H325" s="14">
        <f t="shared" ref="H325:H336" si="145">C325-D325-F325</f>
        <v>32.190000000000005</v>
      </c>
      <c r="I325" s="14" t="b">
        <f t="shared" ref="I325:I336" si="146">G325=H325</f>
        <v>1</v>
      </c>
      <c r="J325" s="2">
        <v>46003</v>
      </c>
      <c r="K325" s="5">
        <v>1007277</v>
      </c>
      <c r="L325" s="5">
        <v>3081</v>
      </c>
      <c r="M325" s="5">
        <v>0.66</v>
      </c>
      <c r="N325" s="5">
        <v>33.18</v>
      </c>
      <c r="O325" s="7">
        <v>45992</v>
      </c>
      <c r="P325" s="5">
        <v>32.520000000000003</v>
      </c>
      <c r="Q325" s="5">
        <v>0.66</v>
      </c>
      <c r="R325" s="5" t="s">
        <v>32</v>
      </c>
      <c r="S325" s="5" t="s">
        <v>33</v>
      </c>
      <c r="T325" s="5">
        <v>0.33</v>
      </c>
      <c r="U325" s="5">
        <v>32.19</v>
      </c>
      <c r="V325" s="5" t="s">
        <v>34</v>
      </c>
      <c r="W325" s="5">
        <v>2</v>
      </c>
      <c r="X325" s="5">
        <v>7673975854802</v>
      </c>
      <c r="Y325" s="7">
        <v>46003</v>
      </c>
      <c r="Z325" s="7">
        <v>45992</v>
      </c>
      <c r="AB325" s="6">
        <v>46003</v>
      </c>
      <c r="AC325" s="7">
        <v>45999.461805555555</v>
      </c>
      <c r="AD325" s="5">
        <v>30811007277</v>
      </c>
      <c r="AE325" s="8">
        <v>45992</v>
      </c>
      <c r="AF325" s="5" t="s">
        <v>194</v>
      </c>
      <c r="AG325" s="5" t="s">
        <v>37</v>
      </c>
      <c r="AH325" s="5">
        <v>205813</v>
      </c>
      <c r="AI325" s="6">
        <v>45992</v>
      </c>
      <c r="AJ325" s="6">
        <v>46003</v>
      </c>
      <c r="AK325" s="1">
        <f t="shared" ref="AK325:AK336" si="147">0.02*C325</f>
        <v>0.66359999999999997</v>
      </c>
    </row>
    <row r="326" spans="1:37" x14ac:dyDescent="0.55000000000000004">
      <c r="A326">
        <v>3081</v>
      </c>
      <c r="B326">
        <v>1007279</v>
      </c>
      <c r="C326">
        <v>33.18</v>
      </c>
      <c r="D326" s="4">
        <v>0.66</v>
      </c>
      <c r="E326">
        <v>32.520000000000003</v>
      </c>
      <c r="F326">
        <v>0.33</v>
      </c>
      <c r="G326">
        <v>32.19</v>
      </c>
      <c r="H326" s="14">
        <f t="shared" si="145"/>
        <v>32.190000000000005</v>
      </c>
      <c r="I326" s="14" t="b">
        <f t="shared" si="146"/>
        <v>1</v>
      </c>
      <c r="J326" s="2">
        <v>46003</v>
      </c>
      <c r="K326" s="5">
        <v>1007279</v>
      </c>
      <c r="L326" s="5">
        <v>3081</v>
      </c>
      <c r="M326" s="5">
        <v>0.66</v>
      </c>
      <c r="N326" s="5">
        <v>33.18</v>
      </c>
      <c r="O326" s="7">
        <v>45992</v>
      </c>
      <c r="P326" s="5">
        <v>32.520000000000003</v>
      </c>
      <c r="Q326" s="5">
        <v>0.66</v>
      </c>
      <c r="R326" s="5" t="s">
        <v>32</v>
      </c>
      <c r="S326" s="5" t="s">
        <v>33</v>
      </c>
      <c r="T326" s="5">
        <v>0.33</v>
      </c>
      <c r="U326" s="5">
        <v>32.19</v>
      </c>
      <c r="V326" s="5" t="s">
        <v>34</v>
      </c>
      <c r="W326" s="5">
        <v>2</v>
      </c>
      <c r="X326" s="5">
        <v>7673975854802</v>
      </c>
      <c r="Y326" s="7">
        <v>46003</v>
      </c>
      <c r="Z326" s="7">
        <v>45992</v>
      </c>
      <c r="AB326" s="6">
        <v>46003</v>
      </c>
      <c r="AC326" s="7">
        <v>45999.461805555555</v>
      </c>
      <c r="AD326" s="5">
        <v>30811007279</v>
      </c>
      <c r="AE326" s="8">
        <v>45992</v>
      </c>
      <c r="AF326" s="5" t="s">
        <v>195</v>
      </c>
      <c r="AG326" s="5" t="s">
        <v>37</v>
      </c>
      <c r="AH326" s="5">
        <v>205811</v>
      </c>
      <c r="AI326" s="6">
        <v>45992</v>
      </c>
      <c r="AJ326" s="6">
        <v>46003</v>
      </c>
      <c r="AK326" s="1">
        <f t="shared" si="147"/>
        <v>0.66359999999999997</v>
      </c>
    </row>
    <row r="327" spans="1:37" x14ac:dyDescent="0.55000000000000004">
      <c r="A327">
        <v>3081</v>
      </c>
      <c r="B327">
        <v>1007283</v>
      </c>
      <c r="C327">
        <v>33.18</v>
      </c>
      <c r="D327" s="4">
        <v>0.66</v>
      </c>
      <c r="E327">
        <v>32.520000000000003</v>
      </c>
      <c r="F327">
        <v>0.33</v>
      </c>
      <c r="G327">
        <v>32.19</v>
      </c>
      <c r="H327" s="14">
        <f t="shared" si="145"/>
        <v>32.190000000000005</v>
      </c>
      <c r="I327" s="14" t="b">
        <f t="shared" si="146"/>
        <v>1</v>
      </c>
      <c r="J327" s="2">
        <v>46003</v>
      </c>
      <c r="K327" s="5">
        <v>1007283</v>
      </c>
      <c r="L327" s="5">
        <v>3081</v>
      </c>
      <c r="M327" s="5">
        <v>0.66</v>
      </c>
      <c r="N327" s="5">
        <v>33.18</v>
      </c>
      <c r="O327" s="7">
        <v>45992</v>
      </c>
      <c r="P327" s="5">
        <v>32.520000000000003</v>
      </c>
      <c r="Q327" s="5">
        <v>0.66</v>
      </c>
      <c r="R327" s="5" t="s">
        <v>32</v>
      </c>
      <c r="S327" s="5" t="s">
        <v>33</v>
      </c>
      <c r="T327" s="5">
        <v>0.33</v>
      </c>
      <c r="U327" s="5">
        <v>32.19</v>
      </c>
      <c r="V327" s="5" t="s">
        <v>34</v>
      </c>
      <c r="W327" s="5">
        <v>2</v>
      </c>
      <c r="X327" s="5">
        <v>7673975854802</v>
      </c>
      <c r="Y327" s="7">
        <v>46003</v>
      </c>
      <c r="Z327" s="7">
        <v>45992</v>
      </c>
      <c r="AB327" s="6">
        <v>46003</v>
      </c>
      <c r="AC327" s="7">
        <v>45999.461805555555</v>
      </c>
      <c r="AD327" s="5">
        <v>30811007283</v>
      </c>
      <c r="AE327" s="8">
        <v>45992</v>
      </c>
      <c r="AF327" s="5" t="s">
        <v>196</v>
      </c>
      <c r="AG327" s="5" t="s">
        <v>37</v>
      </c>
      <c r="AH327" s="5">
        <v>205810</v>
      </c>
      <c r="AI327" s="6">
        <v>45992</v>
      </c>
      <c r="AJ327" s="6">
        <v>46003</v>
      </c>
      <c r="AK327" s="1">
        <f t="shared" si="147"/>
        <v>0.66359999999999997</v>
      </c>
    </row>
    <row r="328" spans="1:37" x14ac:dyDescent="0.55000000000000004">
      <c r="A328">
        <v>3081</v>
      </c>
      <c r="B328">
        <v>1007285</v>
      </c>
      <c r="C328">
        <v>66.36</v>
      </c>
      <c r="D328" s="4">
        <v>1.33</v>
      </c>
      <c r="E328">
        <v>65.03</v>
      </c>
      <c r="F328">
        <v>0.66</v>
      </c>
      <c r="G328">
        <v>64.37</v>
      </c>
      <c r="H328" s="14">
        <f t="shared" si="145"/>
        <v>64.37</v>
      </c>
      <c r="I328" s="14" t="b">
        <f t="shared" si="146"/>
        <v>1</v>
      </c>
      <c r="J328" s="2">
        <v>46003</v>
      </c>
      <c r="K328" s="5">
        <v>1007285</v>
      </c>
      <c r="L328" s="5">
        <v>3081</v>
      </c>
      <c r="M328" s="5">
        <v>1.33</v>
      </c>
      <c r="N328" s="5">
        <v>66.36</v>
      </c>
      <c r="O328" s="7">
        <v>45992</v>
      </c>
      <c r="P328" s="5">
        <v>65.03</v>
      </c>
      <c r="Q328" s="5">
        <v>1.33</v>
      </c>
      <c r="R328" s="5" t="s">
        <v>32</v>
      </c>
      <c r="S328" s="5" t="s">
        <v>33</v>
      </c>
      <c r="T328" s="5">
        <v>0.66</v>
      </c>
      <c r="U328" s="5">
        <v>64.37</v>
      </c>
      <c r="V328" s="5" t="s">
        <v>34</v>
      </c>
      <c r="W328" s="5">
        <v>2</v>
      </c>
      <c r="X328" s="5">
        <v>7673975854802</v>
      </c>
      <c r="Y328" s="7">
        <v>46003</v>
      </c>
      <c r="Z328" s="7">
        <v>45992</v>
      </c>
      <c r="AB328" s="6">
        <v>46003</v>
      </c>
      <c r="AC328" s="7">
        <v>45999.461805555555</v>
      </c>
      <c r="AD328" s="5">
        <v>30811007285</v>
      </c>
      <c r="AE328" s="8">
        <v>45992</v>
      </c>
      <c r="AF328" s="5" t="s">
        <v>197</v>
      </c>
      <c r="AG328" s="5" t="s">
        <v>37</v>
      </c>
      <c r="AH328" s="5">
        <v>205812</v>
      </c>
      <c r="AI328" s="6">
        <v>45992</v>
      </c>
      <c r="AJ328" s="6">
        <v>46003</v>
      </c>
      <c r="AK328" s="1">
        <f t="shared" si="147"/>
        <v>1.3271999999999999</v>
      </c>
    </row>
    <row r="329" spans="1:37" x14ac:dyDescent="0.55000000000000004">
      <c r="A329">
        <v>3081</v>
      </c>
      <c r="B329">
        <v>1007342</v>
      </c>
      <c r="C329">
        <v>33.18</v>
      </c>
      <c r="D329" s="4">
        <v>0.66</v>
      </c>
      <c r="E329">
        <v>32.520000000000003</v>
      </c>
      <c r="F329">
        <v>0.33</v>
      </c>
      <c r="G329">
        <v>32.19</v>
      </c>
      <c r="H329" s="14">
        <f t="shared" si="145"/>
        <v>32.190000000000005</v>
      </c>
      <c r="I329" s="14" t="b">
        <f t="shared" si="146"/>
        <v>1</v>
      </c>
      <c r="J329" s="2">
        <v>46003</v>
      </c>
      <c r="K329" s="5">
        <v>1007342</v>
      </c>
      <c r="L329" s="5">
        <v>3081</v>
      </c>
      <c r="M329" s="5">
        <v>0.66</v>
      </c>
      <c r="N329" s="5">
        <v>33.18</v>
      </c>
      <c r="O329" s="7">
        <v>45992</v>
      </c>
      <c r="P329" s="5">
        <v>32.520000000000003</v>
      </c>
      <c r="Q329" s="5">
        <v>0.66</v>
      </c>
      <c r="R329" s="5" t="s">
        <v>32</v>
      </c>
      <c r="S329" s="5" t="s">
        <v>33</v>
      </c>
      <c r="T329" s="5">
        <v>0.33</v>
      </c>
      <c r="U329" s="5">
        <v>32.19</v>
      </c>
      <c r="V329" s="5" t="s">
        <v>34</v>
      </c>
      <c r="W329" s="5">
        <v>2</v>
      </c>
      <c r="X329" s="5">
        <v>7673975854802</v>
      </c>
      <c r="Y329" s="7">
        <v>46003</v>
      </c>
      <c r="Z329" s="7">
        <v>45992</v>
      </c>
      <c r="AB329" s="6">
        <v>46003</v>
      </c>
      <c r="AC329" s="7">
        <v>45999.461805555555</v>
      </c>
      <c r="AD329" s="5">
        <v>30811007342</v>
      </c>
      <c r="AE329" s="8">
        <v>45992</v>
      </c>
      <c r="AF329" s="5" t="s">
        <v>198</v>
      </c>
      <c r="AG329" s="5" t="s">
        <v>37</v>
      </c>
      <c r="AH329" s="5">
        <v>205809</v>
      </c>
      <c r="AI329" s="6">
        <v>45992</v>
      </c>
      <c r="AJ329" s="6">
        <v>46003</v>
      </c>
      <c r="AK329" s="1">
        <f t="shared" si="147"/>
        <v>0.66359999999999997</v>
      </c>
    </row>
    <row r="330" spans="1:37" x14ac:dyDescent="0.55000000000000004">
      <c r="A330">
        <v>3081</v>
      </c>
      <c r="B330">
        <v>1007344</v>
      </c>
      <c r="C330">
        <v>33.18</v>
      </c>
      <c r="D330" s="4">
        <v>0.66</v>
      </c>
      <c r="E330">
        <v>32.520000000000003</v>
      </c>
      <c r="F330">
        <v>0.33</v>
      </c>
      <c r="G330">
        <v>32.19</v>
      </c>
      <c r="H330" s="14">
        <f t="shared" si="145"/>
        <v>32.190000000000005</v>
      </c>
      <c r="I330" s="14" t="b">
        <f t="shared" si="146"/>
        <v>1</v>
      </c>
      <c r="J330" s="2">
        <v>46003</v>
      </c>
      <c r="K330" s="5">
        <v>1007344</v>
      </c>
      <c r="L330" s="5">
        <v>3081</v>
      </c>
      <c r="M330" s="5">
        <v>0.66</v>
      </c>
      <c r="N330" s="5">
        <v>33.18</v>
      </c>
      <c r="O330" s="7">
        <v>45992</v>
      </c>
      <c r="P330" s="5">
        <v>32.520000000000003</v>
      </c>
      <c r="Q330" s="5">
        <v>0.66</v>
      </c>
      <c r="R330" s="5" t="s">
        <v>32</v>
      </c>
      <c r="S330" s="5" t="s">
        <v>33</v>
      </c>
      <c r="T330" s="5">
        <v>0.33</v>
      </c>
      <c r="U330" s="5">
        <v>32.19</v>
      </c>
      <c r="V330" s="5" t="s">
        <v>34</v>
      </c>
      <c r="W330" s="5">
        <v>2</v>
      </c>
      <c r="X330" s="5">
        <v>7673975854802</v>
      </c>
      <c r="Y330" s="7">
        <v>46003</v>
      </c>
      <c r="Z330" s="7">
        <v>45992</v>
      </c>
      <c r="AB330" s="6">
        <v>46003</v>
      </c>
      <c r="AC330" s="7">
        <v>45999.461805555555</v>
      </c>
      <c r="AD330" s="5">
        <v>30811007344</v>
      </c>
      <c r="AE330" s="8">
        <v>45992</v>
      </c>
      <c r="AF330" s="5" t="s">
        <v>199</v>
      </c>
      <c r="AG330" s="5" t="s">
        <v>37</v>
      </c>
      <c r="AH330" s="5">
        <v>205805</v>
      </c>
      <c r="AI330" s="6">
        <v>45992</v>
      </c>
      <c r="AJ330" s="6">
        <v>46003</v>
      </c>
      <c r="AK330" s="1">
        <f t="shared" si="147"/>
        <v>0.66359999999999997</v>
      </c>
    </row>
    <row r="331" spans="1:37" x14ac:dyDescent="0.55000000000000004">
      <c r="A331">
        <v>3081</v>
      </c>
      <c r="B331">
        <v>1007345</v>
      </c>
      <c r="C331">
        <v>165.9</v>
      </c>
      <c r="D331" s="4">
        <v>3.32</v>
      </c>
      <c r="E331">
        <v>162.58000000000001</v>
      </c>
      <c r="F331">
        <v>1.66</v>
      </c>
      <c r="G331">
        <v>160.91999999999999</v>
      </c>
      <c r="H331" s="14">
        <f t="shared" si="145"/>
        <v>160.92000000000002</v>
      </c>
      <c r="I331" s="14" t="b">
        <f t="shared" si="146"/>
        <v>1</v>
      </c>
      <c r="J331" s="2">
        <v>46003</v>
      </c>
      <c r="K331" s="5">
        <v>1007345</v>
      </c>
      <c r="L331" s="5">
        <v>3081</v>
      </c>
      <c r="M331" s="5">
        <v>3.32</v>
      </c>
      <c r="N331" s="5">
        <v>165.9</v>
      </c>
      <c r="O331" s="7">
        <v>45992</v>
      </c>
      <c r="P331" s="5">
        <v>162.58000000000001</v>
      </c>
      <c r="Q331" s="5">
        <v>3.32</v>
      </c>
      <c r="R331" s="5" t="s">
        <v>32</v>
      </c>
      <c r="S331" s="5" t="s">
        <v>33</v>
      </c>
      <c r="T331" s="5">
        <v>1.66</v>
      </c>
      <c r="U331" s="5">
        <v>160.91999999999999</v>
      </c>
      <c r="V331" s="5" t="s">
        <v>34</v>
      </c>
      <c r="W331" s="5">
        <v>2</v>
      </c>
      <c r="X331" s="5">
        <v>7673975854802</v>
      </c>
      <c r="Y331" s="7">
        <v>46003</v>
      </c>
      <c r="Z331" s="7">
        <v>45992</v>
      </c>
      <c r="AB331" s="6">
        <v>46003</v>
      </c>
      <c r="AC331" s="7">
        <v>45999.461805555555</v>
      </c>
      <c r="AD331" s="5">
        <v>30811007345</v>
      </c>
      <c r="AE331" s="8">
        <v>45992</v>
      </c>
      <c r="AF331" s="5" t="s">
        <v>200</v>
      </c>
      <c r="AG331" s="5" t="s">
        <v>37</v>
      </c>
      <c r="AH331" s="5">
        <v>205807</v>
      </c>
      <c r="AI331" s="6">
        <v>45992</v>
      </c>
      <c r="AJ331" s="6">
        <v>46003</v>
      </c>
      <c r="AK331" s="1">
        <f t="shared" si="147"/>
        <v>3.3180000000000001</v>
      </c>
    </row>
    <row r="332" spans="1:37" x14ac:dyDescent="0.55000000000000004">
      <c r="A332">
        <v>3081</v>
      </c>
      <c r="B332">
        <v>1007348</v>
      </c>
      <c r="C332">
        <v>33.18</v>
      </c>
      <c r="D332" s="4">
        <v>0.66</v>
      </c>
      <c r="E332">
        <v>32.520000000000003</v>
      </c>
      <c r="F332">
        <v>0.33</v>
      </c>
      <c r="G332">
        <v>32.19</v>
      </c>
      <c r="H332" s="14">
        <f t="shared" si="145"/>
        <v>32.190000000000005</v>
      </c>
      <c r="I332" s="14" t="b">
        <f t="shared" si="146"/>
        <v>1</v>
      </c>
      <c r="J332" s="2">
        <v>46003</v>
      </c>
      <c r="K332" s="5">
        <v>1007348</v>
      </c>
      <c r="L332" s="5">
        <v>3081</v>
      </c>
      <c r="M332" s="5">
        <v>0.66</v>
      </c>
      <c r="N332" s="5">
        <v>33.18</v>
      </c>
      <c r="O332" s="7">
        <v>45992</v>
      </c>
      <c r="P332" s="5">
        <v>32.520000000000003</v>
      </c>
      <c r="Q332" s="5">
        <v>0.66</v>
      </c>
      <c r="R332" s="5" t="s">
        <v>32</v>
      </c>
      <c r="S332" s="5" t="s">
        <v>33</v>
      </c>
      <c r="T332" s="5">
        <v>0.33</v>
      </c>
      <c r="U332" s="5">
        <v>32.19</v>
      </c>
      <c r="V332" s="5" t="s">
        <v>34</v>
      </c>
      <c r="W332" s="5">
        <v>2</v>
      </c>
      <c r="X332" s="5">
        <v>7673975854802</v>
      </c>
      <c r="Y332" s="7">
        <v>46003</v>
      </c>
      <c r="Z332" s="7">
        <v>45992</v>
      </c>
      <c r="AB332" s="6">
        <v>46003</v>
      </c>
      <c r="AC332" s="7">
        <v>45999.461805555555</v>
      </c>
      <c r="AD332" s="5">
        <v>30811007348</v>
      </c>
      <c r="AE332" s="8">
        <v>45992</v>
      </c>
      <c r="AF332" s="5" t="s">
        <v>201</v>
      </c>
      <c r="AG332" s="5" t="s">
        <v>37</v>
      </c>
      <c r="AH332" s="5">
        <v>205806</v>
      </c>
      <c r="AI332" s="6">
        <v>45992</v>
      </c>
      <c r="AJ332" s="6">
        <v>46003</v>
      </c>
      <c r="AK332" s="1">
        <f t="shared" si="147"/>
        <v>0.66359999999999997</v>
      </c>
    </row>
    <row r="333" spans="1:37" x14ac:dyDescent="0.55000000000000004">
      <c r="A333">
        <v>3081</v>
      </c>
      <c r="B333">
        <v>1007349</v>
      </c>
      <c r="C333">
        <v>199.08</v>
      </c>
      <c r="D333" s="4">
        <v>3.98</v>
      </c>
      <c r="E333">
        <v>195.1</v>
      </c>
      <c r="F333">
        <v>1.99</v>
      </c>
      <c r="G333">
        <v>193.11</v>
      </c>
      <c r="H333" s="14">
        <f t="shared" si="145"/>
        <v>193.11</v>
      </c>
      <c r="I333" s="14" t="b">
        <f t="shared" si="146"/>
        <v>1</v>
      </c>
      <c r="J333" s="2">
        <v>46003</v>
      </c>
      <c r="K333" s="5">
        <v>1007349</v>
      </c>
      <c r="L333" s="5">
        <v>3081</v>
      </c>
      <c r="M333" s="5">
        <v>3.98</v>
      </c>
      <c r="N333" s="5">
        <v>199.08</v>
      </c>
      <c r="O333" s="7">
        <v>45992</v>
      </c>
      <c r="P333" s="5">
        <v>195.1</v>
      </c>
      <c r="Q333" s="5">
        <v>3.98</v>
      </c>
      <c r="R333" s="5" t="s">
        <v>32</v>
      </c>
      <c r="S333" s="5" t="s">
        <v>33</v>
      </c>
      <c r="T333" s="5">
        <v>1.99</v>
      </c>
      <c r="U333" s="5">
        <v>193.11</v>
      </c>
      <c r="V333" s="5" t="s">
        <v>34</v>
      </c>
      <c r="W333" s="5">
        <v>2</v>
      </c>
      <c r="X333" s="5">
        <v>7673975854802</v>
      </c>
      <c r="Y333" s="7">
        <v>46003</v>
      </c>
      <c r="Z333" s="7">
        <v>45992</v>
      </c>
      <c r="AB333" s="6">
        <v>46003</v>
      </c>
      <c r="AC333" s="7">
        <v>45999.461805555555</v>
      </c>
      <c r="AD333" s="5">
        <v>30811007349</v>
      </c>
      <c r="AE333" s="8">
        <v>45992</v>
      </c>
      <c r="AF333" s="5" t="s">
        <v>202</v>
      </c>
      <c r="AG333" s="5" t="s">
        <v>37</v>
      </c>
      <c r="AH333" s="5">
        <v>205808</v>
      </c>
      <c r="AI333" s="6">
        <v>45992</v>
      </c>
      <c r="AJ333" s="6">
        <v>46003</v>
      </c>
      <c r="AK333" s="1">
        <f t="shared" si="147"/>
        <v>3.9816000000000003</v>
      </c>
    </row>
    <row r="334" spans="1:37" x14ac:dyDescent="0.55000000000000004">
      <c r="A334">
        <v>3081</v>
      </c>
      <c r="B334">
        <v>1007351</v>
      </c>
      <c r="C334">
        <v>33.18</v>
      </c>
      <c r="D334" s="4">
        <v>0.66</v>
      </c>
      <c r="E334">
        <v>32.520000000000003</v>
      </c>
      <c r="F334">
        <v>0.33</v>
      </c>
      <c r="G334">
        <v>32.19</v>
      </c>
      <c r="H334" s="14">
        <f t="shared" si="145"/>
        <v>32.190000000000005</v>
      </c>
      <c r="I334" s="14" t="b">
        <f t="shared" si="146"/>
        <v>1</v>
      </c>
      <c r="J334" s="2">
        <v>46003</v>
      </c>
      <c r="K334" s="5">
        <v>1007351</v>
      </c>
      <c r="L334" s="5">
        <v>3081</v>
      </c>
      <c r="M334" s="5">
        <v>0.66</v>
      </c>
      <c r="N334" s="5">
        <v>33.18</v>
      </c>
      <c r="O334" s="7">
        <v>45992</v>
      </c>
      <c r="P334" s="5">
        <v>32.520000000000003</v>
      </c>
      <c r="Q334" s="5">
        <v>0.66</v>
      </c>
      <c r="R334" s="5" t="s">
        <v>32</v>
      </c>
      <c r="S334" s="5" t="s">
        <v>33</v>
      </c>
      <c r="T334" s="5">
        <v>0.33</v>
      </c>
      <c r="U334" s="5">
        <v>32.19</v>
      </c>
      <c r="V334" s="5" t="s">
        <v>34</v>
      </c>
      <c r="W334" s="5">
        <v>2</v>
      </c>
      <c r="X334" s="5">
        <v>7673975854802</v>
      </c>
      <c r="Y334" s="7">
        <v>46003</v>
      </c>
      <c r="Z334" s="7">
        <v>45992</v>
      </c>
      <c r="AB334" s="6">
        <v>46003</v>
      </c>
      <c r="AC334" s="7">
        <v>45999.461805555555</v>
      </c>
      <c r="AD334" s="5">
        <v>30811007351</v>
      </c>
      <c r="AE334" s="8">
        <v>45992</v>
      </c>
      <c r="AF334" s="5" t="s">
        <v>203</v>
      </c>
      <c r="AG334" s="5" t="s">
        <v>37</v>
      </c>
      <c r="AH334" s="5">
        <v>205804</v>
      </c>
      <c r="AI334" s="6">
        <v>45992</v>
      </c>
      <c r="AJ334" s="6">
        <v>46003</v>
      </c>
      <c r="AK334" s="1">
        <f t="shared" si="147"/>
        <v>0.66359999999999997</v>
      </c>
    </row>
    <row r="335" spans="1:37" x14ac:dyDescent="0.55000000000000004">
      <c r="A335">
        <v>3081</v>
      </c>
      <c r="B335">
        <v>1007463</v>
      </c>
      <c r="C335">
        <v>218.76</v>
      </c>
      <c r="D335" s="4">
        <v>4.38</v>
      </c>
      <c r="E335">
        <v>214.38</v>
      </c>
      <c r="F335">
        <v>2.19</v>
      </c>
      <c r="G335">
        <v>212.19</v>
      </c>
      <c r="H335" s="14">
        <f t="shared" si="145"/>
        <v>212.19</v>
      </c>
      <c r="I335" s="14" t="b">
        <f t="shared" si="146"/>
        <v>1</v>
      </c>
      <c r="J335" s="2">
        <v>46003</v>
      </c>
      <c r="K335" s="5">
        <v>1007463</v>
      </c>
      <c r="L335" s="5">
        <v>3081</v>
      </c>
      <c r="M335" s="5">
        <v>4.38</v>
      </c>
      <c r="N335" s="5">
        <v>218.76</v>
      </c>
      <c r="O335" s="7">
        <v>45992</v>
      </c>
      <c r="P335" s="5">
        <v>214.38</v>
      </c>
      <c r="Q335" s="5">
        <v>4.38</v>
      </c>
      <c r="R335" s="5" t="s">
        <v>32</v>
      </c>
      <c r="S335" s="5" t="s">
        <v>33</v>
      </c>
      <c r="T335" s="5">
        <v>2.19</v>
      </c>
      <c r="U335" s="5">
        <v>212.19</v>
      </c>
      <c r="V335" s="5" t="s">
        <v>34</v>
      </c>
      <c r="W335" s="5">
        <v>2</v>
      </c>
      <c r="X335" s="5">
        <v>7673975854802</v>
      </c>
      <c r="Y335" s="7">
        <v>46003</v>
      </c>
      <c r="Z335" s="7">
        <v>45992</v>
      </c>
      <c r="AB335" s="6">
        <v>46003</v>
      </c>
      <c r="AC335" s="7">
        <v>45999.461805555555</v>
      </c>
      <c r="AD335" s="5">
        <v>30811007463</v>
      </c>
      <c r="AE335" s="8">
        <v>45992</v>
      </c>
      <c r="AF335" s="5" t="s">
        <v>204</v>
      </c>
      <c r="AG335" s="5" t="s">
        <v>37</v>
      </c>
      <c r="AH335" s="5">
        <v>205968</v>
      </c>
      <c r="AI335" s="6">
        <v>45992</v>
      </c>
      <c r="AJ335" s="6">
        <v>46003</v>
      </c>
      <c r="AK335" s="1">
        <f t="shared" si="147"/>
        <v>4.3751999999999995</v>
      </c>
    </row>
    <row r="336" spans="1:37" x14ac:dyDescent="0.55000000000000004">
      <c r="A336">
        <v>3081</v>
      </c>
      <c r="B336">
        <v>1007492</v>
      </c>
      <c r="C336">
        <v>35</v>
      </c>
      <c r="D336" s="4">
        <v>0.7</v>
      </c>
      <c r="E336">
        <v>34.299999999999997</v>
      </c>
      <c r="F336">
        <v>0.35</v>
      </c>
      <c r="G336">
        <v>33.950000000000003</v>
      </c>
      <c r="H336" s="14">
        <f t="shared" si="145"/>
        <v>33.949999999999996</v>
      </c>
      <c r="I336" s="14" t="b">
        <f t="shared" si="146"/>
        <v>1</v>
      </c>
      <c r="J336" s="2">
        <v>46003</v>
      </c>
      <c r="K336" s="5">
        <v>1007492</v>
      </c>
      <c r="L336" s="5">
        <v>3081</v>
      </c>
      <c r="M336" s="5">
        <v>0.7</v>
      </c>
      <c r="N336" s="5">
        <v>35</v>
      </c>
      <c r="O336" s="7">
        <v>45992</v>
      </c>
      <c r="P336" s="5">
        <v>34.299999999999997</v>
      </c>
      <c r="Q336" s="5">
        <v>0.7</v>
      </c>
      <c r="R336" s="5" t="s">
        <v>32</v>
      </c>
      <c r="S336" s="5" t="s">
        <v>33</v>
      </c>
      <c r="T336" s="5">
        <v>0.35</v>
      </c>
      <c r="U336" s="5">
        <v>33.950000000000003</v>
      </c>
      <c r="V336" s="5" t="s">
        <v>34</v>
      </c>
      <c r="W336" s="5">
        <v>2</v>
      </c>
      <c r="X336" s="5">
        <v>7673975854802</v>
      </c>
      <c r="Y336" s="7">
        <v>46003</v>
      </c>
      <c r="Z336" s="7">
        <v>45992</v>
      </c>
      <c r="AB336" s="6">
        <v>46003</v>
      </c>
      <c r="AC336" s="7">
        <v>45999.461805555555</v>
      </c>
      <c r="AD336" s="5">
        <v>30811007492</v>
      </c>
      <c r="AE336" s="8">
        <v>45992</v>
      </c>
      <c r="AF336" s="5" t="s">
        <v>205</v>
      </c>
      <c r="AG336" s="5" t="s">
        <v>37</v>
      </c>
      <c r="AH336" s="5">
        <v>206012</v>
      </c>
      <c r="AI336" s="6">
        <v>45992</v>
      </c>
      <c r="AJ336" s="6">
        <v>46003</v>
      </c>
      <c r="AK336" s="1">
        <f t="shared" si="147"/>
        <v>0.70000000000000007</v>
      </c>
    </row>
    <row r="337" spans="1:37" hidden="1" x14ac:dyDescent="0.55000000000000004">
      <c r="A337">
        <v>3081</v>
      </c>
      <c r="B337">
        <v>1007599</v>
      </c>
      <c r="C337" s="1">
        <v>3990</v>
      </c>
      <c r="E337" s="1">
        <v>3990</v>
      </c>
      <c r="F337">
        <v>39.9</v>
      </c>
      <c r="G337" s="1">
        <v>3950.1</v>
      </c>
      <c r="H337" s="1"/>
      <c r="I337" s="1"/>
      <c r="J337" s="2">
        <v>46003</v>
      </c>
      <c r="K337" s="5">
        <v>1007599</v>
      </c>
      <c r="L337" s="5">
        <v>3081</v>
      </c>
      <c r="M337" s="5">
        <v>0</v>
      </c>
      <c r="N337" s="5">
        <v>3990</v>
      </c>
      <c r="O337" s="7">
        <v>45993</v>
      </c>
      <c r="P337" s="5">
        <v>3990</v>
      </c>
      <c r="Q337" s="5">
        <v>0</v>
      </c>
      <c r="R337" s="5" t="s">
        <v>32</v>
      </c>
      <c r="S337" s="5" t="s">
        <v>33</v>
      </c>
      <c r="T337" s="5">
        <v>39.9</v>
      </c>
      <c r="U337" s="5">
        <v>3950.1</v>
      </c>
      <c r="V337" s="5" t="s">
        <v>34</v>
      </c>
      <c r="W337" s="5">
        <v>2</v>
      </c>
      <c r="X337" s="5">
        <v>7673975854802</v>
      </c>
      <c r="Y337" s="7">
        <v>46003</v>
      </c>
      <c r="Z337" s="7">
        <v>45993</v>
      </c>
      <c r="AB337" s="6">
        <v>46003</v>
      </c>
      <c r="AC337" s="7">
        <v>45999.461805555555</v>
      </c>
      <c r="AD337" s="5">
        <v>30811007599</v>
      </c>
      <c r="AE337" s="8">
        <v>45993</v>
      </c>
      <c r="AF337" s="5" t="s">
        <v>32</v>
      </c>
      <c r="AG337" s="5" t="s">
        <v>35</v>
      </c>
      <c r="AH337" s="5" t="s">
        <v>32</v>
      </c>
      <c r="AI337" s="6">
        <v>45993</v>
      </c>
      <c r="AJ337" s="6">
        <v>46003</v>
      </c>
    </row>
    <row r="338" spans="1:37" hidden="1" x14ac:dyDescent="0.55000000000000004">
      <c r="A338">
        <v>3081</v>
      </c>
      <c r="B338">
        <v>1007721</v>
      </c>
      <c r="C338">
        <v>869.96</v>
      </c>
      <c r="E338">
        <v>869.96</v>
      </c>
      <c r="F338">
        <v>8.6999999999999993</v>
      </c>
      <c r="G338">
        <v>861.26</v>
      </c>
      <c r="H338"/>
      <c r="I338"/>
      <c r="J338" s="2">
        <v>46003</v>
      </c>
      <c r="K338" s="5">
        <v>1007721</v>
      </c>
      <c r="L338" s="5">
        <v>3081</v>
      </c>
      <c r="M338" s="5">
        <v>0</v>
      </c>
      <c r="N338" s="5">
        <v>869.96</v>
      </c>
      <c r="O338" s="7">
        <v>45993</v>
      </c>
      <c r="P338" s="5">
        <v>869.96</v>
      </c>
      <c r="Q338" s="5">
        <v>0</v>
      </c>
      <c r="R338" s="5" t="s">
        <v>32</v>
      </c>
      <c r="S338" s="5" t="s">
        <v>33</v>
      </c>
      <c r="T338" s="5">
        <v>8.6999999999999993</v>
      </c>
      <c r="U338" s="5">
        <v>861.26</v>
      </c>
      <c r="V338" s="5" t="s">
        <v>34</v>
      </c>
      <c r="W338" s="5">
        <v>2</v>
      </c>
      <c r="X338" s="5">
        <v>7673975854802</v>
      </c>
      <c r="Y338" s="7">
        <v>46003</v>
      </c>
      <c r="Z338" s="7">
        <v>45993</v>
      </c>
      <c r="AB338" s="6">
        <v>46003</v>
      </c>
      <c r="AC338" s="7">
        <v>45999.461805555555</v>
      </c>
      <c r="AD338" s="5">
        <v>30811007721</v>
      </c>
      <c r="AE338" s="8">
        <v>45993</v>
      </c>
      <c r="AF338" s="5" t="s">
        <v>206</v>
      </c>
      <c r="AG338" s="5" t="s">
        <v>38</v>
      </c>
      <c r="AH338" s="5">
        <v>206112</v>
      </c>
      <c r="AI338" s="6">
        <v>45993</v>
      </c>
      <c r="AJ338" s="6">
        <v>46003</v>
      </c>
    </row>
    <row r="339" spans="1:37" x14ac:dyDescent="0.55000000000000004">
      <c r="A339">
        <v>3081</v>
      </c>
      <c r="B339">
        <v>1007740</v>
      </c>
      <c r="C339">
        <v>85.03</v>
      </c>
      <c r="D339" s="4">
        <v>1.7</v>
      </c>
      <c r="E339">
        <v>83.33</v>
      </c>
      <c r="F339">
        <v>0.85</v>
      </c>
      <c r="G339">
        <v>82.48</v>
      </c>
      <c r="H339" s="14">
        <f>C339-D339-F339</f>
        <v>82.48</v>
      </c>
      <c r="I339" s="14" t="b">
        <f>G339=H339</f>
        <v>1</v>
      </c>
      <c r="J339" s="2">
        <v>46003</v>
      </c>
      <c r="K339" s="5">
        <v>1007740</v>
      </c>
      <c r="L339" s="5">
        <v>3081</v>
      </c>
      <c r="M339" s="5">
        <v>1.7</v>
      </c>
      <c r="N339" s="5">
        <v>85.03</v>
      </c>
      <c r="O339" s="7">
        <v>45993</v>
      </c>
      <c r="P339" s="5">
        <v>83.33</v>
      </c>
      <c r="Q339" s="5">
        <v>1.7</v>
      </c>
      <c r="R339" s="5" t="s">
        <v>32</v>
      </c>
      <c r="S339" s="5" t="s">
        <v>33</v>
      </c>
      <c r="T339" s="5">
        <v>0.85</v>
      </c>
      <c r="U339" s="5">
        <v>82.48</v>
      </c>
      <c r="V339" s="5" t="s">
        <v>34</v>
      </c>
      <c r="W339" s="5">
        <v>2</v>
      </c>
      <c r="X339" s="5">
        <v>7673975854802</v>
      </c>
      <c r="Y339" s="7">
        <v>46003</v>
      </c>
      <c r="Z339" s="7">
        <v>45993</v>
      </c>
      <c r="AB339" s="6">
        <v>46003</v>
      </c>
      <c r="AC339" s="7">
        <v>45999.461805555555</v>
      </c>
      <c r="AD339" s="5">
        <v>30811007740</v>
      </c>
      <c r="AE339" s="8">
        <v>45993</v>
      </c>
      <c r="AF339" s="5" t="s">
        <v>207</v>
      </c>
      <c r="AG339" s="5" t="s">
        <v>37</v>
      </c>
      <c r="AH339" s="5">
        <v>206156</v>
      </c>
      <c r="AI339" s="6">
        <v>45993</v>
      </c>
      <c r="AJ339" s="6">
        <v>46003</v>
      </c>
      <c r="AK339" s="1">
        <f t="shared" ref="AK339" si="148">0.02*C339</f>
        <v>1.7006000000000001</v>
      </c>
    </row>
    <row r="340" spans="1:37" hidden="1" x14ac:dyDescent="0.55000000000000004">
      <c r="A340">
        <v>3081</v>
      </c>
      <c r="B340">
        <v>1007910</v>
      </c>
      <c r="C340" s="1">
        <v>1376.92</v>
      </c>
      <c r="E340" s="1">
        <v>1376.92</v>
      </c>
      <c r="F340">
        <v>13.77</v>
      </c>
      <c r="G340" s="1">
        <v>1363.15</v>
      </c>
      <c r="H340" s="1"/>
      <c r="I340" s="1"/>
      <c r="J340" s="2">
        <v>46003</v>
      </c>
      <c r="K340" s="5">
        <v>1007910</v>
      </c>
      <c r="L340" s="5">
        <v>3081</v>
      </c>
      <c r="M340" s="5">
        <v>0</v>
      </c>
      <c r="N340" s="5">
        <v>1376.92</v>
      </c>
      <c r="O340" s="7">
        <v>45994</v>
      </c>
      <c r="P340" s="5">
        <v>1376.92</v>
      </c>
      <c r="Q340" s="5">
        <v>0</v>
      </c>
      <c r="R340" s="5" t="s">
        <v>32</v>
      </c>
      <c r="S340" s="5" t="s">
        <v>33</v>
      </c>
      <c r="T340" s="5">
        <v>13.77</v>
      </c>
      <c r="U340" s="5">
        <v>1363.15</v>
      </c>
      <c r="V340" s="5" t="s">
        <v>34</v>
      </c>
      <c r="W340" s="5">
        <v>2</v>
      </c>
      <c r="X340" s="5">
        <v>7673975854802</v>
      </c>
      <c r="Y340" s="7">
        <v>46003</v>
      </c>
      <c r="Z340" s="7">
        <v>45994</v>
      </c>
      <c r="AB340" s="6">
        <v>46003</v>
      </c>
      <c r="AC340" s="7">
        <v>45999.461805555555</v>
      </c>
      <c r="AD340" s="5">
        <v>30811007910</v>
      </c>
      <c r="AE340" s="8">
        <v>45994</v>
      </c>
      <c r="AF340" s="5" t="s">
        <v>208</v>
      </c>
      <c r="AG340" s="5" t="s">
        <v>38</v>
      </c>
      <c r="AH340" s="5">
        <v>206449</v>
      </c>
      <c r="AI340" s="6">
        <v>45994</v>
      </c>
      <c r="AJ340" s="6">
        <v>46003</v>
      </c>
    </row>
    <row r="341" spans="1:37" hidden="1" x14ac:dyDescent="0.55000000000000004">
      <c r="A341">
        <v>3081</v>
      </c>
      <c r="B341">
        <v>1007941</v>
      </c>
      <c r="C341">
        <v>740.73</v>
      </c>
      <c r="E341">
        <v>740.73</v>
      </c>
      <c r="F341">
        <v>7.41</v>
      </c>
      <c r="G341">
        <v>733.32</v>
      </c>
      <c r="H341"/>
      <c r="I341"/>
      <c r="J341" s="2">
        <v>46003</v>
      </c>
      <c r="K341" s="5">
        <v>1007941</v>
      </c>
      <c r="L341" s="5">
        <v>3081</v>
      </c>
      <c r="M341" s="5">
        <v>0</v>
      </c>
      <c r="N341" s="5">
        <v>740.73</v>
      </c>
      <c r="O341" s="7">
        <v>45994</v>
      </c>
      <c r="P341" s="5">
        <v>740.73</v>
      </c>
      <c r="Q341" s="5">
        <v>0</v>
      </c>
      <c r="R341" s="5" t="s">
        <v>32</v>
      </c>
      <c r="S341" s="5" t="s">
        <v>33</v>
      </c>
      <c r="T341" s="5">
        <v>7.41</v>
      </c>
      <c r="U341" s="5">
        <v>733.32</v>
      </c>
      <c r="V341" s="5" t="s">
        <v>34</v>
      </c>
      <c r="W341" s="5">
        <v>2</v>
      </c>
      <c r="X341" s="5">
        <v>7673975854802</v>
      </c>
      <c r="Y341" s="7">
        <v>46003</v>
      </c>
      <c r="Z341" s="7">
        <v>45994</v>
      </c>
      <c r="AB341" s="6">
        <v>46003</v>
      </c>
      <c r="AC341" s="7">
        <v>45999.461805555555</v>
      </c>
      <c r="AD341" s="5">
        <v>30811007941</v>
      </c>
      <c r="AE341" s="8">
        <v>45994</v>
      </c>
      <c r="AF341" s="5" t="s">
        <v>209</v>
      </c>
      <c r="AG341" s="5" t="s">
        <v>38</v>
      </c>
      <c r="AH341" s="5">
        <v>206284</v>
      </c>
      <c r="AI341" s="6">
        <v>45994</v>
      </c>
      <c r="AJ341" s="6">
        <v>46003</v>
      </c>
    </row>
    <row r="342" spans="1:37" x14ac:dyDescent="0.55000000000000004">
      <c r="A342">
        <v>3081</v>
      </c>
      <c r="B342">
        <v>1007947</v>
      </c>
      <c r="C342">
        <v>666.09</v>
      </c>
      <c r="D342" s="4">
        <v>13.32</v>
      </c>
      <c r="E342">
        <v>652.77</v>
      </c>
      <c r="F342">
        <v>6.66</v>
      </c>
      <c r="G342">
        <v>646.11</v>
      </c>
      <c r="H342" s="14">
        <f t="shared" ref="H342:H344" si="149">C342-D342-F342</f>
        <v>646.11</v>
      </c>
      <c r="I342" s="14" t="b">
        <f t="shared" ref="I342:I344" si="150">G342=H342</f>
        <v>1</v>
      </c>
      <c r="J342" s="2">
        <v>46003</v>
      </c>
      <c r="K342" s="5">
        <v>1007947</v>
      </c>
      <c r="L342" s="5">
        <v>3081</v>
      </c>
      <c r="M342" s="5">
        <v>13.32</v>
      </c>
      <c r="N342" s="5">
        <v>666.09</v>
      </c>
      <c r="O342" s="7">
        <v>45994</v>
      </c>
      <c r="P342" s="5">
        <v>652.77</v>
      </c>
      <c r="Q342" s="5">
        <v>13.32</v>
      </c>
      <c r="R342" s="5" t="s">
        <v>32</v>
      </c>
      <c r="S342" s="5" t="s">
        <v>33</v>
      </c>
      <c r="T342" s="5">
        <v>6.66</v>
      </c>
      <c r="U342" s="5">
        <v>646.11</v>
      </c>
      <c r="V342" s="5" t="s">
        <v>34</v>
      </c>
      <c r="W342" s="5">
        <v>2</v>
      </c>
      <c r="X342" s="5">
        <v>7673975854802</v>
      </c>
      <c r="Y342" s="7">
        <v>46003</v>
      </c>
      <c r="Z342" s="7">
        <v>45994</v>
      </c>
      <c r="AB342" s="6">
        <v>46003</v>
      </c>
      <c r="AC342" s="7">
        <v>45999.461805555555</v>
      </c>
      <c r="AD342" s="5">
        <v>30811007947</v>
      </c>
      <c r="AE342" s="8">
        <v>45994</v>
      </c>
      <c r="AF342" s="5" t="s">
        <v>209</v>
      </c>
      <c r="AG342" s="5" t="s">
        <v>37</v>
      </c>
      <c r="AH342" s="5">
        <v>206283</v>
      </c>
      <c r="AI342" s="6">
        <v>45994</v>
      </c>
      <c r="AJ342" s="6">
        <v>46003</v>
      </c>
      <c r="AK342" s="1">
        <f t="shared" ref="AK342:AK344" si="151">0.02*C342</f>
        <v>13.321800000000001</v>
      </c>
    </row>
    <row r="343" spans="1:37" x14ac:dyDescent="0.55000000000000004">
      <c r="A343">
        <v>3081</v>
      </c>
      <c r="B343">
        <v>1007965</v>
      </c>
      <c r="C343">
        <v>238.81</v>
      </c>
      <c r="D343" s="4">
        <v>4.78</v>
      </c>
      <c r="E343">
        <v>234.03</v>
      </c>
      <c r="F343">
        <v>2.39</v>
      </c>
      <c r="G343">
        <v>231.64</v>
      </c>
      <c r="H343" s="14">
        <f t="shared" si="149"/>
        <v>231.64000000000001</v>
      </c>
      <c r="I343" s="14" t="b">
        <f t="shared" si="150"/>
        <v>1</v>
      </c>
      <c r="J343" s="2">
        <v>46003</v>
      </c>
      <c r="K343" s="5">
        <v>1007965</v>
      </c>
      <c r="L343" s="5">
        <v>3081</v>
      </c>
      <c r="M343" s="5">
        <v>4.78</v>
      </c>
      <c r="N343" s="5">
        <v>238.81</v>
      </c>
      <c r="O343" s="7">
        <v>45994</v>
      </c>
      <c r="P343" s="5">
        <v>234.03</v>
      </c>
      <c r="Q343" s="5">
        <v>4.78</v>
      </c>
      <c r="R343" s="5" t="s">
        <v>32</v>
      </c>
      <c r="S343" s="5" t="s">
        <v>33</v>
      </c>
      <c r="T343" s="5">
        <v>2.39</v>
      </c>
      <c r="U343" s="5">
        <v>231.64</v>
      </c>
      <c r="V343" s="5" t="s">
        <v>34</v>
      </c>
      <c r="W343" s="5">
        <v>2</v>
      </c>
      <c r="X343" s="5">
        <v>7673975854802</v>
      </c>
      <c r="Y343" s="7">
        <v>46003</v>
      </c>
      <c r="Z343" s="7">
        <v>45994</v>
      </c>
      <c r="AB343" s="6">
        <v>46003</v>
      </c>
      <c r="AC343" s="7">
        <v>45999.461805555555</v>
      </c>
      <c r="AD343" s="5">
        <v>30811007965</v>
      </c>
      <c r="AE343" s="8">
        <v>45994</v>
      </c>
      <c r="AF343" s="5" t="s">
        <v>209</v>
      </c>
      <c r="AG343" s="5" t="s">
        <v>37</v>
      </c>
      <c r="AH343" s="5">
        <v>206267</v>
      </c>
      <c r="AI343" s="6">
        <v>45994</v>
      </c>
      <c r="AJ343" s="6">
        <v>46003</v>
      </c>
      <c r="AK343" s="1">
        <f t="shared" si="151"/>
        <v>4.7762000000000002</v>
      </c>
    </row>
    <row r="344" spans="1:37" x14ac:dyDescent="0.55000000000000004">
      <c r="A344">
        <v>3081</v>
      </c>
      <c r="B344">
        <v>1007969</v>
      </c>
      <c r="C344" s="1">
        <v>1183.82</v>
      </c>
      <c r="D344" s="4">
        <v>23.68</v>
      </c>
      <c r="E344" s="1">
        <v>1160.1400000000001</v>
      </c>
      <c r="F344">
        <v>11.84</v>
      </c>
      <c r="G344" s="1">
        <v>1148.3</v>
      </c>
      <c r="H344" s="14">
        <f t="shared" si="149"/>
        <v>1148.3</v>
      </c>
      <c r="I344" s="14" t="b">
        <f t="shared" si="150"/>
        <v>1</v>
      </c>
      <c r="J344" s="2">
        <v>46003</v>
      </c>
      <c r="K344" s="5">
        <v>1007969</v>
      </c>
      <c r="L344" s="5">
        <v>3081</v>
      </c>
      <c r="M344" s="5">
        <v>23.68</v>
      </c>
      <c r="N344" s="5">
        <v>1183.82</v>
      </c>
      <c r="O344" s="7">
        <v>45994</v>
      </c>
      <c r="P344" s="5">
        <v>1160.1400000000001</v>
      </c>
      <c r="Q344" s="5">
        <v>23.68</v>
      </c>
      <c r="R344" s="5" t="s">
        <v>32</v>
      </c>
      <c r="S344" s="5" t="s">
        <v>33</v>
      </c>
      <c r="T344" s="5">
        <v>11.84</v>
      </c>
      <c r="U344" s="5">
        <v>1148.3</v>
      </c>
      <c r="V344" s="5" t="s">
        <v>34</v>
      </c>
      <c r="W344" s="5">
        <v>2</v>
      </c>
      <c r="X344" s="5">
        <v>7673975854802</v>
      </c>
      <c r="Y344" s="7">
        <v>46003</v>
      </c>
      <c r="Z344" s="7">
        <v>45994</v>
      </c>
      <c r="AB344" s="6">
        <v>46003</v>
      </c>
      <c r="AC344" s="7">
        <v>45999.461805555555</v>
      </c>
      <c r="AD344" s="5">
        <v>30811007969</v>
      </c>
      <c r="AE344" s="8">
        <v>45994</v>
      </c>
      <c r="AF344" s="5" t="s">
        <v>207</v>
      </c>
      <c r="AG344" s="5" t="s">
        <v>37</v>
      </c>
      <c r="AH344" s="5">
        <v>206229</v>
      </c>
      <c r="AI344" s="6">
        <v>45994</v>
      </c>
      <c r="AJ344" s="6">
        <v>46003</v>
      </c>
      <c r="AK344" s="1">
        <f t="shared" si="151"/>
        <v>23.676399999999997</v>
      </c>
    </row>
    <row r="345" spans="1:37" hidden="1" x14ac:dyDescent="0.55000000000000004">
      <c r="A345">
        <v>3081</v>
      </c>
      <c r="B345">
        <v>1008006</v>
      </c>
      <c r="C345">
        <v>708.11</v>
      </c>
      <c r="E345">
        <v>708.11</v>
      </c>
      <c r="F345">
        <v>7.08</v>
      </c>
      <c r="G345">
        <v>701.03</v>
      </c>
      <c r="H345"/>
      <c r="I345"/>
      <c r="J345" s="2">
        <v>46003</v>
      </c>
      <c r="K345" s="5">
        <v>1008006</v>
      </c>
      <c r="L345" s="5">
        <v>3081</v>
      </c>
      <c r="M345" s="5">
        <v>0</v>
      </c>
      <c r="N345" s="5">
        <v>708.11</v>
      </c>
      <c r="O345" s="7">
        <v>45994</v>
      </c>
      <c r="P345" s="5">
        <v>708.11</v>
      </c>
      <c r="Q345" s="5">
        <v>0</v>
      </c>
      <c r="R345" s="5" t="s">
        <v>32</v>
      </c>
      <c r="S345" s="5" t="s">
        <v>33</v>
      </c>
      <c r="T345" s="5">
        <v>7.08</v>
      </c>
      <c r="U345" s="5">
        <v>701.03</v>
      </c>
      <c r="V345" s="5" t="s">
        <v>34</v>
      </c>
      <c r="W345" s="5">
        <v>2</v>
      </c>
      <c r="X345" s="5">
        <v>7673975854802</v>
      </c>
      <c r="Y345" s="7">
        <v>46003</v>
      </c>
      <c r="Z345" s="7">
        <v>45994</v>
      </c>
      <c r="AB345" s="6">
        <v>46003</v>
      </c>
      <c r="AC345" s="7">
        <v>45999.461805555555</v>
      </c>
      <c r="AD345" s="5">
        <v>30811008006</v>
      </c>
      <c r="AE345" s="8">
        <v>45994</v>
      </c>
      <c r="AF345" s="5" t="s">
        <v>207</v>
      </c>
      <c r="AG345" s="5" t="s">
        <v>38</v>
      </c>
      <c r="AH345" s="5">
        <v>206230</v>
      </c>
      <c r="AI345" s="6">
        <v>45994</v>
      </c>
      <c r="AJ345" s="6">
        <v>46003</v>
      </c>
    </row>
    <row r="346" spans="1:37" x14ac:dyDescent="0.55000000000000004">
      <c r="A346">
        <v>3081</v>
      </c>
      <c r="B346">
        <v>1008051</v>
      </c>
      <c r="C346">
        <v>239.76</v>
      </c>
      <c r="D346" s="4">
        <v>4.8</v>
      </c>
      <c r="E346">
        <v>234.96</v>
      </c>
      <c r="F346">
        <v>2.4</v>
      </c>
      <c r="G346">
        <v>232.56</v>
      </c>
      <c r="H346" s="14">
        <f t="shared" ref="H346:H347" si="152">C346-D346-F346</f>
        <v>232.55999999999997</v>
      </c>
      <c r="I346" s="14" t="b">
        <f t="shared" ref="I346:I347" si="153">G346=H346</f>
        <v>1</v>
      </c>
      <c r="J346" s="2">
        <v>46003</v>
      </c>
      <c r="K346" s="5">
        <v>1008051</v>
      </c>
      <c r="L346" s="5">
        <v>3081</v>
      </c>
      <c r="M346" s="5">
        <v>4.8</v>
      </c>
      <c r="N346" s="5">
        <v>239.76</v>
      </c>
      <c r="O346" s="7">
        <v>45994</v>
      </c>
      <c r="P346" s="5">
        <v>234.96</v>
      </c>
      <c r="Q346" s="5">
        <v>4.8</v>
      </c>
      <c r="R346" s="5" t="s">
        <v>32</v>
      </c>
      <c r="S346" s="5" t="s">
        <v>33</v>
      </c>
      <c r="T346" s="5">
        <v>2.4</v>
      </c>
      <c r="U346" s="5">
        <v>232.56</v>
      </c>
      <c r="V346" s="5" t="s">
        <v>34</v>
      </c>
      <c r="W346" s="5">
        <v>2</v>
      </c>
      <c r="X346" s="5">
        <v>7673975854802</v>
      </c>
      <c r="Y346" s="7">
        <v>46003</v>
      </c>
      <c r="Z346" s="7">
        <v>45994</v>
      </c>
      <c r="AB346" s="6">
        <v>46003</v>
      </c>
      <c r="AC346" s="7">
        <v>45999.461805555555</v>
      </c>
      <c r="AD346" s="5">
        <v>30811008051</v>
      </c>
      <c r="AE346" s="8">
        <v>45994</v>
      </c>
      <c r="AF346" s="5" t="s">
        <v>210</v>
      </c>
      <c r="AG346" s="5" t="s">
        <v>37</v>
      </c>
      <c r="AH346" s="5">
        <v>206546</v>
      </c>
      <c r="AI346" s="6">
        <v>45994</v>
      </c>
      <c r="AJ346" s="6">
        <v>46003</v>
      </c>
      <c r="AK346" s="1">
        <f t="shared" ref="AK346:AK347" si="154">0.02*C346</f>
        <v>4.7952000000000004</v>
      </c>
    </row>
    <row r="347" spans="1:37" x14ac:dyDescent="0.55000000000000004">
      <c r="A347">
        <v>3081</v>
      </c>
      <c r="B347">
        <v>1008091</v>
      </c>
      <c r="C347">
        <v>17.55</v>
      </c>
      <c r="D347" s="4">
        <v>0.35</v>
      </c>
      <c r="E347">
        <v>17.2</v>
      </c>
      <c r="F347">
        <v>0.18</v>
      </c>
      <c r="G347">
        <v>17.02</v>
      </c>
      <c r="H347" s="14">
        <f t="shared" si="152"/>
        <v>17.02</v>
      </c>
      <c r="I347" s="14" t="b">
        <f t="shared" si="153"/>
        <v>1</v>
      </c>
      <c r="J347" s="2">
        <v>46003</v>
      </c>
      <c r="K347" s="5">
        <v>1008091</v>
      </c>
      <c r="L347" s="5">
        <v>3081</v>
      </c>
      <c r="M347" s="5">
        <v>0.35</v>
      </c>
      <c r="N347" s="5">
        <v>17.55</v>
      </c>
      <c r="O347" s="7">
        <v>45995</v>
      </c>
      <c r="P347" s="5">
        <v>17.2</v>
      </c>
      <c r="Q347" s="5">
        <v>0.35</v>
      </c>
      <c r="R347" s="5" t="s">
        <v>32</v>
      </c>
      <c r="S347" s="5" t="s">
        <v>33</v>
      </c>
      <c r="T347" s="5">
        <v>0.18</v>
      </c>
      <c r="U347" s="5">
        <v>17.02</v>
      </c>
      <c r="V347" s="5" t="s">
        <v>34</v>
      </c>
      <c r="W347" s="5">
        <v>2</v>
      </c>
      <c r="X347" s="5">
        <v>7673975854802</v>
      </c>
      <c r="Y347" s="7">
        <v>46003</v>
      </c>
      <c r="Z347" s="7">
        <v>45995</v>
      </c>
      <c r="AB347" s="6">
        <v>46003</v>
      </c>
      <c r="AC347" s="7">
        <v>45999.461805555555</v>
      </c>
      <c r="AD347" s="5">
        <v>30811008091</v>
      </c>
      <c r="AE347" s="8">
        <v>45995</v>
      </c>
      <c r="AF347" s="5" t="s">
        <v>204</v>
      </c>
      <c r="AG347" s="5" t="s">
        <v>37</v>
      </c>
      <c r="AH347" s="5">
        <v>206403</v>
      </c>
      <c r="AI347" s="6">
        <v>45995</v>
      </c>
      <c r="AJ347" s="6">
        <v>46003</v>
      </c>
      <c r="AK347" s="1">
        <f t="shared" si="154"/>
        <v>0.35100000000000003</v>
      </c>
    </row>
    <row r="348" spans="1:37" hidden="1" x14ac:dyDescent="0.55000000000000004">
      <c r="A348">
        <v>3081</v>
      </c>
      <c r="B348">
        <v>1008153</v>
      </c>
      <c r="C348" s="1">
        <v>1739.92</v>
      </c>
      <c r="E348" s="1">
        <v>1739.92</v>
      </c>
      <c r="F348">
        <v>17.399999999999999</v>
      </c>
      <c r="G348" s="1">
        <v>1722.52</v>
      </c>
      <c r="H348" s="1"/>
      <c r="I348" s="1"/>
      <c r="J348" s="2">
        <v>46003</v>
      </c>
      <c r="K348" s="5">
        <v>1008153</v>
      </c>
      <c r="L348" s="5">
        <v>3081</v>
      </c>
      <c r="M348" s="5">
        <v>0</v>
      </c>
      <c r="N348" s="5">
        <v>1739.92</v>
      </c>
      <c r="O348" s="7">
        <v>45995</v>
      </c>
      <c r="P348" s="5">
        <v>1739.92</v>
      </c>
      <c r="Q348" s="5">
        <v>0</v>
      </c>
      <c r="R348" s="5" t="s">
        <v>32</v>
      </c>
      <c r="S348" s="5" t="s">
        <v>33</v>
      </c>
      <c r="T348" s="5">
        <v>17.399999999999999</v>
      </c>
      <c r="U348" s="5">
        <v>1722.52</v>
      </c>
      <c r="V348" s="5" t="s">
        <v>34</v>
      </c>
      <c r="W348" s="5">
        <v>2</v>
      </c>
      <c r="X348" s="5">
        <v>7673975854802</v>
      </c>
      <c r="Y348" s="7">
        <v>46003</v>
      </c>
      <c r="Z348" s="7">
        <v>45995</v>
      </c>
      <c r="AB348" s="6">
        <v>46003</v>
      </c>
      <c r="AC348" s="7">
        <v>45999.461805555555</v>
      </c>
      <c r="AD348" s="5">
        <v>30811008153</v>
      </c>
      <c r="AE348" s="8">
        <v>45995</v>
      </c>
      <c r="AF348" s="5" t="s">
        <v>204</v>
      </c>
      <c r="AG348" s="5" t="s">
        <v>38</v>
      </c>
      <c r="AH348" s="5">
        <v>206656</v>
      </c>
      <c r="AI348" s="6">
        <v>45995</v>
      </c>
      <c r="AJ348" s="6">
        <v>46003</v>
      </c>
    </row>
    <row r="349" spans="1:37" hidden="1" x14ac:dyDescent="0.55000000000000004">
      <c r="A349">
        <v>3081</v>
      </c>
      <c r="B349">
        <v>1008157</v>
      </c>
      <c r="C349" s="1">
        <v>1056.9000000000001</v>
      </c>
      <c r="E349" s="1">
        <v>1056.9000000000001</v>
      </c>
      <c r="F349">
        <v>10.57</v>
      </c>
      <c r="G349" s="1">
        <v>1046.33</v>
      </c>
      <c r="H349" s="1"/>
      <c r="I349" s="1"/>
      <c r="J349" s="2">
        <v>46003</v>
      </c>
      <c r="K349" s="5">
        <v>1008157</v>
      </c>
      <c r="L349" s="5">
        <v>3081</v>
      </c>
      <c r="M349" s="5">
        <v>0</v>
      </c>
      <c r="N349" s="5">
        <v>1056.9000000000001</v>
      </c>
      <c r="O349" s="7">
        <v>45995</v>
      </c>
      <c r="P349" s="5">
        <v>1056.9000000000001</v>
      </c>
      <c r="Q349" s="5">
        <v>0</v>
      </c>
      <c r="R349" s="5" t="s">
        <v>32</v>
      </c>
      <c r="S349" s="5" t="s">
        <v>33</v>
      </c>
      <c r="T349" s="5">
        <v>10.57</v>
      </c>
      <c r="U349" s="5">
        <v>1046.33</v>
      </c>
      <c r="V349" s="5" t="s">
        <v>34</v>
      </c>
      <c r="W349" s="5">
        <v>2</v>
      </c>
      <c r="X349" s="5">
        <v>7673975854802</v>
      </c>
      <c r="Y349" s="7">
        <v>46003</v>
      </c>
      <c r="Z349" s="7">
        <v>45995</v>
      </c>
      <c r="AB349" s="6">
        <v>46003</v>
      </c>
      <c r="AC349" s="7">
        <v>45999.461805555555</v>
      </c>
      <c r="AD349" s="5">
        <v>30811008157</v>
      </c>
      <c r="AE349" s="8">
        <v>45995</v>
      </c>
      <c r="AF349" s="5" t="s">
        <v>207</v>
      </c>
      <c r="AG349" s="5" t="s">
        <v>38</v>
      </c>
      <c r="AH349" s="5">
        <v>206657</v>
      </c>
      <c r="AI349" s="6">
        <v>45995</v>
      </c>
      <c r="AJ349" s="6">
        <v>46003</v>
      </c>
    </row>
    <row r="350" spans="1:37" x14ac:dyDescent="0.55000000000000004">
      <c r="A350">
        <v>3081</v>
      </c>
      <c r="B350">
        <v>1008209</v>
      </c>
      <c r="C350">
        <v>130.46</v>
      </c>
      <c r="D350" s="4">
        <v>2.61</v>
      </c>
      <c r="E350">
        <v>127.85</v>
      </c>
      <c r="F350">
        <v>1.3</v>
      </c>
      <c r="G350">
        <v>126.55</v>
      </c>
      <c r="H350" s="14">
        <f t="shared" ref="H350:H351" si="155">C350-D350-F350</f>
        <v>126.55000000000001</v>
      </c>
      <c r="I350" s="14" t="b">
        <f t="shared" ref="I350:I351" si="156">G350=H350</f>
        <v>1</v>
      </c>
      <c r="J350" s="2">
        <v>46003</v>
      </c>
      <c r="K350" s="5">
        <v>1008209</v>
      </c>
      <c r="L350" s="5">
        <v>3081</v>
      </c>
      <c r="M350" s="5">
        <v>2.61</v>
      </c>
      <c r="N350" s="5">
        <v>130.46</v>
      </c>
      <c r="O350" s="7">
        <v>45995</v>
      </c>
      <c r="P350" s="5">
        <v>127.85</v>
      </c>
      <c r="Q350" s="5">
        <v>2.61</v>
      </c>
      <c r="R350" s="5" t="s">
        <v>32</v>
      </c>
      <c r="S350" s="5" t="s">
        <v>33</v>
      </c>
      <c r="T350" s="5">
        <v>1.3</v>
      </c>
      <c r="U350" s="5">
        <v>126.55</v>
      </c>
      <c r="V350" s="5" t="s">
        <v>34</v>
      </c>
      <c r="W350" s="5">
        <v>2</v>
      </c>
      <c r="X350" s="5">
        <v>7673975854802</v>
      </c>
      <c r="Y350" s="7">
        <v>46003</v>
      </c>
      <c r="Z350" s="7">
        <v>45995</v>
      </c>
      <c r="AB350" s="6">
        <v>46003</v>
      </c>
      <c r="AC350" s="7">
        <v>45999.461805555555</v>
      </c>
      <c r="AD350" s="5">
        <v>30811008209</v>
      </c>
      <c r="AE350" s="8">
        <v>45995</v>
      </c>
      <c r="AF350" s="5" t="s">
        <v>211</v>
      </c>
      <c r="AG350" s="5" t="s">
        <v>37</v>
      </c>
      <c r="AH350" s="5">
        <v>206707</v>
      </c>
      <c r="AI350" s="6">
        <v>45995</v>
      </c>
      <c r="AJ350" s="6">
        <v>46003</v>
      </c>
      <c r="AK350" s="1">
        <f t="shared" ref="AK350:AK351" si="157">0.02*C350</f>
        <v>2.6092000000000004</v>
      </c>
    </row>
    <row r="351" spans="1:37" x14ac:dyDescent="0.55000000000000004">
      <c r="A351">
        <v>3081</v>
      </c>
      <c r="B351">
        <v>1008267</v>
      </c>
      <c r="C351">
        <v>45.54</v>
      </c>
      <c r="D351" s="4">
        <v>0.91</v>
      </c>
      <c r="E351">
        <v>44.63</v>
      </c>
      <c r="F351">
        <v>0.46</v>
      </c>
      <c r="G351">
        <v>44.17</v>
      </c>
      <c r="H351" s="14">
        <f t="shared" si="155"/>
        <v>44.17</v>
      </c>
      <c r="I351" s="14" t="b">
        <f t="shared" si="156"/>
        <v>1</v>
      </c>
      <c r="J351" s="2">
        <v>46003</v>
      </c>
      <c r="K351" s="5">
        <v>1008267</v>
      </c>
      <c r="L351" s="5">
        <v>3081</v>
      </c>
      <c r="M351" s="5">
        <v>0.91</v>
      </c>
      <c r="N351" s="5">
        <v>45.54</v>
      </c>
      <c r="O351" s="7">
        <v>45995</v>
      </c>
      <c r="P351" s="5">
        <v>44.63</v>
      </c>
      <c r="Q351" s="5">
        <v>0.91</v>
      </c>
      <c r="R351" s="5" t="s">
        <v>32</v>
      </c>
      <c r="S351" s="5" t="s">
        <v>33</v>
      </c>
      <c r="T351" s="5">
        <v>0.46</v>
      </c>
      <c r="U351" s="5">
        <v>44.17</v>
      </c>
      <c r="V351" s="5" t="s">
        <v>34</v>
      </c>
      <c r="W351" s="5">
        <v>2</v>
      </c>
      <c r="X351" s="5">
        <v>7673975854802</v>
      </c>
      <c r="Y351" s="7">
        <v>46003</v>
      </c>
      <c r="Z351" s="7">
        <v>45995</v>
      </c>
      <c r="AB351" s="6">
        <v>46003</v>
      </c>
      <c r="AC351" s="7">
        <v>45999.461805555555</v>
      </c>
      <c r="AD351" s="5">
        <v>30811008267</v>
      </c>
      <c r="AE351" s="8">
        <v>45995</v>
      </c>
      <c r="AF351" s="5" t="s">
        <v>210</v>
      </c>
      <c r="AG351" s="5" t="s">
        <v>37</v>
      </c>
      <c r="AH351" s="5">
        <v>206554</v>
      </c>
      <c r="AI351" s="6">
        <v>45995</v>
      </c>
      <c r="AJ351" s="6">
        <v>46003</v>
      </c>
      <c r="AK351" s="1">
        <f t="shared" si="157"/>
        <v>0.91080000000000005</v>
      </c>
    </row>
    <row r="352" spans="1:37" hidden="1" x14ac:dyDescent="0.55000000000000004">
      <c r="A352">
        <v>3081</v>
      </c>
      <c r="B352">
        <v>1008270</v>
      </c>
      <c r="C352" s="1">
        <v>3843.11</v>
      </c>
      <c r="E352" s="1">
        <v>3843.11</v>
      </c>
      <c r="F352">
        <v>38.43</v>
      </c>
      <c r="G352" s="1">
        <v>3804.68</v>
      </c>
      <c r="H352" s="1"/>
      <c r="I352" s="1"/>
      <c r="J352" s="2">
        <v>46003</v>
      </c>
      <c r="K352" s="5">
        <v>1008270</v>
      </c>
      <c r="L352" s="5">
        <v>3081</v>
      </c>
      <c r="M352" s="5">
        <v>0</v>
      </c>
      <c r="N352" s="5">
        <v>3843.11</v>
      </c>
      <c r="O352" s="7">
        <v>45995</v>
      </c>
      <c r="P352" s="5">
        <v>3843.11</v>
      </c>
      <c r="Q352" s="5">
        <v>0</v>
      </c>
      <c r="R352" s="5" t="s">
        <v>32</v>
      </c>
      <c r="S352" s="5" t="s">
        <v>33</v>
      </c>
      <c r="T352" s="5">
        <v>38.43</v>
      </c>
      <c r="U352" s="5">
        <v>3804.68</v>
      </c>
      <c r="V352" s="5" t="s">
        <v>34</v>
      </c>
      <c r="W352" s="5">
        <v>2</v>
      </c>
      <c r="X352" s="5">
        <v>7673975854802</v>
      </c>
      <c r="Y352" s="7">
        <v>46003</v>
      </c>
      <c r="Z352" s="7">
        <v>45995</v>
      </c>
      <c r="AB352" s="6">
        <v>46003</v>
      </c>
      <c r="AC352" s="7">
        <v>45999.461805555555</v>
      </c>
      <c r="AD352" s="5">
        <v>30811008270</v>
      </c>
      <c r="AE352" s="8">
        <v>45995</v>
      </c>
      <c r="AF352" s="5" t="s">
        <v>210</v>
      </c>
      <c r="AG352" s="5" t="s">
        <v>38</v>
      </c>
      <c r="AH352" s="5">
        <v>206555</v>
      </c>
      <c r="AI352" s="6">
        <v>45995</v>
      </c>
      <c r="AJ352" s="6">
        <v>46003</v>
      </c>
    </row>
    <row r="353" spans="1:37" x14ac:dyDescent="0.55000000000000004">
      <c r="A353">
        <v>3081</v>
      </c>
      <c r="B353">
        <v>1008300</v>
      </c>
      <c r="C353">
        <v>124.89</v>
      </c>
      <c r="D353" s="4">
        <v>2.5</v>
      </c>
      <c r="E353">
        <v>122.39</v>
      </c>
      <c r="F353">
        <v>1.25</v>
      </c>
      <c r="G353">
        <v>121.14</v>
      </c>
      <c r="H353" s="14">
        <f>C353-D353-F353</f>
        <v>121.14</v>
      </c>
      <c r="I353" s="14" t="b">
        <f>G353=H353</f>
        <v>1</v>
      </c>
      <c r="J353" s="2">
        <v>46003</v>
      </c>
      <c r="K353" s="5">
        <v>1008300</v>
      </c>
      <c r="L353" s="5">
        <v>3081</v>
      </c>
      <c r="M353" s="5">
        <v>2.5</v>
      </c>
      <c r="N353" s="5">
        <v>124.89</v>
      </c>
      <c r="O353" s="7">
        <v>45996</v>
      </c>
      <c r="P353" s="5">
        <v>122.39</v>
      </c>
      <c r="Q353" s="5">
        <v>2.5</v>
      </c>
      <c r="R353" s="5">
        <v>100638</v>
      </c>
      <c r="S353" s="5" t="s">
        <v>135</v>
      </c>
      <c r="T353" s="5">
        <v>1.25</v>
      </c>
      <c r="U353" s="5">
        <v>121.14</v>
      </c>
      <c r="V353" s="5" t="s">
        <v>34</v>
      </c>
      <c r="W353" s="5">
        <v>2</v>
      </c>
      <c r="X353" s="5">
        <v>7673975854802</v>
      </c>
      <c r="Y353" s="7">
        <v>46003</v>
      </c>
      <c r="Z353" s="7">
        <v>45996</v>
      </c>
      <c r="AB353" s="6">
        <v>46003</v>
      </c>
      <c r="AC353" s="7">
        <v>45999.461805555555</v>
      </c>
      <c r="AD353" s="5">
        <v>30811008300</v>
      </c>
      <c r="AE353" s="8">
        <v>45996</v>
      </c>
      <c r="AF353" s="5" t="s">
        <v>212</v>
      </c>
      <c r="AG353" s="5" t="s">
        <v>37</v>
      </c>
      <c r="AH353" s="5">
        <v>100638</v>
      </c>
      <c r="AI353" s="6">
        <v>45996</v>
      </c>
      <c r="AJ353" s="6">
        <v>46003</v>
      </c>
      <c r="AK353" s="1">
        <f t="shared" ref="AK353" si="158">0.02*C353</f>
        <v>2.4978000000000002</v>
      </c>
    </row>
    <row r="354" spans="1:37" hidden="1" x14ac:dyDescent="0.55000000000000004">
      <c r="A354">
        <v>3081</v>
      </c>
      <c r="B354">
        <v>1008347</v>
      </c>
      <c r="C354" s="1">
        <v>1843.8</v>
      </c>
      <c r="E354" s="1">
        <v>1843.8</v>
      </c>
      <c r="F354">
        <v>18.440000000000001</v>
      </c>
      <c r="G354" s="1">
        <v>1825.36</v>
      </c>
      <c r="H354" s="1"/>
      <c r="I354" s="1"/>
      <c r="J354" s="2">
        <v>46003</v>
      </c>
      <c r="K354" s="5">
        <v>1008347</v>
      </c>
      <c r="L354" s="5">
        <v>3081</v>
      </c>
      <c r="M354" s="5">
        <v>0</v>
      </c>
      <c r="N354" s="5">
        <v>1843.8</v>
      </c>
      <c r="O354" s="7">
        <v>45996</v>
      </c>
      <c r="P354" s="5">
        <v>1843.8</v>
      </c>
      <c r="Q354" s="5">
        <v>0</v>
      </c>
      <c r="R354" s="5" t="s">
        <v>213</v>
      </c>
      <c r="S354" s="5" t="s">
        <v>43</v>
      </c>
      <c r="T354" s="5">
        <v>18.440000000000001</v>
      </c>
      <c r="U354" s="5">
        <v>1825.36</v>
      </c>
      <c r="V354" s="5" t="s">
        <v>34</v>
      </c>
      <c r="W354" s="5">
        <v>2</v>
      </c>
      <c r="X354" s="5">
        <v>7673975854802</v>
      </c>
      <c r="Y354" s="7">
        <v>46003</v>
      </c>
      <c r="Z354" s="7">
        <v>45996</v>
      </c>
      <c r="AB354" s="6">
        <v>46003</v>
      </c>
      <c r="AC354" s="7">
        <v>45999.461805555555</v>
      </c>
      <c r="AD354" s="5">
        <v>30811008347</v>
      </c>
      <c r="AE354" s="8">
        <v>45996</v>
      </c>
      <c r="AF354" s="5">
        <v>12022025</v>
      </c>
      <c r="AG354" s="5" t="s">
        <v>38</v>
      </c>
      <c r="AH354" s="5" t="s">
        <v>213</v>
      </c>
      <c r="AI354" s="6">
        <v>45996</v>
      </c>
      <c r="AJ354" s="6">
        <v>46003</v>
      </c>
    </row>
    <row r="355" spans="1:37" hidden="1" x14ac:dyDescent="0.55000000000000004">
      <c r="A355">
        <v>3081</v>
      </c>
      <c r="B355">
        <v>1008348</v>
      </c>
      <c r="C355" s="1">
        <v>1211.08</v>
      </c>
      <c r="E355" s="1">
        <v>1211.08</v>
      </c>
      <c r="F355">
        <v>12.11</v>
      </c>
      <c r="G355" s="1">
        <v>1198.97</v>
      </c>
      <c r="H355" s="1"/>
      <c r="I355" s="1"/>
      <c r="J355" s="2">
        <v>46003</v>
      </c>
      <c r="K355" s="5">
        <v>1008348</v>
      </c>
      <c r="L355" s="5">
        <v>3081</v>
      </c>
      <c r="M355" s="5">
        <v>0</v>
      </c>
      <c r="N355" s="5">
        <v>1211.08</v>
      </c>
      <c r="O355" s="7">
        <v>45996</v>
      </c>
      <c r="P355" s="5">
        <v>1211.08</v>
      </c>
      <c r="Q355" s="5">
        <v>0</v>
      </c>
      <c r="R355" s="5" t="s">
        <v>214</v>
      </c>
      <c r="S355" s="5" t="s">
        <v>43</v>
      </c>
      <c r="T355" s="5">
        <v>12.11</v>
      </c>
      <c r="U355" s="5">
        <v>1198.97</v>
      </c>
      <c r="V355" s="5" t="s">
        <v>34</v>
      </c>
      <c r="W355" s="5">
        <v>2</v>
      </c>
      <c r="X355" s="5">
        <v>7673975854802</v>
      </c>
      <c r="Y355" s="7">
        <v>46003</v>
      </c>
      <c r="Z355" s="7">
        <v>45996</v>
      </c>
      <c r="AB355" s="6">
        <v>46003</v>
      </c>
      <c r="AC355" s="7">
        <v>45999.461805555555</v>
      </c>
      <c r="AD355" s="5">
        <v>30811008348</v>
      </c>
      <c r="AE355" s="8">
        <v>45996</v>
      </c>
      <c r="AF355" s="5" t="s">
        <v>215</v>
      </c>
      <c r="AG355" s="5" t="s">
        <v>38</v>
      </c>
      <c r="AH355" s="5" t="s">
        <v>214</v>
      </c>
      <c r="AI355" s="6">
        <v>45996</v>
      </c>
      <c r="AJ355" s="6">
        <v>46003</v>
      </c>
    </row>
    <row r="356" spans="1:37" x14ac:dyDescent="0.55000000000000004">
      <c r="A356">
        <v>3081</v>
      </c>
      <c r="B356">
        <v>1008441</v>
      </c>
      <c r="C356">
        <v>166.74</v>
      </c>
      <c r="D356" s="4">
        <v>3.33</v>
      </c>
      <c r="E356">
        <v>163.41</v>
      </c>
      <c r="F356">
        <v>1.67</v>
      </c>
      <c r="G356">
        <v>161.74</v>
      </c>
      <c r="H356" s="14">
        <f t="shared" ref="H356:H358" si="159">C356-D356-F356</f>
        <v>161.74</v>
      </c>
      <c r="I356" s="14" t="b">
        <f t="shared" ref="I356:I358" si="160">G356=H356</f>
        <v>1</v>
      </c>
      <c r="J356" s="2">
        <v>46003</v>
      </c>
      <c r="K356" s="5">
        <v>1008441</v>
      </c>
      <c r="L356" s="5">
        <v>3081</v>
      </c>
      <c r="M356" s="5">
        <v>3.33</v>
      </c>
      <c r="N356" s="5">
        <v>166.74</v>
      </c>
      <c r="O356" s="7">
        <v>45996</v>
      </c>
      <c r="P356" s="5">
        <v>163.41</v>
      </c>
      <c r="Q356" s="5">
        <v>3.33</v>
      </c>
      <c r="R356" s="5" t="s">
        <v>32</v>
      </c>
      <c r="S356" s="5" t="s">
        <v>33</v>
      </c>
      <c r="T356" s="5">
        <v>1.67</v>
      </c>
      <c r="U356" s="5">
        <v>161.74</v>
      </c>
      <c r="V356" s="5" t="s">
        <v>34</v>
      </c>
      <c r="W356" s="5">
        <v>2</v>
      </c>
      <c r="X356" s="5">
        <v>7673975854802</v>
      </c>
      <c r="Y356" s="7">
        <v>46003</v>
      </c>
      <c r="Z356" s="7">
        <v>45996</v>
      </c>
      <c r="AB356" s="6">
        <v>46003</v>
      </c>
      <c r="AC356" s="7">
        <v>45999.461805555555</v>
      </c>
      <c r="AD356" s="5">
        <v>30811008441</v>
      </c>
      <c r="AE356" s="8">
        <v>45996</v>
      </c>
      <c r="AF356" s="5" t="s">
        <v>197</v>
      </c>
      <c r="AG356" s="5" t="s">
        <v>37</v>
      </c>
      <c r="AH356" s="5">
        <v>206611</v>
      </c>
      <c r="AI356" s="6">
        <v>45996</v>
      </c>
      <c r="AJ356" s="6">
        <v>46003</v>
      </c>
      <c r="AK356" s="1">
        <f t="shared" ref="AK356:AK358" si="161">0.02*C356</f>
        <v>3.3348000000000004</v>
      </c>
    </row>
    <row r="357" spans="1:37" x14ac:dyDescent="0.55000000000000004">
      <c r="A357">
        <v>3081</v>
      </c>
      <c r="B357">
        <v>1008445</v>
      </c>
      <c r="C357">
        <v>179.1</v>
      </c>
      <c r="D357" s="4">
        <v>3.58</v>
      </c>
      <c r="E357">
        <v>175.52</v>
      </c>
      <c r="F357">
        <v>1.79</v>
      </c>
      <c r="G357">
        <v>173.73</v>
      </c>
      <c r="H357" s="14">
        <f t="shared" si="159"/>
        <v>173.73</v>
      </c>
      <c r="I357" s="14" t="b">
        <f t="shared" si="160"/>
        <v>1</v>
      </c>
      <c r="J357" s="2">
        <v>46003</v>
      </c>
      <c r="K357" s="5">
        <v>1008445</v>
      </c>
      <c r="L357" s="5">
        <v>3081</v>
      </c>
      <c r="M357" s="5">
        <v>3.58</v>
      </c>
      <c r="N357" s="5">
        <v>179.1</v>
      </c>
      <c r="O357" s="7">
        <v>45996</v>
      </c>
      <c r="P357" s="5">
        <v>175.52</v>
      </c>
      <c r="Q357" s="5">
        <v>3.58</v>
      </c>
      <c r="R357" s="5" t="s">
        <v>32</v>
      </c>
      <c r="S357" s="5" t="s">
        <v>33</v>
      </c>
      <c r="T357" s="5">
        <v>1.79</v>
      </c>
      <c r="U357" s="5">
        <v>173.73</v>
      </c>
      <c r="V357" s="5" t="s">
        <v>34</v>
      </c>
      <c r="W357" s="5">
        <v>2</v>
      </c>
      <c r="X357" s="5">
        <v>7673975854802</v>
      </c>
      <c r="Y357" s="7">
        <v>46003</v>
      </c>
      <c r="Z357" s="7">
        <v>45996</v>
      </c>
      <c r="AB357" s="6">
        <v>46003</v>
      </c>
      <c r="AC357" s="7">
        <v>45999.461805555555</v>
      </c>
      <c r="AD357" s="5">
        <v>30811008445</v>
      </c>
      <c r="AE357" s="8">
        <v>45996</v>
      </c>
      <c r="AF357" s="5" t="s">
        <v>194</v>
      </c>
      <c r="AG357" s="5" t="s">
        <v>37</v>
      </c>
      <c r="AH357" s="5">
        <v>206612</v>
      </c>
      <c r="AI357" s="6">
        <v>45996</v>
      </c>
      <c r="AJ357" s="6">
        <v>46003</v>
      </c>
      <c r="AK357" s="1">
        <f t="shared" si="161"/>
        <v>3.5819999999999999</v>
      </c>
    </row>
    <row r="358" spans="1:37" x14ac:dyDescent="0.55000000000000004">
      <c r="A358">
        <v>3081</v>
      </c>
      <c r="B358">
        <v>1008448</v>
      </c>
      <c r="C358">
        <v>199</v>
      </c>
      <c r="D358" s="4">
        <v>3.98</v>
      </c>
      <c r="E358">
        <v>195.02</v>
      </c>
      <c r="F358">
        <v>1.99</v>
      </c>
      <c r="G358">
        <v>193.03</v>
      </c>
      <c r="H358" s="14">
        <f t="shared" si="159"/>
        <v>193.03</v>
      </c>
      <c r="I358" s="14" t="b">
        <f t="shared" si="160"/>
        <v>1</v>
      </c>
      <c r="J358" s="2">
        <v>46003</v>
      </c>
      <c r="K358" s="5">
        <v>1008448</v>
      </c>
      <c r="L358" s="5">
        <v>3081</v>
      </c>
      <c r="M358" s="5">
        <v>3.98</v>
      </c>
      <c r="N358" s="5">
        <v>199</v>
      </c>
      <c r="O358" s="7">
        <v>45996</v>
      </c>
      <c r="P358" s="5">
        <v>195.02</v>
      </c>
      <c r="Q358" s="5">
        <v>3.98</v>
      </c>
      <c r="R358" s="5" t="s">
        <v>32</v>
      </c>
      <c r="S358" s="5" t="s">
        <v>33</v>
      </c>
      <c r="T358" s="5">
        <v>1.99</v>
      </c>
      <c r="U358" s="5">
        <v>193.03</v>
      </c>
      <c r="V358" s="5" t="s">
        <v>34</v>
      </c>
      <c r="W358" s="5">
        <v>2</v>
      </c>
      <c r="X358" s="5">
        <v>7673975854802</v>
      </c>
      <c r="Y358" s="7">
        <v>46003</v>
      </c>
      <c r="Z358" s="7">
        <v>45996</v>
      </c>
      <c r="AB358" s="6">
        <v>46003</v>
      </c>
      <c r="AC358" s="7">
        <v>45999.461805555555</v>
      </c>
      <c r="AD358" s="5">
        <v>30811008448</v>
      </c>
      <c r="AE358" s="8">
        <v>45996</v>
      </c>
      <c r="AF358" s="5" t="s">
        <v>216</v>
      </c>
      <c r="AG358" s="5" t="s">
        <v>37</v>
      </c>
      <c r="AH358" s="5">
        <v>206610</v>
      </c>
      <c r="AI358" s="6">
        <v>45996</v>
      </c>
      <c r="AJ358" s="6">
        <v>46003</v>
      </c>
      <c r="AK358" s="1">
        <f t="shared" si="161"/>
        <v>3.98</v>
      </c>
    </row>
    <row r="359" spans="1:37" hidden="1" x14ac:dyDescent="0.55000000000000004">
      <c r="A359">
        <v>3081</v>
      </c>
      <c r="B359">
        <v>1008508</v>
      </c>
      <c r="C359" s="1">
        <v>1849.99</v>
      </c>
      <c r="E359" s="1">
        <v>1849.99</v>
      </c>
      <c r="F359">
        <v>18.5</v>
      </c>
      <c r="G359" s="1">
        <v>1831.49</v>
      </c>
      <c r="H359" s="1"/>
      <c r="I359" s="1"/>
      <c r="J359" s="2">
        <v>46003</v>
      </c>
      <c r="K359" s="5">
        <v>1008508</v>
      </c>
      <c r="L359" s="5">
        <v>3081</v>
      </c>
      <c r="M359" s="5">
        <v>0</v>
      </c>
      <c r="N359" s="5">
        <v>1849.99</v>
      </c>
      <c r="O359" s="7">
        <v>45996</v>
      </c>
      <c r="P359" s="5">
        <v>1849.99</v>
      </c>
      <c r="Q359" s="5">
        <v>0</v>
      </c>
      <c r="R359" s="5" t="s">
        <v>32</v>
      </c>
      <c r="S359" s="5" t="s">
        <v>33</v>
      </c>
      <c r="T359" s="5">
        <v>18.5</v>
      </c>
      <c r="U359" s="5">
        <v>1831.49</v>
      </c>
      <c r="V359" s="5" t="s">
        <v>34</v>
      </c>
      <c r="W359" s="5">
        <v>2</v>
      </c>
      <c r="X359" s="5">
        <v>7673975854802</v>
      </c>
      <c r="Y359" s="7">
        <v>46003</v>
      </c>
      <c r="Z359" s="7">
        <v>45996</v>
      </c>
      <c r="AB359" s="6">
        <v>46003</v>
      </c>
      <c r="AC359" s="7">
        <v>45999.461805555555</v>
      </c>
      <c r="AD359" s="5">
        <v>30811008508</v>
      </c>
      <c r="AE359" s="8">
        <v>45996</v>
      </c>
      <c r="AF359" s="5" t="s">
        <v>217</v>
      </c>
      <c r="AG359" s="5" t="s">
        <v>38</v>
      </c>
      <c r="AH359" s="5">
        <v>206853</v>
      </c>
      <c r="AI359" s="6">
        <v>45996</v>
      </c>
      <c r="AJ359" s="6">
        <v>46003</v>
      </c>
    </row>
    <row r="360" spans="1:37" hidden="1" x14ac:dyDescent="0.55000000000000004">
      <c r="A360">
        <v>3081</v>
      </c>
      <c r="B360">
        <v>1008510</v>
      </c>
      <c r="C360" s="1">
        <v>1849.99</v>
      </c>
      <c r="E360" s="1">
        <v>1849.99</v>
      </c>
      <c r="F360">
        <v>18.5</v>
      </c>
      <c r="G360" s="1">
        <v>1831.49</v>
      </c>
      <c r="H360" s="1"/>
      <c r="I360" s="1"/>
      <c r="J360" s="2">
        <v>46003</v>
      </c>
      <c r="K360" s="5">
        <v>1008510</v>
      </c>
      <c r="L360" s="5">
        <v>3081</v>
      </c>
      <c r="M360" s="5">
        <v>0</v>
      </c>
      <c r="N360" s="5">
        <v>1849.99</v>
      </c>
      <c r="O360" s="7">
        <v>45996</v>
      </c>
      <c r="P360" s="5">
        <v>1849.99</v>
      </c>
      <c r="Q360" s="5">
        <v>0</v>
      </c>
      <c r="R360" s="5" t="s">
        <v>32</v>
      </c>
      <c r="S360" s="5" t="s">
        <v>33</v>
      </c>
      <c r="T360" s="5">
        <v>18.5</v>
      </c>
      <c r="U360" s="5">
        <v>1831.49</v>
      </c>
      <c r="V360" s="5" t="s">
        <v>34</v>
      </c>
      <c r="W360" s="5">
        <v>2</v>
      </c>
      <c r="X360" s="5">
        <v>7673975854802</v>
      </c>
      <c r="Y360" s="7">
        <v>46003</v>
      </c>
      <c r="Z360" s="7">
        <v>45996</v>
      </c>
      <c r="AB360" s="6">
        <v>46003</v>
      </c>
      <c r="AC360" s="7">
        <v>45999.461805555555</v>
      </c>
      <c r="AD360" s="5">
        <v>30811008510</v>
      </c>
      <c r="AE360" s="8">
        <v>45996</v>
      </c>
      <c r="AF360" s="5" t="s">
        <v>218</v>
      </c>
      <c r="AG360" s="5" t="s">
        <v>38</v>
      </c>
      <c r="AH360" s="5">
        <v>206851</v>
      </c>
      <c r="AI360" s="6">
        <v>45996</v>
      </c>
      <c r="AJ360" s="6">
        <v>46003</v>
      </c>
    </row>
    <row r="361" spans="1:37" hidden="1" x14ac:dyDescent="0.55000000000000004">
      <c r="A361">
        <v>3081</v>
      </c>
      <c r="B361">
        <v>1008512</v>
      </c>
      <c r="C361">
        <v>40.83</v>
      </c>
      <c r="E361">
        <v>40.83</v>
      </c>
      <c r="F361">
        <v>0.41</v>
      </c>
      <c r="G361">
        <v>40.42</v>
      </c>
      <c r="H361"/>
      <c r="I361"/>
      <c r="J361" s="2">
        <v>46003</v>
      </c>
      <c r="K361" s="5">
        <v>1008512</v>
      </c>
      <c r="L361" s="5">
        <v>3081</v>
      </c>
      <c r="M361" s="5">
        <v>0</v>
      </c>
      <c r="N361" s="5">
        <v>40.83</v>
      </c>
      <c r="O361" s="7">
        <v>45996</v>
      </c>
      <c r="P361" s="5">
        <v>40.83</v>
      </c>
      <c r="Q361" s="5">
        <v>0</v>
      </c>
      <c r="R361" s="5" t="s">
        <v>32</v>
      </c>
      <c r="S361" s="5" t="s">
        <v>33</v>
      </c>
      <c r="T361" s="5">
        <v>0.41</v>
      </c>
      <c r="U361" s="5">
        <v>40.42</v>
      </c>
      <c r="V361" s="5" t="s">
        <v>34</v>
      </c>
      <c r="W361" s="5">
        <v>2</v>
      </c>
      <c r="X361" s="5">
        <v>7673975854802</v>
      </c>
      <c r="Y361" s="7">
        <v>46003</v>
      </c>
      <c r="Z361" s="7">
        <v>45996</v>
      </c>
      <c r="AB361" s="6">
        <v>46003</v>
      </c>
      <c r="AC361" s="7">
        <v>45999.461805555555</v>
      </c>
      <c r="AD361" s="5">
        <v>30811008512</v>
      </c>
      <c r="AE361" s="8">
        <v>45996</v>
      </c>
      <c r="AF361" s="5" t="s">
        <v>219</v>
      </c>
      <c r="AG361" s="5" t="s">
        <v>38</v>
      </c>
      <c r="AH361" s="5">
        <v>206854</v>
      </c>
      <c r="AI361" s="6">
        <v>45996</v>
      </c>
      <c r="AJ361" s="6">
        <v>46003</v>
      </c>
    </row>
    <row r="362" spans="1:37" hidden="1" x14ac:dyDescent="0.55000000000000004">
      <c r="A362">
        <v>3081</v>
      </c>
      <c r="B362">
        <v>1008513</v>
      </c>
      <c r="C362">
        <v>331.64</v>
      </c>
      <c r="E362">
        <v>331.64</v>
      </c>
      <c r="F362">
        <v>3.32</v>
      </c>
      <c r="G362">
        <v>328.32</v>
      </c>
      <c r="H362"/>
      <c r="I362"/>
      <c r="J362" s="2">
        <v>46003</v>
      </c>
      <c r="K362" s="5">
        <v>1008513</v>
      </c>
      <c r="L362" s="5">
        <v>3081</v>
      </c>
      <c r="M362" s="5">
        <v>0</v>
      </c>
      <c r="N362" s="5">
        <v>331.64</v>
      </c>
      <c r="O362" s="7">
        <v>45996</v>
      </c>
      <c r="P362" s="5">
        <v>331.64</v>
      </c>
      <c r="Q362" s="5">
        <v>0</v>
      </c>
      <c r="R362" s="5" t="s">
        <v>32</v>
      </c>
      <c r="S362" s="5" t="s">
        <v>33</v>
      </c>
      <c r="T362" s="5">
        <v>3.32</v>
      </c>
      <c r="U362" s="5">
        <v>328.32</v>
      </c>
      <c r="V362" s="5" t="s">
        <v>34</v>
      </c>
      <c r="W362" s="5">
        <v>2</v>
      </c>
      <c r="X362" s="5">
        <v>7673975854802</v>
      </c>
      <c r="Y362" s="7">
        <v>46003</v>
      </c>
      <c r="Z362" s="7">
        <v>45996</v>
      </c>
      <c r="AB362" s="6">
        <v>46003</v>
      </c>
      <c r="AC362" s="7">
        <v>45999.461805555555</v>
      </c>
      <c r="AD362" s="5">
        <v>30811008513</v>
      </c>
      <c r="AE362" s="8">
        <v>45996</v>
      </c>
      <c r="AF362" s="5" t="s">
        <v>220</v>
      </c>
      <c r="AG362" s="5" t="s">
        <v>38</v>
      </c>
      <c r="AH362" s="5">
        <v>206850</v>
      </c>
      <c r="AI362" s="6">
        <v>45996</v>
      </c>
      <c r="AJ362" s="6">
        <v>46003</v>
      </c>
    </row>
    <row r="363" spans="1:37" hidden="1" x14ac:dyDescent="0.55000000000000004">
      <c r="A363">
        <v>3081</v>
      </c>
      <c r="B363">
        <v>1008515</v>
      </c>
      <c r="C363" s="1">
        <v>1849.99</v>
      </c>
      <c r="E363" s="1">
        <v>1849.99</v>
      </c>
      <c r="F363">
        <v>18.5</v>
      </c>
      <c r="G363" s="1">
        <v>1831.49</v>
      </c>
      <c r="H363" s="1"/>
      <c r="I363" s="1"/>
      <c r="J363" s="2">
        <v>46003</v>
      </c>
      <c r="K363" s="5">
        <v>1008515</v>
      </c>
      <c r="L363" s="5">
        <v>3081</v>
      </c>
      <c r="M363" s="5">
        <v>0</v>
      </c>
      <c r="N363" s="5">
        <v>1849.99</v>
      </c>
      <c r="O363" s="7">
        <v>45996</v>
      </c>
      <c r="P363" s="5">
        <v>1849.99</v>
      </c>
      <c r="Q363" s="5">
        <v>0</v>
      </c>
      <c r="R363" s="5" t="s">
        <v>32</v>
      </c>
      <c r="S363" s="5" t="s">
        <v>33</v>
      </c>
      <c r="T363" s="5">
        <v>18.5</v>
      </c>
      <c r="U363" s="5">
        <v>1831.49</v>
      </c>
      <c r="V363" s="5" t="s">
        <v>34</v>
      </c>
      <c r="W363" s="5">
        <v>2</v>
      </c>
      <c r="X363" s="5">
        <v>7673975854802</v>
      </c>
      <c r="Y363" s="7">
        <v>46003</v>
      </c>
      <c r="Z363" s="7">
        <v>45996</v>
      </c>
      <c r="AB363" s="6">
        <v>46003</v>
      </c>
      <c r="AC363" s="7">
        <v>45999.461805555555</v>
      </c>
      <c r="AD363" s="5">
        <v>30811008515</v>
      </c>
      <c r="AE363" s="8">
        <v>45996</v>
      </c>
      <c r="AF363" s="5" t="s">
        <v>221</v>
      </c>
      <c r="AG363" s="5" t="s">
        <v>38</v>
      </c>
      <c r="AH363" s="5">
        <v>206852</v>
      </c>
      <c r="AI363" s="6">
        <v>45996</v>
      </c>
      <c r="AJ363" s="6">
        <v>46003</v>
      </c>
    </row>
    <row r="364" spans="1:37" x14ac:dyDescent="0.55000000000000004">
      <c r="A364">
        <v>3081</v>
      </c>
      <c r="B364">
        <v>1008517</v>
      </c>
      <c r="C364">
        <v>706.58</v>
      </c>
      <c r="D364" s="4">
        <v>14.13</v>
      </c>
      <c r="E364">
        <v>692.45</v>
      </c>
      <c r="F364">
        <v>7.07</v>
      </c>
      <c r="G364">
        <v>685.38</v>
      </c>
      <c r="H364" s="14">
        <f t="shared" ref="H364:H368" si="162">C364-D364-F364</f>
        <v>685.38</v>
      </c>
      <c r="I364" s="14" t="b">
        <f t="shared" ref="I364:I368" si="163">G364=H364</f>
        <v>1</v>
      </c>
      <c r="J364" s="2">
        <v>46003</v>
      </c>
      <c r="K364" s="5">
        <v>1008517</v>
      </c>
      <c r="L364" s="5">
        <v>3081</v>
      </c>
      <c r="M364" s="5">
        <v>14.13</v>
      </c>
      <c r="N364" s="5">
        <v>706.58</v>
      </c>
      <c r="O364" s="7">
        <v>45996</v>
      </c>
      <c r="P364" s="5">
        <v>692.45</v>
      </c>
      <c r="Q364" s="5">
        <v>14.13</v>
      </c>
      <c r="R364" s="5" t="s">
        <v>32</v>
      </c>
      <c r="S364" s="5" t="s">
        <v>33</v>
      </c>
      <c r="T364" s="5">
        <v>7.07</v>
      </c>
      <c r="U364" s="5">
        <v>685.38</v>
      </c>
      <c r="V364" s="5" t="s">
        <v>34</v>
      </c>
      <c r="W364" s="5">
        <v>2</v>
      </c>
      <c r="X364" s="5">
        <v>7673975854802</v>
      </c>
      <c r="Y364" s="7">
        <v>46003</v>
      </c>
      <c r="Z364" s="7">
        <v>45996</v>
      </c>
      <c r="AB364" s="6">
        <v>46003</v>
      </c>
      <c r="AC364" s="7">
        <v>45999.461805555555</v>
      </c>
      <c r="AD364" s="5">
        <v>30811008517</v>
      </c>
      <c r="AE364" s="8">
        <v>45996</v>
      </c>
      <c r="AF364" s="5" t="s">
        <v>219</v>
      </c>
      <c r="AG364" s="5" t="s">
        <v>37</v>
      </c>
      <c r="AH364" s="5">
        <v>206849</v>
      </c>
      <c r="AI364" s="6">
        <v>45996</v>
      </c>
      <c r="AJ364" s="6">
        <v>46003</v>
      </c>
      <c r="AK364" s="1">
        <f t="shared" ref="AK364:AK368" si="164">0.02*C364</f>
        <v>14.131600000000001</v>
      </c>
    </row>
    <row r="365" spans="1:37" x14ac:dyDescent="0.55000000000000004">
      <c r="A365">
        <v>3081</v>
      </c>
      <c r="B365">
        <v>1008521</v>
      </c>
      <c r="C365">
        <v>7.43</v>
      </c>
      <c r="D365" s="4">
        <v>0.15</v>
      </c>
      <c r="E365">
        <v>7.28</v>
      </c>
      <c r="F365">
        <v>7.0000000000000007E-2</v>
      </c>
      <c r="G365">
        <v>7.21</v>
      </c>
      <c r="H365" s="14">
        <f t="shared" si="162"/>
        <v>7.2099999999999991</v>
      </c>
      <c r="I365" s="14" t="b">
        <f t="shared" si="163"/>
        <v>1</v>
      </c>
      <c r="J365" s="2">
        <v>46003</v>
      </c>
      <c r="K365" s="5">
        <v>1008521</v>
      </c>
      <c r="L365" s="5">
        <v>3081</v>
      </c>
      <c r="M365" s="5">
        <v>0.15</v>
      </c>
      <c r="N365" s="5">
        <v>7.43</v>
      </c>
      <c r="O365" s="7">
        <v>45996</v>
      </c>
      <c r="P365" s="5">
        <v>7.28</v>
      </c>
      <c r="Q365" s="5">
        <v>0.15</v>
      </c>
      <c r="R365" s="5" t="s">
        <v>32</v>
      </c>
      <c r="S365" s="5" t="s">
        <v>33</v>
      </c>
      <c r="T365" s="5">
        <v>7.0000000000000007E-2</v>
      </c>
      <c r="U365" s="5">
        <v>7.21</v>
      </c>
      <c r="V365" s="5" t="s">
        <v>34</v>
      </c>
      <c r="W365" s="5">
        <v>2</v>
      </c>
      <c r="X365" s="5">
        <v>7673975854802</v>
      </c>
      <c r="Y365" s="7">
        <v>46003</v>
      </c>
      <c r="Z365" s="7">
        <v>45996</v>
      </c>
      <c r="AB365" s="6">
        <v>46003</v>
      </c>
      <c r="AC365" s="7">
        <v>45999.461805555555</v>
      </c>
      <c r="AD365" s="5">
        <v>30811008521</v>
      </c>
      <c r="AE365" s="8">
        <v>45996</v>
      </c>
      <c r="AF365" s="5" t="s">
        <v>219</v>
      </c>
      <c r="AG365" s="5" t="s">
        <v>37</v>
      </c>
      <c r="AH365" s="5">
        <v>206843</v>
      </c>
      <c r="AI365" s="6">
        <v>45996</v>
      </c>
      <c r="AJ365" s="6">
        <v>46003</v>
      </c>
      <c r="AK365" s="1">
        <f t="shared" si="164"/>
        <v>0.14860000000000001</v>
      </c>
    </row>
    <row r="366" spans="1:37" x14ac:dyDescent="0.55000000000000004">
      <c r="A366">
        <v>3081</v>
      </c>
      <c r="B366">
        <v>1008522</v>
      </c>
      <c r="C366">
        <v>538.1</v>
      </c>
      <c r="D366" s="4">
        <v>10.76</v>
      </c>
      <c r="E366">
        <v>527.34</v>
      </c>
      <c r="F366">
        <v>5.38</v>
      </c>
      <c r="G366">
        <v>521.96</v>
      </c>
      <c r="H366" s="14">
        <f t="shared" si="162"/>
        <v>521.96</v>
      </c>
      <c r="I366" s="14" t="b">
        <f t="shared" si="163"/>
        <v>1</v>
      </c>
      <c r="J366" s="2">
        <v>46003</v>
      </c>
      <c r="K366" s="5">
        <v>1008522</v>
      </c>
      <c r="L366" s="5">
        <v>3081</v>
      </c>
      <c r="M366" s="5">
        <v>10.76</v>
      </c>
      <c r="N366" s="5">
        <v>538.1</v>
      </c>
      <c r="O366" s="7">
        <v>45996</v>
      </c>
      <c r="P366" s="5">
        <v>527.34</v>
      </c>
      <c r="Q366" s="5">
        <v>10.76</v>
      </c>
      <c r="R366" s="5" t="s">
        <v>32</v>
      </c>
      <c r="S366" s="5" t="s">
        <v>33</v>
      </c>
      <c r="T366" s="5">
        <v>5.38</v>
      </c>
      <c r="U366" s="5">
        <v>521.96</v>
      </c>
      <c r="V366" s="5" t="s">
        <v>34</v>
      </c>
      <c r="W366" s="5">
        <v>2</v>
      </c>
      <c r="X366" s="5">
        <v>7673975854802</v>
      </c>
      <c r="Y366" s="7">
        <v>46003</v>
      </c>
      <c r="Z366" s="7">
        <v>45996</v>
      </c>
      <c r="AB366" s="6">
        <v>46003</v>
      </c>
      <c r="AC366" s="7">
        <v>45999.461805555555</v>
      </c>
      <c r="AD366" s="5">
        <v>30811008522</v>
      </c>
      <c r="AE366" s="8">
        <v>45996</v>
      </c>
      <c r="AF366" s="5" t="s">
        <v>220</v>
      </c>
      <c r="AG366" s="5" t="s">
        <v>37</v>
      </c>
      <c r="AH366" s="5">
        <v>206842</v>
      </c>
      <c r="AI366" s="6">
        <v>45996</v>
      </c>
      <c r="AJ366" s="6">
        <v>46003</v>
      </c>
      <c r="AK366" s="1">
        <f t="shared" si="164"/>
        <v>10.762</v>
      </c>
    </row>
    <row r="367" spans="1:37" x14ac:dyDescent="0.55000000000000004">
      <c r="A367">
        <v>3081</v>
      </c>
      <c r="B367">
        <v>1008523</v>
      </c>
      <c r="C367">
        <v>351.47</v>
      </c>
      <c r="D367" s="4">
        <v>7.03</v>
      </c>
      <c r="E367">
        <v>344.44</v>
      </c>
      <c r="F367">
        <v>3.51</v>
      </c>
      <c r="G367">
        <v>340.93</v>
      </c>
      <c r="H367" s="14">
        <f t="shared" si="162"/>
        <v>340.93000000000006</v>
      </c>
      <c r="I367" s="14" t="b">
        <f t="shared" si="163"/>
        <v>1</v>
      </c>
      <c r="J367" s="2">
        <v>46003</v>
      </c>
      <c r="K367" s="5">
        <v>1008523</v>
      </c>
      <c r="L367" s="5">
        <v>3081</v>
      </c>
      <c r="M367" s="5">
        <v>7.03</v>
      </c>
      <c r="N367" s="5">
        <v>351.47</v>
      </c>
      <c r="O367" s="7">
        <v>45996</v>
      </c>
      <c r="P367" s="5">
        <v>344.44</v>
      </c>
      <c r="Q367" s="5">
        <v>7.03</v>
      </c>
      <c r="R367" s="5" t="s">
        <v>32</v>
      </c>
      <c r="S367" s="5" t="s">
        <v>33</v>
      </c>
      <c r="T367" s="5">
        <v>3.51</v>
      </c>
      <c r="U367" s="5">
        <v>340.93</v>
      </c>
      <c r="V367" s="5" t="s">
        <v>34</v>
      </c>
      <c r="W367" s="5">
        <v>2</v>
      </c>
      <c r="X367" s="5">
        <v>7673975854802</v>
      </c>
      <c r="Y367" s="7">
        <v>46003</v>
      </c>
      <c r="Z367" s="7">
        <v>45996</v>
      </c>
      <c r="AB367" s="6">
        <v>46003</v>
      </c>
      <c r="AC367" s="7">
        <v>45999.461805555555</v>
      </c>
      <c r="AD367" s="5">
        <v>30811008523</v>
      </c>
      <c r="AE367" s="8">
        <v>45996</v>
      </c>
      <c r="AF367" s="5" t="s">
        <v>220</v>
      </c>
      <c r="AG367" s="5" t="s">
        <v>37</v>
      </c>
      <c r="AH367" s="5">
        <v>206848</v>
      </c>
      <c r="AI367" s="6">
        <v>45996</v>
      </c>
      <c r="AJ367" s="6">
        <v>46003</v>
      </c>
      <c r="AK367" s="1">
        <f t="shared" si="164"/>
        <v>7.0294000000000008</v>
      </c>
    </row>
    <row r="368" spans="1:37" x14ac:dyDescent="0.55000000000000004">
      <c r="A368">
        <v>3081</v>
      </c>
      <c r="B368">
        <v>1008524</v>
      </c>
      <c r="C368">
        <v>336.26</v>
      </c>
      <c r="D368" s="4">
        <v>6.73</v>
      </c>
      <c r="E368">
        <v>329.53</v>
      </c>
      <c r="F368">
        <v>3.36</v>
      </c>
      <c r="G368">
        <v>326.17</v>
      </c>
      <c r="H368" s="14">
        <f t="shared" si="162"/>
        <v>326.16999999999996</v>
      </c>
      <c r="I368" s="14" t="b">
        <f t="shared" si="163"/>
        <v>1</v>
      </c>
      <c r="J368" s="2">
        <v>46003</v>
      </c>
      <c r="K368" s="5">
        <v>1008524</v>
      </c>
      <c r="L368" s="5">
        <v>3081</v>
      </c>
      <c r="M368" s="5">
        <v>6.73</v>
      </c>
      <c r="N368" s="5">
        <v>336.26</v>
      </c>
      <c r="O368" s="7">
        <v>45996</v>
      </c>
      <c r="P368" s="5">
        <v>329.53</v>
      </c>
      <c r="Q368" s="5">
        <v>6.73</v>
      </c>
      <c r="R368" s="5" t="s">
        <v>32</v>
      </c>
      <c r="S368" s="5" t="s">
        <v>33</v>
      </c>
      <c r="T368" s="5">
        <v>3.36</v>
      </c>
      <c r="U368" s="5">
        <v>326.17</v>
      </c>
      <c r="V368" s="5" t="s">
        <v>34</v>
      </c>
      <c r="W368" s="5">
        <v>2</v>
      </c>
      <c r="X368" s="5">
        <v>7673975854802</v>
      </c>
      <c r="Y368" s="7">
        <v>46003</v>
      </c>
      <c r="Z368" s="7">
        <v>45996</v>
      </c>
      <c r="AB368" s="6">
        <v>46003</v>
      </c>
      <c r="AC368" s="7">
        <v>45999.461805555555</v>
      </c>
      <c r="AD368" s="5">
        <v>30811008524</v>
      </c>
      <c r="AE368" s="8">
        <v>45996</v>
      </c>
      <c r="AF368" s="5" t="s">
        <v>222</v>
      </c>
      <c r="AG368" s="5" t="s">
        <v>37</v>
      </c>
      <c r="AH368" s="5">
        <v>206886</v>
      </c>
      <c r="AI368" s="6">
        <v>45996</v>
      </c>
      <c r="AJ368" s="6">
        <v>46003</v>
      </c>
      <c r="AK368" s="1">
        <f t="shared" si="164"/>
        <v>6.7252000000000001</v>
      </c>
    </row>
    <row r="369" spans="1:37" hidden="1" x14ac:dyDescent="0.55000000000000004">
      <c r="A369">
        <v>3109</v>
      </c>
      <c r="B369">
        <v>1007553</v>
      </c>
      <c r="C369" s="1">
        <v>3990</v>
      </c>
      <c r="E369" s="1">
        <v>3990</v>
      </c>
      <c r="F369">
        <v>39.9</v>
      </c>
      <c r="G369" s="1">
        <v>3950.1</v>
      </c>
      <c r="H369" s="1"/>
      <c r="I369" s="1"/>
      <c r="J369" s="2">
        <v>46003</v>
      </c>
      <c r="K369" s="5">
        <v>1007553</v>
      </c>
      <c r="L369" s="5">
        <v>3109</v>
      </c>
      <c r="M369" s="5">
        <v>0</v>
      </c>
      <c r="N369" s="5">
        <v>3990</v>
      </c>
      <c r="O369" s="7">
        <v>45993</v>
      </c>
      <c r="P369" s="5">
        <v>3990</v>
      </c>
      <c r="Q369" s="5">
        <v>0</v>
      </c>
      <c r="R369" s="5" t="s">
        <v>32</v>
      </c>
      <c r="S369" s="5" t="s">
        <v>33</v>
      </c>
      <c r="T369" s="5">
        <v>39.9</v>
      </c>
      <c r="U369" s="5">
        <v>3950.1</v>
      </c>
      <c r="V369" s="5" t="s">
        <v>34</v>
      </c>
      <c r="W369" s="5">
        <v>2</v>
      </c>
      <c r="X369" s="5">
        <v>4419654702762</v>
      </c>
      <c r="Y369" s="7">
        <v>46003</v>
      </c>
      <c r="Z369" s="7">
        <v>45993</v>
      </c>
      <c r="AB369" s="6">
        <v>46003</v>
      </c>
      <c r="AC369" s="7">
        <v>46002.5</v>
      </c>
      <c r="AD369" s="5">
        <v>31091007553</v>
      </c>
      <c r="AE369" s="8">
        <v>45993</v>
      </c>
      <c r="AF369" s="5" t="s">
        <v>32</v>
      </c>
      <c r="AG369" s="5" t="s">
        <v>35</v>
      </c>
      <c r="AH369" s="5" t="s">
        <v>32</v>
      </c>
      <c r="AI369" s="6">
        <v>45993</v>
      </c>
      <c r="AJ369" s="6">
        <v>46003</v>
      </c>
    </row>
    <row r="370" spans="1:37" x14ac:dyDescent="0.55000000000000004">
      <c r="A370">
        <v>3109</v>
      </c>
      <c r="B370">
        <v>1007834</v>
      </c>
      <c r="C370">
        <v>138.6</v>
      </c>
      <c r="D370" s="4">
        <v>2.77</v>
      </c>
      <c r="E370">
        <v>135.83000000000001</v>
      </c>
      <c r="F370">
        <v>1.39</v>
      </c>
      <c r="G370">
        <v>134.44</v>
      </c>
      <c r="H370" s="14">
        <f t="shared" ref="H370:H371" si="165">C370-D370-F370</f>
        <v>134.44</v>
      </c>
      <c r="I370" s="14" t="b">
        <f t="shared" ref="I370:I371" si="166">G370=H370</f>
        <v>1</v>
      </c>
      <c r="J370" s="2">
        <v>46003</v>
      </c>
      <c r="K370" s="5">
        <v>1007834</v>
      </c>
      <c r="L370" s="5">
        <v>3109</v>
      </c>
      <c r="M370" s="5">
        <v>2.77</v>
      </c>
      <c r="N370" s="5">
        <v>138.6</v>
      </c>
      <c r="O370" s="7">
        <v>45993</v>
      </c>
      <c r="P370" s="5">
        <v>135.83000000000001</v>
      </c>
      <c r="Q370" s="5">
        <v>2.77</v>
      </c>
      <c r="R370" s="5" t="s">
        <v>32</v>
      </c>
      <c r="S370" s="5" t="s">
        <v>33</v>
      </c>
      <c r="T370" s="5">
        <v>1.39</v>
      </c>
      <c r="U370" s="5">
        <v>134.44</v>
      </c>
      <c r="V370" s="5" t="s">
        <v>34</v>
      </c>
      <c r="W370" s="5">
        <v>2</v>
      </c>
      <c r="X370" s="5">
        <v>4419654702762</v>
      </c>
      <c r="Y370" s="7">
        <v>46003</v>
      </c>
      <c r="Z370" s="7">
        <v>45993</v>
      </c>
      <c r="AB370" s="6">
        <v>46003</v>
      </c>
      <c r="AC370" s="7">
        <v>46002.5</v>
      </c>
      <c r="AD370" s="5">
        <v>31091007834</v>
      </c>
      <c r="AE370" s="8">
        <v>45993</v>
      </c>
      <c r="AF370" s="5">
        <v>46386</v>
      </c>
      <c r="AG370" s="5" t="s">
        <v>37</v>
      </c>
      <c r="AH370" s="5">
        <v>206161</v>
      </c>
      <c r="AI370" s="6">
        <v>45993</v>
      </c>
      <c r="AJ370" s="6">
        <v>46003</v>
      </c>
      <c r="AK370" s="1">
        <f t="shared" ref="AK370:AK371" si="167">0.02*C370</f>
        <v>2.7719999999999998</v>
      </c>
    </row>
    <row r="371" spans="1:37" x14ac:dyDescent="0.55000000000000004">
      <c r="A371">
        <v>3109</v>
      </c>
      <c r="B371">
        <v>1007954</v>
      </c>
      <c r="C371">
        <v>876.08</v>
      </c>
      <c r="D371" s="4">
        <v>17.52</v>
      </c>
      <c r="E371">
        <v>858.56</v>
      </c>
      <c r="F371">
        <v>8.76</v>
      </c>
      <c r="G371">
        <v>849.8</v>
      </c>
      <c r="H371" s="14">
        <f t="shared" si="165"/>
        <v>849.80000000000007</v>
      </c>
      <c r="I371" s="14" t="b">
        <f t="shared" si="166"/>
        <v>1</v>
      </c>
      <c r="J371" s="2">
        <v>46003</v>
      </c>
      <c r="K371" s="5">
        <v>1007954</v>
      </c>
      <c r="L371" s="5">
        <v>3109</v>
      </c>
      <c r="M371" s="5">
        <v>17.52</v>
      </c>
      <c r="N371" s="5">
        <v>876.08</v>
      </c>
      <c r="O371" s="7">
        <v>45994</v>
      </c>
      <c r="P371" s="5">
        <v>858.56</v>
      </c>
      <c r="Q371" s="5">
        <v>17.52</v>
      </c>
      <c r="R371" s="5" t="s">
        <v>32</v>
      </c>
      <c r="S371" s="5" t="s">
        <v>33</v>
      </c>
      <c r="T371" s="5">
        <v>8.76</v>
      </c>
      <c r="U371" s="5">
        <v>849.8</v>
      </c>
      <c r="V371" s="5" t="s">
        <v>34</v>
      </c>
      <c r="W371" s="5">
        <v>2</v>
      </c>
      <c r="X371" s="5">
        <v>4419654702762</v>
      </c>
      <c r="Y371" s="7">
        <v>46003</v>
      </c>
      <c r="Z371" s="7">
        <v>45994</v>
      </c>
      <c r="AB371" s="6">
        <v>46003</v>
      </c>
      <c r="AC371" s="7">
        <v>46002.5</v>
      </c>
      <c r="AD371" s="5">
        <v>31091007954</v>
      </c>
      <c r="AE371" s="8">
        <v>45994</v>
      </c>
      <c r="AF371" s="5">
        <v>46396</v>
      </c>
      <c r="AG371" s="5" t="s">
        <v>37</v>
      </c>
      <c r="AH371" s="5">
        <v>206245</v>
      </c>
      <c r="AI371" s="6">
        <v>45994</v>
      </c>
      <c r="AJ371" s="6">
        <v>46003</v>
      </c>
      <c r="AK371" s="1">
        <f t="shared" si="167"/>
        <v>17.521600000000003</v>
      </c>
    </row>
    <row r="372" spans="1:37" hidden="1" x14ac:dyDescent="0.55000000000000004">
      <c r="A372">
        <v>3109</v>
      </c>
      <c r="B372">
        <v>1007959</v>
      </c>
      <c r="C372">
        <v>117.3</v>
      </c>
      <c r="E372">
        <v>117.3</v>
      </c>
      <c r="F372">
        <v>1.17</v>
      </c>
      <c r="G372">
        <v>116.13</v>
      </c>
      <c r="H372"/>
      <c r="I372"/>
      <c r="J372" s="2">
        <v>46003</v>
      </c>
      <c r="K372" s="5">
        <v>1007959</v>
      </c>
      <c r="L372" s="5">
        <v>3109</v>
      </c>
      <c r="M372" s="5">
        <v>0</v>
      </c>
      <c r="N372" s="5">
        <v>117.3</v>
      </c>
      <c r="O372" s="7">
        <v>45994</v>
      </c>
      <c r="P372" s="5">
        <v>117.3</v>
      </c>
      <c r="Q372" s="5">
        <v>0</v>
      </c>
      <c r="R372" s="5" t="s">
        <v>32</v>
      </c>
      <c r="S372" s="5" t="s">
        <v>33</v>
      </c>
      <c r="T372" s="5">
        <v>1.17</v>
      </c>
      <c r="U372" s="5">
        <v>116.13</v>
      </c>
      <c r="V372" s="5" t="s">
        <v>34</v>
      </c>
      <c r="W372" s="5">
        <v>2</v>
      </c>
      <c r="X372" s="5">
        <v>4419654702762</v>
      </c>
      <c r="Y372" s="7">
        <v>46003</v>
      </c>
      <c r="Z372" s="7">
        <v>45994</v>
      </c>
      <c r="AB372" s="6">
        <v>46003</v>
      </c>
      <c r="AC372" s="7">
        <v>46002.5</v>
      </c>
      <c r="AD372" s="5">
        <v>31091007959</v>
      </c>
      <c r="AE372" s="8">
        <v>45994</v>
      </c>
      <c r="AF372" s="5">
        <v>46386</v>
      </c>
      <c r="AG372" s="5" t="s">
        <v>38</v>
      </c>
      <c r="AH372" s="5">
        <v>206246</v>
      </c>
      <c r="AI372" s="6">
        <v>45994</v>
      </c>
      <c r="AJ372" s="6">
        <v>46003</v>
      </c>
    </row>
    <row r="373" spans="1:37" x14ac:dyDescent="0.55000000000000004">
      <c r="A373">
        <v>3109</v>
      </c>
      <c r="B373">
        <v>1007961</v>
      </c>
      <c r="C373">
        <v>989.17</v>
      </c>
      <c r="D373" s="4">
        <v>19.78</v>
      </c>
      <c r="E373">
        <v>969.39</v>
      </c>
      <c r="F373">
        <v>9.89</v>
      </c>
      <c r="G373">
        <v>959.5</v>
      </c>
      <c r="H373" s="14">
        <f>C373-D373-F373</f>
        <v>959.5</v>
      </c>
      <c r="I373" s="14" t="b">
        <f>G373=H373</f>
        <v>1</v>
      </c>
      <c r="J373" s="2">
        <v>46003</v>
      </c>
      <c r="K373" s="5">
        <v>1007961</v>
      </c>
      <c r="L373" s="5">
        <v>3109</v>
      </c>
      <c r="M373" s="5">
        <v>19.78</v>
      </c>
      <c r="N373" s="5">
        <v>989.17</v>
      </c>
      <c r="O373" s="7">
        <v>45994</v>
      </c>
      <c r="P373" s="5">
        <v>969.39</v>
      </c>
      <c r="Q373" s="5">
        <v>19.78</v>
      </c>
      <c r="R373" s="5" t="s">
        <v>32</v>
      </c>
      <c r="S373" s="5" t="s">
        <v>33</v>
      </c>
      <c r="T373" s="5">
        <v>9.89</v>
      </c>
      <c r="U373" s="5">
        <v>959.5</v>
      </c>
      <c r="V373" s="5" t="s">
        <v>34</v>
      </c>
      <c r="W373" s="5">
        <v>2</v>
      </c>
      <c r="X373" s="5">
        <v>4419654702762</v>
      </c>
      <c r="Y373" s="7">
        <v>46003</v>
      </c>
      <c r="Z373" s="7">
        <v>45994</v>
      </c>
      <c r="AB373" s="6">
        <v>46003</v>
      </c>
      <c r="AC373" s="7">
        <v>46002.5</v>
      </c>
      <c r="AD373" s="5">
        <v>31091007961</v>
      </c>
      <c r="AE373" s="8">
        <v>45994</v>
      </c>
      <c r="AF373" s="5">
        <v>46386</v>
      </c>
      <c r="AG373" s="5" t="s">
        <v>37</v>
      </c>
      <c r="AH373" s="5">
        <v>206244</v>
      </c>
      <c r="AI373" s="6">
        <v>45994</v>
      </c>
      <c r="AJ373" s="6">
        <v>46003</v>
      </c>
      <c r="AK373" s="1">
        <f t="shared" ref="AK373" si="168">0.02*C373</f>
        <v>19.7834</v>
      </c>
    </row>
    <row r="374" spans="1:37" hidden="1" x14ac:dyDescent="0.55000000000000004">
      <c r="A374">
        <v>3109</v>
      </c>
      <c r="B374">
        <v>1008276</v>
      </c>
      <c r="C374">
        <v>-50</v>
      </c>
      <c r="E374">
        <v>-50</v>
      </c>
      <c r="G374">
        <v>-50</v>
      </c>
      <c r="H374"/>
      <c r="I374"/>
      <c r="J374" s="2">
        <v>46003</v>
      </c>
      <c r="K374" s="5">
        <v>1008276</v>
      </c>
      <c r="L374" s="5">
        <v>3109</v>
      </c>
      <c r="M374" s="5">
        <v>0</v>
      </c>
      <c r="N374" s="5">
        <v>-50</v>
      </c>
      <c r="O374" s="7">
        <v>45995</v>
      </c>
      <c r="P374" s="5">
        <v>-50</v>
      </c>
      <c r="Q374" s="5">
        <v>0</v>
      </c>
      <c r="R374" s="5" t="s">
        <v>40</v>
      </c>
      <c r="S374" s="5" t="s">
        <v>33</v>
      </c>
      <c r="T374" s="5">
        <v>0</v>
      </c>
      <c r="U374" s="5">
        <v>-50</v>
      </c>
      <c r="V374" s="5" t="s">
        <v>34</v>
      </c>
      <c r="W374" s="5">
        <v>2</v>
      </c>
      <c r="X374" s="5">
        <v>4419654702762</v>
      </c>
      <c r="Y374" s="7">
        <v>46003</v>
      </c>
      <c r="Z374" s="7">
        <v>45995</v>
      </c>
      <c r="AB374" s="6">
        <v>46003</v>
      </c>
      <c r="AC374" s="7">
        <v>46002.5</v>
      </c>
      <c r="AD374" s="5">
        <v>31091008276</v>
      </c>
      <c r="AE374" s="8">
        <v>45995</v>
      </c>
      <c r="AF374" s="5" t="s">
        <v>41</v>
      </c>
      <c r="AG374" s="5" t="s">
        <v>38</v>
      </c>
      <c r="AH374" s="5" t="s">
        <v>40</v>
      </c>
      <c r="AI374" s="6">
        <v>45995</v>
      </c>
      <c r="AJ374" s="6">
        <v>46003</v>
      </c>
    </row>
    <row r="375" spans="1:37" hidden="1" x14ac:dyDescent="0.55000000000000004">
      <c r="A375">
        <v>3109</v>
      </c>
      <c r="B375">
        <v>1008325</v>
      </c>
      <c r="C375">
        <v>264</v>
      </c>
      <c r="E375">
        <v>264</v>
      </c>
      <c r="F375">
        <v>2.64</v>
      </c>
      <c r="G375">
        <v>261.36</v>
      </c>
      <c r="H375"/>
      <c r="I375"/>
      <c r="J375" s="2">
        <v>46003</v>
      </c>
      <c r="K375" s="5">
        <v>1008325</v>
      </c>
      <c r="L375" s="5">
        <v>3109</v>
      </c>
      <c r="M375" s="5">
        <v>0</v>
      </c>
      <c r="N375" s="5">
        <v>264</v>
      </c>
      <c r="O375" s="7">
        <v>45996</v>
      </c>
      <c r="P375" s="5">
        <v>264</v>
      </c>
      <c r="Q375" s="5">
        <v>0</v>
      </c>
      <c r="R375" s="5" t="s">
        <v>223</v>
      </c>
      <c r="S375" s="5" t="s">
        <v>191</v>
      </c>
      <c r="T375" s="5">
        <v>2.64</v>
      </c>
      <c r="U375" s="5">
        <v>261.36</v>
      </c>
      <c r="V375" s="5" t="s">
        <v>34</v>
      </c>
      <c r="W375" s="5">
        <v>2</v>
      </c>
      <c r="X375" s="5">
        <v>4419654702762</v>
      </c>
      <c r="Y375" s="7">
        <v>46003</v>
      </c>
      <c r="Z375" s="7">
        <v>45996</v>
      </c>
      <c r="AB375" s="6">
        <v>46003</v>
      </c>
      <c r="AC375" s="7">
        <v>46002.5</v>
      </c>
      <c r="AD375" s="5">
        <v>31091008325</v>
      </c>
      <c r="AE375" s="8">
        <v>45996</v>
      </c>
      <c r="AF375" s="5">
        <v>46363</v>
      </c>
      <c r="AG375" s="5" t="s">
        <v>38</v>
      </c>
      <c r="AH375" s="5" t="s">
        <v>223</v>
      </c>
      <c r="AI375" s="6">
        <v>45996</v>
      </c>
      <c r="AJ375" s="6">
        <v>46003</v>
      </c>
    </row>
    <row r="376" spans="1:37" hidden="1" x14ac:dyDescent="0.55000000000000004">
      <c r="A376">
        <v>3109</v>
      </c>
      <c r="B376">
        <v>1008327</v>
      </c>
      <c r="C376">
        <v>-10</v>
      </c>
      <c r="E376">
        <v>-10</v>
      </c>
      <c r="G376">
        <v>-10</v>
      </c>
      <c r="H376"/>
      <c r="I376"/>
      <c r="J376" s="2">
        <v>46003</v>
      </c>
      <c r="K376" s="5">
        <v>1008327</v>
      </c>
      <c r="L376" s="5">
        <v>3109</v>
      </c>
      <c r="M376" s="5">
        <v>0</v>
      </c>
      <c r="N376" s="5">
        <v>-10</v>
      </c>
      <c r="O376" s="7">
        <v>45996</v>
      </c>
      <c r="P376" s="5">
        <v>-10</v>
      </c>
      <c r="Q376" s="5">
        <v>0</v>
      </c>
      <c r="R376" s="5" t="s">
        <v>224</v>
      </c>
      <c r="S376" s="5" t="s">
        <v>191</v>
      </c>
      <c r="T376" s="5">
        <v>0</v>
      </c>
      <c r="U376" s="5">
        <v>-10</v>
      </c>
      <c r="V376" s="5" t="s">
        <v>34</v>
      </c>
      <c r="W376" s="5">
        <v>2</v>
      </c>
      <c r="X376" s="5">
        <v>4419654702762</v>
      </c>
      <c r="Y376" s="7">
        <v>46003</v>
      </c>
      <c r="Z376" s="7">
        <v>45996</v>
      </c>
      <c r="AB376" s="6">
        <v>46003</v>
      </c>
      <c r="AC376" s="7">
        <v>46002.5</v>
      </c>
      <c r="AD376" s="5">
        <v>31091008327</v>
      </c>
      <c r="AE376" s="8">
        <v>45996</v>
      </c>
      <c r="AF376" s="5" t="s">
        <v>192</v>
      </c>
      <c r="AG376" s="5" t="s">
        <v>38</v>
      </c>
      <c r="AH376" s="5" t="s">
        <v>224</v>
      </c>
      <c r="AI376" s="6">
        <v>45996</v>
      </c>
      <c r="AJ376" s="6">
        <v>46003</v>
      </c>
    </row>
    <row r="377" spans="1:37" x14ac:dyDescent="0.55000000000000004">
      <c r="A377">
        <v>3109</v>
      </c>
      <c r="B377">
        <v>1008475</v>
      </c>
      <c r="C377">
        <v>25.96</v>
      </c>
      <c r="D377" s="4">
        <v>0.52</v>
      </c>
      <c r="E377">
        <v>25.44</v>
      </c>
      <c r="F377">
        <v>0.26</v>
      </c>
      <c r="G377">
        <v>25.18</v>
      </c>
      <c r="H377" s="14">
        <f t="shared" ref="H377:H378" si="169">C377-D377-F377</f>
        <v>25.18</v>
      </c>
      <c r="I377" s="14" t="b">
        <f t="shared" ref="I377:I378" si="170">G377=H377</f>
        <v>1</v>
      </c>
      <c r="J377" s="2">
        <v>46003</v>
      </c>
      <c r="K377" s="5">
        <v>1008475</v>
      </c>
      <c r="L377" s="5">
        <v>3109</v>
      </c>
      <c r="M377" s="5">
        <v>0.52</v>
      </c>
      <c r="N377" s="5">
        <v>25.96</v>
      </c>
      <c r="O377" s="7">
        <v>45996</v>
      </c>
      <c r="P377" s="5">
        <v>25.44</v>
      </c>
      <c r="Q377" s="5">
        <v>0.52</v>
      </c>
      <c r="R377" s="5" t="s">
        <v>32</v>
      </c>
      <c r="S377" s="5" t="s">
        <v>33</v>
      </c>
      <c r="T377" s="5">
        <v>0.26</v>
      </c>
      <c r="U377" s="5">
        <v>25.18</v>
      </c>
      <c r="V377" s="5" t="s">
        <v>34</v>
      </c>
      <c r="W377" s="5">
        <v>2</v>
      </c>
      <c r="X377" s="5">
        <v>4419654702762</v>
      </c>
      <c r="Y377" s="7">
        <v>46003</v>
      </c>
      <c r="Z377" s="7">
        <v>45996</v>
      </c>
      <c r="AB377" s="6">
        <v>46003</v>
      </c>
      <c r="AC377" s="7">
        <v>46002.5</v>
      </c>
      <c r="AD377" s="5">
        <v>31091008475</v>
      </c>
      <c r="AE377" s="8">
        <v>45996</v>
      </c>
      <c r="AF377" s="5">
        <v>46386</v>
      </c>
      <c r="AG377" s="5" t="s">
        <v>37</v>
      </c>
      <c r="AH377" s="5">
        <v>206623</v>
      </c>
      <c r="AI377" s="6">
        <v>45996</v>
      </c>
      <c r="AJ377" s="6">
        <v>46003</v>
      </c>
      <c r="AK377" s="1">
        <f t="shared" ref="AK377:AK378" si="171">0.02*C377</f>
        <v>0.51919999999999999</v>
      </c>
    </row>
    <row r="378" spans="1:37" x14ac:dyDescent="0.55000000000000004">
      <c r="A378">
        <v>3109</v>
      </c>
      <c r="B378">
        <v>1008491</v>
      </c>
      <c r="C378">
        <v>260.27999999999997</v>
      </c>
      <c r="D378" s="4">
        <v>5.21</v>
      </c>
      <c r="E378">
        <v>255.07</v>
      </c>
      <c r="F378">
        <v>2.6</v>
      </c>
      <c r="G378">
        <v>252.47</v>
      </c>
      <c r="H378" s="14">
        <f t="shared" si="169"/>
        <v>252.46999999999997</v>
      </c>
      <c r="I378" s="14" t="b">
        <f t="shared" si="170"/>
        <v>1</v>
      </c>
      <c r="J378" s="2">
        <v>46003</v>
      </c>
      <c r="K378" s="5">
        <v>1008491</v>
      </c>
      <c r="L378" s="5">
        <v>3109</v>
      </c>
      <c r="M378" s="5">
        <v>5.21</v>
      </c>
      <c r="N378" s="5">
        <v>260.27999999999997</v>
      </c>
      <c r="O378" s="7">
        <v>45996</v>
      </c>
      <c r="P378" s="5">
        <v>255.07</v>
      </c>
      <c r="Q378" s="5">
        <v>5.21</v>
      </c>
      <c r="R378" s="5" t="s">
        <v>32</v>
      </c>
      <c r="S378" s="5" t="s">
        <v>33</v>
      </c>
      <c r="T378" s="5">
        <v>2.6</v>
      </c>
      <c r="U378" s="5">
        <v>252.47</v>
      </c>
      <c r="V378" s="5" t="s">
        <v>34</v>
      </c>
      <c r="W378" s="5">
        <v>2</v>
      </c>
      <c r="X378" s="5">
        <v>4419654702762</v>
      </c>
      <c r="Y378" s="7">
        <v>46003</v>
      </c>
      <c r="Z378" s="7">
        <v>45996</v>
      </c>
      <c r="AB378" s="6">
        <v>46003</v>
      </c>
      <c r="AC378" s="7">
        <v>46002.5</v>
      </c>
      <c r="AD378" s="5">
        <v>31091008491</v>
      </c>
      <c r="AE378" s="8">
        <v>45996</v>
      </c>
      <c r="AF378" s="5">
        <v>46400</v>
      </c>
      <c r="AG378" s="5" t="s">
        <v>37</v>
      </c>
      <c r="AH378" s="5">
        <v>206835</v>
      </c>
      <c r="AI378" s="6">
        <v>45996</v>
      </c>
      <c r="AJ378" s="6">
        <v>46003</v>
      </c>
      <c r="AK378" s="1">
        <f t="shared" si="171"/>
        <v>5.2055999999999996</v>
      </c>
    </row>
    <row r="379" spans="1:37" hidden="1" x14ac:dyDescent="0.55000000000000004">
      <c r="A379">
        <v>3109</v>
      </c>
      <c r="B379">
        <v>1008496</v>
      </c>
      <c r="C379">
        <v>514.20000000000005</v>
      </c>
      <c r="E379">
        <v>514.20000000000005</v>
      </c>
      <c r="F379">
        <v>5.14</v>
      </c>
      <c r="G379">
        <v>509.06</v>
      </c>
      <c r="H379"/>
      <c r="I379"/>
      <c r="J379" s="2">
        <v>46003</v>
      </c>
      <c r="K379" s="5">
        <v>1008496</v>
      </c>
      <c r="L379" s="5">
        <v>3109</v>
      </c>
      <c r="M379" s="5">
        <v>0</v>
      </c>
      <c r="N379" s="5">
        <v>514.20000000000005</v>
      </c>
      <c r="O379" s="7">
        <v>45996</v>
      </c>
      <c r="P379" s="5">
        <v>514.20000000000005</v>
      </c>
      <c r="Q379" s="5">
        <v>0</v>
      </c>
      <c r="R379" s="5" t="s">
        <v>32</v>
      </c>
      <c r="S379" s="5" t="s">
        <v>33</v>
      </c>
      <c r="T379" s="5">
        <v>5.14</v>
      </c>
      <c r="U379" s="5">
        <v>509.06</v>
      </c>
      <c r="V379" s="5" t="s">
        <v>34</v>
      </c>
      <c r="W379" s="5">
        <v>2</v>
      </c>
      <c r="X379" s="5">
        <v>4419654702762</v>
      </c>
      <c r="Y379" s="7">
        <v>46003</v>
      </c>
      <c r="Z379" s="7">
        <v>45996</v>
      </c>
      <c r="AB379" s="6">
        <v>46003</v>
      </c>
      <c r="AC379" s="7">
        <v>46002.5</v>
      </c>
      <c r="AD379" s="5">
        <v>31091008496</v>
      </c>
      <c r="AE379" s="8">
        <v>45996</v>
      </c>
      <c r="AF379" s="5">
        <v>46400</v>
      </c>
      <c r="AG379" s="5" t="s">
        <v>38</v>
      </c>
      <c r="AH379" s="5">
        <v>206836</v>
      </c>
      <c r="AI379" s="6">
        <v>45996</v>
      </c>
      <c r="AJ379" s="6">
        <v>46003</v>
      </c>
    </row>
    <row r="380" spans="1:37" x14ac:dyDescent="0.55000000000000004">
      <c r="A380">
        <v>3123</v>
      </c>
      <c r="B380">
        <v>1007225</v>
      </c>
      <c r="C380">
        <v>199.08</v>
      </c>
      <c r="D380" s="4">
        <v>3.98</v>
      </c>
      <c r="E380">
        <v>195.1</v>
      </c>
      <c r="F380">
        <v>1.99</v>
      </c>
      <c r="G380">
        <v>193.11</v>
      </c>
      <c r="H380" s="14">
        <f t="shared" ref="H380:H382" si="172">C380-D380-F380</f>
        <v>193.11</v>
      </c>
      <c r="I380" s="14" t="b">
        <f t="shared" ref="I380:I382" si="173">G380=H380</f>
        <v>1</v>
      </c>
      <c r="J380" s="2">
        <v>46003</v>
      </c>
      <c r="K380" s="5">
        <v>1007225</v>
      </c>
      <c r="L380" s="5">
        <v>3123</v>
      </c>
      <c r="M380" s="5">
        <v>3.98</v>
      </c>
      <c r="N380" s="5">
        <v>199.08</v>
      </c>
      <c r="O380" s="7">
        <v>45992</v>
      </c>
      <c r="P380" s="5">
        <v>195.1</v>
      </c>
      <c r="Q380" s="5">
        <v>3.98</v>
      </c>
      <c r="R380" s="5" t="s">
        <v>32</v>
      </c>
      <c r="S380" s="5" t="s">
        <v>33</v>
      </c>
      <c r="T380" s="5">
        <v>1.99</v>
      </c>
      <c r="U380" s="5">
        <v>193.11</v>
      </c>
      <c r="V380" s="5" t="s">
        <v>34</v>
      </c>
      <c r="W380" s="5">
        <v>2</v>
      </c>
      <c r="X380" s="5">
        <v>6585911636828</v>
      </c>
      <c r="Y380" s="7">
        <v>46003</v>
      </c>
      <c r="Z380" s="7">
        <v>45992</v>
      </c>
      <c r="AB380" s="6">
        <v>46003</v>
      </c>
      <c r="AC380" s="7">
        <v>46000.686111111114</v>
      </c>
      <c r="AD380" s="5">
        <v>31231007225</v>
      </c>
      <c r="AE380" s="8">
        <v>45992</v>
      </c>
      <c r="AF380" s="5" t="s">
        <v>225</v>
      </c>
      <c r="AG380" s="5" t="s">
        <v>37</v>
      </c>
      <c r="AH380" s="5">
        <v>205710</v>
      </c>
      <c r="AI380" s="6">
        <v>45992</v>
      </c>
      <c r="AJ380" s="6">
        <v>46003</v>
      </c>
      <c r="AK380" s="1">
        <f t="shared" ref="AK380:AK382" si="174">0.02*C380</f>
        <v>3.9816000000000003</v>
      </c>
    </row>
    <row r="381" spans="1:37" x14ac:dyDescent="0.55000000000000004">
      <c r="A381">
        <v>3123</v>
      </c>
      <c r="B381">
        <v>1007401</v>
      </c>
      <c r="C381">
        <v>18.48</v>
      </c>
      <c r="D381" s="4">
        <v>0.37</v>
      </c>
      <c r="E381">
        <v>18.11</v>
      </c>
      <c r="F381">
        <v>0.18</v>
      </c>
      <c r="G381">
        <v>17.93</v>
      </c>
      <c r="H381" s="14">
        <f t="shared" si="172"/>
        <v>17.93</v>
      </c>
      <c r="I381" s="14" t="b">
        <f t="shared" si="173"/>
        <v>1</v>
      </c>
      <c r="J381" s="2">
        <v>46003</v>
      </c>
      <c r="K381" s="5">
        <v>1007401</v>
      </c>
      <c r="L381" s="5">
        <v>3123</v>
      </c>
      <c r="M381" s="5">
        <v>0.37</v>
      </c>
      <c r="N381" s="5">
        <v>18.48</v>
      </c>
      <c r="O381" s="7">
        <v>45992</v>
      </c>
      <c r="P381" s="5">
        <v>18.11</v>
      </c>
      <c r="Q381" s="5">
        <v>0.37</v>
      </c>
      <c r="R381" s="5" t="s">
        <v>32</v>
      </c>
      <c r="S381" s="5" t="s">
        <v>33</v>
      </c>
      <c r="T381" s="5">
        <v>0.18</v>
      </c>
      <c r="U381" s="5">
        <v>17.93</v>
      </c>
      <c r="V381" s="5" t="s">
        <v>34</v>
      </c>
      <c r="W381" s="5">
        <v>2</v>
      </c>
      <c r="X381" s="5">
        <v>6585911636828</v>
      </c>
      <c r="Y381" s="7">
        <v>46003</v>
      </c>
      <c r="Z381" s="7">
        <v>45992</v>
      </c>
      <c r="AB381" s="6">
        <v>46003</v>
      </c>
      <c r="AC381" s="7">
        <v>46000.686111111114</v>
      </c>
      <c r="AD381" s="5">
        <v>31231007401</v>
      </c>
      <c r="AE381" s="8">
        <v>45992</v>
      </c>
      <c r="AF381" s="5" t="s">
        <v>226</v>
      </c>
      <c r="AG381" s="5" t="s">
        <v>37</v>
      </c>
      <c r="AH381" s="5">
        <v>205992</v>
      </c>
      <c r="AI381" s="6">
        <v>45992</v>
      </c>
      <c r="AJ381" s="6">
        <v>46003</v>
      </c>
      <c r="AK381" s="1">
        <f t="shared" si="174"/>
        <v>0.36960000000000004</v>
      </c>
    </row>
    <row r="382" spans="1:37" x14ac:dyDescent="0.55000000000000004">
      <c r="A382">
        <v>3123</v>
      </c>
      <c r="B382">
        <v>1007439</v>
      </c>
      <c r="C382">
        <v>120.96</v>
      </c>
      <c r="D382" s="4">
        <v>2.42</v>
      </c>
      <c r="E382">
        <v>118.54</v>
      </c>
      <c r="F382">
        <v>1.21</v>
      </c>
      <c r="G382">
        <v>117.33</v>
      </c>
      <c r="H382" s="14">
        <f t="shared" si="172"/>
        <v>117.33</v>
      </c>
      <c r="I382" s="14" t="b">
        <f t="shared" si="173"/>
        <v>1</v>
      </c>
      <c r="J382" s="2">
        <v>46003</v>
      </c>
      <c r="K382" s="5">
        <v>1007439</v>
      </c>
      <c r="L382" s="5">
        <v>3123</v>
      </c>
      <c r="M382" s="5">
        <v>2.42</v>
      </c>
      <c r="N382" s="5">
        <v>120.96</v>
      </c>
      <c r="O382" s="7">
        <v>45992</v>
      </c>
      <c r="P382" s="5">
        <v>118.54</v>
      </c>
      <c r="Q382" s="5">
        <v>2.42</v>
      </c>
      <c r="R382" s="5" t="s">
        <v>32</v>
      </c>
      <c r="S382" s="5" t="s">
        <v>33</v>
      </c>
      <c r="T382" s="5">
        <v>1.21</v>
      </c>
      <c r="U382" s="5">
        <v>117.33</v>
      </c>
      <c r="V382" s="5" t="s">
        <v>34</v>
      </c>
      <c r="W382" s="5">
        <v>2</v>
      </c>
      <c r="X382" s="5">
        <v>6585911636828</v>
      </c>
      <c r="Y382" s="7">
        <v>46003</v>
      </c>
      <c r="Z382" s="7">
        <v>45992</v>
      </c>
      <c r="AB382" s="6">
        <v>46003</v>
      </c>
      <c r="AC382" s="7">
        <v>46000.686111111114</v>
      </c>
      <c r="AD382" s="5">
        <v>31231007439</v>
      </c>
      <c r="AE382" s="8">
        <v>45992</v>
      </c>
      <c r="AF382" s="5" t="s">
        <v>227</v>
      </c>
      <c r="AG382" s="5" t="s">
        <v>37</v>
      </c>
      <c r="AH382" s="5">
        <v>205900</v>
      </c>
      <c r="AI382" s="6">
        <v>45992</v>
      </c>
      <c r="AJ382" s="6">
        <v>46003</v>
      </c>
      <c r="AK382" s="1">
        <f t="shared" si="174"/>
        <v>2.4192</v>
      </c>
    </row>
    <row r="383" spans="1:37" hidden="1" x14ac:dyDescent="0.55000000000000004">
      <c r="A383">
        <v>3123</v>
      </c>
      <c r="B383">
        <v>1007619</v>
      </c>
      <c r="C383" s="1">
        <v>3990</v>
      </c>
      <c r="E383" s="1">
        <v>3990</v>
      </c>
      <c r="F383">
        <v>39.9</v>
      </c>
      <c r="G383" s="1">
        <v>3950.1</v>
      </c>
      <c r="H383" s="1"/>
      <c r="I383" s="1"/>
      <c r="J383" s="2">
        <v>46003</v>
      </c>
      <c r="K383" s="5">
        <v>1007619</v>
      </c>
      <c r="L383" s="5">
        <v>3123</v>
      </c>
      <c r="M383" s="5">
        <v>0</v>
      </c>
      <c r="N383" s="5">
        <v>3990</v>
      </c>
      <c r="O383" s="7">
        <v>45993</v>
      </c>
      <c r="P383" s="5">
        <v>3990</v>
      </c>
      <c r="Q383" s="5">
        <v>0</v>
      </c>
      <c r="R383" s="5" t="s">
        <v>32</v>
      </c>
      <c r="S383" s="5" t="s">
        <v>33</v>
      </c>
      <c r="T383" s="5">
        <v>39.9</v>
      </c>
      <c r="U383" s="5">
        <v>3950.1</v>
      </c>
      <c r="V383" s="5" t="s">
        <v>34</v>
      </c>
      <c r="W383" s="5">
        <v>2</v>
      </c>
      <c r="X383" s="5">
        <v>6585911636828</v>
      </c>
      <c r="Y383" s="7">
        <v>46003</v>
      </c>
      <c r="Z383" s="7">
        <v>45993</v>
      </c>
      <c r="AB383" s="6">
        <v>46003</v>
      </c>
      <c r="AC383" s="7">
        <v>46000.686111111114</v>
      </c>
      <c r="AD383" s="5">
        <v>31231007619</v>
      </c>
      <c r="AE383" s="8">
        <v>45993</v>
      </c>
      <c r="AF383" s="5" t="s">
        <v>32</v>
      </c>
      <c r="AG383" s="5" t="s">
        <v>35</v>
      </c>
      <c r="AH383" s="5" t="s">
        <v>32</v>
      </c>
      <c r="AI383" s="6">
        <v>45993</v>
      </c>
      <c r="AJ383" s="6">
        <v>46003</v>
      </c>
    </row>
    <row r="384" spans="1:37" x14ac:dyDescent="0.55000000000000004">
      <c r="A384">
        <v>3123</v>
      </c>
      <c r="B384">
        <v>1008115</v>
      </c>
      <c r="C384">
        <v>389.23</v>
      </c>
      <c r="D384" s="4">
        <v>7.78</v>
      </c>
      <c r="E384">
        <v>381.45</v>
      </c>
      <c r="F384">
        <v>3.89</v>
      </c>
      <c r="G384">
        <v>377.56</v>
      </c>
      <c r="H384" s="14">
        <f>C384-D384-F384</f>
        <v>377.56000000000006</v>
      </c>
      <c r="I384" s="14" t="b">
        <f>G384=H384</f>
        <v>1</v>
      </c>
      <c r="J384" s="2">
        <v>46003</v>
      </c>
      <c r="K384" s="5">
        <v>1008115</v>
      </c>
      <c r="L384" s="5">
        <v>3123</v>
      </c>
      <c r="M384" s="5">
        <v>7.78</v>
      </c>
      <c r="N384" s="5">
        <v>389.23</v>
      </c>
      <c r="O384" s="7">
        <v>45995</v>
      </c>
      <c r="P384" s="5">
        <v>381.45</v>
      </c>
      <c r="Q384" s="5">
        <v>7.78</v>
      </c>
      <c r="R384" s="5" t="s">
        <v>32</v>
      </c>
      <c r="S384" s="5" t="s">
        <v>33</v>
      </c>
      <c r="T384" s="5">
        <v>3.89</v>
      </c>
      <c r="U384" s="5">
        <v>377.56</v>
      </c>
      <c r="V384" s="5" t="s">
        <v>34</v>
      </c>
      <c r="W384" s="5">
        <v>2</v>
      </c>
      <c r="X384" s="5">
        <v>6585911636828</v>
      </c>
      <c r="Y384" s="7">
        <v>46003</v>
      </c>
      <c r="Z384" s="7">
        <v>45995</v>
      </c>
      <c r="AB384" s="6">
        <v>46003</v>
      </c>
      <c r="AC384" s="7">
        <v>46000.686111111114</v>
      </c>
      <c r="AD384" s="5">
        <v>31231008115</v>
      </c>
      <c r="AE384" s="8">
        <v>45995</v>
      </c>
      <c r="AF384" s="5">
        <v>251118</v>
      </c>
      <c r="AG384" s="5" t="s">
        <v>37</v>
      </c>
      <c r="AH384" s="5">
        <v>206374</v>
      </c>
      <c r="AI384" s="6">
        <v>45995</v>
      </c>
      <c r="AJ384" s="6">
        <v>46003</v>
      </c>
      <c r="AK384" s="1">
        <f t="shared" ref="AK384" si="175">0.02*C384</f>
        <v>7.7846000000000002</v>
      </c>
    </row>
    <row r="385" spans="1:37" hidden="1" x14ac:dyDescent="0.55000000000000004">
      <c r="A385">
        <v>3123</v>
      </c>
      <c r="B385">
        <v>1008143</v>
      </c>
      <c r="C385">
        <v>556.83000000000004</v>
      </c>
      <c r="E385">
        <v>556.83000000000004</v>
      </c>
      <c r="F385">
        <v>5.57</v>
      </c>
      <c r="G385">
        <v>551.26</v>
      </c>
      <c r="H385"/>
      <c r="I385"/>
      <c r="J385" s="2">
        <v>46003</v>
      </c>
      <c r="K385" s="5">
        <v>1008143</v>
      </c>
      <c r="L385" s="5">
        <v>3123</v>
      </c>
      <c r="M385" s="5">
        <v>0</v>
      </c>
      <c r="N385" s="5">
        <v>556.83000000000004</v>
      </c>
      <c r="O385" s="7">
        <v>45995</v>
      </c>
      <c r="P385" s="5">
        <v>556.83000000000004</v>
      </c>
      <c r="Q385" s="5">
        <v>0</v>
      </c>
      <c r="R385" s="5" t="s">
        <v>32</v>
      </c>
      <c r="S385" s="5" t="s">
        <v>33</v>
      </c>
      <c r="T385" s="5">
        <v>5.57</v>
      </c>
      <c r="U385" s="5">
        <v>551.26</v>
      </c>
      <c r="V385" s="5" t="s">
        <v>34</v>
      </c>
      <c r="W385" s="5">
        <v>2</v>
      </c>
      <c r="X385" s="5">
        <v>6585911636828</v>
      </c>
      <c r="Y385" s="7">
        <v>46003</v>
      </c>
      <c r="Z385" s="7">
        <v>45995</v>
      </c>
      <c r="AB385" s="6">
        <v>46003</v>
      </c>
      <c r="AC385" s="7">
        <v>46000.686111111114</v>
      </c>
      <c r="AD385" s="5">
        <v>31231008143</v>
      </c>
      <c r="AE385" s="8">
        <v>45995</v>
      </c>
      <c r="AF385" s="5" t="s">
        <v>227</v>
      </c>
      <c r="AG385" s="5" t="s">
        <v>38</v>
      </c>
      <c r="AH385" s="5">
        <v>206637</v>
      </c>
      <c r="AI385" s="6">
        <v>45995</v>
      </c>
      <c r="AJ385" s="6">
        <v>46003</v>
      </c>
    </row>
    <row r="386" spans="1:37" hidden="1" x14ac:dyDescent="0.55000000000000004">
      <c r="A386">
        <v>3123</v>
      </c>
      <c r="B386">
        <v>1008334</v>
      </c>
      <c r="C386">
        <v>-20</v>
      </c>
      <c r="E386">
        <v>-20</v>
      </c>
      <c r="G386">
        <v>-20</v>
      </c>
      <c r="H386"/>
      <c r="I386"/>
      <c r="J386" s="2">
        <v>46003</v>
      </c>
      <c r="K386" s="5">
        <v>1008334</v>
      </c>
      <c r="L386" s="5">
        <v>3123</v>
      </c>
      <c r="M386" s="5">
        <v>0</v>
      </c>
      <c r="N386" s="5">
        <v>-20</v>
      </c>
      <c r="O386" s="7">
        <v>45996</v>
      </c>
      <c r="P386" s="5">
        <v>-20</v>
      </c>
      <c r="Q386" s="5">
        <v>0</v>
      </c>
      <c r="R386" s="5" t="s">
        <v>228</v>
      </c>
      <c r="S386" s="5" t="s">
        <v>191</v>
      </c>
      <c r="T386" s="5">
        <v>0</v>
      </c>
      <c r="U386" s="5">
        <v>-20</v>
      </c>
      <c r="V386" s="5" t="s">
        <v>34</v>
      </c>
      <c r="W386" s="5">
        <v>2</v>
      </c>
      <c r="X386" s="5">
        <v>6585911636828</v>
      </c>
      <c r="Y386" s="7">
        <v>46003</v>
      </c>
      <c r="Z386" s="7">
        <v>45996</v>
      </c>
      <c r="AB386" s="6">
        <v>46003</v>
      </c>
      <c r="AC386" s="7">
        <v>46000.686111111114</v>
      </c>
      <c r="AD386" s="5">
        <v>31231008334</v>
      </c>
      <c r="AE386" s="8">
        <v>45996</v>
      </c>
      <c r="AF386" s="5" t="s">
        <v>192</v>
      </c>
      <c r="AG386" s="5" t="s">
        <v>38</v>
      </c>
      <c r="AH386" s="5" t="s">
        <v>228</v>
      </c>
      <c r="AI386" s="6">
        <v>45996</v>
      </c>
      <c r="AJ386" s="6">
        <v>46003</v>
      </c>
    </row>
    <row r="387" spans="1:37" hidden="1" x14ac:dyDescent="0.55000000000000004">
      <c r="A387">
        <v>3123</v>
      </c>
      <c r="B387">
        <v>1008494</v>
      </c>
      <c r="C387">
        <v>809.92</v>
      </c>
      <c r="E387">
        <v>809.92</v>
      </c>
      <c r="F387">
        <v>8.1</v>
      </c>
      <c r="G387">
        <v>801.82</v>
      </c>
      <c r="H387"/>
      <c r="I387"/>
      <c r="J387" s="2">
        <v>46003</v>
      </c>
      <c r="K387" s="5">
        <v>1008494</v>
      </c>
      <c r="L387" s="5">
        <v>3123</v>
      </c>
      <c r="M387" s="5">
        <v>0</v>
      </c>
      <c r="N387" s="5">
        <v>809.92</v>
      </c>
      <c r="O387" s="7">
        <v>45996</v>
      </c>
      <c r="P387" s="5">
        <v>809.92</v>
      </c>
      <c r="Q387" s="5">
        <v>0</v>
      </c>
      <c r="R387" s="5" t="s">
        <v>32</v>
      </c>
      <c r="S387" s="5" t="s">
        <v>33</v>
      </c>
      <c r="T387" s="5">
        <v>8.1</v>
      </c>
      <c r="U387" s="5">
        <v>801.82</v>
      </c>
      <c r="V387" s="5" t="s">
        <v>34</v>
      </c>
      <c r="W387" s="5">
        <v>2</v>
      </c>
      <c r="X387" s="5">
        <v>6585911636828</v>
      </c>
      <c r="Y387" s="7">
        <v>46003</v>
      </c>
      <c r="Z387" s="7">
        <v>45996</v>
      </c>
      <c r="AB387" s="6">
        <v>46003</v>
      </c>
      <c r="AC387" s="7">
        <v>46000.686111111114</v>
      </c>
      <c r="AD387" s="5">
        <v>31231008494</v>
      </c>
      <c r="AE387" s="8">
        <v>45996</v>
      </c>
      <c r="AF387" s="5">
        <v>251204</v>
      </c>
      <c r="AG387" s="5" t="s">
        <v>38</v>
      </c>
      <c r="AH387" s="5">
        <v>206830</v>
      </c>
      <c r="AI387" s="6">
        <v>45996</v>
      </c>
      <c r="AJ387" s="6">
        <v>46003</v>
      </c>
    </row>
    <row r="388" spans="1:37" x14ac:dyDescent="0.55000000000000004">
      <c r="A388">
        <v>3123</v>
      </c>
      <c r="B388">
        <v>1008535</v>
      </c>
      <c r="C388">
        <v>50.7</v>
      </c>
      <c r="D388" s="4">
        <v>1.01</v>
      </c>
      <c r="E388">
        <v>49.69</v>
      </c>
      <c r="F388">
        <v>0.51</v>
      </c>
      <c r="G388">
        <v>49.18</v>
      </c>
      <c r="H388" s="14">
        <f>C388-D388-F388</f>
        <v>49.180000000000007</v>
      </c>
      <c r="I388" s="14" t="b">
        <f>G388=H388</f>
        <v>1</v>
      </c>
      <c r="J388" s="2">
        <v>46003</v>
      </c>
      <c r="K388" s="5">
        <v>1008535</v>
      </c>
      <c r="L388" s="5">
        <v>3123</v>
      </c>
      <c r="M388" s="5">
        <v>1.01</v>
      </c>
      <c r="N388" s="5">
        <v>50.7</v>
      </c>
      <c r="O388" s="7">
        <v>45996</v>
      </c>
      <c r="P388" s="5">
        <v>49.69</v>
      </c>
      <c r="Q388" s="5">
        <v>1.01</v>
      </c>
      <c r="R388" s="5" t="s">
        <v>32</v>
      </c>
      <c r="S388" s="5" t="s">
        <v>33</v>
      </c>
      <c r="T388" s="5">
        <v>0.51</v>
      </c>
      <c r="U388" s="5">
        <v>49.18</v>
      </c>
      <c r="V388" s="5" t="s">
        <v>34</v>
      </c>
      <c r="W388" s="5">
        <v>2</v>
      </c>
      <c r="X388" s="5">
        <v>6585911636828</v>
      </c>
      <c r="Y388" s="7">
        <v>46003</v>
      </c>
      <c r="Z388" s="7">
        <v>45996</v>
      </c>
      <c r="AB388" s="6">
        <v>46003</v>
      </c>
      <c r="AC388" s="7">
        <v>46000.686111111114</v>
      </c>
      <c r="AD388" s="5">
        <v>31231008535</v>
      </c>
      <c r="AE388" s="8">
        <v>45996</v>
      </c>
      <c r="AF388" s="5">
        <v>251204</v>
      </c>
      <c r="AG388" s="5" t="s">
        <v>37</v>
      </c>
      <c r="AH388" s="5">
        <v>206829</v>
      </c>
      <c r="AI388" s="6">
        <v>45996</v>
      </c>
      <c r="AJ388" s="6">
        <v>46003</v>
      </c>
      <c r="AK388" s="1">
        <f t="shared" ref="AK388" si="176">0.02*C388</f>
        <v>1.014</v>
      </c>
    </row>
    <row r="389" spans="1:37" hidden="1" x14ac:dyDescent="0.55000000000000004">
      <c r="A389">
        <v>3123</v>
      </c>
      <c r="B389">
        <v>1008568</v>
      </c>
      <c r="C389" s="1">
        <v>-2052.9</v>
      </c>
      <c r="E389" s="1">
        <v>-2052.9</v>
      </c>
      <c r="G389" s="1">
        <v>-2052.9</v>
      </c>
      <c r="H389" s="1"/>
      <c r="I389" s="1"/>
      <c r="J389" s="2">
        <v>46001</v>
      </c>
      <c r="K389" s="5">
        <v>1008568</v>
      </c>
      <c r="L389" s="5">
        <v>3123</v>
      </c>
      <c r="M389" s="5">
        <v>0</v>
      </c>
      <c r="N389" s="5">
        <v>-2052.9</v>
      </c>
      <c r="O389" s="7">
        <v>45997</v>
      </c>
      <c r="P389" s="5">
        <v>-2052.9</v>
      </c>
      <c r="Q389" s="5">
        <v>0</v>
      </c>
      <c r="R389" s="5">
        <v>1008568</v>
      </c>
      <c r="S389" s="5" t="s">
        <v>33</v>
      </c>
      <c r="T389" s="5">
        <v>0</v>
      </c>
      <c r="U389" s="5">
        <v>-2052.9</v>
      </c>
      <c r="V389" s="5" t="s">
        <v>34</v>
      </c>
      <c r="W389" s="5">
        <v>2</v>
      </c>
      <c r="X389" s="5">
        <v>6585911636828</v>
      </c>
      <c r="Y389" s="7">
        <v>46003</v>
      </c>
      <c r="Z389" s="7">
        <v>45997</v>
      </c>
      <c r="AB389" s="6">
        <v>46003</v>
      </c>
      <c r="AC389" s="7">
        <v>46000.686111111114</v>
      </c>
      <c r="AD389" s="5">
        <v>31231008568</v>
      </c>
      <c r="AE389" s="8">
        <v>45997</v>
      </c>
      <c r="AF389" s="5" t="s">
        <v>32</v>
      </c>
      <c r="AG389" s="5" t="s">
        <v>38</v>
      </c>
      <c r="AH389" s="5" t="s">
        <v>32</v>
      </c>
      <c r="AI389" s="6">
        <v>45997</v>
      </c>
      <c r="AJ389" s="6">
        <v>46001</v>
      </c>
    </row>
    <row r="390" spans="1:37" hidden="1" x14ac:dyDescent="0.55000000000000004">
      <c r="A390">
        <v>3130</v>
      </c>
      <c r="B390">
        <v>1007653</v>
      </c>
      <c r="C390" s="1">
        <v>3990</v>
      </c>
      <c r="E390" s="1">
        <v>3990</v>
      </c>
      <c r="F390">
        <v>39.9</v>
      </c>
      <c r="G390" s="1">
        <v>3950.1</v>
      </c>
      <c r="H390" s="1"/>
      <c r="I390" s="1"/>
      <c r="J390" s="2">
        <v>46003</v>
      </c>
      <c r="K390" s="5">
        <v>1007653</v>
      </c>
      <c r="L390" s="5">
        <v>3130</v>
      </c>
      <c r="M390" s="5">
        <v>0</v>
      </c>
      <c r="N390" s="5">
        <v>3990</v>
      </c>
      <c r="O390" s="7">
        <v>45993</v>
      </c>
      <c r="P390" s="5">
        <v>3990</v>
      </c>
      <c r="Q390" s="5">
        <v>0</v>
      </c>
      <c r="R390" s="5" t="s">
        <v>32</v>
      </c>
      <c r="S390" s="5" t="s">
        <v>33</v>
      </c>
      <c r="T390" s="5">
        <v>39.9</v>
      </c>
      <c r="U390" s="5">
        <v>3950.1</v>
      </c>
      <c r="V390" s="5" t="s">
        <v>34</v>
      </c>
      <c r="W390" s="5">
        <v>2</v>
      </c>
      <c r="X390" s="5">
        <v>2211197334439</v>
      </c>
      <c r="Y390" s="7">
        <v>46003</v>
      </c>
      <c r="Z390" s="7">
        <v>45993</v>
      </c>
      <c r="AB390" s="6">
        <v>46003</v>
      </c>
      <c r="AC390" s="7">
        <v>46001.381249999999</v>
      </c>
      <c r="AD390" s="5">
        <v>31301007653</v>
      </c>
      <c r="AE390" s="8">
        <v>45993</v>
      </c>
      <c r="AF390" s="5" t="s">
        <v>32</v>
      </c>
      <c r="AG390" s="5" t="s">
        <v>35</v>
      </c>
      <c r="AH390" s="5" t="s">
        <v>32</v>
      </c>
      <c r="AI390" s="6">
        <v>45993</v>
      </c>
      <c r="AJ390" s="6">
        <v>46003</v>
      </c>
    </row>
    <row r="391" spans="1:37" x14ac:dyDescent="0.55000000000000004">
      <c r="A391">
        <v>3151</v>
      </c>
      <c r="B391">
        <v>1007393</v>
      </c>
      <c r="C391">
        <v>118.04</v>
      </c>
      <c r="D391" s="4">
        <v>2.36</v>
      </c>
      <c r="E391">
        <v>115.68</v>
      </c>
      <c r="F391">
        <v>1.18</v>
      </c>
      <c r="G391">
        <v>114.5</v>
      </c>
      <c r="H391" s="14">
        <f t="shared" ref="H391:H394" si="177">C391-D391-F391</f>
        <v>114.5</v>
      </c>
      <c r="I391" s="14" t="b">
        <f t="shared" ref="I391:I394" si="178">G391=H391</f>
        <v>1</v>
      </c>
      <c r="J391" s="2">
        <v>46003</v>
      </c>
      <c r="K391" s="5">
        <v>1007393</v>
      </c>
      <c r="L391" s="5">
        <v>3151</v>
      </c>
      <c r="M391" s="5">
        <v>2.36</v>
      </c>
      <c r="N391" s="5">
        <v>118.04</v>
      </c>
      <c r="O391" s="7">
        <v>45992</v>
      </c>
      <c r="P391" s="5">
        <v>115.68</v>
      </c>
      <c r="Q391" s="5">
        <v>2.36</v>
      </c>
      <c r="R391" s="5" t="s">
        <v>32</v>
      </c>
      <c r="S391" s="5" t="s">
        <v>33</v>
      </c>
      <c r="T391" s="5">
        <v>1.18</v>
      </c>
      <c r="U391" s="5">
        <v>114.5</v>
      </c>
      <c r="V391" s="5" t="s">
        <v>34</v>
      </c>
      <c r="W391" s="5">
        <v>2</v>
      </c>
      <c r="X391" s="5">
        <v>3310541154657</v>
      </c>
      <c r="Y391" s="7">
        <v>46003</v>
      </c>
      <c r="Z391" s="7">
        <v>45992</v>
      </c>
      <c r="AB391" s="6">
        <v>46003</v>
      </c>
      <c r="AC391" s="7">
        <v>46002.499305555553</v>
      </c>
      <c r="AD391" s="5">
        <v>31511007393</v>
      </c>
      <c r="AE391" s="8">
        <v>45992</v>
      </c>
      <c r="AF391" s="5">
        <v>84441</v>
      </c>
      <c r="AG391" s="5" t="s">
        <v>37</v>
      </c>
      <c r="AH391" s="5">
        <v>205993</v>
      </c>
      <c r="AI391" s="6">
        <v>45992</v>
      </c>
      <c r="AJ391" s="6">
        <v>46003</v>
      </c>
      <c r="AK391" s="1">
        <f t="shared" ref="AK391:AK394" si="179">0.02*C391</f>
        <v>2.3608000000000002</v>
      </c>
    </row>
    <row r="392" spans="1:37" x14ac:dyDescent="0.55000000000000004">
      <c r="A392">
        <v>3151</v>
      </c>
      <c r="B392">
        <v>1007398</v>
      </c>
      <c r="C392">
        <v>66</v>
      </c>
      <c r="D392" s="4">
        <v>1.32</v>
      </c>
      <c r="E392">
        <v>64.680000000000007</v>
      </c>
      <c r="F392">
        <v>0.66</v>
      </c>
      <c r="G392">
        <v>64.02</v>
      </c>
      <c r="H392" s="14">
        <f t="shared" si="177"/>
        <v>64.02000000000001</v>
      </c>
      <c r="I392" s="14" t="b">
        <f t="shared" si="178"/>
        <v>1</v>
      </c>
      <c r="J392" s="2">
        <v>46003</v>
      </c>
      <c r="K392" s="5">
        <v>1007398</v>
      </c>
      <c r="L392" s="5">
        <v>3151</v>
      </c>
      <c r="M392" s="5">
        <v>1.32</v>
      </c>
      <c r="N392" s="5">
        <v>66</v>
      </c>
      <c r="O392" s="7">
        <v>45992</v>
      </c>
      <c r="P392" s="5">
        <v>64.680000000000007</v>
      </c>
      <c r="Q392" s="5">
        <v>1.32</v>
      </c>
      <c r="R392" s="5" t="s">
        <v>32</v>
      </c>
      <c r="S392" s="5" t="s">
        <v>33</v>
      </c>
      <c r="T392" s="5">
        <v>0.66</v>
      </c>
      <c r="U392" s="5">
        <v>64.02</v>
      </c>
      <c r="V392" s="5" t="s">
        <v>34</v>
      </c>
      <c r="W392" s="5">
        <v>2</v>
      </c>
      <c r="X392" s="5">
        <v>3310541154657</v>
      </c>
      <c r="Y392" s="7">
        <v>46003</v>
      </c>
      <c r="Z392" s="7">
        <v>45992</v>
      </c>
      <c r="AB392" s="6">
        <v>46003</v>
      </c>
      <c r="AC392" s="7">
        <v>46002.499305555553</v>
      </c>
      <c r="AD392" s="5">
        <v>31511007398</v>
      </c>
      <c r="AE392" s="8">
        <v>45992</v>
      </c>
      <c r="AF392" s="5">
        <v>84564</v>
      </c>
      <c r="AG392" s="5" t="s">
        <v>37</v>
      </c>
      <c r="AH392" s="5">
        <v>205994</v>
      </c>
      <c r="AI392" s="6">
        <v>45992</v>
      </c>
      <c r="AJ392" s="6">
        <v>46003</v>
      </c>
      <c r="AK392" s="1">
        <f t="shared" si="179"/>
        <v>1.32</v>
      </c>
    </row>
    <row r="393" spans="1:37" x14ac:dyDescent="0.55000000000000004">
      <c r="A393">
        <v>3151</v>
      </c>
      <c r="B393">
        <v>1007425</v>
      </c>
      <c r="C393">
        <v>66.44</v>
      </c>
      <c r="D393" s="4">
        <v>1.33</v>
      </c>
      <c r="E393">
        <v>65.11</v>
      </c>
      <c r="F393">
        <v>0.66</v>
      </c>
      <c r="G393">
        <v>64.45</v>
      </c>
      <c r="H393" s="14">
        <f t="shared" si="177"/>
        <v>64.45</v>
      </c>
      <c r="I393" s="14" t="b">
        <f t="shared" si="178"/>
        <v>1</v>
      </c>
      <c r="J393" s="2">
        <v>46003</v>
      </c>
      <c r="K393" s="5">
        <v>1007425</v>
      </c>
      <c r="L393" s="5">
        <v>3151</v>
      </c>
      <c r="M393" s="5">
        <v>1.33</v>
      </c>
      <c r="N393" s="5">
        <v>66.44</v>
      </c>
      <c r="O393" s="7">
        <v>45992</v>
      </c>
      <c r="P393" s="5">
        <v>65.11</v>
      </c>
      <c r="Q393" s="5">
        <v>1.33</v>
      </c>
      <c r="R393" s="5" t="s">
        <v>32</v>
      </c>
      <c r="S393" s="5" t="s">
        <v>33</v>
      </c>
      <c r="T393" s="5">
        <v>0.66</v>
      </c>
      <c r="U393" s="5">
        <v>64.45</v>
      </c>
      <c r="V393" s="5" t="s">
        <v>34</v>
      </c>
      <c r="W393" s="5">
        <v>2</v>
      </c>
      <c r="X393" s="5">
        <v>3310541154657</v>
      </c>
      <c r="Y393" s="7">
        <v>46003</v>
      </c>
      <c r="Z393" s="7">
        <v>45992</v>
      </c>
      <c r="AB393" s="6">
        <v>46003</v>
      </c>
      <c r="AC393" s="7">
        <v>46002.499305555553</v>
      </c>
      <c r="AD393" s="5">
        <v>31511007425</v>
      </c>
      <c r="AE393" s="8">
        <v>45992</v>
      </c>
      <c r="AF393" s="5">
        <v>84608</v>
      </c>
      <c r="AG393" s="5" t="s">
        <v>37</v>
      </c>
      <c r="AH393" s="5">
        <v>205949</v>
      </c>
      <c r="AI393" s="6">
        <v>45992</v>
      </c>
      <c r="AJ393" s="6">
        <v>46003</v>
      </c>
      <c r="AK393" s="1">
        <f t="shared" si="179"/>
        <v>1.3288</v>
      </c>
    </row>
    <row r="394" spans="1:37" x14ac:dyDescent="0.55000000000000004">
      <c r="A394">
        <v>3151</v>
      </c>
      <c r="B394">
        <v>1007429</v>
      </c>
      <c r="C394">
        <v>46.76</v>
      </c>
      <c r="D394" s="4">
        <v>0.94</v>
      </c>
      <c r="E394">
        <v>45.82</v>
      </c>
      <c r="F394">
        <v>0.47</v>
      </c>
      <c r="G394">
        <v>45.35</v>
      </c>
      <c r="H394" s="14">
        <f t="shared" si="177"/>
        <v>45.35</v>
      </c>
      <c r="I394" s="14" t="b">
        <f t="shared" si="178"/>
        <v>1</v>
      </c>
      <c r="J394" s="2">
        <v>46003</v>
      </c>
      <c r="K394" s="5">
        <v>1007429</v>
      </c>
      <c r="L394" s="5">
        <v>3151</v>
      </c>
      <c r="M394" s="5">
        <v>0.94</v>
      </c>
      <c r="N394" s="5">
        <v>46.76</v>
      </c>
      <c r="O394" s="7">
        <v>45992</v>
      </c>
      <c r="P394" s="5">
        <v>45.82</v>
      </c>
      <c r="Q394" s="5">
        <v>0.94</v>
      </c>
      <c r="R394" s="5" t="s">
        <v>32</v>
      </c>
      <c r="S394" s="5" t="s">
        <v>33</v>
      </c>
      <c r="T394" s="5">
        <v>0.47</v>
      </c>
      <c r="U394" s="5">
        <v>45.35</v>
      </c>
      <c r="V394" s="5" t="s">
        <v>34</v>
      </c>
      <c r="W394" s="5">
        <v>2</v>
      </c>
      <c r="X394" s="5">
        <v>3310541154657</v>
      </c>
      <c r="Y394" s="7">
        <v>46003</v>
      </c>
      <c r="Z394" s="7">
        <v>45992</v>
      </c>
      <c r="AB394" s="6">
        <v>46003</v>
      </c>
      <c r="AC394" s="7">
        <v>46002.499305555553</v>
      </c>
      <c r="AD394" s="5">
        <v>31511007429</v>
      </c>
      <c r="AE394" s="8">
        <v>45992</v>
      </c>
      <c r="AF394" s="5">
        <v>84564</v>
      </c>
      <c r="AG394" s="5" t="s">
        <v>37</v>
      </c>
      <c r="AH394" s="5">
        <v>205948</v>
      </c>
      <c r="AI394" s="6">
        <v>45992</v>
      </c>
      <c r="AJ394" s="6">
        <v>46003</v>
      </c>
      <c r="AK394" s="1">
        <f t="shared" si="179"/>
        <v>0.93520000000000003</v>
      </c>
    </row>
    <row r="395" spans="1:37" hidden="1" x14ac:dyDescent="0.55000000000000004">
      <c r="A395">
        <v>3151</v>
      </c>
      <c r="B395">
        <v>1007580</v>
      </c>
      <c r="C395" s="1">
        <v>3990</v>
      </c>
      <c r="E395" s="1">
        <v>3990</v>
      </c>
      <c r="F395">
        <v>39.9</v>
      </c>
      <c r="G395" s="1">
        <v>3950.1</v>
      </c>
      <c r="H395" s="1"/>
      <c r="I395" s="1"/>
      <c r="J395" s="2">
        <v>46003</v>
      </c>
      <c r="K395" s="5">
        <v>1007580</v>
      </c>
      <c r="L395" s="5">
        <v>3151</v>
      </c>
      <c r="M395" s="5">
        <v>0</v>
      </c>
      <c r="N395" s="5">
        <v>3990</v>
      </c>
      <c r="O395" s="7">
        <v>45993</v>
      </c>
      <c r="P395" s="5">
        <v>3990</v>
      </c>
      <c r="Q395" s="5">
        <v>0</v>
      </c>
      <c r="R395" s="5" t="s">
        <v>32</v>
      </c>
      <c r="S395" s="5" t="s">
        <v>33</v>
      </c>
      <c r="T395" s="5">
        <v>39.9</v>
      </c>
      <c r="U395" s="5">
        <v>3950.1</v>
      </c>
      <c r="V395" s="5" t="s">
        <v>34</v>
      </c>
      <c r="W395" s="5">
        <v>2</v>
      </c>
      <c r="X395" s="5">
        <v>3310541154657</v>
      </c>
      <c r="Y395" s="7">
        <v>46003</v>
      </c>
      <c r="Z395" s="7">
        <v>45993</v>
      </c>
      <c r="AB395" s="6">
        <v>46003</v>
      </c>
      <c r="AC395" s="7">
        <v>46002.499305555553</v>
      </c>
      <c r="AD395" s="5">
        <v>31511007580</v>
      </c>
      <c r="AE395" s="8">
        <v>45993</v>
      </c>
      <c r="AF395" s="5" t="s">
        <v>32</v>
      </c>
      <c r="AG395" s="5" t="s">
        <v>35</v>
      </c>
      <c r="AH395" s="5" t="s">
        <v>32</v>
      </c>
      <c r="AI395" s="6">
        <v>45993</v>
      </c>
      <c r="AJ395" s="6">
        <v>46003</v>
      </c>
    </row>
    <row r="396" spans="1:37" hidden="1" x14ac:dyDescent="0.55000000000000004">
      <c r="A396">
        <v>3151</v>
      </c>
      <c r="B396">
        <v>1007685</v>
      </c>
      <c r="C396" s="1">
        <v>2981.49</v>
      </c>
      <c r="E396" s="1">
        <v>2981.49</v>
      </c>
      <c r="F396">
        <v>29.81</v>
      </c>
      <c r="G396" s="1">
        <v>2951.68</v>
      </c>
      <c r="H396" s="1"/>
      <c r="I396" s="1"/>
      <c r="J396" s="2">
        <v>46003</v>
      </c>
      <c r="K396" s="5">
        <v>1007685</v>
      </c>
      <c r="L396" s="5">
        <v>3151</v>
      </c>
      <c r="M396" s="5">
        <v>0</v>
      </c>
      <c r="N396" s="5">
        <v>2981.49</v>
      </c>
      <c r="O396" s="7">
        <v>45993</v>
      </c>
      <c r="P396" s="5">
        <v>2981.49</v>
      </c>
      <c r="Q396" s="5">
        <v>0</v>
      </c>
      <c r="R396" s="5" t="s">
        <v>32</v>
      </c>
      <c r="S396" s="5" t="s">
        <v>33</v>
      </c>
      <c r="T396" s="5">
        <v>29.81</v>
      </c>
      <c r="U396" s="5">
        <v>2951.68</v>
      </c>
      <c r="V396" s="5" t="s">
        <v>34</v>
      </c>
      <c r="W396" s="5">
        <v>2</v>
      </c>
      <c r="X396" s="5">
        <v>3310541154657</v>
      </c>
      <c r="Y396" s="7">
        <v>46003</v>
      </c>
      <c r="Z396" s="7">
        <v>45993</v>
      </c>
      <c r="AB396" s="6">
        <v>46003</v>
      </c>
      <c r="AC396" s="7">
        <v>46002.499305555553</v>
      </c>
      <c r="AD396" s="5">
        <v>31511007685</v>
      </c>
      <c r="AE396" s="8">
        <v>45993</v>
      </c>
      <c r="AF396" s="5">
        <v>84677</v>
      </c>
      <c r="AG396" s="5" t="s">
        <v>38</v>
      </c>
      <c r="AH396" s="5">
        <v>206183</v>
      </c>
      <c r="AI396" s="6">
        <v>45993</v>
      </c>
      <c r="AJ396" s="6">
        <v>46003</v>
      </c>
    </row>
    <row r="397" spans="1:37" x14ac:dyDescent="0.55000000000000004">
      <c r="A397">
        <v>3151</v>
      </c>
      <c r="B397">
        <v>1007687</v>
      </c>
      <c r="C397">
        <v>137.56</v>
      </c>
      <c r="D397" s="4">
        <v>2.75</v>
      </c>
      <c r="E397">
        <v>134.81</v>
      </c>
      <c r="F397">
        <v>1.38</v>
      </c>
      <c r="G397">
        <v>133.43</v>
      </c>
      <c r="H397" s="14">
        <f>C397-D397-F397</f>
        <v>133.43</v>
      </c>
      <c r="I397" s="14" t="b">
        <f>G397=H397</f>
        <v>1</v>
      </c>
      <c r="J397" s="2">
        <v>46003</v>
      </c>
      <c r="K397" s="5">
        <v>1007687</v>
      </c>
      <c r="L397" s="5">
        <v>3151</v>
      </c>
      <c r="M397" s="5">
        <v>2.75</v>
      </c>
      <c r="N397" s="5">
        <v>137.56</v>
      </c>
      <c r="O397" s="7">
        <v>45993</v>
      </c>
      <c r="P397" s="5">
        <v>134.81</v>
      </c>
      <c r="Q397" s="5">
        <v>2.75</v>
      </c>
      <c r="R397" s="5" t="s">
        <v>32</v>
      </c>
      <c r="S397" s="5" t="s">
        <v>33</v>
      </c>
      <c r="T397" s="5">
        <v>1.38</v>
      </c>
      <c r="U397" s="5">
        <v>133.43</v>
      </c>
      <c r="V397" s="5" t="s">
        <v>34</v>
      </c>
      <c r="W397" s="5">
        <v>2</v>
      </c>
      <c r="X397" s="5">
        <v>3310541154657</v>
      </c>
      <c r="Y397" s="7">
        <v>46003</v>
      </c>
      <c r="Z397" s="7">
        <v>45993</v>
      </c>
      <c r="AB397" s="6">
        <v>46003</v>
      </c>
      <c r="AC397" s="7">
        <v>46002.499305555553</v>
      </c>
      <c r="AD397" s="5">
        <v>31511007687</v>
      </c>
      <c r="AE397" s="8">
        <v>45993</v>
      </c>
      <c r="AF397" s="5">
        <v>84687</v>
      </c>
      <c r="AG397" s="5" t="s">
        <v>37</v>
      </c>
      <c r="AH397" s="5">
        <v>206181</v>
      </c>
      <c r="AI397" s="6">
        <v>45993</v>
      </c>
      <c r="AJ397" s="6">
        <v>46003</v>
      </c>
      <c r="AK397" s="1">
        <f t="shared" ref="AK397" si="180">0.02*C397</f>
        <v>2.7512000000000003</v>
      </c>
    </row>
    <row r="398" spans="1:37" hidden="1" x14ac:dyDescent="0.55000000000000004">
      <c r="A398">
        <v>3151</v>
      </c>
      <c r="B398">
        <v>1007693</v>
      </c>
      <c r="C398" s="1">
        <v>4584.38</v>
      </c>
      <c r="E398" s="1">
        <v>4584.38</v>
      </c>
      <c r="F398">
        <v>45.84</v>
      </c>
      <c r="G398" s="1">
        <v>4538.54</v>
      </c>
      <c r="H398" s="1"/>
      <c r="I398" s="1"/>
      <c r="J398" s="2">
        <v>46003</v>
      </c>
      <c r="K398" s="5">
        <v>1007693</v>
      </c>
      <c r="L398" s="5">
        <v>3151</v>
      </c>
      <c r="M398" s="5">
        <v>0</v>
      </c>
      <c r="N398" s="5">
        <v>4584.38</v>
      </c>
      <c r="O398" s="7">
        <v>45993</v>
      </c>
      <c r="P398" s="5">
        <v>4584.38</v>
      </c>
      <c r="Q398" s="5">
        <v>0</v>
      </c>
      <c r="R398" s="5" t="s">
        <v>32</v>
      </c>
      <c r="S398" s="5" t="s">
        <v>33</v>
      </c>
      <c r="T398" s="5">
        <v>45.84</v>
      </c>
      <c r="U398" s="5">
        <v>4538.54</v>
      </c>
      <c r="V398" s="5" t="s">
        <v>34</v>
      </c>
      <c r="W398" s="5">
        <v>2</v>
      </c>
      <c r="X398" s="5">
        <v>3310541154657</v>
      </c>
      <c r="Y398" s="7">
        <v>46003</v>
      </c>
      <c r="Z398" s="7">
        <v>45993</v>
      </c>
      <c r="AB398" s="6">
        <v>46003</v>
      </c>
      <c r="AC398" s="7">
        <v>46002.499305555553</v>
      </c>
      <c r="AD398" s="5">
        <v>31511007693</v>
      </c>
      <c r="AE398" s="8">
        <v>45993</v>
      </c>
      <c r="AF398" s="5">
        <v>84687</v>
      </c>
      <c r="AG398" s="5" t="s">
        <v>38</v>
      </c>
      <c r="AH398" s="5">
        <v>206182</v>
      </c>
      <c r="AI398" s="6">
        <v>45993</v>
      </c>
      <c r="AJ398" s="6">
        <v>46003</v>
      </c>
    </row>
    <row r="399" spans="1:37" x14ac:dyDescent="0.55000000000000004">
      <c r="A399">
        <v>3151</v>
      </c>
      <c r="B399">
        <v>1007756</v>
      </c>
      <c r="C399">
        <v>23.16</v>
      </c>
      <c r="D399" s="4">
        <v>0.46</v>
      </c>
      <c r="E399">
        <v>22.7</v>
      </c>
      <c r="F399">
        <v>0.23</v>
      </c>
      <c r="G399">
        <v>22.47</v>
      </c>
      <c r="H399" s="14">
        <f>C399-D399-F399</f>
        <v>22.47</v>
      </c>
      <c r="I399" s="14" t="b">
        <f>G399=H399</f>
        <v>1</v>
      </c>
      <c r="J399" s="2">
        <v>46003</v>
      </c>
      <c r="K399" s="5">
        <v>1007756</v>
      </c>
      <c r="L399" s="5">
        <v>3151</v>
      </c>
      <c r="M399" s="5">
        <v>0.46</v>
      </c>
      <c r="N399" s="5">
        <v>23.16</v>
      </c>
      <c r="O399" s="7">
        <v>45993</v>
      </c>
      <c r="P399" s="5">
        <v>22.7</v>
      </c>
      <c r="Q399" s="5">
        <v>0.46</v>
      </c>
      <c r="R399" s="5" t="s">
        <v>32</v>
      </c>
      <c r="S399" s="5" t="s">
        <v>33</v>
      </c>
      <c r="T399" s="5">
        <v>0.23</v>
      </c>
      <c r="U399" s="5">
        <v>22.47</v>
      </c>
      <c r="V399" s="5" t="s">
        <v>34</v>
      </c>
      <c r="W399" s="5">
        <v>2</v>
      </c>
      <c r="X399" s="5">
        <v>3310541154657</v>
      </c>
      <c r="Y399" s="7">
        <v>46003</v>
      </c>
      <c r="Z399" s="7">
        <v>45993</v>
      </c>
      <c r="AB399" s="6">
        <v>46003</v>
      </c>
      <c r="AC399" s="7">
        <v>46002.499305555553</v>
      </c>
      <c r="AD399" s="5">
        <v>31511007756</v>
      </c>
      <c r="AE399" s="8">
        <v>45993</v>
      </c>
      <c r="AF399" s="5">
        <v>84528</v>
      </c>
      <c r="AG399" s="5" t="s">
        <v>37</v>
      </c>
      <c r="AH399" s="5">
        <v>206262</v>
      </c>
      <c r="AI399" s="6">
        <v>45993</v>
      </c>
      <c r="AJ399" s="6">
        <v>46003</v>
      </c>
      <c r="AK399" s="1">
        <f t="shared" ref="AK399" si="181">0.02*C399</f>
        <v>0.4632</v>
      </c>
    </row>
    <row r="400" spans="1:37" hidden="1" x14ac:dyDescent="0.55000000000000004">
      <c r="A400">
        <v>3151</v>
      </c>
      <c r="B400">
        <v>1007822</v>
      </c>
      <c r="C400" s="1">
        <v>3478.42</v>
      </c>
      <c r="E400" s="1">
        <v>3478.42</v>
      </c>
      <c r="F400">
        <v>34.78</v>
      </c>
      <c r="G400" s="1">
        <v>3443.64</v>
      </c>
      <c r="H400" s="1"/>
      <c r="I400" s="1"/>
      <c r="J400" s="2">
        <v>46003</v>
      </c>
      <c r="K400" s="5">
        <v>1007822</v>
      </c>
      <c r="L400" s="5">
        <v>3151</v>
      </c>
      <c r="M400" s="5">
        <v>0</v>
      </c>
      <c r="N400" s="5">
        <v>3478.42</v>
      </c>
      <c r="O400" s="7">
        <v>45993</v>
      </c>
      <c r="P400" s="5">
        <v>3478.42</v>
      </c>
      <c r="Q400" s="5">
        <v>0</v>
      </c>
      <c r="R400" s="5" t="s">
        <v>32</v>
      </c>
      <c r="S400" s="5" t="s">
        <v>33</v>
      </c>
      <c r="T400" s="5">
        <v>34.78</v>
      </c>
      <c r="U400" s="5">
        <v>3443.64</v>
      </c>
      <c r="V400" s="5" t="s">
        <v>34</v>
      </c>
      <c r="W400" s="5">
        <v>2</v>
      </c>
      <c r="X400" s="5">
        <v>3310541154657</v>
      </c>
      <c r="Y400" s="7">
        <v>46003</v>
      </c>
      <c r="Z400" s="7">
        <v>45993</v>
      </c>
      <c r="AB400" s="6">
        <v>46003</v>
      </c>
      <c r="AC400" s="7">
        <v>46002.499305555553</v>
      </c>
      <c r="AD400" s="5">
        <v>31511007822</v>
      </c>
      <c r="AE400" s="8">
        <v>45993</v>
      </c>
      <c r="AF400" s="5">
        <v>84291</v>
      </c>
      <c r="AG400" s="5" t="s">
        <v>38</v>
      </c>
      <c r="AH400" s="5">
        <v>206079</v>
      </c>
      <c r="AI400" s="6">
        <v>45993</v>
      </c>
      <c r="AJ400" s="6">
        <v>46003</v>
      </c>
    </row>
    <row r="401" spans="1:37" x14ac:dyDescent="0.55000000000000004">
      <c r="A401">
        <v>3151</v>
      </c>
      <c r="B401">
        <v>1007859</v>
      </c>
      <c r="C401">
        <v>682.81</v>
      </c>
      <c r="D401" s="4">
        <v>13.66</v>
      </c>
      <c r="E401">
        <v>669.15</v>
      </c>
      <c r="F401">
        <v>6.83</v>
      </c>
      <c r="G401">
        <v>662.32</v>
      </c>
      <c r="H401" s="14">
        <f>C401-D401-F401</f>
        <v>662.31999999999994</v>
      </c>
      <c r="I401" s="14" t="b">
        <f>G401=H401</f>
        <v>1</v>
      </c>
      <c r="J401" s="2">
        <v>46003</v>
      </c>
      <c r="K401" s="5">
        <v>1007859</v>
      </c>
      <c r="L401" s="5">
        <v>3151</v>
      </c>
      <c r="M401" s="5">
        <v>13.66</v>
      </c>
      <c r="N401" s="5">
        <v>682.81</v>
      </c>
      <c r="O401" s="7">
        <v>45993</v>
      </c>
      <c r="P401" s="5">
        <v>669.15</v>
      </c>
      <c r="Q401" s="5">
        <v>13.66</v>
      </c>
      <c r="R401" s="5" t="s">
        <v>32</v>
      </c>
      <c r="S401" s="5" t="s">
        <v>33</v>
      </c>
      <c r="T401" s="5">
        <v>6.83</v>
      </c>
      <c r="U401" s="5">
        <v>662.32</v>
      </c>
      <c r="V401" s="5" t="s">
        <v>34</v>
      </c>
      <c r="W401" s="5">
        <v>2</v>
      </c>
      <c r="X401" s="5">
        <v>3310541154657</v>
      </c>
      <c r="Y401" s="7">
        <v>46003</v>
      </c>
      <c r="Z401" s="7">
        <v>45993</v>
      </c>
      <c r="AB401" s="6">
        <v>46003</v>
      </c>
      <c r="AC401" s="7">
        <v>46002.499305555553</v>
      </c>
      <c r="AD401" s="5">
        <v>31511007859</v>
      </c>
      <c r="AE401" s="8">
        <v>45993</v>
      </c>
      <c r="AF401" s="5">
        <v>84687</v>
      </c>
      <c r="AG401" s="5" t="s">
        <v>37</v>
      </c>
      <c r="AH401" s="5">
        <v>206142</v>
      </c>
      <c r="AI401" s="6">
        <v>45993</v>
      </c>
      <c r="AJ401" s="6">
        <v>46003</v>
      </c>
      <c r="AK401" s="1">
        <f t="shared" ref="AK401" si="182">0.02*C401</f>
        <v>13.656199999999998</v>
      </c>
    </row>
    <row r="402" spans="1:37" hidden="1" x14ac:dyDescent="0.55000000000000004">
      <c r="A402">
        <v>3151</v>
      </c>
      <c r="B402">
        <v>1007922</v>
      </c>
      <c r="C402">
        <v>364.46</v>
      </c>
      <c r="E402">
        <v>364.46</v>
      </c>
      <c r="F402">
        <v>3.64</v>
      </c>
      <c r="G402">
        <v>360.82</v>
      </c>
      <c r="H402"/>
      <c r="I402"/>
      <c r="J402" s="2">
        <v>46003</v>
      </c>
      <c r="K402" s="5">
        <v>1007922</v>
      </c>
      <c r="L402" s="5">
        <v>3151</v>
      </c>
      <c r="M402" s="5">
        <v>0</v>
      </c>
      <c r="N402" s="5">
        <v>364.46</v>
      </c>
      <c r="O402" s="7">
        <v>45994</v>
      </c>
      <c r="P402" s="5">
        <v>364.46</v>
      </c>
      <c r="Q402" s="5">
        <v>0</v>
      </c>
      <c r="R402" s="5" t="s">
        <v>32</v>
      </c>
      <c r="S402" s="5" t="s">
        <v>33</v>
      </c>
      <c r="T402" s="5">
        <v>3.64</v>
      </c>
      <c r="U402" s="5">
        <v>360.82</v>
      </c>
      <c r="V402" s="5" t="s">
        <v>34</v>
      </c>
      <c r="W402" s="5">
        <v>2</v>
      </c>
      <c r="X402" s="5">
        <v>3310541154657</v>
      </c>
      <c r="Y402" s="7">
        <v>46003</v>
      </c>
      <c r="Z402" s="7">
        <v>45994</v>
      </c>
      <c r="AB402" s="6">
        <v>46003</v>
      </c>
      <c r="AC402" s="7">
        <v>46002.499305555553</v>
      </c>
      <c r="AD402" s="5">
        <v>31511007922</v>
      </c>
      <c r="AE402" s="8">
        <v>45994</v>
      </c>
      <c r="AF402" s="5">
        <v>84493</v>
      </c>
      <c r="AG402" s="5" t="s">
        <v>38</v>
      </c>
      <c r="AH402" s="5">
        <v>206424</v>
      </c>
      <c r="AI402" s="6">
        <v>45994</v>
      </c>
      <c r="AJ402" s="6">
        <v>46003</v>
      </c>
    </row>
    <row r="403" spans="1:37" hidden="1" x14ac:dyDescent="0.55000000000000004">
      <c r="A403">
        <v>3151</v>
      </c>
      <c r="B403">
        <v>1007928</v>
      </c>
      <c r="C403" s="1">
        <v>5669.8</v>
      </c>
      <c r="E403" s="1">
        <v>5669.8</v>
      </c>
      <c r="F403">
        <v>56.7</v>
      </c>
      <c r="G403" s="1">
        <v>5613.1</v>
      </c>
      <c r="H403" s="1"/>
      <c r="I403" s="1"/>
      <c r="J403" s="2">
        <v>46003</v>
      </c>
      <c r="K403" s="5">
        <v>1007928</v>
      </c>
      <c r="L403" s="5">
        <v>3151</v>
      </c>
      <c r="M403" s="5">
        <v>0</v>
      </c>
      <c r="N403" s="5">
        <v>5669.8</v>
      </c>
      <c r="O403" s="7">
        <v>45994</v>
      </c>
      <c r="P403" s="5">
        <v>5669.8</v>
      </c>
      <c r="Q403" s="5">
        <v>0</v>
      </c>
      <c r="R403" s="5" t="s">
        <v>32</v>
      </c>
      <c r="S403" s="5" t="s">
        <v>33</v>
      </c>
      <c r="T403" s="5">
        <v>56.7</v>
      </c>
      <c r="U403" s="5">
        <v>5613.1</v>
      </c>
      <c r="V403" s="5" t="s">
        <v>34</v>
      </c>
      <c r="W403" s="5">
        <v>2</v>
      </c>
      <c r="X403" s="5">
        <v>3310541154657</v>
      </c>
      <c r="Y403" s="7">
        <v>46003</v>
      </c>
      <c r="Z403" s="7">
        <v>45994</v>
      </c>
      <c r="AB403" s="6">
        <v>46003</v>
      </c>
      <c r="AC403" s="7">
        <v>46002.499305555553</v>
      </c>
      <c r="AD403" s="5">
        <v>31511007928</v>
      </c>
      <c r="AE403" s="8">
        <v>45994</v>
      </c>
      <c r="AF403" s="5">
        <v>84669</v>
      </c>
      <c r="AG403" s="5" t="s">
        <v>38</v>
      </c>
      <c r="AH403" s="5">
        <v>206425</v>
      </c>
      <c r="AI403" s="6">
        <v>45994</v>
      </c>
      <c r="AJ403" s="6">
        <v>46003</v>
      </c>
    </row>
    <row r="404" spans="1:37" hidden="1" x14ac:dyDescent="0.55000000000000004">
      <c r="A404">
        <v>3151</v>
      </c>
      <c r="B404">
        <v>1007930</v>
      </c>
      <c r="C404">
        <v>566.96</v>
      </c>
      <c r="E404">
        <v>566.96</v>
      </c>
      <c r="F404">
        <v>5.67</v>
      </c>
      <c r="G404">
        <v>561.29</v>
      </c>
      <c r="H404"/>
      <c r="I404"/>
      <c r="J404" s="2">
        <v>46003</v>
      </c>
      <c r="K404" s="5">
        <v>1007930</v>
      </c>
      <c r="L404" s="5">
        <v>3151</v>
      </c>
      <c r="M404" s="5">
        <v>0</v>
      </c>
      <c r="N404" s="5">
        <v>566.96</v>
      </c>
      <c r="O404" s="7">
        <v>45994</v>
      </c>
      <c r="P404" s="5">
        <v>566.96</v>
      </c>
      <c r="Q404" s="5">
        <v>0</v>
      </c>
      <c r="R404" s="5" t="s">
        <v>32</v>
      </c>
      <c r="S404" s="5" t="s">
        <v>33</v>
      </c>
      <c r="T404" s="5">
        <v>5.67</v>
      </c>
      <c r="U404" s="5">
        <v>561.29</v>
      </c>
      <c r="V404" s="5" t="s">
        <v>34</v>
      </c>
      <c r="W404" s="5">
        <v>2</v>
      </c>
      <c r="X404" s="5">
        <v>3310541154657</v>
      </c>
      <c r="Y404" s="7">
        <v>46003</v>
      </c>
      <c r="Z404" s="7">
        <v>45994</v>
      </c>
      <c r="AB404" s="6">
        <v>46003</v>
      </c>
      <c r="AC404" s="7">
        <v>46002.499305555553</v>
      </c>
      <c r="AD404" s="5">
        <v>31511007930</v>
      </c>
      <c r="AE404" s="8">
        <v>45994</v>
      </c>
      <c r="AF404" s="5">
        <v>82984</v>
      </c>
      <c r="AG404" s="5" t="s">
        <v>38</v>
      </c>
      <c r="AH404" s="5">
        <v>206423</v>
      </c>
      <c r="AI404" s="6">
        <v>45994</v>
      </c>
      <c r="AJ404" s="6">
        <v>46003</v>
      </c>
    </row>
    <row r="405" spans="1:37" hidden="1" x14ac:dyDescent="0.55000000000000004">
      <c r="A405">
        <v>3151</v>
      </c>
      <c r="B405">
        <v>1008015</v>
      </c>
      <c r="C405" s="1">
        <v>4013.66</v>
      </c>
      <c r="E405" s="1">
        <v>4013.66</v>
      </c>
      <c r="F405">
        <v>40.14</v>
      </c>
      <c r="G405" s="1">
        <v>3973.52</v>
      </c>
      <c r="H405" s="1"/>
      <c r="I405" s="1"/>
      <c r="J405" s="2">
        <v>46003</v>
      </c>
      <c r="K405" s="5">
        <v>1008015</v>
      </c>
      <c r="L405" s="5">
        <v>3151</v>
      </c>
      <c r="M405" s="5">
        <v>0</v>
      </c>
      <c r="N405" s="5">
        <v>4013.66</v>
      </c>
      <c r="O405" s="7">
        <v>45994</v>
      </c>
      <c r="P405" s="5">
        <v>4013.66</v>
      </c>
      <c r="Q405" s="5">
        <v>0</v>
      </c>
      <c r="R405" s="5" t="s">
        <v>32</v>
      </c>
      <c r="S405" s="5" t="s">
        <v>33</v>
      </c>
      <c r="T405" s="5">
        <v>40.14</v>
      </c>
      <c r="U405" s="5">
        <v>3973.52</v>
      </c>
      <c r="V405" s="5" t="s">
        <v>34</v>
      </c>
      <c r="W405" s="5">
        <v>2</v>
      </c>
      <c r="X405" s="5">
        <v>3310541154657</v>
      </c>
      <c r="Y405" s="7">
        <v>46003</v>
      </c>
      <c r="Z405" s="7">
        <v>45994</v>
      </c>
      <c r="AB405" s="6">
        <v>46003</v>
      </c>
      <c r="AC405" s="7">
        <v>46002.499305555553</v>
      </c>
      <c r="AD405" s="5">
        <v>31511008015</v>
      </c>
      <c r="AE405" s="8">
        <v>45994</v>
      </c>
      <c r="AF405" s="5">
        <v>84528</v>
      </c>
      <c r="AG405" s="5" t="s">
        <v>38</v>
      </c>
      <c r="AH405" s="5">
        <v>206273</v>
      </c>
      <c r="AI405" s="6">
        <v>45994</v>
      </c>
      <c r="AJ405" s="6">
        <v>46003</v>
      </c>
    </row>
    <row r="406" spans="1:37" x14ac:dyDescent="0.55000000000000004">
      <c r="A406">
        <v>3151</v>
      </c>
      <c r="B406">
        <v>1008021</v>
      </c>
      <c r="C406" s="1">
        <v>1000.06</v>
      </c>
      <c r="D406" s="4">
        <v>20</v>
      </c>
      <c r="E406">
        <v>980.06</v>
      </c>
      <c r="F406">
        <v>10</v>
      </c>
      <c r="G406">
        <v>970.06</v>
      </c>
      <c r="H406" s="14">
        <f t="shared" ref="H406:H407" si="183">C406-D406-F406</f>
        <v>970.06</v>
      </c>
      <c r="I406" s="14" t="b">
        <f t="shared" ref="I406:I407" si="184">G406=H406</f>
        <v>1</v>
      </c>
      <c r="J406" s="2">
        <v>46003</v>
      </c>
      <c r="K406" s="5">
        <v>1008021</v>
      </c>
      <c r="L406" s="5">
        <v>3151</v>
      </c>
      <c r="M406" s="5">
        <v>20</v>
      </c>
      <c r="N406" s="5">
        <v>1000.06</v>
      </c>
      <c r="O406" s="7">
        <v>45994</v>
      </c>
      <c r="P406" s="5">
        <v>980.06</v>
      </c>
      <c r="Q406" s="5">
        <v>20</v>
      </c>
      <c r="R406" s="5" t="s">
        <v>32</v>
      </c>
      <c r="S406" s="5" t="s">
        <v>33</v>
      </c>
      <c r="T406" s="5">
        <v>10</v>
      </c>
      <c r="U406" s="5">
        <v>970.06</v>
      </c>
      <c r="V406" s="5" t="s">
        <v>34</v>
      </c>
      <c r="W406" s="5">
        <v>2</v>
      </c>
      <c r="X406" s="5">
        <v>3310541154657</v>
      </c>
      <c r="Y406" s="7">
        <v>46003</v>
      </c>
      <c r="Z406" s="7">
        <v>45994</v>
      </c>
      <c r="AB406" s="6">
        <v>46003</v>
      </c>
      <c r="AC406" s="7">
        <v>46002.499305555553</v>
      </c>
      <c r="AD406" s="5">
        <v>31511008021</v>
      </c>
      <c r="AE406" s="8">
        <v>45994</v>
      </c>
      <c r="AF406" s="5">
        <v>84528</v>
      </c>
      <c r="AG406" s="5" t="s">
        <v>37</v>
      </c>
      <c r="AH406" s="5">
        <v>206272</v>
      </c>
      <c r="AI406" s="6">
        <v>45994</v>
      </c>
      <c r="AJ406" s="6">
        <v>46003</v>
      </c>
      <c r="AK406" s="1">
        <f t="shared" ref="AK406:AK407" si="185">0.02*C406</f>
        <v>20.001200000000001</v>
      </c>
    </row>
    <row r="407" spans="1:37" x14ac:dyDescent="0.55000000000000004">
      <c r="A407">
        <v>3151</v>
      </c>
      <c r="B407">
        <v>1008039</v>
      </c>
      <c r="C407">
        <v>42.71</v>
      </c>
      <c r="D407" s="4">
        <v>0.85</v>
      </c>
      <c r="E407">
        <v>41.86</v>
      </c>
      <c r="F407">
        <v>0.43</v>
      </c>
      <c r="G407">
        <v>41.43</v>
      </c>
      <c r="H407" s="14">
        <f t="shared" si="183"/>
        <v>41.43</v>
      </c>
      <c r="I407" s="14" t="b">
        <f t="shared" si="184"/>
        <v>1</v>
      </c>
      <c r="J407" s="2">
        <v>46003</v>
      </c>
      <c r="K407" s="5">
        <v>1008039</v>
      </c>
      <c r="L407" s="5">
        <v>3151</v>
      </c>
      <c r="M407" s="5">
        <v>0.85</v>
      </c>
      <c r="N407" s="5">
        <v>42.71</v>
      </c>
      <c r="O407" s="7">
        <v>45994</v>
      </c>
      <c r="P407" s="5">
        <v>41.86</v>
      </c>
      <c r="Q407" s="5">
        <v>0.85</v>
      </c>
      <c r="R407" s="5" t="s">
        <v>32</v>
      </c>
      <c r="S407" s="5" t="s">
        <v>33</v>
      </c>
      <c r="T407" s="5">
        <v>0.43</v>
      </c>
      <c r="U407" s="5">
        <v>41.43</v>
      </c>
      <c r="V407" s="5" t="s">
        <v>34</v>
      </c>
      <c r="W407" s="5">
        <v>2</v>
      </c>
      <c r="X407" s="5">
        <v>3310541154657</v>
      </c>
      <c r="Y407" s="7">
        <v>46003</v>
      </c>
      <c r="Z407" s="7">
        <v>45994</v>
      </c>
      <c r="AB407" s="6">
        <v>46003</v>
      </c>
      <c r="AC407" s="7">
        <v>46002.499305555553</v>
      </c>
      <c r="AD407" s="5">
        <v>31511008039</v>
      </c>
      <c r="AE407" s="8">
        <v>45994</v>
      </c>
      <c r="AF407" s="5">
        <v>84564</v>
      </c>
      <c r="AG407" s="5" t="s">
        <v>37</v>
      </c>
      <c r="AH407" s="5">
        <v>206051</v>
      </c>
      <c r="AI407" s="6">
        <v>45994</v>
      </c>
      <c r="AJ407" s="6">
        <v>46003</v>
      </c>
      <c r="AK407" s="1">
        <f t="shared" si="185"/>
        <v>0.85420000000000007</v>
      </c>
    </row>
    <row r="408" spans="1:37" hidden="1" x14ac:dyDescent="0.55000000000000004">
      <c r="A408">
        <v>3151</v>
      </c>
      <c r="B408">
        <v>1008141</v>
      </c>
      <c r="C408" s="1">
        <v>5375.84</v>
      </c>
      <c r="E408" s="1">
        <v>5375.84</v>
      </c>
      <c r="F408">
        <v>53.76</v>
      </c>
      <c r="G408" s="1">
        <v>5322.08</v>
      </c>
      <c r="H408" s="1"/>
      <c r="I408" s="1"/>
      <c r="J408" s="2">
        <v>46003</v>
      </c>
      <c r="K408" s="5">
        <v>1008141</v>
      </c>
      <c r="L408" s="5">
        <v>3151</v>
      </c>
      <c r="M408" s="5">
        <v>0</v>
      </c>
      <c r="N408" s="5">
        <v>5375.84</v>
      </c>
      <c r="O408" s="7">
        <v>45995</v>
      </c>
      <c r="P408" s="5">
        <v>5375.84</v>
      </c>
      <c r="Q408" s="5">
        <v>0</v>
      </c>
      <c r="R408" s="5" t="s">
        <v>32</v>
      </c>
      <c r="S408" s="5" t="s">
        <v>33</v>
      </c>
      <c r="T408" s="5">
        <v>53.76</v>
      </c>
      <c r="U408" s="5">
        <v>5322.08</v>
      </c>
      <c r="V408" s="5" t="s">
        <v>34</v>
      </c>
      <c r="W408" s="5">
        <v>2</v>
      </c>
      <c r="X408" s="5">
        <v>3310541154657</v>
      </c>
      <c r="Y408" s="7">
        <v>46003</v>
      </c>
      <c r="Z408" s="7">
        <v>45995</v>
      </c>
      <c r="AB408" s="6">
        <v>46003</v>
      </c>
      <c r="AC408" s="7">
        <v>46002.499305555553</v>
      </c>
      <c r="AD408" s="5">
        <v>31511008141</v>
      </c>
      <c r="AE408" s="8">
        <v>45995</v>
      </c>
      <c r="AF408" s="5">
        <v>84528</v>
      </c>
      <c r="AG408" s="5" t="s">
        <v>38</v>
      </c>
      <c r="AH408" s="5">
        <v>206638</v>
      </c>
      <c r="AI408" s="6">
        <v>45995</v>
      </c>
      <c r="AJ408" s="6">
        <v>46003</v>
      </c>
    </row>
    <row r="409" spans="1:37" hidden="1" x14ac:dyDescent="0.55000000000000004">
      <c r="A409">
        <v>3151</v>
      </c>
      <c r="B409">
        <v>1008282</v>
      </c>
      <c r="C409">
        <v>-50</v>
      </c>
      <c r="E409">
        <v>-50</v>
      </c>
      <c r="G409">
        <v>-50</v>
      </c>
      <c r="H409"/>
      <c r="I409"/>
      <c r="J409" s="2">
        <v>46003</v>
      </c>
      <c r="K409" s="5">
        <v>1008282</v>
      </c>
      <c r="L409" s="5">
        <v>3151</v>
      </c>
      <c r="M409" s="5">
        <v>0</v>
      </c>
      <c r="N409" s="5">
        <v>-50</v>
      </c>
      <c r="O409" s="7">
        <v>45995</v>
      </c>
      <c r="P409" s="5">
        <v>-50</v>
      </c>
      <c r="Q409" s="5">
        <v>0</v>
      </c>
      <c r="R409" s="5" t="s">
        <v>40</v>
      </c>
      <c r="S409" s="5" t="s">
        <v>33</v>
      </c>
      <c r="T409" s="5">
        <v>0</v>
      </c>
      <c r="U409" s="5">
        <v>-50</v>
      </c>
      <c r="V409" s="5" t="s">
        <v>34</v>
      </c>
      <c r="W409" s="5">
        <v>2</v>
      </c>
      <c r="X409" s="5">
        <v>3310541154657</v>
      </c>
      <c r="Y409" s="7">
        <v>46003</v>
      </c>
      <c r="Z409" s="7">
        <v>45995</v>
      </c>
      <c r="AB409" s="6">
        <v>46003</v>
      </c>
      <c r="AC409" s="7">
        <v>46002.499305555553</v>
      </c>
      <c r="AD409" s="5">
        <v>31511008282</v>
      </c>
      <c r="AE409" s="8">
        <v>45995</v>
      </c>
      <c r="AF409" s="5" t="s">
        <v>41</v>
      </c>
      <c r="AG409" s="5" t="s">
        <v>38</v>
      </c>
      <c r="AH409" s="5" t="s">
        <v>40</v>
      </c>
      <c r="AI409" s="6">
        <v>45995</v>
      </c>
      <c r="AJ409" s="6">
        <v>46003</v>
      </c>
    </row>
    <row r="410" spans="1:37" hidden="1" x14ac:dyDescent="0.55000000000000004">
      <c r="A410">
        <v>3151</v>
      </c>
      <c r="B410">
        <v>1008387</v>
      </c>
      <c r="C410">
        <v>376.2</v>
      </c>
      <c r="E410">
        <v>376.2</v>
      </c>
      <c r="F410">
        <v>3.76</v>
      </c>
      <c r="G410">
        <v>372.44</v>
      </c>
      <c r="H410"/>
      <c r="I410"/>
      <c r="J410" s="2">
        <v>46003</v>
      </c>
      <c r="K410" s="5">
        <v>1008387</v>
      </c>
      <c r="L410" s="5">
        <v>3151</v>
      </c>
      <c r="M410" s="5">
        <v>0</v>
      </c>
      <c r="N410" s="5">
        <v>376.2</v>
      </c>
      <c r="O410" s="7">
        <v>45996</v>
      </c>
      <c r="P410" s="5">
        <v>376.2</v>
      </c>
      <c r="Q410" s="5">
        <v>0</v>
      </c>
      <c r="R410" s="5" t="s">
        <v>229</v>
      </c>
      <c r="S410" s="5" t="s">
        <v>230</v>
      </c>
      <c r="T410" s="5">
        <v>3.76</v>
      </c>
      <c r="U410" s="5">
        <v>372.44</v>
      </c>
      <c r="V410" s="5" t="s">
        <v>34</v>
      </c>
      <c r="W410" s="5">
        <v>2</v>
      </c>
      <c r="X410" s="5">
        <v>3310541154657</v>
      </c>
      <c r="Y410" s="7">
        <v>46003</v>
      </c>
      <c r="Z410" s="7">
        <v>45996</v>
      </c>
      <c r="AB410" s="6">
        <v>46003</v>
      </c>
      <c r="AC410" s="7">
        <v>46002.499305555553</v>
      </c>
      <c r="AD410" s="5">
        <v>31511008387</v>
      </c>
      <c r="AE410" s="8">
        <v>45996</v>
      </c>
      <c r="AF410" s="5">
        <v>84159</v>
      </c>
      <c r="AG410" s="5" t="s">
        <v>38</v>
      </c>
      <c r="AH410" s="5" t="s">
        <v>229</v>
      </c>
      <c r="AI410" s="6">
        <v>45996</v>
      </c>
      <c r="AJ410" s="6">
        <v>46003</v>
      </c>
    </row>
    <row r="411" spans="1:37" hidden="1" x14ac:dyDescent="0.55000000000000004">
      <c r="A411">
        <v>3151</v>
      </c>
      <c r="B411">
        <v>1008397</v>
      </c>
      <c r="C411">
        <v>983.32</v>
      </c>
      <c r="E411">
        <v>983.32</v>
      </c>
      <c r="F411">
        <v>9.83</v>
      </c>
      <c r="G411">
        <v>973.49</v>
      </c>
      <c r="H411"/>
      <c r="I411"/>
      <c r="J411" s="2">
        <v>46003</v>
      </c>
      <c r="K411" s="5">
        <v>1008397</v>
      </c>
      <c r="L411" s="5">
        <v>3151</v>
      </c>
      <c r="M411" s="5">
        <v>0</v>
      </c>
      <c r="N411" s="5">
        <v>983.32</v>
      </c>
      <c r="O411" s="7">
        <v>45996</v>
      </c>
      <c r="P411" s="5">
        <v>983.32</v>
      </c>
      <c r="Q411" s="5">
        <v>0</v>
      </c>
      <c r="R411" s="5">
        <v>84561</v>
      </c>
      <c r="S411" s="5" t="s">
        <v>122</v>
      </c>
      <c r="T411" s="5">
        <v>9.83</v>
      </c>
      <c r="U411" s="5">
        <v>973.49</v>
      </c>
      <c r="V411" s="5" t="s">
        <v>34</v>
      </c>
      <c r="W411" s="5">
        <v>2</v>
      </c>
      <c r="X411" s="5">
        <v>3310541154657</v>
      </c>
      <c r="Y411" s="7">
        <v>46003</v>
      </c>
      <c r="Z411" s="7">
        <v>45996</v>
      </c>
      <c r="AB411" s="6">
        <v>46003</v>
      </c>
      <c r="AC411" s="7">
        <v>46002.499305555553</v>
      </c>
      <c r="AD411" s="5">
        <v>31511008397</v>
      </c>
      <c r="AE411" s="8">
        <v>45996</v>
      </c>
      <c r="AF411" s="5">
        <v>84561</v>
      </c>
      <c r="AG411" s="5" t="s">
        <v>38</v>
      </c>
      <c r="AH411" s="5">
        <v>84561</v>
      </c>
      <c r="AI411" s="6">
        <v>45996</v>
      </c>
      <c r="AJ411" s="6">
        <v>46003</v>
      </c>
    </row>
    <row r="412" spans="1:37" x14ac:dyDescent="0.55000000000000004">
      <c r="A412">
        <v>3151</v>
      </c>
      <c r="B412">
        <v>1008547</v>
      </c>
      <c r="C412">
        <v>550.58000000000004</v>
      </c>
      <c r="D412" s="4">
        <v>11.01</v>
      </c>
      <c r="E412">
        <v>539.57000000000005</v>
      </c>
      <c r="F412">
        <v>5.51</v>
      </c>
      <c r="G412">
        <v>534.05999999999995</v>
      </c>
      <c r="H412" s="14">
        <f t="shared" ref="H412:H414" si="186">C412-D412-F412</f>
        <v>534.06000000000006</v>
      </c>
      <c r="I412" s="14" t="b">
        <f t="shared" ref="I412:I414" si="187">G412=H412</f>
        <v>1</v>
      </c>
      <c r="J412" s="2">
        <v>46003</v>
      </c>
      <c r="K412" s="5">
        <v>1008547</v>
      </c>
      <c r="L412" s="5">
        <v>3151</v>
      </c>
      <c r="M412" s="5">
        <v>11.01</v>
      </c>
      <c r="N412" s="5">
        <v>550.58000000000004</v>
      </c>
      <c r="O412" s="7">
        <v>45996</v>
      </c>
      <c r="P412" s="5">
        <v>539.57000000000005</v>
      </c>
      <c r="Q412" s="5">
        <v>11.01</v>
      </c>
      <c r="R412" s="5" t="s">
        <v>32</v>
      </c>
      <c r="S412" s="5" t="s">
        <v>33</v>
      </c>
      <c r="T412" s="5">
        <v>5.51</v>
      </c>
      <c r="U412" s="5">
        <v>534.05999999999995</v>
      </c>
      <c r="V412" s="5" t="s">
        <v>34</v>
      </c>
      <c r="W412" s="5">
        <v>2</v>
      </c>
      <c r="X412" s="5">
        <v>3310541154657</v>
      </c>
      <c r="Y412" s="7">
        <v>46003</v>
      </c>
      <c r="Z412" s="7">
        <v>45996</v>
      </c>
      <c r="AB412" s="6">
        <v>46003</v>
      </c>
      <c r="AC412" s="7">
        <v>46002.499305555553</v>
      </c>
      <c r="AD412" s="5">
        <v>31511008547</v>
      </c>
      <c r="AE412" s="8">
        <v>45996</v>
      </c>
      <c r="AF412" s="5">
        <v>83768</v>
      </c>
      <c r="AG412" s="5" t="s">
        <v>37</v>
      </c>
      <c r="AH412" s="5">
        <v>206584</v>
      </c>
      <c r="AI412" s="6">
        <v>45996</v>
      </c>
      <c r="AJ412" s="6">
        <v>46003</v>
      </c>
      <c r="AK412" s="1">
        <f t="shared" ref="AK412:AK414" si="188">0.02*C412</f>
        <v>11.011600000000001</v>
      </c>
    </row>
    <row r="413" spans="1:37" x14ac:dyDescent="0.55000000000000004">
      <c r="A413">
        <v>3151</v>
      </c>
      <c r="B413">
        <v>1008548</v>
      </c>
      <c r="C413">
        <v>420.25</v>
      </c>
      <c r="D413" s="4">
        <v>8.41</v>
      </c>
      <c r="E413">
        <v>411.84</v>
      </c>
      <c r="F413">
        <v>4.2</v>
      </c>
      <c r="G413">
        <v>407.64</v>
      </c>
      <c r="H413" s="14">
        <f t="shared" si="186"/>
        <v>407.64</v>
      </c>
      <c r="I413" s="14" t="b">
        <f t="shared" si="187"/>
        <v>1</v>
      </c>
      <c r="J413" s="2">
        <v>46003</v>
      </c>
      <c r="K413" s="5">
        <v>1008548</v>
      </c>
      <c r="L413" s="5">
        <v>3151</v>
      </c>
      <c r="M413" s="5">
        <v>8.41</v>
      </c>
      <c r="N413" s="5">
        <v>420.25</v>
      </c>
      <c r="O413" s="7">
        <v>45996</v>
      </c>
      <c r="P413" s="5">
        <v>411.84</v>
      </c>
      <c r="Q413" s="5">
        <v>8.41</v>
      </c>
      <c r="R413" s="5" t="s">
        <v>32</v>
      </c>
      <c r="S413" s="5" t="s">
        <v>33</v>
      </c>
      <c r="T413" s="5">
        <v>4.2</v>
      </c>
      <c r="U413" s="5">
        <v>407.64</v>
      </c>
      <c r="V413" s="5" t="s">
        <v>34</v>
      </c>
      <c r="W413" s="5">
        <v>2</v>
      </c>
      <c r="X413" s="5">
        <v>3310541154657</v>
      </c>
      <c r="Y413" s="7">
        <v>46003</v>
      </c>
      <c r="Z413" s="7">
        <v>45996</v>
      </c>
      <c r="AB413" s="6">
        <v>46003</v>
      </c>
      <c r="AC413" s="7">
        <v>46002.499305555553</v>
      </c>
      <c r="AD413" s="5">
        <v>31511008548</v>
      </c>
      <c r="AE413" s="8">
        <v>45996</v>
      </c>
      <c r="AF413" s="5">
        <v>84493</v>
      </c>
      <c r="AG413" s="5" t="s">
        <v>37</v>
      </c>
      <c r="AH413" s="5">
        <v>206586</v>
      </c>
      <c r="AI413" s="6">
        <v>45996</v>
      </c>
      <c r="AJ413" s="6">
        <v>46003</v>
      </c>
      <c r="AK413" s="1">
        <f t="shared" si="188"/>
        <v>8.4049999999999994</v>
      </c>
    </row>
    <row r="414" spans="1:37" x14ac:dyDescent="0.55000000000000004">
      <c r="A414">
        <v>3151</v>
      </c>
      <c r="B414">
        <v>1008550</v>
      </c>
      <c r="C414">
        <v>254.1</v>
      </c>
      <c r="D414" s="4">
        <v>5.08</v>
      </c>
      <c r="E414">
        <v>249.02</v>
      </c>
      <c r="F414">
        <v>2.54</v>
      </c>
      <c r="G414">
        <v>246.48</v>
      </c>
      <c r="H414" s="14">
        <f t="shared" si="186"/>
        <v>246.48</v>
      </c>
      <c r="I414" s="14" t="b">
        <f t="shared" si="187"/>
        <v>1</v>
      </c>
      <c r="J414" s="2">
        <v>46003</v>
      </c>
      <c r="K414" s="5">
        <v>1008550</v>
      </c>
      <c r="L414" s="5">
        <v>3151</v>
      </c>
      <c r="M414" s="5">
        <v>5.08</v>
      </c>
      <c r="N414" s="5">
        <v>254.1</v>
      </c>
      <c r="O414" s="7">
        <v>45996</v>
      </c>
      <c r="P414" s="5">
        <v>249.02</v>
      </c>
      <c r="Q414" s="5">
        <v>5.08</v>
      </c>
      <c r="R414" s="5" t="s">
        <v>32</v>
      </c>
      <c r="S414" s="5" t="s">
        <v>33</v>
      </c>
      <c r="T414" s="5">
        <v>2.54</v>
      </c>
      <c r="U414" s="5">
        <v>246.48</v>
      </c>
      <c r="V414" s="5" t="s">
        <v>34</v>
      </c>
      <c r="W414" s="5">
        <v>2</v>
      </c>
      <c r="X414" s="5">
        <v>3310541154657</v>
      </c>
      <c r="Y414" s="7">
        <v>46003</v>
      </c>
      <c r="Z414" s="7">
        <v>45996</v>
      </c>
      <c r="AB414" s="6">
        <v>46003</v>
      </c>
      <c r="AC414" s="7">
        <v>46002.499305555553</v>
      </c>
      <c r="AD414" s="5">
        <v>31511008550</v>
      </c>
      <c r="AE414" s="8">
        <v>45996</v>
      </c>
      <c r="AF414" s="5">
        <v>84384</v>
      </c>
      <c r="AG414" s="5" t="s">
        <v>37</v>
      </c>
      <c r="AH414" s="5">
        <v>206585</v>
      </c>
      <c r="AI414" s="6">
        <v>45996</v>
      </c>
      <c r="AJ414" s="6">
        <v>46003</v>
      </c>
      <c r="AK414" s="1">
        <f t="shared" si="188"/>
        <v>5.0819999999999999</v>
      </c>
    </row>
    <row r="415" spans="1:37" hidden="1" x14ac:dyDescent="0.55000000000000004">
      <c r="A415">
        <v>3151</v>
      </c>
      <c r="B415">
        <v>1008973</v>
      </c>
      <c r="C415">
        <v>-445.5</v>
      </c>
      <c r="E415">
        <v>-445.5</v>
      </c>
      <c r="G415">
        <v>-445.5</v>
      </c>
      <c r="H415"/>
      <c r="I415"/>
      <c r="J415" s="2">
        <v>46003</v>
      </c>
      <c r="K415" s="5">
        <v>1008973</v>
      </c>
      <c r="L415" s="5">
        <v>3151</v>
      </c>
      <c r="M415" s="5">
        <v>0</v>
      </c>
      <c r="N415" s="5">
        <v>-445.5</v>
      </c>
      <c r="O415" s="7">
        <v>46000</v>
      </c>
      <c r="P415" s="5">
        <v>-445.5</v>
      </c>
      <c r="Q415" s="5">
        <v>0</v>
      </c>
      <c r="R415" s="5">
        <v>1008973</v>
      </c>
      <c r="S415" s="5" t="s">
        <v>33</v>
      </c>
      <c r="T415" s="5">
        <v>0</v>
      </c>
      <c r="U415" s="5">
        <v>-445.5</v>
      </c>
      <c r="V415" s="5" t="s">
        <v>34</v>
      </c>
      <c r="W415" s="5">
        <v>2</v>
      </c>
      <c r="X415" s="5">
        <v>3310541154657</v>
      </c>
      <c r="Y415" s="7">
        <v>46003</v>
      </c>
      <c r="Z415" s="7">
        <v>46000</v>
      </c>
      <c r="AB415" s="6">
        <v>46003</v>
      </c>
      <c r="AC415" s="7">
        <v>46002.499305555553</v>
      </c>
      <c r="AD415" s="5">
        <v>31511008973</v>
      </c>
      <c r="AE415" s="8">
        <v>46000</v>
      </c>
      <c r="AF415" s="5" t="s">
        <v>231</v>
      </c>
      <c r="AG415" s="5" t="s">
        <v>38</v>
      </c>
      <c r="AH415" s="5" t="s">
        <v>232</v>
      </c>
      <c r="AI415" s="6">
        <v>46000</v>
      </c>
      <c r="AJ415" s="6">
        <v>46003</v>
      </c>
    </row>
    <row r="416" spans="1:37" hidden="1" x14ac:dyDescent="0.55000000000000004">
      <c r="A416">
        <v>3172</v>
      </c>
      <c r="B416">
        <v>1006396</v>
      </c>
      <c r="C416" s="1">
        <v>8544</v>
      </c>
      <c r="E416" s="1">
        <v>8544</v>
      </c>
      <c r="G416" s="1">
        <v>8544</v>
      </c>
      <c r="H416" s="1"/>
      <c r="I416" s="1"/>
      <c r="J416" s="2">
        <v>46003</v>
      </c>
      <c r="K416" s="5">
        <v>1006396</v>
      </c>
      <c r="L416" s="5">
        <v>3172</v>
      </c>
      <c r="M416" s="5">
        <v>0</v>
      </c>
      <c r="N416" s="5">
        <v>8544</v>
      </c>
      <c r="O416" s="7">
        <v>45986</v>
      </c>
      <c r="P416" s="5">
        <v>8544</v>
      </c>
      <c r="Q416" s="5">
        <v>0</v>
      </c>
      <c r="R416" s="5" t="s">
        <v>32</v>
      </c>
      <c r="S416" s="5" t="s">
        <v>33</v>
      </c>
      <c r="T416" s="5">
        <v>0</v>
      </c>
      <c r="U416" s="5">
        <v>8544</v>
      </c>
      <c r="V416" s="5" t="s">
        <v>34</v>
      </c>
      <c r="W416" s="5">
        <v>2</v>
      </c>
      <c r="X416" s="5">
        <v>5105740675841</v>
      </c>
      <c r="Y416" s="7">
        <v>46003</v>
      </c>
      <c r="Z416" s="7">
        <v>45986</v>
      </c>
      <c r="AB416" s="6">
        <v>46003</v>
      </c>
      <c r="AC416" s="7">
        <v>45999.509722222225</v>
      </c>
      <c r="AD416" s="5">
        <v>31721006396</v>
      </c>
      <c r="AE416" s="8">
        <v>45986</v>
      </c>
      <c r="AF416" s="5" t="s">
        <v>233</v>
      </c>
      <c r="AG416" s="5" t="s">
        <v>38</v>
      </c>
      <c r="AH416" s="5">
        <v>204916</v>
      </c>
      <c r="AI416" s="6">
        <v>45986</v>
      </c>
      <c r="AJ416" s="6">
        <v>46003</v>
      </c>
    </row>
    <row r="417" spans="1:37" hidden="1" x14ac:dyDescent="0.55000000000000004">
      <c r="A417">
        <v>3172</v>
      </c>
      <c r="B417">
        <v>1006725</v>
      </c>
      <c r="C417" s="1">
        <v>7348</v>
      </c>
      <c r="E417" s="1">
        <v>7348</v>
      </c>
      <c r="G417" s="1">
        <v>7348</v>
      </c>
      <c r="H417" s="1"/>
      <c r="I417" s="1"/>
      <c r="J417" s="2">
        <v>46003</v>
      </c>
      <c r="K417" s="5">
        <v>1006725</v>
      </c>
      <c r="L417" s="5">
        <v>3172</v>
      </c>
      <c r="M417" s="5">
        <v>0</v>
      </c>
      <c r="N417" s="5">
        <v>7348</v>
      </c>
      <c r="O417" s="7">
        <v>45987</v>
      </c>
      <c r="P417" s="5">
        <v>7348</v>
      </c>
      <c r="Q417" s="5">
        <v>0</v>
      </c>
      <c r="R417" s="5" t="s">
        <v>32</v>
      </c>
      <c r="S417" s="5" t="s">
        <v>33</v>
      </c>
      <c r="T417" s="5">
        <v>0</v>
      </c>
      <c r="U417" s="5">
        <v>7348</v>
      </c>
      <c r="V417" s="5" t="s">
        <v>34</v>
      </c>
      <c r="W417" s="5">
        <v>2</v>
      </c>
      <c r="X417" s="5">
        <v>5105740675841</v>
      </c>
      <c r="Y417" s="7">
        <v>46003</v>
      </c>
      <c r="Z417" s="7">
        <v>45987</v>
      </c>
      <c r="AB417" s="6">
        <v>46003</v>
      </c>
      <c r="AC417" s="7">
        <v>45999.509722222225</v>
      </c>
      <c r="AD417" s="5">
        <v>31721006725</v>
      </c>
      <c r="AE417" s="8">
        <v>45987</v>
      </c>
      <c r="AF417" s="5" t="s">
        <v>234</v>
      </c>
      <c r="AG417" s="5" t="s">
        <v>38</v>
      </c>
      <c r="AH417" s="5">
        <v>205432</v>
      </c>
      <c r="AI417" s="6">
        <v>45987</v>
      </c>
      <c r="AJ417" s="6">
        <v>46003</v>
      </c>
    </row>
    <row r="418" spans="1:37" hidden="1" x14ac:dyDescent="0.55000000000000004">
      <c r="A418">
        <v>3172</v>
      </c>
      <c r="B418">
        <v>1006732</v>
      </c>
      <c r="C418">
        <v>771.54</v>
      </c>
      <c r="E418">
        <v>771.54</v>
      </c>
      <c r="G418">
        <v>771.54</v>
      </c>
      <c r="H418"/>
      <c r="I418"/>
      <c r="J418" s="2">
        <v>46003</v>
      </c>
      <c r="K418" s="5">
        <v>1006732</v>
      </c>
      <c r="L418" s="5">
        <v>3172</v>
      </c>
      <c r="M418" s="5">
        <v>0</v>
      </c>
      <c r="N418" s="5">
        <v>771.54</v>
      </c>
      <c r="O418" s="7">
        <v>45987</v>
      </c>
      <c r="P418" s="5">
        <v>771.54</v>
      </c>
      <c r="Q418" s="5">
        <v>0</v>
      </c>
      <c r="R418" s="5" t="s">
        <v>32</v>
      </c>
      <c r="S418" s="5" t="s">
        <v>33</v>
      </c>
      <c r="T418" s="5">
        <v>0</v>
      </c>
      <c r="U418" s="5">
        <v>771.54</v>
      </c>
      <c r="V418" s="5" t="s">
        <v>34</v>
      </c>
      <c r="W418" s="5">
        <v>2</v>
      </c>
      <c r="X418" s="5">
        <v>5105740675841</v>
      </c>
      <c r="Y418" s="7">
        <v>46003</v>
      </c>
      <c r="Z418" s="7">
        <v>45987</v>
      </c>
      <c r="AB418" s="6">
        <v>46003</v>
      </c>
      <c r="AC418" s="7">
        <v>45999.509722222225</v>
      </c>
      <c r="AD418" s="5">
        <v>31721006732</v>
      </c>
      <c r="AE418" s="8">
        <v>45987</v>
      </c>
      <c r="AF418" s="5" t="s">
        <v>233</v>
      </c>
      <c r="AG418" s="5" t="s">
        <v>38</v>
      </c>
      <c r="AH418" s="5">
        <v>205431</v>
      </c>
      <c r="AI418" s="6">
        <v>45987</v>
      </c>
      <c r="AJ418" s="6">
        <v>46003</v>
      </c>
    </row>
    <row r="419" spans="1:37" hidden="1" x14ac:dyDescent="0.55000000000000004">
      <c r="A419">
        <v>3172</v>
      </c>
      <c r="B419">
        <v>1007506</v>
      </c>
      <c r="C419">
        <v>350</v>
      </c>
      <c r="E419">
        <v>350</v>
      </c>
      <c r="F419">
        <v>3.5</v>
      </c>
      <c r="G419">
        <v>346.5</v>
      </c>
      <c r="H419"/>
      <c r="I419"/>
      <c r="J419" s="2">
        <v>46003</v>
      </c>
      <c r="K419" s="5">
        <v>1007506</v>
      </c>
      <c r="L419" s="5">
        <v>3172</v>
      </c>
      <c r="M419" s="5">
        <v>0</v>
      </c>
      <c r="N419" s="5">
        <v>350</v>
      </c>
      <c r="O419" s="7">
        <v>45993</v>
      </c>
      <c r="P419" s="5">
        <v>350</v>
      </c>
      <c r="Q419" s="5">
        <v>0</v>
      </c>
      <c r="R419" s="5" t="s">
        <v>32</v>
      </c>
      <c r="S419" s="5" t="s">
        <v>33</v>
      </c>
      <c r="T419" s="5">
        <v>3.5</v>
      </c>
      <c r="U419" s="5">
        <v>346.5</v>
      </c>
      <c r="V419" s="5" t="s">
        <v>34</v>
      </c>
      <c r="W419" s="5">
        <v>2</v>
      </c>
      <c r="X419" s="5">
        <v>5105740675841</v>
      </c>
      <c r="Y419" s="7">
        <v>46003</v>
      </c>
      <c r="Z419" s="7">
        <v>45993</v>
      </c>
      <c r="AB419" s="6">
        <v>46003</v>
      </c>
      <c r="AC419" s="7">
        <v>45999.509722222225</v>
      </c>
      <c r="AD419" s="5">
        <v>31721007506</v>
      </c>
      <c r="AE419" s="8">
        <v>45993</v>
      </c>
      <c r="AF419" s="5" t="s">
        <v>32</v>
      </c>
      <c r="AG419" s="5" t="s">
        <v>82</v>
      </c>
      <c r="AH419" s="5" t="s">
        <v>32</v>
      </c>
      <c r="AI419" s="6">
        <v>45993</v>
      </c>
      <c r="AJ419" s="6">
        <v>46003</v>
      </c>
    </row>
    <row r="420" spans="1:37" hidden="1" x14ac:dyDescent="0.55000000000000004">
      <c r="A420">
        <v>3172</v>
      </c>
      <c r="B420">
        <v>1008096</v>
      </c>
      <c r="C420" s="1">
        <v>76525.759999999995</v>
      </c>
      <c r="E420" s="1">
        <v>76525.759999999995</v>
      </c>
      <c r="F420">
        <v>765.26</v>
      </c>
      <c r="G420" s="1">
        <v>75760.5</v>
      </c>
      <c r="H420" s="1"/>
      <c r="I420" s="1"/>
      <c r="J420" s="2">
        <v>46003</v>
      </c>
      <c r="K420" s="5">
        <v>1008096</v>
      </c>
      <c r="L420" s="5">
        <v>3172</v>
      </c>
      <c r="M420" s="5">
        <v>0</v>
      </c>
      <c r="N420" s="5">
        <v>76525.759999999995</v>
      </c>
      <c r="O420" s="7">
        <v>45995</v>
      </c>
      <c r="P420" s="5">
        <v>76525.759999999995</v>
      </c>
      <c r="Q420" s="5">
        <v>0</v>
      </c>
      <c r="R420" s="5" t="s">
        <v>32</v>
      </c>
      <c r="S420" s="5" t="s">
        <v>33</v>
      </c>
      <c r="T420" s="5">
        <v>765.26</v>
      </c>
      <c r="U420" s="5">
        <v>75760.5</v>
      </c>
      <c r="V420" s="5" t="s">
        <v>34</v>
      </c>
      <c r="W420" s="5">
        <v>2</v>
      </c>
      <c r="X420" s="5">
        <v>5105740675841</v>
      </c>
      <c r="Y420" s="7">
        <v>46003</v>
      </c>
      <c r="Z420" s="7">
        <v>45995</v>
      </c>
      <c r="AB420" s="6">
        <v>46003</v>
      </c>
      <c r="AC420" s="7">
        <v>45999.509722222225</v>
      </c>
      <c r="AD420" s="5">
        <v>31721008096</v>
      </c>
      <c r="AE420" s="8">
        <v>45995</v>
      </c>
      <c r="AF420" s="5" t="s">
        <v>233</v>
      </c>
      <c r="AG420" s="5" t="s">
        <v>38</v>
      </c>
      <c r="AH420" s="5">
        <v>206465</v>
      </c>
      <c r="AI420" s="6">
        <v>45995</v>
      </c>
      <c r="AJ420" s="6">
        <v>46003</v>
      </c>
    </row>
    <row r="421" spans="1:37" x14ac:dyDescent="0.55000000000000004">
      <c r="A421">
        <v>3214</v>
      </c>
      <c r="B421">
        <v>1007300</v>
      </c>
      <c r="C421">
        <v>165.9</v>
      </c>
      <c r="D421" s="4">
        <v>3.32</v>
      </c>
      <c r="E421">
        <v>162.58000000000001</v>
      </c>
      <c r="F421">
        <v>1.66</v>
      </c>
      <c r="G421">
        <v>160.91999999999999</v>
      </c>
      <c r="H421" s="14">
        <f t="shared" ref="H421:H427" si="189">C421-D421-F421</f>
        <v>160.92000000000002</v>
      </c>
      <c r="I421" s="14" t="b">
        <f t="shared" ref="I421:I427" si="190">G421=H421</f>
        <v>1</v>
      </c>
      <c r="J421" s="2">
        <v>46003</v>
      </c>
      <c r="K421" s="5">
        <v>1007300</v>
      </c>
      <c r="L421" s="5">
        <v>3214</v>
      </c>
      <c r="M421" s="5">
        <v>3.32</v>
      </c>
      <c r="N421" s="5">
        <v>165.9</v>
      </c>
      <c r="O421" s="7">
        <v>45992</v>
      </c>
      <c r="P421" s="5">
        <v>162.58000000000001</v>
      </c>
      <c r="Q421" s="5">
        <v>3.32</v>
      </c>
      <c r="R421" s="5" t="s">
        <v>32</v>
      </c>
      <c r="S421" s="5" t="s">
        <v>33</v>
      </c>
      <c r="T421" s="5">
        <v>1.66</v>
      </c>
      <c r="U421" s="5">
        <v>160.91999999999999</v>
      </c>
      <c r="V421" s="5" t="s">
        <v>34</v>
      </c>
      <c r="W421" s="5">
        <v>2</v>
      </c>
      <c r="X421" s="5">
        <v>3947331087820</v>
      </c>
      <c r="Y421" s="7">
        <v>46003</v>
      </c>
      <c r="Z421" s="7">
        <v>45992</v>
      </c>
      <c r="AB421" s="6">
        <v>46003</v>
      </c>
      <c r="AC421" s="7">
        <v>46001.495833333334</v>
      </c>
      <c r="AD421" s="5">
        <v>32141007300</v>
      </c>
      <c r="AE421" s="8">
        <v>45992</v>
      </c>
      <c r="AF421" s="5" t="s">
        <v>235</v>
      </c>
      <c r="AG421" s="5" t="s">
        <v>37</v>
      </c>
      <c r="AH421" s="5">
        <v>205851</v>
      </c>
      <c r="AI421" s="6">
        <v>45992</v>
      </c>
      <c r="AJ421" s="6">
        <v>46003</v>
      </c>
      <c r="AK421" s="1">
        <f t="shared" ref="AK421:AK427" si="191">0.02*C421</f>
        <v>3.3180000000000001</v>
      </c>
    </row>
    <row r="422" spans="1:37" x14ac:dyDescent="0.55000000000000004">
      <c r="A422">
        <v>3214</v>
      </c>
      <c r="B422">
        <v>1007304</v>
      </c>
      <c r="C422">
        <v>165.9</v>
      </c>
      <c r="D422" s="4">
        <v>3.32</v>
      </c>
      <c r="E422">
        <v>162.58000000000001</v>
      </c>
      <c r="F422">
        <v>1.66</v>
      </c>
      <c r="G422">
        <v>160.91999999999999</v>
      </c>
      <c r="H422" s="14">
        <f t="shared" si="189"/>
        <v>160.92000000000002</v>
      </c>
      <c r="I422" s="14" t="b">
        <f t="shared" si="190"/>
        <v>1</v>
      </c>
      <c r="J422" s="2">
        <v>46003</v>
      </c>
      <c r="K422" s="5">
        <v>1007304</v>
      </c>
      <c r="L422" s="5">
        <v>3214</v>
      </c>
      <c r="M422" s="5">
        <v>3.32</v>
      </c>
      <c r="N422" s="5">
        <v>165.9</v>
      </c>
      <c r="O422" s="7">
        <v>45992</v>
      </c>
      <c r="P422" s="5">
        <v>162.58000000000001</v>
      </c>
      <c r="Q422" s="5">
        <v>3.32</v>
      </c>
      <c r="R422" s="5" t="s">
        <v>32</v>
      </c>
      <c r="S422" s="5" t="s">
        <v>33</v>
      </c>
      <c r="T422" s="5">
        <v>1.66</v>
      </c>
      <c r="U422" s="5">
        <v>160.91999999999999</v>
      </c>
      <c r="V422" s="5" t="s">
        <v>34</v>
      </c>
      <c r="W422" s="5">
        <v>2</v>
      </c>
      <c r="X422" s="5">
        <v>3947331087820</v>
      </c>
      <c r="Y422" s="7">
        <v>46003</v>
      </c>
      <c r="Z422" s="7">
        <v>45992</v>
      </c>
      <c r="AB422" s="6">
        <v>46003</v>
      </c>
      <c r="AC422" s="7">
        <v>46001.495833333334</v>
      </c>
      <c r="AD422" s="5">
        <v>32141007304</v>
      </c>
      <c r="AE422" s="8">
        <v>45992</v>
      </c>
      <c r="AF422" s="5" t="s">
        <v>236</v>
      </c>
      <c r="AG422" s="5" t="s">
        <v>37</v>
      </c>
      <c r="AH422" s="5">
        <v>205850</v>
      </c>
      <c r="AI422" s="6">
        <v>45992</v>
      </c>
      <c r="AJ422" s="6">
        <v>46003</v>
      </c>
      <c r="AK422" s="1">
        <f t="shared" si="191"/>
        <v>3.3180000000000001</v>
      </c>
    </row>
    <row r="423" spans="1:37" x14ac:dyDescent="0.55000000000000004">
      <c r="A423">
        <v>3214</v>
      </c>
      <c r="B423">
        <v>1007305</v>
      </c>
      <c r="C423">
        <v>175.22</v>
      </c>
      <c r="D423" s="4">
        <v>3.5</v>
      </c>
      <c r="E423">
        <v>171.72</v>
      </c>
      <c r="F423">
        <v>1.75</v>
      </c>
      <c r="G423">
        <v>169.97</v>
      </c>
      <c r="H423" s="14">
        <f t="shared" si="189"/>
        <v>169.97</v>
      </c>
      <c r="I423" s="14" t="b">
        <f t="shared" si="190"/>
        <v>1</v>
      </c>
      <c r="J423" s="2">
        <v>46003</v>
      </c>
      <c r="K423" s="5">
        <v>1007305</v>
      </c>
      <c r="L423" s="5">
        <v>3214</v>
      </c>
      <c r="M423" s="5">
        <v>3.5</v>
      </c>
      <c r="N423" s="5">
        <v>175.22</v>
      </c>
      <c r="O423" s="7">
        <v>45992</v>
      </c>
      <c r="P423" s="5">
        <v>171.72</v>
      </c>
      <c r="Q423" s="5">
        <v>3.5</v>
      </c>
      <c r="R423" s="5" t="s">
        <v>32</v>
      </c>
      <c r="S423" s="5" t="s">
        <v>33</v>
      </c>
      <c r="T423" s="5">
        <v>1.75</v>
      </c>
      <c r="U423" s="5">
        <v>169.97</v>
      </c>
      <c r="V423" s="5" t="s">
        <v>34</v>
      </c>
      <c r="W423" s="5">
        <v>2</v>
      </c>
      <c r="X423" s="5">
        <v>3947331087820</v>
      </c>
      <c r="Y423" s="7">
        <v>46003</v>
      </c>
      <c r="Z423" s="7">
        <v>45992</v>
      </c>
      <c r="AB423" s="6">
        <v>46003</v>
      </c>
      <c r="AC423" s="7">
        <v>46001.495833333334</v>
      </c>
      <c r="AD423" s="5">
        <v>32141007305</v>
      </c>
      <c r="AE423" s="8">
        <v>45992</v>
      </c>
      <c r="AF423" s="5" t="s">
        <v>237</v>
      </c>
      <c r="AG423" s="5" t="s">
        <v>37</v>
      </c>
      <c r="AH423" s="5">
        <v>205852</v>
      </c>
      <c r="AI423" s="6">
        <v>45992</v>
      </c>
      <c r="AJ423" s="6">
        <v>46003</v>
      </c>
      <c r="AK423" s="1">
        <f t="shared" si="191"/>
        <v>3.5044</v>
      </c>
    </row>
    <row r="424" spans="1:37" x14ac:dyDescent="0.55000000000000004">
      <c r="A424">
        <v>3214</v>
      </c>
      <c r="B424">
        <v>1007755</v>
      </c>
      <c r="C424">
        <v>214.43</v>
      </c>
      <c r="D424" s="4">
        <v>4.29</v>
      </c>
      <c r="E424">
        <v>210.14</v>
      </c>
      <c r="F424">
        <v>2.14</v>
      </c>
      <c r="G424">
        <v>208</v>
      </c>
      <c r="H424" s="14">
        <f t="shared" si="189"/>
        <v>208.00000000000003</v>
      </c>
      <c r="I424" s="14" t="b">
        <f t="shared" si="190"/>
        <v>1</v>
      </c>
      <c r="J424" s="2">
        <v>46003</v>
      </c>
      <c r="K424" s="5">
        <v>1007755</v>
      </c>
      <c r="L424" s="5">
        <v>3214</v>
      </c>
      <c r="M424" s="5">
        <v>4.29</v>
      </c>
      <c r="N424" s="5">
        <v>214.43</v>
      </c>
      <c r="O424" s="7">
        <v>45993</v>
      </c>
      <c r="P424" s="5">
        <v>210.14</v>
      </c>
      <c r="Q424" s="5">
        <v>4.29</v>
      </c>
      <c r="R424" s="5" t="s">
        <v>32</v>
      </c>
      <c r="S424" s="5" t="s">
        <v>33</v>
      </c>
      <c r="T424" s="5">
        <v>2.14</v>
      </c>
      <c r="U424" s="5">
        <v>208</v>
      </c>
      <c r="V424" s="5" t="s">
        <v>34</v>
      </c>
      <c r="W424" s="5">
        <v>2</v>
      </c>
      <c r="X424" s="5">
        <v>3947331087820</v>
      </c>
      <c r="Y424" s="7">
        <v>46003</v>
      </c>
      <c r="Z424" s="7">
        <v>45993</v>
      </c>
      <c r="AB424" s="6">
        <v>46003</v>
      </c>
      <c r="AC424" s="7">
        <v>46001.495833333334</v>
      </c>
      <c r="AD424" s="5">
        <v>32141007755</v>
      </c>
      <c r="AE424" s="8">
        <v>45993</v>
      </c>
      <c r="AF424" s="5" t="s">
        <v>238</v>
      </c>
      <c r="AG424" s="5" t="s">
        <v>37</v>
      </c>
      <c r="AH424" s="5">
        <v>206269</v>
      </c>
      <c r="AI424" s="6">
        <v>45993</v>
      </c>
      <c r="AJ424" s="6">
        <v>46003</v>
      </c>
      <c r="AK424" s="1">
        <f t="shared" si="191"/>
        <v>4.2886000000000006</v>
      </c>
    </row>
    <row r="425" spans="1:37" x14ac:dyDescent="0.55000000000000004">
      <c r="A425">
        <v>3214</v>
      </c>
      <c r="B425">
        <v>1007768</v>
      </c>
      <c r="C425">
        <v>214.43</v>
      </c>
      <c r="D425" s="4">
        <v>4.29</v>
      </c>
      <c r="E425">
        <v>210.14</v>
      </c>
      <c r="F425">
        <v>2.14</v>
      </c>
      <c r="G425">
        <v>208</v>
      </c>
      <c r="H425" s="14">
        <f t="shared" si="189"/>
        <v>208.00000000000003</v>
      </c>
      <c r="I425" s="14" t="b">
        <f t="shared" si="190"/>
        <v>1</v>
      </c>
      <c r="J425" s="2">
        <v>46003</v>
      </c>
      <c r="K425" s="5">
        <v>1007768</v>
      </c>
      <c r="L425" s="5">
        <v>3214</v>
      </c>
      <c r="M425" s="5">
        <v>4.29</v>
      </c>
      <c r="N425" s="5">
        <v>214.43</v>
      </c>
      <c r="O425" s="7">
        <v>45993</v>
      </c>
      <c r="P425" s="5">
        <v>210.14</v>
      </c>
      <c r="Q425" s="5">
        <v>4.29</v>
      </c>
      <c r="R425" s="5" t="s">
        <v>32</v>
      </c>
      <c r="S425" s="5" t="s">
        <v>33</v>
      </c>
      <c r="T425" s="5">
        <v>2.14</v>
      </c>
      <c r="U425" s="5">
        <v>208</v>
      </c>
      <c r="V425" s="5" t="s">
        <v>34</v>
      </c>
      <c r="W425" s="5">
        <v>2</v>
      </c>
      <c r="X425" s="5">
        <v>3947331087820</v>
      </c>
      <c r="Y425" s="7">
        <v>46003</v>
      </c>
      <c r="Z425" s="7">
        <v>45993</v>
      </c>
      <c r="AB425" s="6">
        <v>46003</v>
      </c>
      <c r="AC425" s="7">
        <v>46001.495833333334</v>
      </c>
      <c r="AD425" s="5">
        <v>32141007768</v>
      </c>
      <c r="AE425" s="8">
        <v>45993</v>
      </c>
      <c r="AF425" s="5" t="s">
        <v>239</v>
      </c>
      <c r="AG425" s="5" t="s">
        <v>37</v>
      </c>
      <c r="AH425" s="5">
        <v>206270</v>
      </c>
      <c r="AI425" s="6">
        <v>45993</v>
      </c>
      <c r="AJ425" s="6">
        <v>46003</v>
      </c>
      <c r="AK425" s="1">
        <f t="shared" si="191"/>
        <v>4.2886000000000006</v>
      </c>
    </row>
    <row r="426" spans="1:37" x14ac:dyDescent="0.55000000000000004">
      <c r="A426">
        <v>3214</v>
      </c>
      <c r="B426">
        <v>1007840</v>
      </c>
      <c r="C426">
        <v>888.54</v>
      </c>
      <c r="D426" s="4">
        <v>17.77</v>
      </c>
      <c r="E426">
        <v>870.77</v>
      </c>
      <c r="F426">
        <v>8.89</v>
      </c>
      <c r="G426">
        <v>861.88</v>
      </c>
      <c r="H426" s="14">
        <f t="shared" si="189"/>
        <v>861.88</v>
      </c>
      <c r="I426" s="14" t="b">
        <f t="shared" si="190"/>
        <v>1</v>
      </c>
      <c r="J426" s="2">
        <v>46003</v>
      </c>
      <c r="K426" s="5">
        <v>1007840</v>
      </c>
      <c r="L426" s="5">
        <v>3214</v>
      </c>
      <c r="M426" s="5">
        <v>17.77</v>
      </c>
      <c r="N426" s="5">
        <v>888.54</v>
      </c>
      <c r="O426" s="7">
        <v>45993</v>
      </c>
      <c r="P426" s="5">
        <v>870.77</v>
      </c>
      <c r="Q426" s="5">
        <v>17.77</v>
      </c>
      <c r="R426" s="5" t="s">
        <v>32</v>
      </c>
      <c r="S426" s="5" t="s">
        <v>33</v>
      </c>
      <c r="T426" s="5">
        <v>8.89</v>
      </c>
      <c r="U426" s="5">
        <v>861.88</v>
      </c>
      <c r="V426" s="5" t="s">
        <v>34</v>
      </c>
      <c r="W426" s="5">
        <v>2</v>
      </c>
      <c r="X426" s="5">
        <v>3947331087820</v>
      </c>
      <c r="Y426" s="7">
        <v>46003</v>
      </c>
      <c r="Z426" s="7">
        <v>45993</v>
      </c>
      <c r="AB426" s="6">
        <v>46003</v>
      </c>
      <c r="AC426" s="7">
        <v>46001.495833333334</v>
      </c>
      <c r="AD426" s="5">
        <v>32141007840</v>
      </c>
      <c r="AE426" s="8">
        <v>45993</v>
      </c>
      <c r="AF426" s="5" t="s">
        <v>240</v>
      </c>
      <c r="AG426" s="5" t="s">
        <v>37</v>
      </c>
      <c r="AH426" s="5">
        <v>206162</v>
      </c>
      <c r="AI426" s="6">
        <v>45993</v>
      </c>
      <c r="AJ426" s="6">
        <v>46003</v>
      </c>
      <c r="AK426" s="1">
        <f t="shared" si="191"/>
        <v>17.770800000000001</v>
      </c>
    </row>
    <row r="427" spans="1:37" x14ac:dyDescent="0.55000000000000004">
      <c r="A427">
        <v>3214</v>
      </c>
      <c r="B427">
        <v>1007958</v>
      </c>
      <c r="C427" s="1">
        <v>4142.5200000000004</v>
      </c>
      <c r="D427" s="4">
        <v>82.85</v>
      </c>
      <c r="E427" s="1">
        <v>4059.67</v>
      </c>
      <c r="F427">
        <v>41.43</v>
      </c>
      <c r="G427" s="1">
        <v>4018.24</v>
      </c>
      <c r="H427" s="14">
        <f t="shared" si="189"/>
        <v>4018.2400000000007</v>
      </c>
      <c r="I427" s="14" t="b">
        <f t="shared" si="190"/>
        <v>1</v>
      </c>
      <c r="J427" s="2">
        <v>46003</v>
      </c>
      <c r="K427" s="5">
        <v>1007958</v>
      </c>
      <c r="L427" s="5">
        <v>3214</v>
      </c>
      <c r="M427" s="5">
        <v>82.85</v>
      </c>
      <c r="N427" s="5">
        <v>4142.5200000000004</v>
      </c>
      <c r="O427" s="7">
        <v>45994</v>
      </c>
      <c r="P427" s="5">
        <v>4059.67</v>
      </c>
      <c r="Q427" s="5">
        <v>82.85</v>
      </c>
      <c r="R427" s="5" t="s">
        <v>32</v>
      </c>
      <c r="S427" s="5" t="s">
        <v>33</v>
      </c>
      <c r="T427" s="5">
        <v>41.43</v>
      </c>
      <c r="U427" s="5">
        <v>4018.24</v>
      </c>
      <c r="V427" s="5" t="s">
        <v>34</v>
      </c>
      <c r="W427" s="5">
        <v>2</v>
      </c>
      <c r="X427" s="5">
        <v>3947331087820</v>
      </c>
      <c r="Y427" s="7">
        <v>46003</v>
      </c>
      <c r="Z427" s="7">
        <v>45994</v>
      </c>
      <c r="AB427" s="6">
        <v>46003</v>
      </c>
      <c r="AC427" s="7">
        <v>46001.495833333334</v>
      </c>
      <c r="AD427" s="5">
        <v>32141007958</v>
      </c>
      <c r="AE427" s="8">
        <v>45994</v>
      </c>
      <c r="AF427" s="5" t="s">
        <v>240</v>
      </c>
      <c r="AG427" s="5" t="s">
        <v>37</v>
      </c>
      <c r="AH427" s="5">
        <v>206247</v>
      </c>
      <c r="AI427" s="6">
        <v>45994</v>
      </c>
      <c r="AJ427" s="6">
        <v>46003</v>
      </c>
      <c r="AK427" s="1">
        <f t="shared" si="191"/>
        <v>82.850400000000008</v>
      </c>
    </row>
    <row r="428" spans="1:37" hidden="1" x14ac:dyDescent="0.55000000000000004">
      <c r="A428">
        <v>3214</v>
      </c>
      <c r="B428">
        <v>1007963</v>
      </c>
      <c r="C428" s="1">
        <v>3638.59</v>
      </c>
      <c r="E428" s="1">
        <v>3638.59</v>
      </c>
      <c r="F428">
        <v>36.39</v>
      </c>
      <c r="G428" s="1">
        <v>3602.2</v>
      </c>
      <c r="H428" s="1"/>
      <c r="I428" s="1"/>
      <c r="J428" s="2">
        <v>46003</v>
      </c>
      <c r="K428" s="5">
        <v>1007963</v>
      </c>
      <c r="L428" s="5">
        <v>3214</v>
      </c>
      <c r="M428" s="5">
        <v>0</v>
      </c>
      <c r="N428" s="5">
        <v>3638.59</v>
      </c>
      <c r="O428" s="7">
        <v>45994</v>
      </c>
      <c r="P428" s="5">
        <v>3638.59</v>
      </c>
      <c r="Q428" s="5">
        <v>0</v>
      </c>
      <c r="R428" s="5" t="s">
        <v>32</v>
      </c>
      <c r="S428" s="5" t="s">
        <v>33</v>
      </c>
      <c r="T428" s="5">
        <v>36.39</v>
      </c>
      <c r="U428" s="5">
        <v>3602.2</v>
      </c>
      <c r="V428" s="5" t="s">
        <v>34</v>
      </c>
      <c r="W428" s="5">
        <v>2</v>
      </c>
      <c r="X428" s="5">
        <v>3947331087820</v>
      </c>
      <c r="Y428" s="7">
        <v>46003</v>
      </c>
      <c r="Z428" s="7">
        <v>45994</v>
      </c>
      <c r="AB428" s="6">
        <v>46003</v>
      </c>
      <c r="AC428" s="7">
        <v>46001.495833333334</v>
      </c>
      <c r="AD428" s="5">
        <v>32141007963</v>
      </c>
      <c r="AE428" s="8">
        <v>45994</v>
      </c>
      <c r="AF428" s="5" t="s">
        <v>240</v>
      </c>
      <c r="AG428" s="5" t="s">
        <v>38</v>
      </c>
      <c r="AH428" s="5">
        <v>206248</v>
      </c>
      <c r="AI428" s="6">
        <v>45994</v>
      </c>
      <c r="AJ428" s="6">
        <v>46003</v>
      </c>
    </row>
    <row r="429" spans="1:37" x14ac:dyDescent="0.55000000000000004">
      <c r="A429">
        <v>3214</v>
      </c>
      <c r="B429">
        <v>1007994</v>
      </c>
      <c r="C429">
        <v>44.31</v>
      </c>
      <c r="D429" s="4">
        <v>0.89</v>
      </c>
      <c r="E429">
        <v>43.42</v>
      </c>
      <c r="F429">
        <v>0.44</v>
      </c>
      <c r="G429">
        <v>42.98</v>
      </c>
      <c r="H429" s="14">
        <f t="shared" ref="H429:H431" si="192">C429-D429-F429</f>
        <v>42.980000000000004</v>
      </c>
      <c r="I429" s="14" t="b">
        <f t="shared" ref="I429:I431" si="193">G429=H429</f>
        <v>1</v>
      </c>
      <c r="J429" s="2">
        <v>46003</v>
      </c>
      <c r="K429" s="5">
        <v>1007994</v>
      </c>
      <c r="L429" s="5">
        <v>3214</v>
      </c>
      <c r="M429" s="5">
        <v>0.89</v>
      </c>
      <c r="N429" s="5">
        <v>44.31</v>
      </c>
      <c r="O429" s="7">
        <v>45994</v>
      </c>
      <c r="P429" s="5">
        <v>43.42</v>
      </c>
      <c r="Q429" s="5">
        <v>0.89</v>
      </c>
      <c r="R429" s="5" t="s">
        <v>32</v>
      </c>
      <c r="S429" s="5" t="s">
        <v>33</v>
      </c>
      <c r="T429" s="5">
        <v>0.44</v>
      </c>
      <c r="U429" s="5">
        <v>42.98</v>
      </c>
      <c r="V429" s="5" t="s">
        <v>34</v>
      </c>
      <c r="W429" s="5">
        <v>2</v>
      </c>
      <c r="X429" s="5">
        <v>3947331087820</v>
      </c>
      <c r="Y429" s="7">
        <v>46003</v>
      </c>
      <c r="Z429" s="7">
        <v>45994</v>
      </c>
      <c r="AB429" s="6">
        <v>46003</v>
      </c>
      <c r="AC429" s="7">
        <v>46001.495833333334</v>
      </c>
      <c r="AD429" s="5">
        <v>32141007994</v>
      </c>
      <c r="AE429" s="8">
        <v>45994</v>
      </c>
      <c r="AF429" s="5" t="s">
        <v>241</v>
      </c>
      <c r="AG429" s="5" t="s">
        <v>37</v>
      </c>
      <c r="AH429" s="5">
        <v>206291</v>
      </c>
      <c r="AI429" s="6">
        <v>45994</v>
      </c>
      <c r="AJ429" s="6">
        <v>46003</v>
      </c>
      <c r="AK429" s="1">
        <f t="shared" ref="AK429:AK431" si="194">0.02*C429</f>
        <v>0.8862000000000001</v>
      </c>
    </row>
    <row r="430" spans="1:37" x14ac:dyDescent="0.55000000000000004">
      <c r="A430">
        <v>3214</v>
      </c>
      <c r="B430">
        <v>1007996</v>
      </c>
      <c r="C430">
        <v>12.72</v>
      </c>
      <c r="D430" s="4">
        <v>0.25</v>
      </c>
      <c r="E430">
        <v>12.47</v>
      </c>
      <c r="F430">
        <v>0.13</v>
      </c>
      <c r="G430">
        <v>12.34</v>
      </c>
      <c r="H430" s="14">
        <f t="shared" si="192"/>
        <v>12.34</v>
      </c>
      <c r="I430" s="14" t="b">
        <f t="shared" si="193"/>
        <v>1</v>
      </c>
      <c r="J430" s="2">
        <v>46003</v>
      </c>
      <c r="K430" s="5">
        <v>1007996</v>
      </c>
      <c r="L430" s="5">
        <v>3214</v>
      </c>
      <c r="M430" s="5">
        <v>0.25</v>
      </c>
      <c r="N430" s="5">
        <v>12.72</v>
      </c>
      <c r="O430" s="7">
        <v>45994</v>
      </c>
      <c r="P430" s="5">
        <v>12.47</v>
      </c>
      <c r="Q430" s="5">
        <v>0.25</v>
      </c>
      <c r="R430" s="5" t="s">
        <v>32</v>
      </c>
      <c r="S430" s="5" t="s">
        <v>33</v>
      </c>
      <c r="T430" s="5">
        <v>0.13</v>
      </c>
      <c r="U430" s="5">
        <v>12.34</v>
      </c>
      <c r="V430" s="5" t="s">
        <v>34</v>
      </c>
      <c r="W430" s="5">
        <v>2</v>
      </c>
      <c r="X430" s="5">
        <v>3947331087820</v>
      </c>
      <c r="Y430" s="7">
        <v>46003</v>
      </c>
      <c r="Z430" s="7">
        <v>45994</v>
      </c>
      <c r="AB430" s="6">
        <v>46003</v>
      </c>
      <c r="AC430" s="7">
        <v>46001.495833333334</v>
      </c>
      <c r="AD430" s="5">
        <v>32141007996</v>
      </c>
      <c r="AE430" s="8">
        <v>45994</v>
      </c>
      <c r="AF430" s="5" t="s">
        <v>242</v>
      </c>
      <c r="AG430" s="5" t="s">
        <v>37</v>
      </c>
      <c r="AH430" s="5">
        <v>206290</v>
      </c>
      <c r="AI430" s="6">
        <v>45994</v>
      </c>
      <c r="AJ430" s="6">
        <v>46003</v>
      </c>
      <c r="AK430" s="1">
        <f t="shared" si="194"/>
        <v>0.25440000000000002</v>
      </c>
    </row>
    <row r="431" spans="1:37" x14ac:dyDescent="0.55000000000000004">
      <c r="A431">
        <v>3214</v>
      </c>
      <c r="B431">
        <v>1008076</v>
      </c>
      <c r="C431">
        <v>505.18</v>
      </c>
      <c r="D431" s="4">
        <v>10.1</v>
      </c>
      <c r="E431">
        <v>495.08</v>
      </c>
      <c r="F431">
        <v>5.05</v>
      </c>
      <c r="G431">
        <v>490.03</v>
      </c>
      <c r="H431" s="14">
        <f t="shared" si="192"/>
        <v>490.03</v>
      </c>
      <c r="I431" s="14" t="b">
        <f t="shared" si="193"/>
        <v>1</v>
      </c>
      <c r="J431" s="2">
        <v>46003</v>
      </c>
      <c r="K431" s="5">
        <v>1008076</v>
      </c>
      <c r="L431" s="5">
        <v>3214</v>
      </c>
      <c r="M431" s="5">
        <v>10.1</v>
      </c>
      <c r="N431" s="5">
        <v>505.18</v>
      </c>
      <c r="O431" s="7">
        <v>45995</v>
      </c>
      <c r="P431" s="5">
        <v>495.08</v>
      </c>
      <c r="Q431" s="5">
        <v>10.1</v>
      </c>
      <c r="R431" s="5" t="s">
        <v>32</v>
      </c>
      <c r="S431" s="5" t="s">
        <v>33</v>
      </c>
      <c r="T431" s="5">
        <v>5.05</v>
      </c>
      <c r="U431" s="5">
        <v>490.03</v>
      </c>
      <c r="V431" s="5" t="s">
        <v>34</v>
      </c>
      <c r="W431" s="5">
        <v>2</v>
      </c>
      <c r="X431" s="5">
        <v>3947331087820</v>
      </c>
      <c r="Y431" s="7">
        <v>46003</v>
      </c>
      <c r="Z431" s="7">
        <v>45995</v>
      </c>
      <c r="AB431" s="6">
        <v>46003</v>
      </c>
      <c r="AC431" s="7">
        <v>46001.495833333334</v>
      </c>
      <c r="AD431" s="5">
        <v>32141008076</v>
      </c>
      <c r="AE431" s="8">
        <v>45995</v>
      </c>
      <c r="AF431" s="5" t="s">
        <v>243</v>
      </c>
      <c r="AG431" s="5" t="s">
        <v>37</v>
      </c>
      <c r="AH431" s="5">
        <v>206491</v>
      </c>
      <c r="AI431" s="6">
        <v>45995</v>
      </c>
      <c r="AJ431" s="6">
        <v>46003</v>
      </c>
      <c r="AK431" s="1">
        <f t="shared" si="194"/>
        <v>10.1036</v>
      </c>
    </row>
    <row r="432" spans="1:37" hidden="1" x14ac:dyDescent="0.55000000000000004">
      <c r="A432">
        <v>3214</v>
      </c>
      <c r="B432">
        <v>1008078</v>
      </c>
      <c r="C432">
        <v>108.85</v>
      </c>
      <c r="E432">
        <v>108.85</v>
      </c>
      <c r="F432">
        <v>1.0900000000000001</v>
      </c>
      <c r="G432">
        <v>107.76</v>
      </c>
      <c r="H432"/>
      <c r="I432"/>
      <c r="J432" s="2">
        <v>46003</v>
      </c>
      <c r="K432" s="5">
        <v>1008078</v>
      </c>
      <c r="L432" s="5">
        <v>3214</v>
      </c>
      <c r="M432" s="5">
        <v>0</v>
      </c>
      <c r="N432" s="5">
        <v>108.85</v>
      </c>
      <c r="O432" s="7">
        <v>45995</v>
      </c>
      <c r="P432" s="5">
        <v>108.85</v>
      </c>
      <c r="Q432" s="5">
        <v>0</v>
      </c>
      <c r="R432" s="5" t="s">
        <v>32</v>
      </c>
      <c r="S432" s="5" t="s">
        <v>33</v>
      </c>
      <c r="T432" s="5">
        <v>1.0900000000000001</v>
      </c>
      <c r="U432" s="5">
        <v>107.76</v>
      </c>
      <c r="V432" s="5" t="s">
        <v>34</v>
      </c>
      <c r="W432" s="5">
        <v>2</v>
      </c>
      <c r="X432" s="5">
        <v>3947331087820</v>
      </c>
      <c r="Y432" s="7">
        <v>46003</v>
      </c>
      <c r="Z432" s="7">
        <v>45995</v>
      </c>
      <c r="AB432" s="6">
        <v>46003</v>
      </c>
      <c r="AC432" s="7">
        <v>46001.495833333334</v>
      </c>
      <c r="AD432" s="5">
        <v>32141008078</v>
      </c>
      <c r="AE432" s="8">
        <v>45995</v>
      </c>
      <c r="AF432" s="5" t="s">
        <v>243</v>
      </c>
      <c r="AG432" s="5" t="s">
        <v>38</v>
      </c>
      <c r="AH432" s="5">
        <v>206493</v>
      </c>
      <c r="AI432" s="6">
        <v>45995</v>
      </c>
      <c r="AJ432" s="6">
        <v>46003</v>
      </c>
    </row>
    <row r="433" spans="1:37" hidden="1" x14ac:dyDescent="0.55000000000000004">
      <c r="A433">
        <v>3214</v>
      </c>
      <c r="B433">
        <v>1008079</v>
      </c>
      <c r="C433" s="1">
        <v>2020.97</v>
      </c>
      <c r="E433" s="1">
        <v>2020.97</v>
      </c>
      <c r="F433">
        <v>20.21</v>
      </c>
      <c r="G433" s="1">
        <v>2000.76</v>
      </c>
      <c r="H433" s="1"/>
      <c r="I433" s="1"/>
      <c r="J433" s="2">
        <v>46003</v>
      </c>
      <c r="K433" s="5">
        <v>1008079</v>
      </c>
      <c r="L433" s="5">
        <v>3214</v>
      </c>
      <c r="M433" s="5">
        <v>0</v>
      </c>
      <c r="N433" s="5">
        <v>2020.97</v>
      </c>
      <c r="O433" s="7">
        <v>45995</v>
      </c>
      <c r="P433" s="5">
        <v>2020.97</v>
      </c>
      <c r="Q433" s="5">
        <v>0</v>
      </c>
      <c r="R433" s="5" t="s">
        <v>32</v>
      </c>
      <c r="S433" s="5" t="s">
        <v>33</v>
      </c>
      <c r="T433" s="5">
        <v>20.21</v>
      </c>
      <c r="U433" s="5">
        <v>2000.76</v>
      </c>
      <c r="V433" s="5" t="s">
        <v>34</v>
      </c>
      <c r="W433" s="5">
        <v>2</v>
      </c>
      <c r="X433" s="5">
        <v>3947331087820</v>
      </c>
      <c r="Y433" s="7">
        <v>46003</v>
      </c>
      <c r="Z433" s="7">
        <v>45995</v>
      </c>
      <c r="AB433" s="6">
        <v>46003</v>
      </c>
      <c r="AC433" s="7">
        <v>46001.495833333334</v>
      </c>
      <c r="AD433" s="5">
        <v>32141008079</v>
      </c>
      <c r="AE433" s="8">
        <v>45995</v>
      </c>
      <c r="AF433" s="5" t="s">
        <v>244</v>
      </c>
      <c r="AG433" s="5" t="s">
        <v>38</v>
      </c>
      <c r="AH433" s="5">
        <v>206492</v>
      </c>
      <c r="AI433" s="6">
        <v>45995</v>
      </c>
      <c r="AJ433" s="6">
        <v>46003</v>
      </c>
    </row>
    <row r="434" spans="1:37" x14ac:dyDescent="0.55000000000000004">
      <c r="A434">
        <v>3214</v>
      </c>
      <c r="B434">
        <v>1008138</v>
      </c>
      <c r="C434">
        <v>699.96</v>
      </c>
      <c r="D434" s="4">
        <v>14</v>
      </c>
      <c r="E434">
        <v>685.96</v>
      </c>
      <c r="F434">
        <v>7</v>
      </c>
      <c r="G434">
        <v>678.96</v>
      </c>
      <c r="H434" s="14">
        <f t="shared" ref="H434:H440" si="195">C434-D434-F434</f>
        <v>678.96</v>
      </c>
      <c r="I434" s="14" t="b">
        <f t="shared" ref="I434:I440" si="196">G434=H434</f>
        <v>1</v>
      </c>
      <c r="J434" s="2">
        <v>46003</v>
      </c>
      <c r="K434" s="5">
        <v>1008138</v>
      </c>
      <c r="L434" s="5">
        <v>3214</v>
      </c>
      <c r="M434" s="5">
        <v>14</v>
      </c>
      <c r="N434" s="5">
        <v>699.96</v>
      </c>
      <c r="O434" s="7">
        <v>45995</v>
      </c>
      <c r="P434" s="5">
        <v>685.96</v>
      </c>
      <c r="Q434" s="5">
        <v>14</v>
      </c>
      <c r="R434" s="5" t="s">
        <v>32</v>
      </c>
      <c r="S434" s="5" t="s">
        <v>33</v>
      </c>
      <c r="T434" s="5">
        <v>7</v>
      </c>
      <c r="U434" s="5">
        <v>678.96</v>
      </c>
      <c r="V434" s="5" t="s">
        <v>34</v>
      </c>
      <c r="W434" s="5">
        <v>2</v>
      </c>
      <c r="X434" s="5">
        <v>3947331087820</v>
      </c>
      <c r="Y434" s="7">
        <v>46003</v>
      </c>
      <c r="Z434" s="7">
        <v>45995</v>
      </c>
      <c r="AB434" s="6">
        <v>46003</v>
      </c>
      <c r="AC434" s="7">
        <v>46001.495833333334</v>
      </c>
      <c r="AD434" s="5">
        <v>32141008138</v>
      </c>
      <c r="AE434" s="8">
        <v>45995</v>
      </c>
      <c r="AF434" s="5" t="s">
        <v>245</v>
      </c>
      <c r="AG434" s="5" t="s">
        <v>37</v>
      </c>
      <c r="AH434" s="5">
        <v>206677</v>
      </c>
      <c r="AI434" s="6">
        <v>45995</v>
      </c>
      <c r="AJ434" s="6">
        <v>46003</v>
      </c>
      <c r="AK434" s="1">
        <f t="shared" ref="AK434" si="197">0.02*C434</f>
        <v>13.999200000000002</v>
      </c>
    </row>
    <row r="435" spans="1:37" x14ac:dyDescent="0.55000000000000004">
      <c r="A435">
        <v>3214</v>
      </c>
      <c r="B435">
        <v>1008322</v>
      </c>
      <c r="C435">
        <v>504.06</v>
      </c>
      <c r="D435" s="4">
        <v>5.04</v>
      </c>
      <c r="E435">
        <v>499.02</v>
      </c>
      <c r="F435">
        <v>5.04</v>
      </c>
      <c r="G435">
        <v>493.98</v>
      </c>
      <c r="H435" s="14">
        <f t="shared" si="195"/>
        <v>493.97999999999996</v>
      </c>
      <c r="I435" s="14" t="b">
        <f t="shared" si="196"/>
        <v>1</v>
      </c>
      <c r="J435" s="2">
        <v>46003</v>
      </c>
      <c r="K435" s="5">
        <v>1008322</v>
      </c>
      <c r="L435" s="5">
        <v>3214</v>
      </c>
      <c r="M435" s="5">
        <v>5.04</v>
      </c>
      <c r="N435" s="5">
        <v>504.06</v>
      </c>
      <c r="O435" s="7">
        <v>45996</v>
      </c>
      <c r="P435" s="5">
        <v>499.02</v>
      </c>
      <c r="Q435" s="5">
        <v>5.04</v>
      </c>
      <c r="R435" s="5">
        <v>1065455</v>
      </c>
      <c r="S435" s="5" t="s">
        <v>152</v>
      </c>
      <c r="T435" s="5">
        <v>5.04</v>
      </c>
      <c r="U435" s="5">
        <v>493.98</v>
      </c>
      <c r="V435" s="5" t="s">
        <v>34</v>
      </c>
      <c r="W435" s="5">
        <v>2</v>
      </c>
      <c r="X435" s="5">
        <v>3947331087820</v>
      </c>
      <c r="Y435" s="7">
        <v>46003</v>
      </c>
      <c r="Z435" s="7">
        <v>45996</v>
      </c>
      <c r="AB435" s="6">
        <v>46003</v>
      </c>
      <c r="AC435" s="7">
        <v>46001.495833333334</v>
      </c>
      <c r="AD435" s="5">
        <v>32141008322</v>
      </c>
      <c r="AE435" s="8">
        <v>45996</v>
      </c>
      <c r="AF435" s="5">
        <v>92025</v>
      </c>
      <c r="AG435" s="5" t="s">
        <v>154</v>
      </c>
      <c r="AH435" s="5">
        <v>1065455</v>
      </c>
      <c r="AI435" s="6">
        <v>45996</v>
      </c>
      <c r="AJ435" s="6">
        <v>46003</v>
      </c>
    </row>
    <row r="436" spans="1:37" x14ac:dyDescent="0.55000000000000004">
      <c r="A436">
        <v>3214</v>
      </c>
      <c r="B436">
        <v>1008323</v>
      </c>
      <c r="C436">
        <v>813.36</v>
      </c>
      <c r="D436" s="4">
        <v>8.1300000000000008</v>
      </c>
      <c r="E436">
        <v>805.23</v>
      </c>
      <c r="F436">
        <v>8.1300000000000008</v>
      </c>
      <c r="G436">
        <v>797.1</v>
      </c>
      <c r="H436" s="14">
        <f t="shared" si="195"/>
        <v>797.1</v>
      </c>
      <c r="I436" s="14" t="b">
        <f t="shared" si="196"/>
        <v>1</v>
      </c>
      <c r="J436" s="2">
        <v>46003</v>
      </c>
      <c r="K436" s="5">
        <v>1008323</v>
      </c>
      <c r="L436" s="5">
        <v>3214</v>
      </c>
      <c r="M436" s="5">
        <v>8.1300000000000008</v>
      </c>
      <c r="N436" s="5">
        <v>813.36</v>
      </c>
      <c r="O436" s="7">
        <v>45996</v>
      </c>
      <c r="P436" s="5">
        <v>805.23</v>
      </c>
      <c r="Q436" s="5">
        <v>8.1300000000000008</v>
      </c>
      <c r="R436" s="5">
        <v>1063989</v>
      </c>
      <c r="S436" s="5" t="s">
        <v>152</v>
      </c>
      <c r="T436" s="5">
        <v>8.1300000000000008</v>
      </c>
      <c r="U436" s="5">
        <v>797.1</v>
      </c>
      <c r="V436" s="5" t="s">
        <v>34</v>
      </c>
      <c r="W436" s="5">
        <v>2</v>
      </c>
      <c r="X436" s="5">
        <v>3947331087820</v>
      </c>
      <c r="Y436" s="7">
        <v>46003</v>
      </c>
      <c r="Z436" s="7">
        <v>45996</v>
      </c>
      <c r="AB436" s="6">
        <v>46003</v>
      </c>
      <c r="AC436" s="7">
        <v>46001.495833333334</v>
      </c>
      <c r="AD436" s="5">
        <v>32141008323</v>
      </c>
      <c r="AE436" s="8">
        <v>45996</v>
      </c>
      <c r="AF436" s="5">
        <v>92025</v>
      </c>
      <c r="AG436" s="5" t="s">
        <v>154</v>
      </c>
      <c r="AH436" s="5">
        <v>1063989</v>
      </c>
      <c r="AI436" s="6">
        <v>45996</v>
      </c>
      <c r="AJ436" s="6">
        <v>46003</v>
      </c>
    </row>
    <row r="437" spans="1:37" x14ac:dyDescent="0.55000000000000004">
      <c r="A437">
        <v>3214</v>
      </c>
      <c r="B437">
        <v>1008324</v>
      </c>
      <c r="C437">
        <v>620.4</v>
      </c>
      <c r="D437" s="4">
        <v>6.2</v>
      </c>
      <c r="E437">
        <v>614.20000000000005</v>
      </c>
      <c r="F437">
        <v>6.2</v>
      </c>
      <c r="G437">
        <v>608</v>
      </c>
      <c r="H437" s="14">
        <f t="shared" si="195"/>
        <v>607.99999999999989</v>
      </c>
      <c r="I437" s="14" t="b">
        <f t="shared" si="196"/>
        <v>1</v>
      </c>
      <c r="J437" s="2">
        <v>46003</v>
      </c>
      <c r="K437" s="5">
        <v>1008324</v>
      </c>
      <c r="L437" s="5">
        <v>3214</v>
      </c>
      <c r="M437" s="5">
        <v>6.2</v>
      </c>
      <c r="N437" s="5">
        <v>620.4</v>
      </c>
      <c r="O437" s="7">
        <v>45996</v>
      </c>
      <c r="P437" s="5">
        <v>614.20000000000005</v>
      </c>
      <c r="Q437" s="5">
        <v>6.2</v>
      </c>
      <c r="R437" s="5">
        <v>1062962</v>
      </c>
      <c r="S437" s="5" t="s">
        <v>152</v>
      </c>
      <c r="T437" s="5">
        <v>6.2</v>
      </c>
      <c r="U437" s="5">
        <v>608</v>
      </c>
      <c r="V437" s="5" t="s">
        <v>34</v>
      </c>
      <c r="W437" s="5">
        <v>2</v>
      </c>
      <c r="X437" s="5">
        <v>3947331087820</v>
      </c>
      <c r="Y437" s="7">
        <v>46003</v>
      </c>
      <c r="Z437" s="7">
        <v>45996</v>
      </c>
      <c r="AB437" s="6">
        <v>46003</v>
      </c>
      <c r="AC437" s="7">
        <v>46001.495833333334</v>
      </c>
      <c r="AD437" s="5">
        <v>32141008324</v>
      </c>
      <c r="AE437" s="8">
        <v>45996</v>
      </c>
      <c r="AF437" s="5">
        <v>92025</v>
      </c>
      <c r="AG437" s="5" t="s">
        <v>154</v>
      </c>
      <c r="AH437" s="5">
        <v>1062962</v>
      </c>
      <c r="AI437" s="6">
        <v>45996</v>
      </c>
      <c r="AJ437" s="6">
        <v>46003</v>
      </c>
    </row>
    <row r="438" spans="1:37" x14ac:dyDescent="0.55000000000000004">
      <c r="A438">
        <v>3214</v>
      </c>
      <c r="B438">
        <v>1008401</v>
      </c>
      <c r="C438">
        <v>495.2</v>
      </c>
      <c r="D438" s="4">
        <v>9.9</v>
      </c>
      <c r="E438">
        <v>485.3</v>
      </c>
      <c r="F438">
        <v>4.95</v>
      </c>
      <c r="G438">
        <v>480.35</v>
      </c>
      <c r="H438" s="14">
        <f t="shared" si="195"/>
        <v>480.35</v>
      </c>
      <c r="I438" s="14" t="b">
        <f t="shared" si="196"/>
        <v>1</v>
      </c>
      <c r="J438" s="2">
        <v>46003</v>
      </c>
      <c r="K438" s="5">
        <v>1008401</v>
      </c>
      <c r="L438" s="5">
        <v>3214</v>
      </c>
      <c r="M438" s="5">
        <v>9.9</v>
      </c>
      <c r="N438" s="5">
        <v>495.2</v>
      </c>
      <c r="O438" s="7">
        <v>45996</v>
      </c>
      <c r="P438" s="5">
        <v>485.3</v>
      </c>
      <c r="Q438" s="5">
        <v>9.9</v>
      </c>
      <c r="R438" s="5" t="s">
        <v>32</v>
      </c>
      <c r="S438" s="5" t="s">
        <v>33</v>
      </c>
      <c r="T438" s="5">
        <v>4.95</v>
      </c>
      <c r="U438" s="5">
        <v>480.35</v>
      </c>
      <c r="V438" s="5" t="s">
        <v>34</v>
      </c>
      <c r="W438" s="5">
        <v>2</v>
      </c>
      <c r="X438" s="5">
        <v>3947331087820</v>
      </c>
      <c r="Y438" s="7">
        <v>46003</v>
      </c>
      <c r="Z438" s="7">
        <v>45996</v>
      </c>
      <c r="AB438" s="6">
        <v>46003</v>
      </c>
      <c r="AC438" s="7">
        <v>46001.495833333334</v>
      </c>
      <c r="AD438" s="5">
        <v>32141008401</v>
      </c>
      <c r="AE438" s="8">
        <v>45996</v>
      </c>
      <c r="AF438" s="5" t="s">
        <v>246</v>
      </c>
      <c r="AG438" s="5" t="s">
        <v>37</v>
      </c>
      <c r="AH438" s="5">
        <v>206902</v>
      </c>
      <c r="AI438" s="6">
        <v>45996</v>
      </c>
      <c r="AJ438" s="6">
        <v>46003</v>
      </c>
      <c r="AK438" s="1">
        <f t="shared" ref="AK438:AK440" si="198">0.02*C438</f>
        <v>9.9039999999999999</v>
      </c>
    </row>
    <row r="439" spans="1:37" x14ac:dyDescent="0.55000000000000004">
      <c r="A439">
        <v>3214</v>
      </c>
      <c r="B439">
        <v>1008403</v>
      </c>
      <c r="C439">
        <v>269.98</v>
      </c>
      <c r="D439" s="4">
        <v>5.4</v>
      </c>
      <c r="E439">
        <v>264.58</v>
      </c>
      <c r="F439">
        <v>2.7</v>
      </c>
      <c r="G439">
        <v>261.88</v>
      </c>
      <c r="H439" s="14">
        <f t="shared" si="195"/>
        <v>261.88000000000005</v>
      </c>
      <c r="I439" s="14" t="b">
        <f t="shared" si="196"/>
        <v>1</v>
      </c>
      <c r="J439" s="2">
        <v>46003</v>
      </c>
      <c r="K439" s="5">
        <v>1008403</v>
      </c>
      <c r="L439" s="5">
        <v>3214</v>
      </c>
      <c r="M439" s="5">
        <v>5.4</v>
      </c>
      <c r="N439" s="5">
        <v>269.98</v>
      </c>
      <c r="O439" s="7">
        <v>45996</v>
      </c>
      <c r="P439" s="5">
        <v>264.58</v>
      </c>
      <c r="Q439" s="5">
        <v>5.4</v>
      </c>
      <c r="R439" s="5" t="s">
        <v>32</v>
      </c>
      <c r="S439" s="5" t="s">
        <v>33</v>
      </c>
      <c r="T439" s="5">
        <v>2.7</v>
      </c>
      <c r="U439" s="5">
        <v>261.88</v>
      </c>
      <c r="V439" s="5" t="s">
        <v>34</v>
      </c>
      <c r="W439" s="5">
        <v>2</v>
      </c>
      <c r="X439" s="5">
        <v>3947331087820</v>
      </c>
      <c r="Y439" s="7">
        <v>46003</v>
      </c>
      <c r="Z439" s="7">
        <v>45996</v>
      </c>
      <c r="AB439" s="6">
        <v>46003</v>
      </c>
      <c r="AC439" s="7">
        <v>46001.495833333334</v>
      </c>
      <c r="AD439" s="5">
        <v>32141008403</v>
      </c>
      <c r="AE439" s="8">
        <v>45996</v>
      </c>
      <c r="AF439" s="5" t="s">
        <v>247</v>
      </c>
      <c r="AG439" s="5" t="s">
        <v>37</v>
      </c>
      <c r="AH439" s="5">
        <v>206903</v>
      </c>
      <c r="AI439" s="6">
        <v>45996</v>
      </c>
      <c r="AJ439" s="6">
        <v>46003</v>
      </c>
      <c r="AK439" s="1">
        <f t="shared" si="198"/>
        <v>5.3996000000000004</v>
      </c>
    </row>
    <row r="440" spans="1:37" x14ac:dyDescent="0.55000000000000004">
      <c r="A440">
        <v>3214</v>
      </c>
      <c r="B440">
        <v>1008474</v>
      </c>
      <c r="C440">
        <v>597</v>
      </c>
      <c r="D440" s="4">
        <v>11.94</v>
      </c>
      <c r="E440">
        <v>585.05999999999995</v>
      </c>
      <c r="F440">
        <v>5.97</v>
      </c>
      <c r="G440">
        <v>579.09</v>
      </c>
      <c r="H440" s="14">
        <f t="shared" si="195"/>
        <v>579.08999999999992</v>
      </c>
      <c r="I440" s="14" t="b">
        <f t="shared" si="196"/>
        <v>1</v>
      </c>
      <c r="J440" s="2">
        <v>46003</v>
      </c>
      <c r="K440" s="5">
        <v>1008474</v>
      </c>
      <c r="L440" s="5">
        <v>3214</v>
      </c>
      <c r="M440" s="5">
        <v>11.94</v>
      </c>
      <c r="N440" s="5">
        <v>597</v>
      </c>
      <c r="O440" s="7">
        <v>45996</v>
      </c>
      <c r="P440" s="5">
        <v>585.05999999999995</v>
      </c>
      <c r="Q440" s="5">
        <v>11.94</v>
      </c>
      <c r="R440" s="5" t="s">
        <v>32</v>
      </c>
      <c r="S440" s="5" t="s">
        <v>33</v>
      </c>
      <c r="T440" s="5">
        <v>5.97</v>
      </c>
      <c r="U440" s="5">
        <v>579.09</v>
      </c>
      <c r="V440" s="5" t="s">
        <v>34</v>
      </c>
      <c r="W440" s="5">
        <v>2</v>
      </c>
      <c r="X440" s="5">
        <v>3947331087820</v>
      </c>
      <c r="Y440" s="7">
        <v>46003</v>
      </c>
      <c r="Z440" s="7">
        <v>45996</v>
      </c>
      <c r="AB440" s="6">
        <v>46003</v>
      </c>
      <c r="AC440" s="7">
        <v>46001.495833333334</v>
      </c>
      <c r="AD440" s="5">
        <v>32141008474</v>
      </c>
      <c r="AE440" s="8">
        <v>45996</v>
      </c>
      <c r="AF440" s="5" t="s">
        <v>248</v>
      </c>
      <c r="AG440" s="5" t="s">
        <v>37</v>
      </c>
      <c r="AH440" s="5">
        <v>206624</v>
      </c>
      <c r="AI440" s="6">
        <v>45996</v>
      </c>
      <c r="AJ440" s="6">
        <v>46003</v>
      </c>
      <c r="AK440" s="1">
        <f t="shared" si="198"/>
        <v>11.94</v>
      </c>
    </row>
    <row r="441" spans="1:37" hidden="1" x14ac:dyDescent="0.55000000000000004">
      <c r="A441">
        <v>3214</v>
      </c>
      <c r="B441">
        <v>1008497</v>
      </c>
      <c r="C441" s="1">
        <v>13076.3</v>
      </c>
      <c r="E441" s="1">
        <v>13076.3</v>
      </c>
      <c r="F441">
        <v>130.76</v>
      </c>
      <c r="G441" s="1">
        <v>12945.54</v>
      </c>
      <c r="H441" s="1"/>
      <c r="I441" s="1"/>
      <c r="J441" s="2">
        <v>46003</v>
      </c>
      <c r="K441" s="5">
        <v>1008497</v>
      </c>
      <c r="L441" s="5">
        <v>3214</v>
      </c>
      <c r="M441" s="5">
        <v>0</v>
      </c>
      <c r="N441" s="5">
        <v>13076.3</v>
      </c>
      <c r="O441" s="7">
        <v>45996</v>
      </c>
      <c r="P441" s="5">
        <v>13076.3</v>
      </c>
      <c r="Q441" s="5">
        <v>0</v>
      </c>
      <c r="R441" s="5" t="s">
        <v>32</v>
      </c>
      <c r="S441" s="5" t="s">
        <v>33</v>
      </c>
      <c r="T441" s="5">
        <v>130.76</v>
      </c>
      <c r="U441" s="5">
        <v>12945.54</v>
      </c>
      <c r="V441" s="5" t="s">
        <v>34</v>
      </c>
      <c r="W441" s="5">
        <v>2</v>
      </c>
      <c r="X441" s="5">
        <v>3947331087820</v>
      </c>
      <c r="Y441" s="7">
        <v>46003</v>
      </c>
      <c r="Z441" s="7">
        <v>45996</v>
      </c>
      <c r="AB441" s="6">
        <v>46003</v>
      </c>
      <c r="AC441" s="7">
        <v>46001.495833333334</v>
      </c>
      <c r="AD441" s="5">
        <v>32141008497</v>
      </c>
      <c r="AE441" s="8">
        <v>45996</v>
      </c>
      <c r="AF441" s="5" t="s">
        <v>249</v>
      </c>
      <c r="AG441" s="5" t="s">
        <v>38</v>
      </c>
      <c r="AH441" s="5">
        <v>206893</v>
      </c>
      <c r="AI441" s="6">
        <v>45996</v>
      </c>
      <c r="AJ441" s="6">
        <v>46003</v>
      </c>
    </row>
    <row r="442" spans="1:37" hidden="1" x14ac:dyDescent="0.55000000000000004">
      <c r="A442">
        <v>3214</v>
      </c>
      <c r="B442">
        <v>1008506</v>
      </c>
      <c r="C442" s="1">
        <v>5711.88</v>
      </c>
      <c r="E442" s="1">
        <v>5711.88</v>
      </c>
      <c r="F442">
        <v>57.12</v>
      </c>
      <c r="G442" s="1">
        <v>5654.76</v>
      </c>
      <c r="H442" s="1"/>
      <c r="I442" s="1"/>
      <c r="J442" s="2">
        <v>46003</v>
      </c>
      <c r="K442" s="5">
        <v>1008506</v>
      </c>
      <c r="L442" s="5">
        <v>3214</v>
      </c>
      <c r="M442" s="5">
        <v>0</v>
      </c>
      <c r="N442" s="5">
        <v>5711.88</v>
      </c>
      <c r="O442" s="7">
        <v>45996</v>
      </c>
      <c r="P442" s="5">
        <v>5711.88</v>
      </c>
      <c r="Q442" s="5">
        <v>0</v>
      </c>
      <c r="R442" s="5" t="s">
        <v>32</v>
      </c>
      <c r="S442" s="5" t="s">
        <v>33</v>
      </c>
      <c r="T442" s="5">
        <v>57.12</v>
      </c>
      <c r="U442" s="5">
        <v>5654.76</v>
      </c>
      <c r="V442" s="5" t="s">
        <v>34</v>
      </c>
      <c r="W442" s="5">
        <v>2</v>
      </c>
      <c r="X442" s="5">
        <v>3947331087820</v>
      </c>
      <c r="Y442" s="7">
        <v>46003</v>
      </c>
      <c r="Z442" s="7">
        <v>45996</v>
      </c>
      <c r="AB442" s="6">
        <v>46003</v>
      </c>
      <c r="AC442" s="7">
        <v>46001.495833333334</v>
      </c>
      <c r="AD442" s="5">
        <v>32141008506</v>
      </c>
      <c r="AE442" s="8">
        <v>45996</v>
      </c>
      <c r="AF442" s="5" t="s">
        <v>244</v>
      </c>
      <c r="AG442" s="5" t="s">
        <v>38</v>
      </c>
      <c r="AH442" s="5">
        <v>206812</v>
      </c>
      <c r="AI442" s="6">
        <v>45996</v>
      </c>
      <c r="AJ442" s="6">
        <v>46003</v>
      </c>
    </row>
    <row r="443" spans="1:37" hidden="1" x14ac:dyDescent="0.55000000000000004">
      <c r="A443">
        <v>3214</v>
      </c>
      <c r="B443">
        <v>1008956</v>
      </c>
      <c r="C443">
        <v>-40.5</v>
      </c>
      <c r="E443">
        <v>-40.5</v>
      </c>
      <c r="G443">
        <v>-40.5</v>
      </c>
      <c r="H443"/>
      <c r="I443"/>
      <c r="J443" s="2">
        <v>46003</v>
      </c>
      <c r="K443" s="5">
        <v>1008956</v>
      </c>
      <c r="L443" s="5">
        <v>3214</v>
      </c>
      <c r="M443" s="5">
        <v>0</v>
      </c>
      <c r="N443" s="5">
        <v>-40.5</v>
      </c>
      <c r="O443" s="7">
        <v>46000</v>
      </c>
      <c r="P443" s="5">
        <v>-40.5</v>
      </c>
      <c r="Q443" s="5">
        <v>0</v>
      </c>
      <c r="R443" s="5">
        <v>1008956</v>
      </c>
      <c r="S443" s="5" t="s">
        <v>33</v>
      </c>
      <c r="T443" s="5">
        <v>0</v>
      </c>
      <c r="U443" s="5">
        <v>-40.5</v>
      </c>
      <c r="V443" s="5" t="s">
        <v>34</v>
      </c>
      <c r="W443" s="5">
        <v>2</v>
      </c>
      <c r="X443" s="5">
        <v>3947331087820</v>
      </c>
      <c r="Y443" s="7">
        <v>46003</v>
      </c>
      <c r="Z443" s="7">
        <v>46000</v>
      </c>
      <c r="AB443" s="6">
        <v>46003</v>
      </c>
      <c r="AC443" s="7">
        <v>46001.495833333334</v>
      </c>
      <c r="AD443" s="5">
        <v>32141008956</v>
      </c>
      <c r="AE443" s="8">
        <v>46000</v>
      </c>
      <c r="AF443" s="5">
        <v>332129</v>
      </c>
      <c r="AG443" s="5" t="s">
        <v>38</v>
      </c>
      <c r="AH443" s="5" t="s">
        <v>250</v>
      </c>
      <c r="AI443" s="6">
        <v>46000</v>
      </c>
      <c r="AJ443" s="6">
        <v>46003</v>
      </c>
    </row>
    <row r="444" spans="1:37" hidden="1" x14ac:dyDescent="0.55000000000000004">
      <c r="A444">
        <v>3214</v>
      </c>
      <c r="B444">
        <v>1008957</v>
      </c>
      <c r="C444">
        <v>-240</v>
      </c>
      <c r="E444">
        <v>-240</v>
      </c>
      <c r="G444">
        <v>-240</v>
      </c>
      <c r="H444"/>
      <c r="I444"/>
      <c r="J444" s="2">
        <v>46003</v>
      </c>
      <c r="K444" s="5">
        <v>1008957</v>
      </c>
      <c r="L444" s="5">
        <v>3214</v>
      </c>
      <c r="M444" s="5">
        <v>0</v>
      </c>
      <c r="N444" s="5">
        <v>-240</v>
      </c>
      <c r="O444" s="7">
        <v>46000</v>
      </c>
      <c r="P444" s="5">
        <v>-240</v>
      </c>
      <c r="Q444" s="5">
        <v>0</v>
      </c>
      <c r="R444" s="5">
        <v>1008957</v>
      </c>
      <c r="S444" s="5" t="s">
        <v>33</v>
      </c>
      <c r="T444" s="5">
        <v>0</v>
      </c>
      <c r="U444" s="5">
        <v>-240</v>
      </c>
      <c r="V444" s="5" t="s">
        <v>34</v>
      </c>
      <c r="W444" s="5">
        <v>2</v>
      </c>
      <c r="X444" s="5">
        <v>3947331087820</v>
      </c>
      <c r="Y444" s="7">
        <v>46003</v>
      </c>
      <c r="Z444" s="7">
        <v>46000</v>
      </c>
      <c r="AB444" s="6">
        <v>46003</v>
      </c>
      <c r="AC444" s="7">
        <v>46001.495833333334</v>
      </c>
      <c r="AD444" s="5">
        <v>32141008957</v>
      </c>
      <c r="AE444" s="8">
        <v>46000</v>
      </c>
      <c r="AF444" s="5">
        <v>332276</v>
      </c>
      <c r="AG444" s="5" t="s">
        <v>38</v>
      </c>
      <c r="AH444" s="5" t="s">
        <v>251</v>
      </c>
      <c r="AI444" s="6">
        <v>46000</v>
      </c>
      <c r="AJ444" s="6">
        <v>46003</v>
      </c>
    </row>
    <row r="445" spans="1:37" hidden="1" x14ac:dyDescent="0.55000000000000004">
      <c r="A445">
        <v>3214</v>
      </c>
      <c r="B445">
        <v>1008968</v>
      </c>
      <c r="C445">
        <v>-37.5</v>
      </c>
      <c r="E445">
        <v>-37.5</v>
      </c>
      <c r="G445">
        <v>-37.5</v>
      </c>
      <c r="H445"/>
      <c r="I445"/>
      <c r="J445" s="2">
        <v>46003</v>
      </c>
      <c r="K445" s="5">
        <v>1008968</v>
      </c>
      <c r="L445" s="5">
        <v>3214</v>
      </c>
      <c r="M445" s="5">
        <v>0</v>
      </c>
      <c r="N445" s="5">
        <v>-37.5</v>
      </c>
      <c r="O445" s="7">
        <v>46000</v>
      </c>
      <c r="P445" s="5">
        <v>-37.5</v>
      </c>
      <c r="Q445" s="5">
        <v>0</v>
      </c>
      <c r="R445" s="5">
        <v>1008968</v>
      </c>
      <c r="S445" s="5" t="s">
        <v>33</v>
      </c>
      <c r="T445" s="5">
        <v>0</v>
      </c>
      <c r="U445" s="5">
        <v>-37.5</v>
      </c>
      <c r="V445" s="5" t="s">
        <v>34</v>
      </c>
      <c r="W445" s="5">
        <v>2</v>
      </c>
      <c r="X445" s="5">
        <v>3947331087820</v>
      </c>
      <c r="Y445" s="7">
        <v>46003</v>
      </c>
      <c r="Z445" s="7">
        <v>46000</v>
      </c>
      <c r="AB445" s="6">
        <v>46003</v>
      </c>
      <c r="AC445" s="7">
        <v>46001.495833333334</v>
      </c>
      <c r="AD445" s="5">
        <v>32141008968</v>
      </c>
      <c r="AE445" s="8">
        <v>46000</v>
      </c>
      <c r="AF445" s="5">
        <v>332054</v>
      </c>
      <c r="AG445" s="5" t="s">
        <v>38</v>
      </c>
      <c r="AH445" s="5" t="s">
        <v>252</v>
      </c>
      <c r="AI445" s="6">
        <v>46000</v>
      </c>
      <c r="AJ445" s="6">
        <v>46003</v>
      </c>
    </row>
    <row r="446" spans="1:37" hidden="1" x14ac:dyDescent="0.55000000000000004">
      <c r="A446">
        <v>3214</v>
      </c>
      <c r="B446">
        <v>1008969</v>
      </c>
      <c r="C446">
        <v>-37.5</v>
      </c>
      <c r="E446">
        <v>-37.5</v>
      </c>
      <c r="G446">
        <v>-37.5</v>
      </c>
      <c r="H446"/>
      <c r="I446"/>
      <c r="J446" s="2">
        <v>46003</v>
      </c>
      <c r="K446" s="5">
        <v>1008969</v>
      </c>
      <c r="L446" s="5">
        <v>3214</v>
      </c>
      <c r="M446" s="5">
        <v>0</v>
      </c>
      <c r="N446" s="5">
        <v>-37.5</v>
      </c>
      <c r="O446" s="7">
        <v>46000</v>
      </c>
      <c r="P446" s="5">
        <v>-37.5</v>
      </c>
      <c r="Q446" s="5">
        <v>0</v>
      </c>
      <c r="R446" s="5">
        <v>1008969</v>
      </c>
      <c r="S446" s="5" t="s">
        <v>33</v>
      </c>
      <c r="T446" s="5">
        <v>0</v>
      </c>
      <c r="U446" s="5">
        <v>-37.5</v>
      </c>
      <c r="V446" s="5" t="s">
        <v>34</v>
      </c>
      <c r="W446" s="5">
        <v>2</v>
      </c>
      <c r="X446" s="5">
        <v>3947331087820</v>
      </c>
      <c r="Y446" s="7">
        <v>46003</v>
      </c>
      <c r="Z446" s="7">
        <v>46000</v>
      </c>
      <c r="AB446" s="6">
        <v>46003</v>
      </c>
      <c r="AC446" s="7">
        <v>46001.495833333334</v>
      </c>
      <c r="AD446" s="5">
        <v>32141008969</v>
      </c>
      <c r="AE446" s="8">
        <v>46000</v>
      </c>
      <c r="AF446" s="5">
        <v>332088</v>
      </c>
      <c r="AG446" s="5" t="s">
        <v>38</v>
      </c>
      <c r="AH446" s="5" t="s">
        <v>253</v>
      </c>
      <c r="AI446" s="6">
        <v>46000</v>
      </c>
      <c r="AJ446" s="6">
        <v>46003</v>
      </c>
    </row>
    <row r="447" spans="1:37" hidden="1" x14ac:dyDescent="0.55000000000000004">
      <c r="A447">
        <v>3214</v>
      </c>
      <c r="B447">
        <v>1008970</v>
      </c>
      <c r="C447">
        <v>-320</v>
      </c>
      <c r="E447">
        <v>-320</v>
      </c>
      <c r="G447">
        <v>-320</v>
      </c>
      <c r="H447"/>
      <c r="I447"/>
      <c r="J447" s="2">
        <v>46003</v>
      </c>
      <c r="K447" s="5">
        <v>1008970</v>
      </c>
      <c r="L447" s="5">
        <v>3214</v>
      </c>
      <c r="M447" s="5">
        <v>0</v>
      </c>
      <c r="N447" s="5">
        <v>-320</v>
      </c>
      <c r="O447" s="7">
        <v>46000</v>
      </c>
      <c r="P447" s="5">
        <v>-320</v>
      </c>
      <c r="Q447" s="5">
        <v>0</v>
      </c>
      <c r="R447" s="5">
        <v>1008970</v>
      </c>
      <c r="S447" s="5" t="s">
        <v>33</v>
      </c>
      <c r="T447" s="5">
        <v>0</v>
      </c>
      <c r="U447" s="5">
        <v>-320</v>
      </c>
      <c r="V447" s="5" t="s">
        <v>34</v>
      </c>
      <c r="W447" s="5">
        <v>2</v>
      </c>
      <c r="X447" s="5">
        <v>3947331087820</v>
      </c>
      <c r="Y447" s="7">
        <v>46003</v>
      </c>
      <c r="Z447" s="7">
        <v>46000</v>
      </c>
      <c r="AB447" s="6">
        <v>46003</v>
      </c>
      <c r="AC447" s="7">
        <v>46001.495833333334</v>
      </c>
      <c r="AD447" s="5">
        <v>32141008970</v>
      </c>
      <c r="AE447" s="8">
        <v>46000</v>
      </c>
      <c r="AF447" s="5">
        <v>332106</v>
      </c>
      <c r="AG447" s="5" t="s">
        <v>38</v>
      </c>
      <c r="AH447" s="5" t="s">
        <v>254</v>
      </c>
      <c r="AI447" s="6">
        <v>46000</v>
      </c>
      <c r="AJ447" s="6">
        <v>46003</v>
      </c>
    </row>
    <row r="448" spans="1:37" hidden="1" x14ac:dyDescent="0.55000000000000004">
      <c r="A448">
        <v>3214</v>
      </c>
      <c r="B448">
        <v>1008972</v>
      </c>
      <c r="C448">
        <v>-137.69999999999999</v>
      </c>
      <c r="E448">
        <v>-137.69999999999999</v>
      </c>
      <c r="G448">
        <v>-137.69999999999999</v>
      </c>
      <c r="H448"/>
      <c r="I448"/>
      <c r="J448" s="2">
        <v>46003</v>
      </c>
      <c r="K448" s="5">
        <v>1008972</v>
      </c>
      <c r="L448" s="5">
        <v>3214</v>
      </c>
      <c r="M448" s="5">
        <v>0</v>
      </c>
      <c r="N448" s="5">
        <v>-137.69999999999999</v>
      </c>
      <c r="O448" s="7">
        <v>46000</v>
      </c>
      <c r="P448" s="5">
        <v>-137.69999999999999</v>
      </c>
      <c r="Q448" s="5">
        <v>0</v>
      </c>
      <c r="R448" s="5">
        <v>1008972</v>
      </c>
      <c r="S448" s="5" t="s">
        <v>33</v>
      </c>
      <c r="T448" s="5">
        <v>0</v>
      </c>
      <c r="U448" s="5">
        <v>-137.69999999999999</v>
      </c>
      <c r="V448" s="5" t="s">
        <v>34</v>
      </c>
      <c r="W448" s="5">
        <v>2</v>
      </c>
      <c r="X448" s="5">
        <v>3947331087820</v>
      </c>
      <c r="Y448" s="7">
        <v>46003</v>
      </c>
      <c r="Z448" s="7">
        <v>46000</v>
      </c>
      <c r="AB448" s="6">
        <v>46003</v>
      </c>
      <c r="AC448" s="7">
        <v>46001.495833333334</v>
      </c>
      <c r="AD448" s="5">
        <v>32141008972</v>
      </c>
      <c r="AE448" s="8">
        <v>46000</v>
      </c>
      <c r="AF448" s="5">
        <v>332717</v>
      </c>
      <c r="AG448" s="5" t="s">
        <v>38</v>
      </c>
      <c r="AH448" s="5" t="s">
        <v>255</v>
      </c>
      <c r="AI448" s="6">
        <v>46000</v>
      </c>
      <c r="AJ448" s="6">
        <v>46003</v>
      </c>
    </row>
    <row r="449" spans="1:37" hidden="1" x14ac:dyDescent="0.55000000000000004">
      <c r="A449">
        <v>3214</v>
      </c>
      <c r="B449">
        <v>1008979</v>
      </c>
      <c r="C449">
        <v>-40.5</v>
      </c>
      <c r="E449">
        <v>-40.5</v>
      </c>
      <c r="G449">
        <v>-40.5</v>
      </c>
      <c r="H449"/>
      <c r="I449"/>
      <c r="J449" s="2">
        <v>46003</v>
      </c>
      <c r="K449" s="5">
        <v>1008979</v>
      </c>
      <c r="L449" s="5">
        <v>3214</v>
      </c>
      <c r="M449" s="5">
        <v>0</v>
      </c>
      <c r="N449" s="5">
        <v>-40.5</v>
      </c>
      <c r="O449" s="7">
        <v>46000</v>
      </c>
      <c r="P449" s="5">
        <v>-40.5</v>
      </c>
      <c r="Q449" s="5">
        <v>0</v>
      </c>
      <c r="R449" s="5">
        <v>1008979</v>
      </c>
      <c r="S449" s="5" t="s">
        <v>33</v>
      </c>
      <c r="T449" s="5">
        <v>0</v>
      </c>
      <c r="U449" s="5">
        <v>-40.5</v>
      </c>
      <c r="V449" s="5" t="s">
        <v>34</v>
      </c>
      <c r="W449" s="5">
        <v>2</v>
      </c>
      <c r="X449" s="5">
        <v>3947331087820</v>
      </c>
      <c r="Y449" s="7">
        <v>46003</v>
      </c>
      <c r="Z449" s="7">
        <v>46000</v>
      </c>
      <c r="AB449" s="6">
        <v>46003</v>
      </c>
      <c r="AC449" s="7">
        <v>46001.495833333334</v>
      </c>
      <c r="AD449" s="5">
        <v>32141008979</v>
      </c>
      <c r="AE449" s="8">
        <v>46000</v>
      </c>
      <c r="AF449" s="5">
        <v>332917</v>
      </c>
      <c r="AG449" s="5" t="s">
        <v>38</v>
      </c>
      <c r="AH449" s="5" t="s">
        <v>256</v>
      </c>
      <c r="AI449" s="6">
        <v>46000</v>
      </c>
      <c r="AJ449" s="6">
        <v>46003</v>
      </c>
    </row>
    <row r="450" spans="1:37" hidden="1" x14ac:dyDescent="0.55000000000000004">
      <c r="A450">
        <v>3214</v>
      </c>
      <c r="B450">
        <v>1008990</v>
      </c>
      <c r="C450">
        <v>-162</v>
      </c>
      <c r="E450">
        <v>-162</v>
      </c>
      <c r="G450">
        <v>-162</v>
      </c>
      <c r="H450"/>
      <c r="I450"/>
      <c r="J450" s="2">
        <v>46003</v>
      </c>
      <c r="K450" s="5">
        <v>1008990</v>
      </c>
      <c r="L450" s="5">
        <v>3214</v>
      </c>
      <c r="M450" s="5">
        <v>0</v>
      </c>
      <c r="N450" s="5">
        <v>-162</v>
      </c>
      <c r="O450" s="7">
        <v>46000</v>
      </c>
      <c r="P450" s="5">
        <v>-162</v>
      </c>
      <c r="Q450" s="5">
        <v>0</v>
      </c>
      <c r="R450" s="5">
        <v>1008990</v>
      </c>
      <c r="S450" s="5" t="s">
        <v>33</v>
      </c>
      <c r="T450" s="5">
        <v>0</v>
      </c>
      <c r="U450" s="5">
        <v>-162</v>
      </c>
      <c r="V450" s="5" t="s">
        <v>34</v>
      </c>
      <c r="W450" s="5">
        <v>2</v>
      </c>
      <c r="X450" s="5">
        <v>3947331087820</v>
      </c>
      <c r="Y450" s="7">
        <v>46003</v>
      </c>
      <c r="Z450" s="7">
        <v>46000</v>
      </c>
      <c r="AB450" s="6">
        <v>46003</v>
      </c>
      <c r="AC450" s="7">
        <v>46001.495833333334</v>
      </c>
      <c r="AD450" s="5">
        <v>32141008990</v>
      </c>
      <c r="AE450" s="8">
        <v>46000</v>
      </c>
      <c r="AF450" s="5">
        <v>333211</v>
      </c>
      <c r="AG450" s="5" t="s">
        <v>38</v>
      </c>
      <c r="AH450" s="5" t="s">
        <v>257</v>
      </c>
      <c r="AI450" s="6">
        <v>46000</v>
      </c>
      <c r="AJ450" s="6">
        <v>46003</v>
      </c>
    </row>
    <row r="451" spans="1:37" hidden="1" x14ac:dyDescent="0.55000000000000004">
      <c r="A451">
        <v>3214</v>
      </c>
      <c r="B451">
        <v>1008991</v>
      </c>
      <c r="C451">
        <v>-162</v>
      </c>
      <c r="E451">
        <v>-162</v>
      </c>
      <c r="G451">
        <v>-162</v>
      </c>
      <c r="H451"/>
      <c r="I451"/>
      <c r="J451" s="2">
        <v>46003</v>
      </c>
      <c r="K451" s="5">
        <v>1008991</v>
      </c>
      <c r="L451" s="5">
        <v>3214</v>
      </c>
      <c r="M451" s="5">
        <v>0</v>
      </c>
      <c r="N451" s="5">
        <v>-162</v>
      </c>
      <c r="O451" s="7">
        <v>46000</v>
      </c>
      <c r="P451" s="5">
        <v>-162</v>
      </c>
      <c r="Q451" s="5">
        <v>0</v>
      </c>
      <c r="R451" s="5">
        <v>1008991</v>
      </c>
      <c r="S451" s="5" t="s">
        <v>33</v>
      </c>
      <c r="T451" s="5">
        <v>0</v>
      </c>
      <c r="U451" s="5">
        <v>-162</v>
      </c>
      <c r="V451" s="5" t="s">
        <v>34</v>
      </c>
      <c r="W451" s="5">
        <v>2</v>
      </c>
      <c r="X451" s="5">
        <v>3947331087820</v>
      </c>
      <c r="Y451" s="7">
        <v>46003</v>
      </c>
      <c r="Z451" s="7">
        <v>46000</v>
      </c>
      <c r="AB451" s="6">
        <v>46003</v>
      </c>
      <c r="AC451" s="7">
        <v>46001.495833333334</v>
      </c>
      <c r="AD451" s="5">
        <v>32141008991</v>
      </c>
      <c r="AE451" s="8">
        <v>46000</v>
      </c>
      <c r="AF451" s="5">
        <v>333253</v>
      </c>
      <c r="AG451" s="5" t="s">
        <v>38</v>
      </c>
      <c r="AH451" s="5" t="s">
        <v>258</v>
      </c>
      <c r="AI451" s="6">
        <v>46000</v>
      </c>
      <c r="AJ451" s="6">
        <v>46003</v>
      </c>
    </row>
    <row r="452" spans="1:37" hidden="1" x14ac:dyDescent="0.55000000000000004">
      <c r="A452">
        <v>3214</v>
      </c>
      <c r="B452">
        <v>1009002</v>
      </c>
      <c r="C452">
        <v>-75</v>
      </c>
      <c r="E452">
        <v>-75</v>
      </c>
      <c r="G452">
        <v>-75</v>
      </c>
      <c r="H452"/>
      <c r="I452"/>
      <c r="J452" s="2">
        <v>46003</v>
      </c>
      <c r="K452" s="5">
        <v>1009002</v>
      </c>
      <c r="L452" s="5">
        <v>3214</v>
      </c>
      <c r="M452" s="5">
        <v>0</v>
      </c>
      <c r="N452" s="5">
        <v>-75</v>
      </c>
      <c r="O452" s="7">
        <v>46000</v>
      </c>
      <c r="P452" s="5">
        <v>-75</v>
      </c>
      <c r="Q452" s="5">
        <v>0</v>
      </c>
      <c r="R452" s="5">
        <v>1009002</v>
      </c>
      <c r="S452" s="5" t="s">
        <v>33</v>
      </c>
      <c r="T452" s="5">
        <v>0</v>
      </c>
      <c r="U452" s="5">
        <v>-75</v>
      </c>
      <c r="V452" s="5" t="s">
        <v>34</v>
      </c>
      <c r="W452" s="5">
        <v>2</v>
      </c>
      <c r="X452" s="5">
        <v>3947331087820</v>
      </c>
      <c r="Y452" s="7">
        <v>46003</v>
      </c>
      <c r="Z452" s="7">
        <v>46000</v>
      </c>
      <c r="AB452" s="6">
        <v>46003</v>
      </c>
      <c r="AC452" s="7">
        <v>46001.495833333334</v>
      </c>
      <c r="AD452" s="5">
        <v>32141009002</v>
      </c>
      <c r="AE452" s="8">
        <v>46000</v>
      </c>
      <c r="AF452" s="5">
        <v>333182</v>
      </c>
      <c r="AG452" s="5" t="s">
        <v>38</v>
      </c>
      <c r="AH452" s="5" t="s">
        <v>259</v>
      </c>
      <c r="AI452" s="6">
        <v>46000</v>
      </c>
      <c r="AJ452" s="6">
        <v>46003</v>
      </c>
    </row>
    <row r="453" spans="1:37" hidden="1" x14ac:dyDescent="0.55000000000000004">
      <c r="A453">
        <v>3214</v>
      </c>
      <c r="B453">
        <v>1009018</v>
      </c>
      <c r="C453">
        <v>-40.5</v>
      </c>
      <c r="E453">
        <v>-40.5</v>
      </c>
      <c r="G453">
        <v>-40.5</v>
      </c>
      <c r="H453"/>
      <c r="I453"/>
      <c r="J453" s="2">
        <v>46003</v>
      </c>
      <c r="K453" s="5">
        <v>1009018</v>
      </c>
      <c r="L453" s="5">
        <v>3214</v>
      </c>
      <c r="M453" s="5">
        <v>0</v>
      </c>
      <c r="N453" s="5">
        <v>-40.5</v>
      </c>
      <c r="O453" s="7">
        <v>46000</v>
      </c>
      <c r="P453" s="5">
        <v>-40.5</v>
      </c>
      <c r="Q453" s="5">
        <v>0</v>
      </c>
      <c r="R453" s="5">
        <v>1009018</v>
      </c>
      <c r="S453" s="5" t="s">
        <v>33</v>
      </c>
      <c r="T453" s="5">
        <v>0</v>
      </c>
      <c r="U453" s="5">
        <v>-40.5</v>
      </c>
      <c r="V453" s="5" t="s">
        <v>34</v>
      </c>
      <c r="W453" s="5">
        <v>2</v>
      </c>
      <c r="X453" s="5">
        <v>3947331087820</v>
      </c>
      <c r="Y453" s="7">
        <v>46003</v>
      </c>
      <c r="Z453" s="7">
        <v>46000</v>
      </c>
      <c r="AB453" s="6">
        <v>46003</v>
      </c>
      <c r="AC453" s="7">
        <v>46001.495833333334</v>
      </c>
      <c r="AD453" s="5">
        <v>32141009018</v>
      </c>
      <c r="AE453" s="8">
        <v>46000</v>
      </c>
      <c r="AF453" s="5">
        <v>333867</v>
      </c>
      <c r="AG453" s="5" t="s">
        <v>38</v>
      </c>
      <c r="AH453" s="5" t="s">
        <v>260</v>
      </c>
      <c r="AI453" s="6">
        <v>46000</v>
      </c>
      <c r="AJ453" s="6">
        <v>46003</v>
      </c>
    </row>
    <row r="454" spans="1:37" hidden="1" x14ac:dyDescent="0.55000000000000004">
      <c r="A454">
        <v>3214</v>
      </c>
      <c r="B454">
        <v>1009019</v>
      </c>
      <c r="C454">
        <v>-162</v>
      </c>
      <c r="E454">
        <v>-162</v>
      </c>
      <c r="G454">
        <v>-162</v>
      </c>
      <c r="H454"/>
      <c r="I454"/>
      <c r="J454" s="2">
        <v>46003</v>
      </c>
      <c r="K454" s="5">
        <v>1009019</v>
      </c>
      <c r="L454" s="5">
        <v>3214</v>
      </c>
      <c r="M454" s="5">
        <v>0</v>
      </c>
      <c r="N454" s="5">
        <v>-162</v>
      </c>
      <c r="O454" s="7">
        <v>46000</v>
      </c>
      <c r="P454" s="5">
        <v>-162</v>
      </c>
      <c r="Q454" s="5">
        <v>0</v>
      </c>
      <c r="R454" s="5">
        <v>1009019</v>
      </c>
      <c r="S454" s="5" t="s">
        <v>33</v>
      </c>
      <c r="T454" s="5">
        <v>0</v>
      </c>
      <c r="U454" s="5">
        <v>-162</v>
      </c>
      <c r="V454" s="5" t="s">
        <v>34</v>
      </c>
      <c r="W454" s="5">
        <v>2</v>
      </c>
      <c r="X454" s="5">
        <v>3947331087820</v>
      </c>
      <c r="Y454" s="7">
        <v>46003</v>
      </c>
      <c r="Z454" s="7">
        <v>46000</v>
      </c>
      <c r="AB454" s="6">
        <v>46003</v>
      </c>
      <c r="AC454" s="7">
        <v>46001.495833333334</v>
      </c>
      <c r="AD454" s="5">
        <v>32141009019</v>
      </c>
      <c r="AE454" s="8">
        <v>46000</v>
      </c>
      <c r="AF454" s="5">
        <v>333756</v>
      </c>
      <c r="AG454" s="5" t="s">
        <v>38</v>
      </c>
      <c r="AH454" s="5" t="s">
        <v>261</v>
      </c>
      <c r="AI454" s="6">
        <v>46000</v>
      </c>
      <c r="AJ454" s="6">
        <v>46003</v>
      </c>
    </row>
    <row r="455" spans="1:37" x14ac:dyDescent="0.55000000000000004">
      <c r="A455">
        <v>3221</v>
      </c>
      <c r="B455">
        <v>1004610</v>
      </c>
      <c r="C455">
        <v>72.260000000000005</v>
      </c>
      <c r="D455" s="4">
        <v>1.45</v>
      </c>
      <c r="E455">
        <v>70.81</v>
      </c>
      <c r="G455">
        <v>70.81</v>
      </c>
      <c r="H455" s="14">
        <f t="shared" ref="H455:H456" si="199">C455-D455-F455</f>
        <v>70.81</v>
      </c>
      <c r="I455" s="14" t="b">
        <f t="shared" ref="I455:I456" si="200">G455=H455</f>
        <v>1</v>
      </c>
      <c r="J455" s="2">
        <v>46003</v>
      </c>
      <c r="K455" s="5">
        <v>1004610</v>
      </c>
      <c r="L455" s="5">
        <v>3221</v>
      </c>
      <c r="M455" s="5">
        <v>1.45</v>
      </c>
      <c r="N455" s="5">
        <v>72.260000000000005</v>
      </c>
      <c r="O455" s="7">
        <v>45979</v>
      </c>
      <c r="P455" s="5">
        <v>70.81</v>
      </c>
      <c r="Q455" s="5">
        <v>1.45</v>
      </c>
      <c r="R455" s="5" t="s">
        <v>32</v>
      </c>
      <c r="S455" s="5" t="s">
        <v>33</v>
      </c>
      <c r="T455" s="5">
        <v>0</v>
      </c>
      <c r="U455" s="5">
        <v>70.81</v>
      </c>
      <c r="V455" s="5" t="s">
        <v>34</v>
      </c>
      <c r="W455" s="5">
        <v>2</v>
      </c>
      <c r="X455" s="5">
        <v>5670696210319</v>
      </c>
      <c r="Y455" s="7">
        <v>46003</v>
      </c>
      <c r="Z455" s="7">
        <v>45979</v>
      </c>
      <c r="AB455" s="6">
        <v>46003</v>
      </c>
      <c r="AC455" s="7">
        <v>46001.682638888888</v>
      </c>
      <c r="AD455" s="5">
        <v>32211004610</v>
      </c>
      <c r="AE455" s="8">
        <v>45979</v>
      </c>
      <c r="AF455" s="5">
        <v>111725</v>
      </c>
      <c r="AG455" s="5" t="s">
        <v>71</v>
      </c>
      <c r="AH455" s="5">
        <v>203680</v>
      </c>
      <c r="AI455" s="6">
        <v>45979</v>
      </c>
      <c r="AJ455" s="6">
        <v>46003</v>
      </c>
      <c r="AK455" s="1">
        <f t="shared" ref="AK455:AK456" si="201">0.02*C455</f>
        <v>1.4452</v>
      </c>
    </row>
    <row r="456" spans="1:37" x14ac:dyDescent="0.55000000000000004">
      <c r="A456">
        <v>3221</v>
      </c>
      <c r="B456">
        <v>1004716</v>
      </c>
      <c r="C456">
        <v>123.46</v>
      </c>
      <c r="D456" s="4">
        <v>2.4700000000000002</v>
      </c>
      <c r="E456">
        <v>120.99</v>
      </c>
      <c r="G456">
        <v>120.99</v>
      </c>
      <c r="H456" s="14">
        <f t="shared" si="199"/>
        <v>120.99</v>
      </c>
      <c r="I456" s="14" t="b">
        <f t="shared" si="200"/>
        <v>1</v>
      </c>
      <c r="J456" s="2">
        <v>46003</v>
      </c>
      <c r="K456" s="5">
        <v>1004716</v>
      </c>
      <c r="L456" s="5">
        <v>3221</v>
      </c>
      <c r="M456" s="5">
        <v>2.4700000000000002</v>
      </c>
      <c r="N456" s="5">
        <v>123.46</v>
      </c>
      <c r="O456" s="7">
        <v>45979</v>
      </c>
      <c r="P456" s="5">
        <v>120.99</v>
      </c>
      <c r="Q456" s="5">
        <v>2.4700000000000002</v>
      </c>
      <c r="R456" s="5" t="s">
        <v>32</v>
      </c>
      <c r="S456" s="5" t="s">
        <v>33</v>
      </c>
      <c r="T456" s="5">
        <v>0</v>
      </c>
      <c r="U456" s="5">
        <v>120.99</v>
      </c>
      <c r="V456" s="5" t="s">
        <v>34</v>
      </c>
      <c r="W456" s="5">
        <v>2</v>
      </c>
      <c r="X456" s="5">
        <v>5670696210319</v>
      </c>
      <c r="Y456" s="7">
        <v>46003</v>
      </c>
      <c r="Z456" s="7">
        <v>45979</v>
      </c>
      <c r="AB456" s="6">
        <v>46003</v>
      </c>
      <c r="AC456" s="7">
        <v>46001.682638888888</v>
      </c>
      <c r="AD456" s="5">
        <v>32211004716</v>
      </c>
      <c r="AE456" s="8">
        <v>45979</v>
      </c>
      <c r="AF456" s="5">
        <v>111725</v>
      </c>
      <c r="AG456" s="5" t="s">
        <v>71</v>
      </c>
      <c r="AH456" s="5">
        <v>203709</v>
      </c>
      <c r="AI456" s="6">
        <v>45979</v>
      </c>
      <c r="AJ456" s="6">
        <v>46003</v>
      </c>
      <c r="AK456" s="1">
        <f t="shared" si="201"/>
        <v>2.4691999999999998</v>
      </c>
    </row>
    <row r="457" spans="1:37" hidden="1" x14ac:dyDescent="0.55000000000000004">
      <c r="A457">
        <v>3221</v>
      </c>
      <c r="B457">
        <v>1005142</v>
      </c>
      <c r="C457">
        <v>227.9</v>
      </c>
      <c r="E457">
        <v>227.9</v>
      </c>
      <c r="G457">
        <v>227.9</v>
      </c>
      <c r="H457"/>
      <c r="I457"/>
      <c r="J457" s="2">
        <v>46003</v>
      </c>
      <c r="K457" s="5">
        <v>1005142</v>
      </c>
      <c r="L457" s="5">
        <v>3221</v>
      </c>
      <c r="M457" s="5">
        <v>0</v>
      </c>
      <c r="N457" s="5">
        <v>227.9</v>
      </c>
      <c r="O457" s="7">
        <v>45980</v>
      </c>
      <c r="P457" s="5">
        <v>227.9</v>
      </c>
      <c r="Q457" s="5">
        <v>0</v>
      </c>
      <c r="R457" s="5" t="s">
        <v>32</v>
      </c>
      <c r="S457" s="5" t="s">
        <v>33</v>
      </c>
      <c r="T457" s="5">
        <v>0</v>
      </c>
      <c r="U457" s="5">
        <v>227.9</v>
      </c>
      <c r="V457" s="5" t="s">
        <v>34</v>
      </c>
      <c r="W457" s="5">
        <v>2</v>
      </c>
      <c r="X457" s="5">
        <v>5670696210319</v>
      </c>
      <c r="Y457" s="7">
        <v>46003</v>
      </c>
      <c r="Z457" s="7">
        <v>45980</v>
      </c>
      <c r="AB457" s="6">
        <v>46003</v>
      </c>
      <c r="AC457" s="7">
        <v>46001.682638888888</v>
      </c>
      <c r="AD457" s="5">
        <v>32211005142</v>
      </c>
      <c r="AE457" s="8">
        <v>45980</v>
      </c>
      <c r="AF457" s="5">
        <v>111725</v>
      </c>
      <c r="AG457" s="5" t="s">
        <v>65</v>
      </c>
      <c r="AH457" s="5">
        <v>203983</v>
      </c>
      <c r="AI457" s="6">
        <v>45980</v>
      </c>
      <c r="AJ457" s="6">
        <v>46003</v>
      </c>
    </row>
    <row r="458" spans="1:37" x14ac:dyDescent="0.55000000000000004">
      <c r="A458">
        <v>3221</v>
      </c>
      <c r="B458">
        <v>1006941</v>
      </c>
      <c r="C458">
        <v>530.54</v>
      </c>
      <c r="D458" s="4">
        <v>5.31</v>
      </c>
      <c r="E458">
        <v>525.23</v>
      </c>
      <c r="G458">
        <v>525.23</v>
      </c>
      <c r="H458" s="14">
        <f t="shared" ref="H458:H462" si="202">C458-D458-F458</f>
        <v>525.23</v>
      </c>
      <c r="I458" s="14" t="b">
        <f t="shared" ref="I458:I462" si="203">G458=H458</f>
        <v>1</v>
      </c>
      <c r="J458" s="2">
        <v>46003</v>
      </c>
      <c r="K458" s="5">
        <v>1006941</v>
      </c>
      <c r="L458" s="5">
        <v>3221</v>
      </c>
      <c r="M458" s="5">
        <v>5.31</v>
      </c>
      <c r="N458" s="5">
        <v>530.54</v>
      </c>
      <c r="O458" s="7">
        <v>45967</v>
      </c>
      <c r="P458" s="5">
        <v>525.23</v>
      </c>
      <c r="Q458" s="5">
        <v>5.31</v>
      </c>
      <c r="R458" s="5" t="s">
        <v>262</v>
      </c>
      <c r="S458" s="5" t="s">
        <v>67</v>
      </c>
      <c r="T458" s="5">
        <v>0</v>
      </c>
      <c r="U458" s="5">
        <v>525.23</v>
      </c>
      <c r="V458" s="5" t="s">
        <v>34</v>
      </c>
      <c r="W458" s="5">
        <v>2</v>
      </c>
      <c r="X458" s="5">
        <v>5670696210319</v>
      </c>
      <c r="Y458" s="7">
        <v>46003</v>
      </c>
      <c r="Z458" s="7">
        <v>45989</v>
      </c>
      <c r="AB458" s="6">
        <v>46003</v>
      </c>
      <c r="AC458" s="7">
        <v>46001.682638888888</v>
      </c>
      <c r="AD458" s="5">
        <v>32211006941</v>
      </c>
      <c r="AE458" s="8">
        <v>45967</v>
      </c>
      <c r="AF458" s="5" t="s">
        <v>263</v>
      </c>
      <c r="AG458" s="5" t="s">
        <v>154</v>
      </c>
      <c r="AH458" s="5" t="s">
        <v>262</v>
      </c>
      <c r="AI458" s="6">
        <v>45989</v>
      </c>
      <c r="AJ458" s="6">
        <v>46003</v>
      </c>
    </row>
    <row r="459" spans="1:37" x14ac:dyDescent="0.55000000000000004">
      <c r="A459">
        <v>3221</v>
      </c>
      <c r="B459">
        <v>1007209</v>
      </c>
      <c r="C459">
        <v>99.54</v>
      </c>
      <c r="D459" s="4">
        <v>1.99</v>
      </c>
      <c r="E459">
        <v>97.55</v>
      </c>
      <c r="F459">
        <v>1</v>
      </c>
      <c r="G459">
        <v>96.55</v>
      </c>
      <c r="H459" s="14">
        <f t="shared" si="202"/>
        <v>96.550000000000011</v>
      </c>
      <c r="I459" s="14" t="b">
        <f t="shared" si="203"/>
        <v>1</v>
      </c>
      <c r="J459" s="2">
        <v>46003</v>
      </c>
      <c r="K459" s="5">
        <v>1007209</v>
      </c>
      <c r="L459" s="5">
        <v>3221</v>
      </c>
      <c r="M459" s="5">
        <v>1.99</v>
      </c>
      <c r="N459" s="5">
        <v>99.54</v>
      </c>
      <c r="O459" s="7">
        <v>45992</v>
      </c>
      <c r="P459" s="5">
        <v>97.55</v>
      </c>
      <c r="Q459" s="5">
        <v>1.99</v>
      </c>
      <c r="R459" s="5" t="s">
        <v>32</v>
      </c>
      <c r="S459" s="5" t="s">
        <v>33</v>
      </c>
      <c r="T459" s="5">
        <v>1</v>
      </c>
      <c r="U459" s="5">
        <v>96.55</v>
      </c>
      <c r="V459" s="5" t="s">
        <v>34</v>
      </c>
      <c r="W459" s="5">
        <v>2</v>
      </c>
      <c r="X459" s="5">
        <v>5670696210319</v>
      </c>
      <c r="Y459" s="7">
        <v>46003</v>
      </c>
      <c r="Z459" s="7">
        <v>45992</v>
      </c>
      <c r="AB459" s="6">
        <v>46003</v>
      </c>
      <c r="AC459" s="7">
        <v>46001.682638888888</v>
      </c>
      <c r="AD459" s="5">
        <v>32211007209</v>
      </c>
      <c r="AE459" s="8">
        <v>45992</v>
      </c>
      <c r="AF459" s="5">
        <v>111725</v>
      </c>
      <c r="AG459" s="5" t="s">
        <v>37</v>
      </c>
      <c r="AH459" s="5">
        <v>205790</v>
      </c>
      <c r="AI459" s="6">
        <v>45992</v>
      </c>
      <c r="AJ459" s="6">
        <v>46003</v>
      </c>
      <c r="AK459" s="1">
        <f t="shared" ref="AK459:AK462" si="204">0.02*C459</f>
        <v>1.9908000000000001</v>
      </c>
    </row>
    <row r="460" spans="1:37" x14ac:dyDescent="0.55000000000000004">
      <c r="A460">
        <v>3221</v>
      </c>
      <c r="B460">
        <v>1007245</v>
      </c>
      <c r="C460">
        <v>74.819999999999993</v>
      </c>
      <c r="D460" s="4">
        <v>1.5</v>
      </c>
      <c r="E460">
        <v>73.319999999999993</v>
      </c>
      <c r="F460">
        <v>0.75</v>
      </c>
      <c r="G460">
        <v>72.569999999999993</v>
      </c>
      <c r="H460" s="14">
        <f t="shared" si="202"/>
        <v>72.569999999999993</v>
      </c>
      <c r="I460" s="14" t="b">
        <f t="shared" si="203"/>
        <v>1</v>
      </c>
      <c r="J460" s="2">
        <v>46003</v>
      </c>
      <c r="K460" s="5">
        <v>1007245</v>
      </c>
      <c r="L460" s="5">
        <v>3221</v>
      </c>
      <c r="M460" s="5">
        <v>1.5</v>
      </c>
      <c r="N460" s="5">
        <v>74.819999999999993</v>
      </c>
      <c r="O460" s="7">
        <v>45992</v>
      </c>
      <c r="P460" s="5">
        <v>73.319999999999993</v>
      </c>
      <c r="Q460" s="5">
        <v>1.5</v>
      </c>
      <c r="R460" s="5" t="s">
        <v>32</v>
      </c>
      <c r="S460" s="5" t="s">
        <v>33</v>
      </c>
      <c r="T460" s="5">
        <v>0.75</v>
      </c>
      <c r="U460" s="5">
        <v>72.569999999999993</v>
      </c>
      <c r="V460" s="5" t="s">
        <v>34</v>
      </c>
      <c r="W460" s="5">
        <v>2</v>
      </c>
      <c r="X460" s="5">
        <v>5670696210319</v>
      </c>
      <c r="Y460" s="7">
        <v>46003</v>
      </c>
      <c r="Z460" s="7">
        <v>45992</v>
      </c>
      <c r="AB460" s="6">
        <v>46003</v>
      </c>
      <c r="AC460" s="7">
        <v>46001.682638888888</v>
      </c>
      <c r="AD460" s="5">
        <v>32211007245</v>
      </c>
      <c r="AE460" s="8">
        <v>45992</v>
      </c>
      <c r="AF460" s="5">
        <v>110325</v>
      </c>
      <c r="AG460" s="5" t="s">
        <v>37</v>
      </c>
      <c r="AH460" s="5">
        <v>205789</v>
      </c>
      <c r="AI460" s="6">
        <v>45992</v>
      </c>
      <c r="AJ460" s="6">
        <v>46003</v>
      </c>
      <c r="AK460" s="1">
        <f t="shared" si="204"/>
        <v>1.4964</v>
      </c>
    </row>
    <row r="461" spans="1:37" x14ac:dyDescent="0.55000000000000004">
      <c r="A461">
        <v>3221</v>
      </c>
      <c r="B461">
        <v>1007288</v>
      </c>
      <c r="C461">
        <v>383.4</v>
      </c>
      <c r="D461" s="4">
        <v>7.67</v>
      </c>
      <c r="E461">
        <v>375.73</v>
      </c>
      <c r="F461">
        <v>3.83</v>
      </c>
      <c r="G461">
        <v>371.9</v>
      </c>
      <c r="H461" s="14">
        <f t="shared" si="202"/>
        <v>371.9</v>
      </c>
      <c r="I461" s="14" t="b">
        <f t="shared" si="203"/>
        <v>1</v>
      </c>
      <c r="J461" s="2">
        <v>46003</v>
      </c>
      <c r="K461" s="5">
        <v>1007288</v>
      </c>
      <c r="L461" s="5">
        <v>3221</v>
      </c>
      <c r="M461" s="5">
        <v>7.67</v>
      </c>
      <c r="N461" s="5">
        <v>383.4</v>
      </c>
      <c r="O461" s="7">
        <v>45992</v>
      </c>
      <c r="P461" s="5">
        <v>375.73</v>
      </c>
      <c r="Q461" s="5">
        <v>7.67</v>
      </c>
      <c r="R461" s="5" t="s">
        <v>32</v>
      </c>
      <c r="S461" s="5" t="s">
        <v>33</v>
      </c>
      <c r="T461" s="5">
        <v>3.83</v>
      </c>
      <c r="U461" s="5">
        <v>371.9</v>
      </c>
      <c r="V461" s="5" t="s">
        <v>34</v>
      </c>
      <c r="W461" s="5">
        <v>2</v>
      </c>
      <c r="X461" s="5">
        <v>5670696210319</v>
      </c>
      <c r="Y461" s="7">
        <v>46003</v>
      </c>
      <c r="Z461" s="7">
        <v>45992</v>
      </c>
      <c r="AB461" s="6">
        <v>46003</v>
      </c>
      <c r="AC461" s="7">
        <v>46001.682638888888</v>
      </c>
      <c r="AD461" s="5">
        <v>32211007288</v>
      </c>
      <c r="AE461" s="8">
        <v>45992</v>
      </c>
      <c r="AF461" s="5">
        <v>112925</v>
      </c>
      <c r="AG461" s="5" t="s">
        <v>37</v>
      </c>
      <c r="AH461" s="5">
        <v>205892</v>
      </c>
      <c r="AI461" s="6">
        <v>45992</v>
      </c>
      <c r="AJ461" s="6">
        <v>46003</v>
      </c>
      <c r="AK461" s="1">
        <f t="shared" si="204"/>
        <v>7.6679999999999993</v>
      </c>
    </row>
    <row r="462" spans="1:37" x14ac:dyDescent="0.55000000000000004">
      <c r="A462">
        <v>3221</v>
      </c>
      <c r="B462">
        <v>1007403</v>
      </c>
      <c r="C462">
        <v>189.92</v>
      </c>
      <c r="D462" s="4">
        <v>3.8</v>
      </c>
      <c r="E462">
        <v>186.12</v>
      </c>
      <c r="F462">
        <v>1.9</v>
      </c>
      <c r="G462">
        <v>184.22</v>
      </c>
      <c r="H462" s="14">
        <f t="shared" si="202"/>
        <v>184.21999999999997</v>
      </c>
      <c r="I462" s="14" t="b">
        <f t="shared" si="203"/>
        <v>1</v>
      </c>
      <c r="J462" s="2">
        <v>46003</v>
      </c>
      <c r="K462" s="5">
        <v>1007403</v>
      </c>
      <c r="L462" s="5">
        <v>3221</v>
      </c>
      <c r="M462" s="5">
        <v>3.8</v>
      </c>
      <c r="N462" s="5">
        <v>189.92</v>
      </c>
      <c r="O462" s="7">
        <v>45992</v>
      </c>
      <c r="P462" s="5">
        <v>186.12</v>
      </c>
      <c r="Q462" s="5">
        <v>3.8</v>
      </c>
      <c r="R462" s="5" t="s">
        <v>32</v>
      </c>
      <c r="S462" s="5" t="s">
        <v>33</v>
      </c>
      <c r="T462" s="5">
        <v>1.9</v>
      </c>
      <c r="U462" s="5">
        <v>184.22</v>
      </c>
      <c r="V462" s="5" t="s">
        <v>34</v>
      </c>
      <c r="W462" s="5">
        <v>2</v>
      </c>
      <c r="X462" s="5">
        <v>5670696210319</v>
      </c>
      <c r="Y462" s="7">
        <v>46003</v>
      </c>
      <c r="Z462" s="7">
        <v>45992</v>
      </c>
      <c r="AB462" s="6">
        <v>46003</v>
      </c>
      <c r="AC462" s="7">
        <v>46001.682638888888</v>
      </c>
      <c r="AD462" s="5">
        <v>32211007403</v>
      </c>
      <c r="AE462" s="8">
        <v>45992</v>
      </c>
      <c r="AF462" s="5">
        <v>112925</v>
      </c>
      <c r="AG462" s="5" t="s">
        <v>37</v>
      </c>
      <c r="AH462" s="5">
        <v>205914</v>
      </c>
      <c r="AI462" s="6">
        <v>45992</v>
      </c>
      <c r="AJ462" s="6">
        <v>46003</v>
      </c>
      <c r="AK462" s="1">
        <f t="shared" si="204"/>
        <v>3.7984</v>
      </c>
    </row>
    <row r="463" spans="1:37" hidden="1" x14ac:dyDescent="0.55000000000000004">
      <c r="A463">
        <v>3221</v>
      </c>
      <c r="B463">
        <v>1007410</v>
      </c>
      <c r="C463">
        <v>21.75</v>
      </c>
      <c r="E463">
        <v>21.75</v>
      </c>
      <c r="F463">
        <v>0.22</v>
      </c>
      <c r="G463">
        <v>21.53</v>
      </c>
      <c r="H463"/>
      <c r="I463"/>
      <c r="J463" s="2">
        <v>46003</v>
      </c>
      <c r="K463" s="5">
        <v>1007410</v>
      </c>
      <c r="L463" s="5">
        <v>3221</v>
      </c>
      <c r="M463" s="5">
        <v>0</v>
      </c>
      <c r="N463" s="5">
        <v>21.75</v>
      </c>
      <c r="O463" s="7">
        <v>45992</v>
      </c>
      <c r="P463" s="5">
        <v>21.75</v>
      </c>
      <c r="Q463" s="5">
        <v>0</v>
      </c>
      <c r="R463" s="5" t="s">
        <v>32</v>
      </c>
      <c r="S463" s="5" t="s">
        <v>33</v>
      </c>
      <c r="T463" s="5">
        <v>0.22</v>
      </c>
      <c r="U463" s="5">
        <v>21.53</v>
      </c>
      <c r="V463" s="5" t="s">
        <v>34</v>
      </c>
      <c r="W463" s="5">
        <v>2</v>
      </c>
      <c r="X463" s="5">
        <v>5670696210319</v>
      </c>
      <c r="Y463" s="7">
        <v>46003</v>
      </c>
      <c r="Z463" s="7">
        <v>45992</v>
      </c>
      <c r="AB463" s="6">
        <v>46003</v>
      </c>
      <c r="AC463" s="7">
        <v>46001.682638888888</v>
      </c>
      <c r="AD463" s="5">
        <v>32211007410</v>
      </c>
      <c r="AE463" s="8">
        <v>45992</v>
      </c>
      <c r="AF463" s="5">
        <v>112925</v>
      </c>
      <c r="AG463" s="5" t="s">
        <v>38</v>
      </c>
      <c r="AH463" s="5">
        <v>205915</v>
      </c>
      <c r="AI463" s="6">
        <v>45992</v>
      </c>
      <c r="AJ463" s="6">
        <v>46003</v>
      </c>
    </row>
    <row r="464" spans="1:37" hidden="1" x14ac:dyDescent="0.55000000000000004">
      <c r="A464">
        <v>3221</v>
      </c>
      <c r="B464">
        <v>1007561</v>
      </c>
      <c r="C464">
        <v>350</v>
      </c>
      <c r="E464">
        <v>350</v>
      </c>
      <c r="F464">
        <v>3.5</v>
      </c>
      <c r="G464">
        <v>346.5</v>
      </c>
      <c r="H464"/>
      <c r="I464"/>
      <c r="J464" s="2">
        <v>46003</v>
      </c>
      <c r="K464" s="5">
        <v>1007561</v>
      </c>
      <c r="L464" s="5">
        <v>3221</v>
      </c>
      <c r="M464" s="5">
        <v>0</v>
      </c>
      <c r="N464" s="5">
        <v>350</v>
      </c>
      <c r="O464" s="7">
        <v>45993</v>
      </c>
      <c r="P464" s="5">
        <v>350</v>
      </c>
      <c r="Q464" s="5">
        <v>0</v>
      </c>
      <c r="R464" s="5" t="s">
        <v>32</v>
      </c>
      <c r="S464" s="5" t="s">
        <v>33</v>
      </c>
      <c r="T464" s="5">
        <v>3.5</v>
      </c>
      <c r="U464" s="5">
        <v>346.5</v>
      </c>
      <c r="V464" s="5" t="s">
        <v>34</v>
      </c>
      <c r="W464" s="5">
        <v>2</v>
      </c>
      <c r="X464" s="5">
        <v>5670696210319</v>
      </c>
      <c r="Y464" s="7">
        <v>46003</v>
      </c>
      <c r="Z464" s="7">
        <v>45993</v>
      </c>
      <c r="AB464" s="6">
        <v>46003</v>
      </c>
      <c r="AC464" s="7">
        <v>46001.682638888888</v>
      </c>
      <c r="AD464" s="5">
        <v>32211007561</v>
      </c>
      <c r="AE464" s="8">
        <v>45993</v>
      </c>
      <c r="AF464" s="5" t="s">
        <v>32</v>
      </c>
      <c r="AG464" s="5" t="s">
        <v>82</v>
      </c>
      <c r="AH464" s="5" t="s">
        <v>32</v>
      </c>
      <c r="AI464" s="6">
        <v>45993</v>
      </c>
      <c r="AJ464" s="6">
        <v>46003</v>
      </c>
    </row>
    <row r="465" spans="1:39" x14ac:dyDescent="0.55000000000000004">
      <c r="A465">
        <v>3221</v>
      </c>
      <c r="B465">
        <v>1008024</v>
      </c>
      <c r="C465">
        <v>58.35</v>
      </c>
      <c r="D465" s="4">
        <v>1.17</v>
      </c>
      <c r="E465">
        <v>57.18</v>
      </c>
      <c r="F465">
        <v>0.57999999999999996</v>
      </c>
      <c r="G465">
        <v>56.6</v>
      </c>
      <c r="H465" s="14">
        <f t="shared" ref="H465:H467" si="205">C465-D465-F465</f>
        <v>56.6</v>
      </c>
      <c r="I465" s="14" t="b">
        <f t="shared" ref="I465:I467" si="206">G465=H465</f>
        <v>1</v>
      </c>
      <c r="J465" s="2">
        <v>46003</v>
      </c>
      <c r="K465" s="5">
        <v>1008024</v>
      </c>
      <c r="L465" s="5">
        <v>3221</v>
      </c>
      <c r="M465" s="5">
        <v>1.17</v>
      </c>
      <c r="N465" s="5">
        <v>58.35</v>
      </c>
      <c r="O465" s="7">
        <v>45994</v>
      </c>
      <c r="P465" s="5">
        <v>57.18</v>
      </c>
      <c r="Q465" s="5">
        <v>1.17</v>
      </c>
      <c r="R465" s="5" t="s">
        <v>32</v>
      </c>
      <c r="S465" s="5" t="s">
        <v>33</v>
      </c>
      <c r="T465" s="5">
        <v>0.57999999999999996</v>
      </c>
      <c r="U465" s="5">
        <v>56.6</v>
      </c>
      <c r="V465" s="5" t="s">
        <v>34</v>
      </c>
      <c r="W465" s="5">
        <v>2</v>
      </c>
      <c r="X465" s="5">
        <v>5670696210319</v>
      </c>
      <c r="Y465" s="7">
        <v>46003</v>
      </c>
      <c r="Z465" s="7">
        <v>45994</v>
      </c>
      <c r="AB465" s="6">
        <v>46003</v>
      </c>
      <c r="AC465" s="7">
        <v>46001.682638888888</v>
      </c>
      <c r="AD465" s="5">
        <v>32211008024</v>
      </c>
      <c r="AE465" s="8">
        <v>45994</v>
      </c>
      <c r="AF465" s="5">
        <v>110325</v>
      </c>
      <c r="AG465" s="5" t="s">
        <v>37</v>
      </c>
      <c r="AH465" s="5">
        <v>206066</v>
      </c>
      <c r="AI465" s="6">
        <v>45994</v>
      </c>
      <c r="AJ465" s="6">
        <v>46003</v>
      </c>
      <c r="AK465" s="1">
        <f t="shared" ref="AK465:AK467" si="207">0.02*C465</f>
        <v>1.167</v>
      </c>
    </row>
    <row r="466" spans="1:39" x14ac:dyDescent="0.55000000000000004">
      <c r="A466">
        <v>3221</v>
      </c>
      <c r="B466">
        <v>1008127</v>
      </c>
      <c r="C466">
        <v>113.37</v>
      </c>
      <c r="D466" s="4">
        <v>2.27</v>
      </c>
      <c r="E466">
        <v>111.1</v>
      </c>
      <c r="F466">
        <v>1.1299999999999999</v>
      </c>
      <c r="G466">
        <v>109.97</v>
      </c>
      <c r="H466" s="14">
        <f t="shared" si="205"/>
        <v>109.97000000000001</v>
      </c>
      <c r="I466" s="14" t="b">
        <f t="shared" si="206"/>
        <v>1</v>
      </c>
      <c r="J466" s="2">
        <v>46003</v>
      </c>
      <c r="K466" s="5">
        <v>1008127</v>
      </c>
      <c r="L466" s="5">
        <v>3221</v>
      </c>
      <c r="M466" s="5">
        <v>2.27</v>
      </c>
      <c r="N466" s="5">
        <v>113.37</v>
      </c>
      <c r="O466" s="7">
        <v>45995</v>
      </c>
      <c r="P466" s="5">
        <v>111.1</v>
      </c>
      <c r="Q466" s="5">
        <v>2.27</v>
      </c>
      <c r="R466" s="5" t="s">
        <v>32</v>
      </c>
      <c r="S466" s="5" t="s">
        <v>33</v>
      </c>
      <c r="T466" s="5">
        <v>1.1299999999999999</v>
      </c>
      <c r="U466" s="5">
        <v>109.97</v>
      </c>
      <c r="V466" s="5" t="s">
        <v>34</v>
      </c>
      <c r="W466" s="5">
        <v>2</v>
      </c>
      <c r="X466" s="5">
        <v>5670696210319</v>
      </c>
      <c r="Y466" s="7">
        <v>46003</v>
      </c>
      <c r="Z466" s="7">
        <v>45995</v>
      </c>
      <c r="AB466" s="6">
        <v>46003</v>
      </c>
      <c r="AC466" s="7">
        <v>46001.682638888888</v>
      </c>
      <c r="AD466" s="5">
        <v>32211008127</v>
      </c>
      <c r="AE466" s="8">
        <v>45995</v>
      </c>
      <c r="AF466" s="5">
        <v>111725</v>
      </c>
      <c r="AG466" s="5" t="s">
        <v>37</v>
      </c>
      <c r="AH466" s="5">
        <v>206394</v>
      </c>
      <c r="AI466" s="6">
        <v>45995</v>
      </c>
      <c r="AJ466" s="6">
        <v>46003</v>
      </c>
      <c r="AK466" s="1">
        <f t="shared" si="207"/>
        <v>2.2674000000000003</v>
      </c>
    </row>
    <row r="467" spans="1:39" x14ac:dyDescent="0.55000000000000004">
      <c r="A467">
        <v>3221</v>
      </c>
      <c r="B467">
        <v>1008305</v>
      </c>
      <c r="C467">
        <v>256.47000000000003</v>
      </c>
      <c r="D467" s="4">
        <v>5.13</v>
      </c>
      <c r="E467">
        <v>251.34</v>
      </c>
      <c r="F467">
        <v>2.56</v>
      </c>
      <c r="G467">
        <v>248.78</v>
      </c>
      <c r="H467" s="14">
        <f t="shared" si="205"/>
        <v>248.78000000000003</v>
      </c>
      <c r="I467" s="14" t="b">
        <f t="shared" si="206"/>
        <v>1</v>
      </c>
      <c r="J467" s="2">
        <v>46003</v>
      </c>
      <c r="K467" s="5">
        <v>1008305</v>
      </c>
      <c r="L467" s="5">
        <v>3221</v>
      </c>
      <c r="M467" s="5">
        <v>5.13</v>
      </c>
      <c r="N467" s="5">
        <v>256.47000000000003</v>
      </c>
      <c r="O467" s="7">
        <v>45996</v>
      </c>
      <c r="P467" s="5">
        <v>251.34</v>
      </c>
      <c r="Q467" s="5">
        <v>5.13</v>
      </c>
      <c r="R467" s="5" t="s">
        <v>264</v>
      </c>
      <c r="S467" s="5" t="s">
        <v>265</v>
      </c>
      <c r="T467" s="5">
        <v>2.56</v>
      </c>
      <c r="U467" s="5">
        <v>248.78</v>
      </c>
      <c r="V467" s="5" t="s">
        <v>34</v>
      </c>
      <c r="W467" s="5">
        <v>2</v>
      </c>
      <c r="X467" s="5">
        <v>5670696210319</v>
      </c>
      <c r="Y467" s="7">
        <v>46003</v>
      </c>
      <c r="Z467" s="7">
        <v>45996</v>
      </c>
      <c r="AB467" s="6">
        <v>46003</v>
      </c>
      <c r="AC467" s="7">
        <v>46001.682638888888</v>
      </c>
      <c r="AD467" s="5">
        <v>32211008305</v>
      </c>
      <c r="AE467" s="8">
        <v>45996</v>
      </c>
      <c r="AF467" s="5" t="s">
        <v>32</v>
      </c>
      <c r="AG467" s="5" t="s">
        <v>37</v>
      </c>
      <c r="AH467" s="5" t="s">
        <v>264</v>
      </c>
      <c r="AI467" s="6">
        <v>45996</v>
      </c>
      <c r="AJ467" s="6">
        <v>46003</v>
      </c>
      <c r="AK467" s="1">
        <f t="shared" si="207"/>
        <v>5.1294000000000004</v>
      </c>
    </row>
    <row r="468" spans="1:39" hidden="1" x14ac:dyDescent="0.55000000000000004">
      <c r="A468">
        <v>3221</v>
      </c>
      <c r="B468">
        <v>1008385</v>
      </c>
      <c r="C468" s="1">
        <v>1481.45</v>
      </c>
      <c r="E468" s="1">
        <v>1481.45</v>
      </c>
      <c r="F468">
        <v>14.81</v>
      </c>
      <c r="G468" s="1">
        <v>1466.64</v>
      </c>
      <c r="H468" s="1"/>
      <c r="I468" s="1"/>
      <c r="J468" s="2">
        <v>46003</v>
      </c>
      <c r="K468" s="5">
        <v>1008385</v>
      </c>
      <c r="L468" s="5">
        <v>3221</v>
      </c>
      <c r="M468" s="5">
        <v>0</v>
      </c>
      <c r="N468" s="5">
        <v>1481.45</v>
      </c>
      <c r="O468" s="7">
        <v>45996</v>
      </c>
      <c r="P468" s="5">
        <v>1481.45</v>
      </c>
      <c r="Q468" s="5">
        <v>0</v>
      </c>
      <c r="R468" s="5">
        <v>58518</v>
      </c>
      <c r="S468" s="5" t="s">
        <v>266</v>
      </c>
      <c r="T468" s="5">
        <v>14.81</v>
      </c>
      <c r="U468" s="5">
        <v>1466.64</v>
      </c>
      <c r="V468" s="5" t="s">
        <v>34</v>
      </c>
      <c r="W468" s="5">
        <v>2</v>
      </c>
      <c r="X468" s="5">
        <v>5670696210319</v>
      </c>
      <c r="Y468" s="7">
        <v>46003</v>
      </c>
      <c r="Z468" s="7">
        <v>45996</v>
      </c>
      <c r="AB468" s="6">
        <v>46003</v>
      </c>
      <c r="AC468" s="7">
        <v>46001.682638888888</v>
      </c>
      <c r="AD468" s="5">
        <v>32211008385</v>
      </c>
      <c r="AE468" s="8">
        <v>45996</v>
      </c>
      <c r="AF468" s="5" t="s">
        <v>32</v>
      </c>
      <c r="AG468" s="5" t="s">
        <v>38</v>
      </c>
      <c r="AH468" s="5">
        <v>58518</v>
      </c>
      <c r="AI468" s="6">
        <v>45996</v>
      </c>
      <c r="AJ468" s="6">
        <v>46003</v>
      </c>
    </row>
    <row r="469" spans="1:39" hidden="1" x14ac:dyDescent="0.55000000000000004">
      <c r="A469">
        <v>3221</v>
      </c>
      <c r="B469">
        <v>1008583</v>
      </c>
      <c r="C469" s="1">
        <v>-1723.84</v>
      </c>
      <c r="E469" s="1">
        <v>-1723.84</v>
      </c>
      <c r="G469" s="1">
        <v>-1723.84</v>
      </c>
      <c r="H469" s="1"/>
      <c r="I469" s="1"/>
      <c r="J469" s="2">
        <v>46003</v>
      </c>
      <c r="K469" s="5">
        <v>1008583</v>
      </c>
      <c r="L469" s="5">
        <v>3221</v>
      </c>
      <c r="M469" s="5">
        <v>0</v>
      </c>
      <c r="N469" s="5">
        <v>-1723.84</v>
      </c>
      <c r="O469" s="7">
        <v>45999</v>
      </c>
      <c r="P469" s="5">
        <v>-1723.84</v>
      </c>
      <c r="Q469" s="5">
        <v>0</v>
      </c>
      <c r="R469" s="5">
        <v>1008583</v>
      </c>
      <c r="S469" s="5" t="s">
        <v>33</v>
      </c>
      <c r="T469" s="5">
        <v>0</v>
      </c>
      <c r="U469" s="5">
        <v>-1723.84</v>
      </c>
      <c r="V469" s="5" t="s">
        <v>34</v>
      </c>
      <c r="W469" s="5">
        <v>2</v>
      </c>
      <c r="X469" s="5">
        <v>5670696210319</v>
      </c>
      <c r="Y469" s="7">
        <v>46003</v>
      </c>
      <c r="Z469" s="7">
        <v>45999</v>
      </c>
      <c r="AB469" s="6">
        <v>46003</v>
      </c>
      <c r="AC469" s="7">
        <v>46001.682638888888</v>
      </c>
      <c r="AD469" s="5">
        <v>32211008583</v>
      </c>
      <c r="AE469" s="8">
        <v>45999</v>
      </c>
      <c r="AF469" s="5" t="s">
        <v>41</v>
      </c>
      <c r="AG469" s="5" t="s">
        <v>38</v>
      </c>
      <c r="AH469" s="5" t="s">
        <v>267</v>
      </c>
      <c r="AI469" s="6">
        <v>45999</v>
      </c>
      <c r="AJ469" s="6">
        <v>46003</v>
      </c>
    </row>
    <row r="470" spans="1:39" hidden="1" x14ac:dyDescent="0.55000000000000004">
      <c r="A470">
        <v>3228</v>
      </c>
      <c r="B470">
        <v>1002946</v>
      </c>
      <c r="C470" s="1">
        <v>1619.3</v>
      </c>
      <c r="E470" s="1">
        <v>1619.3</v>
      </c>
      <c r="G470" s="1">
        <v>1619.3</v>
      </c>
      <c r="H470" s="1"/>
      <c r="I470" s="1"/>
      <c r="J470" s="2">
        <v>46003</v>
      </c>
      <c r="K470" s="5">
        <v>1002946</v>
      </c>
      <c r="L470" s="5">
        <v>3228</v>
      </c>
      <c r="M470" s="5">
        <v>0</v>
      </c>
      <c r="N470" s="5">
        <v>1619.3</v>
      </c>
      <c r="O470" s="7">
        <v>45971</v>
      </c>
      <c r="P470" s="5">
        <v>1619.3</v>
      </c>
      <c r="Q470" s="5">
        <v>0</v>
      </c>
      <c r="R470" s="5" t="s">
        <v>32</v>
      </c>
      <c r="S470" s="5" t="s">
        <v>33</v>
      </c>
      <c r="T470" s="5">
        <v>0</v>
      </c>
      <c r="U470" s="5">
        <v>1619.3</v>
      </c>
      <c r="V470" s="5" t="s">
        <v>34</v>
      </c>
      <c r="W470" s="5">
        <v>2</v>
      </c>
      <c r="X470" s="5">
        <v>6914882413916</v>
      </c>
      <c r="Y470" s="7">
        <v>46003</v>
      </c>
      <c r="Z470" s="7">
        <v>45971</v>
      </c>
      <c r="AB470" s="6">
        <v>46003</v>
      </c>
      <c r="AC470" s="7">
        <v>46000.688888888886</v>
      </c>
      <c r="AD470" s="5">
        <v>32281002946</v>
      </c>
      <c r="AE470" s="8">
        <v>45971</v>
      </c>
      <c r="AF470" s="5" t="s">
        <v>268</v>
      </c>
      <c r="AG470" s="5" t="s">
        <v>65</v>
      </c>
      <c r="AH470" s="5">
        <v>202357</v>
      </c>
      <c r="AI470" s="6">
        <v>45971</v>
      </c>
      <c r="AJ470" s="6">
        <v>46003</v>
      </c>
    </row>
    <row r="471" spans="1:39" hidden="1" x14ac:dyDescent="0.55000000000000004">
      <c r="A471">
        <v>3228</v>
      </c>
      <c r="B471">
        <v>1002949</v>
      </c>
      <c r="C471" s="1">
        <v>1619.3</v>
      </c>
      <c r="E471" s="1">
        <v>1619.3</v>
      </c>
      <c r="G471" s="1">
        <v>1619.3</v>
      </c>
      <c r="H471" s="1"/>
      <c r="I471" s="1"/>
      <c r="J471" s="2">
        <v>46003</v>
      </c>
      <c r="K471" s="5">
        <v>1002949</v>
      </c>
      <c r="L471" s="5">
        <v>3228</v>
      </c>
      <c r="M471" s="5">
        <v>0</v>
      </c>
      <c r="N471" s="5">
        <v>1619.3</v>
      </c>
      <c r="O471" s="7">
        <v>45971</v>
      </c>
      <c r="P471" s="5">
        <v>1619.3</v>
      </c>
      <c r="Q471" s="5">
        <v>0</v>
      </c>
      <c r="R471" s="5" t="s">
        <v>32</v>
      </c>
      <c r="S471" s="5" t="s">
        <v>33</v>
      </c>
      <c r="T471" s="5">
        <v>0</v>
      </c>
      <c r="U471" s="5">
        <v>1619.3</v>
      </c>
      <c r="V471" s="5" t="s">
        <v>34</v>
      </c>
      <c r="W471" s="5">
        <v>2</v>
      </c>
      <c r="X471" s="5">
        <v>6914882413916</v>
      </c>
      <c r="Y471" s="7">
        <v>46003</v>
      </c>
      <c r="Z471" s="7">
        <v>45971</v>
      </c>
      <c r="AB471" s="6">
        <v>46003</v>
      </c>
      <c r="AC471" s="7">
        <v>46000.688888888886</v>
      </c>
      <c r="AD471" s="5">
        <v>32281002949</v>
      </c>
      <c r="AE471" s="8">
        <v>45971</v>
      </c>
      <c r="AF471" s="5" t="s">
        <v>269</v>
      </c>
      <c r="AG471" s="5" t="s">
        <v>65</v>
      </c>
      <c r="AH471" s="5">
        <v>202356</v>
      </c>
      <c r="AI471" s="6">
        <v>45971</v>
      </c>
      <c r="AJ471" s="6">
        <v>46003</v>
      </c>
    </row>
    <row r="472" spans="1:39" hidden="1" x14ac:dyDescent="0.55000000000000004">
      <c r="A472">
        <v>3228</v>
      </c>
      <c r="B472">
        <v>1002996</v>
      </c>
      <c r="C472">
        <v>90.5</v>
      </c>
      <c r="E472">
        <v>90.5</v>
      </c>
      <c r="G472">
        <v>90.5</v>
      </c>
      <c r="H472"/>
      <c r="I472"/>
      <c r="J472" s="2">
        <v>46003</v>
      </c>
      <c r="K472" s="5">
        <v>1002996</v>
      </c>
      <c r="L472" s="5">
        <v>3228</v>
      </c>
      <c r="M472" s="5">
        <v>0</v>
      </c>
      <c r="N472" s="5">
        <v>90.5</v>
      </c>
      <c r="O472" s="7">
        <v>45971</v>
      </c>
      <c r="P472" s="5">
        <v>90.5</v>
      </c>
      <c r="Q472" s="5">
        <v>0</v>
      </c>
      <c r="R472" s="5" t="s">
        <v>32</v>
      </c>
      <c r="S472" s="5" t="s">
        <v>33</v>
      </c>
      <c r="T472" s="5">
        <v>0</v>
      </c>
      <c r="U472" s="5">
        <v>90.5</v>
      </c>
      <c r="V472" s="5" t="s">
        <v>34</v>
      </c>
      <c r="W472" s="5">
        <v>2</v>
      </c>
      <c r="X472" s="5">
        <v>6914882413916</v>
      </c>
      <c r="Y472" s="7">
        <v>46003</v>
      </c>
      <c r="Z472" s="7">
        <v>45971</v>
      </c>
      <c r="AB472" s="6">
        <v>46003</v>
      </c>
      <c r="AC472" s="7">
        <v>46000.688888888886</v>
      </c>
      <c r="AD472" s="5">
        <v>32281002996</v>
      </c>
      <c r="AE472" s="8">
        <v>45971</v>
      </c>
      <c r="AF472" s="5" t="s">
        <v>270</v>
      </c>
      <c r="AG472" s="5" t="s">
        <v>65</v>
      </c>
      <c r="AH472" s="5">
        <v>202322</v>
      </c>
      <c r="AI472" s="6">
        <v>45971</v>
      </c>
      <c r="AJ472" s="6">
        <v>46003</v>
      </c>
    </row>
    <row r="473" spans="1:39" hidden="1" x14ac:dyDescent="0.55000000000000004">
      <c r="A473">
        <v>3228</v>
      </c>
      <c r="B473">
        <v>1003018</v>
      </c>
      <c r="C473">
        <v>817.46</v>
      </c>
      <c r="E473">
        <v>817.46</v>
      </c>
      <c r="G473">
        <v>817.46</v>
      </c>
      <c r="H473"/>
      <c r="I473"/>
      <c r="J473" s="2">
        <v>46003</v>
      </c>
      <c r="K473" s="5">
        <v>1003018</v>
      </c>
      <c r="L473" s="5">
        <v>3228</v>
      </c>
      <c r="M473" s="5">
        <v>0</v>
      </c>
      <c r="N473" s="5">
        <v>817.46</v>
      </c>
      <c r="O473" s="7">
        <v>45971</v>
      </c>
      <c r="P473" s="5">
        <v>817.46</v>
      </c>
      <c r="Q473" s="5">
        <v>0</v>
      </c>
      <c r="R473" s="5" t="s">
        <v>32</v>
      </c>
      <c r="S473" s="5" t="s">
        <v>33</v>
      </c>
      <c r="T473" s="5">
        <v>0</v>
      </c>
      <c r="U473" s="5">
        <v>817.46</v>
      </c>
      <c r="V473" s="5" t="s">
        <v>34</v>
      </c>
      <c r="W473" s="5">
        <v>2</v>
      </c>
      <c r="X473" s="5">
        <v>6914882413916</v>
      </c>
      <c r="Y473" s="7">
        <v>46003</v>
      </c>
      <c r="Z473" s="7">
        <v>45971</v>
      </c>
      <c r="AB473" s="6">
        <v>46003</v>
      </c>
      <c r="AC473" s="7">
        <v>46000.688888888886</v>
      </c>
      <c r="AD473" s="5">
        <v>32281003018</v>
      </c>
      <c r="AE473" s="8">
        <v>45971</v>
      </c>
      <c r="AF473" s="5" t="s">
        <v>271</v>
      </c>
      <c r="AG473" s="5" t="s">
        <v>65</v>
      </c>
      <c r="AH473" s="5">
        <v>202300</v>
      </c>
      <c r="AI473" s="6">
        <v>45971</v>
      </c>
      <c r="AJ473" s="6">
        <v>46003</v>
      </c>
    </row>
    <row r="474" spans="1:39" x14ac:dyDescent="0.55000000000000004">
      <c r="A474">
        <v>3228</v>
      </c>
      <c r="B474">
        <v>1003082</v>
      </c>
      <c r="C474">
        <v>615.96</v>
      </c>
      <c r="D474" s="4">
        <v>12.32</v>
      </c>
      <c r="E474">
        <v>603.64</v>
      </c>
      <c r="G474">
        <v>603.64</v>
      </c>
      <c r="H474" s="14">
        <f>C474-D474-F474</f>
        <v>603.64</v>
      </c>
      <c r="I474" s="14" t="b">
        <f>G474=H474</f>
        <v>1</v>
      </c>
      <c r="J474" s="2">
        <v>46003</v>
      </c>
      <c r="K474" s="5">
        <v>1003082</v>
      </c>
      <c r="L474" s="5">
        <v>3228</v>
      </c>
      <c r="M474" s="5">
        <v>12.32</v>
      </c>
      <c r="N474" s="5">
        <v>615.96</v>
      </c>
      <c r="O474" s="7">
        <v>45971</v>
      </c>
      <c r="P474" s="5">
        <v>603.64</v>
      </c>
      <c r="Q474" s="5">
        <v>12.32</v>
      </c>
      <c r="R474" s="5" t="s">
        <v>32</v>
      </c>
      <c r="S474" s="5" t="s">
        <v>33</v>
      </c>
      <c r="T474" s="5">
        <v>0</v>
      </c>
      <c r="U474" s="5">
        <v>603.64</v>
      </c>
      <c r="V474" s="5" t="s">
        <v>34</v>
      </c>
      <c r="W474" s="5">
        <v>2</v>
      </c>
      <c r="X474" s="5">
        <v>6914882413916</v>
      </c>
      <c r="Y474" s="7">
        <v>46003</v>
      </c>
      <c r="Z474" s="7">
        <v>45971</v>
      </c>
      <c r="AB474" s="6">
        <v>46003</v>
      </c>
      <c r="AC474" s="7">
        <v>46000.688888888886</v>
      </c>
      <c r="AD474" s="5">
        <v>32281003082</v>
      </c>
      <c r="AE474" s="8">
        <v>45971</v>
      </c>
      <c r="AF474" s="5" t="s">
        <v>271</v>
      </c>
      <c r="AG474" s="5" t="s">
        <v>71</v>
      </c>
      <c r="AH474" s="5">
        <v>202276</v>
      </c>
      <c r="AI474" s="6">
        <v>45971</v>
      </c>
      <c r="AJ474" s="6">
        <v>46003</v>
      </c>
      <c r="AK474" s="1">
        <f t="shared" ref="AK474" si="208">0.02*C474</f>
        <v>12.3192</v>
      </c>
    </row>
    <row r="475" spans="1:39" hidden="1" x14ac:dyDescent="0.55000000000000004">
      <c r="A475">
        <v>3228</v>
      </c>
      <c r="B475">
        <v>1003096</v>
      </c>
      <c r="C475" s="1">
        <v>4652.96</v>
      </c>
      <c r="E475" s="1">
        <v>4652.96</v>
      </c>
      <c r="G475" s="1">
        <v>4652.96</v>
      </c>
      <c r="H475" s="1"/>
      <c r="I475" s="1"/>
      <c r="J475" s="2">
        <v>46003</v>
      </c>
      <c r="K475" s="5">
        <v>1003096</v>
      </c>
      <c r="L475" s="5">
        <v>3228</v>
      </c>
      <c r="M475" s="5">
        <v>0</v>
      </c>
      <c r="N475" s="5">
        <v>4652.96</v>
      </c>
      <c r="O475" s="7">
        <v>45971</v>
      </c>
      <c r="P475" s="5">
        <v>4652.96</v>
      </c>
      <c r="Q475" s="5">
        <v>0</v>
      </c>
      <c r="R475" s="5" t="s">
        <v>32</v>
      </c>
      <c r="S475" s="5" t="s">
        <v>33</v>
      </c>
      <c r="T475" s="5">
        <v>0</v>
      </c>
      <c r="U475" s="5">
        <v>4652.96</v>
      </c>
      <c r="V475" s="5" t="s">
        <v>34</v>
      </c>
      <c r="W475" s="5">
        <v>2</v>
      </c>
      <c r="X475" s="5">
        <v>6914882413916</v>
      </c>
      <c r="Y475" s="7">
        <v>46003</v>
      </c>
      <c r="Z475" s="7">
        <v>45971</v>
      </c>
      <c r="AB475" s="6">
        <v>46003</v>
      </c>
      <c r="AC475" s="7">
        <v>46000.688888888886</v>
      </c>
      <c r="AD475" s="5">
        <v>32281003096</v>
      </c>
      <c r="AE475" s="8">
        <v>45971</v>
      </c>
      <c r="AF475" s="5" t="s">
        <v>272</v>
      </c>
      <c r="AG475" s="5" t="s">
        <v>65</v>
      </c>
      <c r="AH475" s="5">
        <v>202217</v>
      </c>
      <c r="AI475" s="6">
        <v>45971</v>
      </c>
      <c r="AJ475" s="6">
        <v>46003</v>
      </c>
    </row>
    <row r="476" spans="1:39" x14ac:dyDescent="0.55000000000000004">
      <c r="A476">
        <v>3228</v>
      </c>
      <c r="B476">
        <v>1003104</v>
      </c>
      <c r="C476">
        <v>512.14</v>
      </c>
      <c r="D476" s="4">
        <v>10.24</v>
      </c>
      <c r="E476">
        <v>501.9</v>
      </c>
      <c r="G476">
        <v>501.9</v>
      </c>
      <c r="H476" s="14">
        <f t="shared" ref="H476:H480" si="209">C476-D476-F476</f>
        <v>501.9</v>
      </c>
      <c r="I476" s="14" t="b">
        <f t="shared" ref="I476:I480" si="210">G476=H476</f>
        <v>1</v>
      </c>
      <c r="J476" s="2">
        <v>46003</v>
      </c>
      <c r="K476" s="5">
        <v>1003104</v>
      </c>
      <c r="L476" s="5">
        <v>3228</v>
      </c>
      <c r="M476" s="5">
        <v>10.24</v>
      </c>
      <c r="N476" s="5">
        <v>512.14</v>
      </c>
      <c r="O476" s="7">
        <v>45971</v>
      </c>
      <c r="P476" s="5">
        <v>501.9</v>
      </c>
      <c r="Q476" s="5">
        <v>10.24</v>
      </c>
      <c r="R476" s="5" t="s">
        <v>32</v>
      </c>
      <c r="S476" s="5" t="s">
        <v>33</v>
      </c>
      <c r="T476" s="5">
        <v>0</v>
      </c>
      <c r="U476" s="5">
        <v>501.9</v>
      </c>
      <c r="V476" s="5" t="s">
        <v>34</v>
      </c>
      <c r="W476" s="5">
        <v>2</v>
      </c>
      <c r="X476" s="5">
        <v>6914882413916</v>
      </c>
      <c r="Y476" s="7">
        <v>46003</v>
      </c>
      <c r="Z476" s="7">
        <v>45971</v>
      </c>
      <c r="AB476" s="6">
        <v>46003</v>
      </c>
      <c r="AC476" s="7">
        <v>46000.688888888886</v>
      </c>
      <c r="AD476" s="5">
        <v>32281003104</v>
      </c>
      <c r="AE476" s="8">
        <v>45971</v>
      </c>
      <c r="AF476" s="5" t="s">
        <v>271</v>
      </c>
      <c r="AG476" s="5" t="s">
        <v>71</v>
      </c>
      <c r="AH476" s="5">
        <v>202299</v>
      </c>
      <c r="AI476" s="6">
        <v>45971</v>
      </c>
      <c r="AJ476" s="6">
        <v>46003</v>
      </c>
      <c r="AK476" s="1">
        <f t="shared" ref="AK476" si="211">0.02*C476</f>
        <v>10.242800000000001</v>
      </c>
    </row>
    <row r="477" spans="1:39" x14ac:dyDescent="0.55000000000000004">
      <c r="A477">
        <v>3228</v>
      </c>
      <c r="B477">
        <v>1003118</v>
      </c>
      <c r="C477">
        <v>109.74</v>
      </c>
      <c r="D477" s="4">
        <v>1.1000000000000001</v>
      </c>
      <c r="E477">
        <v>108.64</v>
      </c>
      <c r="G477">
        <v>108.64</v>
      </c>
      <c r="H477" s="14">
        <f t="shared" si="209"/>
        <v>108.64</v>
      </c>
      <c r="I477" s="14" t="b">
        <f t="shared" si="210"/>
        <v>1</v>
      </c>
      <c r="J477" s="2">
        <v>46003</v>
      </c>
      <c r="K477" s="5">
        <v>1003118</v>
      </c>
      <c r="L477" s="5">
        <v>3228</v>
      </c>
      <c r="M477" s="5">
        <v>1.1000000000000001</v>
      </c>
      <c r="N477" s="5">
        <v>109.74</v>
      </c>
      <c r="O477" s="7">
        <v>45972</v>
      </c>
      <c r="P477" s="5">
        <v>108.64</v>
      </c>
      <c r="Q477" s="5">
        <v>1.1000000000000001</v>
      </c>
      <c r="R477" s="5">
        <v>1066323</v>
      </c>
      <c r="S477" s="5" t="s">
        <v>152</v>
      </c>
      <c r="T477" s="5">
        <v>0</v>
      </c>
      <c r="U477" s="5">
        <v>108.64</v>
      </c>
      <c r="V477" s="5" t="s">
        <v>34</v>
      </c>
      <c r="W477" s="5">
        <v>2</v>
      </c>
      <c r="X477" s="5">
        <v>6914882413916</v>
      </c>
      <c r="Y477" s="7">
        <v>46003</v>
      </c>
      <c r="Z477" s="7">
        <v>45972</v>
      </c>
      <c r="AB477" s="6">
        <v>46003</v>
      </c>
      <c r="AC477" s="7">
        <v>46000.688888888886</v>
      </c>
      <c r="AD477" s="5">
        <v>32281003118</v>
      </c>
      <c r="AE477" s="8">
        <v>45972</v>
      </c>
      <c r="AF477" s="5">
        <v>92025</v>
      </c>
      <c r="AG477" s="5" t="s">
        <v>69</v>
      </c>
      <c r="AH477" s="5">
        <v>1066323</v>
      </c>
      <c r="AI477" s="6">
        <v>45972</v>
      </c>
      <c r="AJ477" s="6">
        <v>46003</v>
      </c>
    </row>
    <row r="478" spans="1:39" x14ac:dyDescent="0.55000000000000004">
      <c r="A478">
        <v>3228</v>
      </c>
      <c r="B478">
        <v>1003183</v>
      </c>
      <c r="C478" s="1">
        <v>1592.64</v>
      </c>
      <c r="D478" s="4">
        <v>15.93</v>
      </c>
      <c r="E478" s="1">
        <v>1576.71</v>
      </c>
      <c r="G478" s="1">
        <v>1576.71</v>
      </c>
      <c r="H478" s="14">
        <f t="shared" si="209"/>
        <v>1576.71</v>
      </c>
      <c r="I478" s="14" t="b">
        <f t="shared" si="210"/>
        <v>1</v>
      </c>
      <c r="J478" s="2">
        <v>46003</v>
      </c>
      <c r="K478" s="5">
        <v>1003183</v>
      </c>
      <c r="L478" s="5">
        <v>3228</v>
      </c>
      <c r="M478" s="5">
        <v>15.93</v>
      </c>
      <c r="N478" s="5">
        <v>1592.64</v>
      </c>
      <c r="O478" s="7">
        <v>45960</v>
      </c>
      <c r="P478" s="5">
        <v>1576.71</v>
      </c>
      <c r="Q478" s="5">
        <v>15.93</v>
      </c>
      <c r="R478" s="5" t="s">
        <v>273</v>
      </c>
      <c r="S478" s="5" t="s">
        <v>67</v>
      </c>
      <c r="T478" s="5">
        <v>0</v>
      </c>
      <c r="U478" s="5">
        <v>1576.71</v>
      </c>
      <c r="V478" s="5" t="s">
        <v>34</v>
      </c>
      <c r="W478" s="5">
        <v>2</v>
      </c>
      <c r="X478" s="5">
        <v>6914882413916</v>
      </c>
      <c r="Y478" s="7">
        <v>46003</v>
      </c>
      <c r="Z478" s="7">
        <v>45972</v>
      </c>
      <c r="AB478" s="6">
        <v>46003</v>
      </c>
      <c r="AC478" s="7">
        <v>46000.688888888886</v>
      </c>
      <c r="AD478" s="5">
        <v>32281003183</v>
      </c>
      <c r="AE478" s="8">
        <v>45960</v>
      </c>
      <c r="AF478" s="5" t="s">
        <v>274</v>
      </c>
      <c r="AG478" s="5" t="s">
        <v>69</v>
      </c>
      <c r="AH478" s="5" t="s">
        <v>273</v>
      </c>
      <c r="AI478" s="6">
        <v>45972</v>
      </c>
      <c r="AJ478" s="6">
        <v>46003</v>
      </c>
    </row>
    <row r="479" spans="1:39" x14ac:dyDescent="0.55000000000000004">
      <c r="A479">
        <v>3228</v>
      </c>
      <c r="B479">
        <v>1003184</v>
      </c>
      <c r="C479" s="1">
        <v>6370.56</v>
      </c>
      <c r="D479" s="4">
        <v>18.53</v>
      </c>
      <c r="E479" s="1">
        <v>6052.03</v>
      </c>
      <c r="G479" s="1">
        <v>6052.03</v>
      </c>
      <c r="H479" s="14">
        <f t="shared" si="209"/>
        <v>6352.0300000000007</v>
      </c>
      <c r="I479" s="14" t="b">
        <f t="shared" si="210"/>
        <v>0</v>
      </c>
      <c r="J479" s="2">
        <v>46003</v>
      </c>
      <c r="K479" s="5">
        <v>1003184</v>
      </c>
      <c r="L479" s="5">
        <v>3228</v>
      </c>
      <c r="M479" s="5">
        <v>318.52999999999997</v>
      </c>
      <c r="N479" s="5">
        <v>6370.56</v>
      </c>
      <c r="O479" s="7">
        <v>45960</v>
      </c>
      <c r="P479" s="5">
        <v>6052.03</v>
      </c>
      <c r="Q479" s="5">
        <v>318.52999999999997</v>
      </c>
      <c r="R479" s="5" t="s">
        <v>275</v>
      </c>
      <c r="S479" s="5" t="s">
        <v>67</v>
      </c>
      <c r="T479" s="5">
        <v>0</v>
      </c>
      <c r="U479" s="5">
        <v>6052.03</v>
      </c>
      <c r="V479" s="5" t="s">
        <v>34</v>
      </c>
      <c r="W479" s="5">
        <v>2</v>
      </c>
      <c r="X479" s="5">
        <v>6914882413916</v>
      </c>
      <c r="Y479" s="7">
        <v>46003</v>
      </c>
      <c r="Z479" s="7">
        <v>45972</v>
      </c>
      <c r="AB479" s="6">
        <v>46003</v>
      </c>
      <c r="AC479" s="7">
        <v>46000.688888888886</v>
      </c>
      <c r="AD479" s="5">
        <v>32281003184</v>
      </c>
      <c r="AE479" s="8">
        <v>45960</v>
      </c>
      <c r="AF479" s="5" t="s">
        <v>97</v>
      </c>
      <c r="AG479" s="5" t="s">
        <v>276</v>
      </c>
      <c r="AH479" s="5" t="s">
        <v>275</v>
      </c>
      <c r="AI479" s="6">
        <v>45972</v>
      </c>
      <c r="AJ479" s="6">
        <v>46003</v>
      </c>
      <c r="AK479" s="1">
        <f>C479*0.05</f>
        <v>318.52800000000002</v>
      </c>
      <c r="AM479">
        <f>F479</f>
        <v>0</v>
      </c>
    </row>
    <row r="480" spans="1:39" x14ac:dyDescent="0.55000000000000004">
      <c r="A480">
        <v>3228</v>
      </c>
      <c r="B480">
        <v>1003364</v>
      </c>
      <c r="C480">
        <v>617.23</v>
      </c>
      <c r="D480" s="4">
        <v>12.34</v>
      </c>
      <c r="E480">
        <v>604.89</v>
      </c>
      <c r="G480">
        <v>604.89</v>
      </c>
      <c r="H480" s="14">
        <f t="shared" si="209"/>
        <v>604.89</v>
      </c>
      <c r="I480" s="14" t="b">
        <f t="shared" si="210"/>
        <v>1</v>
      </c>
      <c r="J480" s="2">
        <v>46003</v>
      </c>
      <c r="K480" s="5">
        <v>1003364</v>
      </c>
      <c r="L480" s="5">
        <v>3228</v>
      </c>
      <c r="M480" s="5">
        <v>12.34</v>
      </c>
      <c r="N480" s="5">
        <v>617.23</v>
      </c>
      <c r="O480" s="7">
        <v>45972</v>
      </c>
      <c r="P480" s="5">
        <v>604.89</v>
      </c>
      <c r="Q480" s="5">
        <v>12.34</v>
      </c>
      <c r="R480" s="5" t="s">
        <v>32</v>
      </c>
      <c r="S480" s="5" t="s">
        <v>33</v>
      </c>
      <c r="T480" s="5">
        <v>0</v>
      </c>
      <c r="U480" s="5">
        <v>604.89</v>
      </c>
      <c r="V480" s="5" t="s">
        <v>34</v>
      </c>
      <c r="W480" s="5">
        <v>2</v>
      </c>
      <c r="X480" s="5">
        <v>6914882413916</v>
      </c>
      <c r="Y480" s="7">
        <v>46003</v>
      </c>
      <c r="Z480" s="7">
        <v>45972</v>
      </c>
      <c r="AB480" s="6">
        <v>46003</v>
      </c>
      <c r="AC480" s="7">
        <v>46000.688888888886</v>
      </c>
      <c r="AD480" s="5">
        <v>32281003364</v>
      </c>
      <c r="AE480" s="8">
        <v>45972</v>
      </c>
      <c r="AF480" s="5" t="s">
        <v>277</v>
      </c>
      <c r="AG480" s="5" t="s">
        <v>71</v>
      </c>
      <c r="AH480" s="5">
        <v>202506</v>
      </c>
      <c r="AI480" s="6">
        <v>45972</v>
      </c>
      <c r="AJ480" s="6">
        <v>46003</v>
      </c>
      <c r="AK480" s="1">
        <f t="shared" ref="AK480" si="212">0.02*C480</f>
        <v>12.3446</v>
      </c>
    </row>
    <row r="481" spans="1:37" hidden="1" x14ac:dyDescent="0.55000000000000004">
      <c r="A481">
        <v>3228</v>
      </c>
      <c r="B481">
        <v>1003440</v>
      </c>
      <c r="C481">
        <v>142.4</v>
      </c>
      <c r="E481">
        <v>142.4</v>
      </c>
      <c r="G481">
        <v>142.4</v>
      </c>
      <c r="H481"/>
      <c r="I481"/>
      <c r="J481" s="2">
        <v>46003</v>
      </c>
      <c r="K481" s="5">
        <v>1003440</v>
      </c>
      <c r="L481" s="5">
        <v>3228</v>
      </c>
      <c r="M481" s="5">
        <v>0</v>
      </c>
      <c r="N481" s="5">
        <v>142.4</v>
      </c>
      <c r="O481" s="7">
        <v>45972</v>
      </c>
      <c r="P481" s="5">
        <v>142.4</v>
      </c>
      <c r="Q481" s="5">
        <v>0</v>
      </c>
      <c r="R481" s="5" t="s">
        <v>32</v>
      </c>
      <c r="S481" s="5" t="s">
        <v>33</v>
      </c>
      <c r="T481" s="5">
        <v>0</v>
      </c>
      <c r="U481" s="5">
        <v>142.4</v>
      </c>
      <c r="V481" s="5" t="s">
        <v>34</v>
      </c>
      <c r="W481" s="5">
        <v>2</v>
      </c>
      <c r="X481" s="5">
        <v>6914882413916</v>
      </c>
      <c r="Y481" s="7">
        <v>46003</v>
      </c>
      <c r="Z481" s="7">
        <v>45972</v>
      </c>
      <c r="AB481" s="6">
        <v>46003</v>
      </c>
      <c r="AC481" s="7">
        <v>46000.688888888886</v>
      </c>
      <c r="AD481" s="5">
        <v>32281003440</v>
      </c>
      <c r="AE481" s="8">
        <v>45972</v>
      </c>
      <c r="AF481" s="5" t="s">
        <v>272</v>
      </c>
      <c r="AG481" s="5" t="s">
        <v>65</v>
      </c>
      <c r="AH481" s="5">
        <v>202606</v>
      </c>
      <c r="AI481" s="6">
        <v>45972</v>
      </c>
      <c r="AJ481" s="6">
        <v>46003</v>
      </c>
    </row>
    <row r="482" spans="1:37" hidden="1" x14ac:dyDescent="0.55000000000000004">
      <c r="A482">
        <v>3228</v>
      </c>
      <c r="B482">
        <v>1003443</v>
      </c>
      <c r="C482">
        <v>89</v>
      </c>
      <c r="E482">
        <v>89</v>
      </c>
      <c r="G482">
        <v>89</v>
      </c>
      <c r="H482"/>
      <c r="I482"/>
      <c r="J482" s="2">
        <v>46003</v>
      </c>
      <c r="K482" s="5">
        <v>1003443</v>
      </c>
      <c r="L482" s="5">
        <v>3228</v>
      </c>
      <c r="M482" s="5">
        <v>0</v>
      </c>
      <c r="N482" s="5">
        <v>89</v>
      </c>
      <c r="O482" s="7">
        <v>45972</v>
      </c>
      <c r="P482" s="5">
        <v>89</v>
      </c>
      <c r="Q482" s="5">
        <v>0</v>
      </c>
      <c r="R482" s="5" t="s">
        <v>32</v>
      </c>
      <c r="S482" s="5" t="s">
        <v>33</v>
      </c>
      <c r="T482" s="5">
        <v>0</v>
      </c>
      <c r="U482" s="5">
        <v>89</v>
      </c>
      <c r="V482" s="5" t="s">
        <v>34</v>
      </c>
      <c r="W482" s="5">
        <v>2</v>
      </c>
      <c r="X482" s="5">
        <v>6914882413916</v>
      </c>
      <c r="Y482" s="7">
        <v>46003</v>
      </c>
      <c r="Z482" s="7">
        <v>45972</v>
      </c>
      <c r="AB482" s="6">
        <v>46003</v>
      </c>
      <c r="AC482" s="7">
        <v>46000.688888888886</v>
      </c>
      <c r="AD482" s="5">
        <v>32281003443</v>
      </c>
      <c r="AE482" s="8">
        <v>45972</v>
      </c>
      <c r="AF482" s="5" t="s">
        <v>278</v>
      </c>
      <c r="AG482" s="5" t="s">
        <v>65</v>
      </c>
      <c r="AH482" s="5">
        <v>202605</v>
      </c>
      <c r="AI482" s="6">
        <v>45972</v>
      </c>
      <c r="AJ482" s="6">
        <v>46003</v>
      </c>
    </row>
    <row r="483" spans="1:37" x14ac:dyDescent="0.55000000000000004">
      <c r="A483">
        <v>3228</v>
      </c>
      <c r="B483">
        <v>1003463</v>
      </c>
      <c r="C483" s="1">
        <v>-1551.9</v>
      </c>
      <c r="E483" s="1">
        <v>-1551.9</v>
      </c>
      <c r="G483" s="1">
        <v>-1551.9</v>
      </c>
      <c r="H483" s="14">
        <f>C483-D483-F483</f>
        <v>-1551.9</v>
      </c>
      <c r="I483" s="14" t="b">
        <f>G483=H483</f>
        <v>1</v>
      </c>
      <c r="J483" s="2">
        <v>46003</v>
      </c>
      <c r="K483" s="5">
        <v>1003463</v>
      </c>
      <c r="L483" s="5">
        <v>3228</v>
      </c>
      <c r="M483" s="5">
        <v>0</v>
      </c>
      <c r="N483" s="5">
        <v>-1551.9</v>
      </c>
      <c r="O483" s="7">
        <v>45973</v>
      </c>
      <c r="P483" s="5">
        <v>-1551.9</v>
      </c>
      <c r="Q483" s="5">
        <v>0</v>
      </c>
      <c r="R483" s="5">
        <v>1003463</v>
      </c>
      <c r="S483" s="5" t="s">
        <v>67</v>
      </c>
      <c r="T483" s="5">
        <v>0</v>
      </c>
      <c r="U483" s="5">
        <v>-1551.9</v>
      </c>
      <c r="V483" s="5" t="s">
        <v>34</v>
      </c>
      <c r="W483" s="5">
        <v>2</v>
      </c>
      <c r="X483" s="5">
        <v>6914882413916</v>
      </c>
      <c r="Y483" s="7">
        <v>46003</v>
      </c>
      <c r="Z483" s="7">
        <v>45973</v>
      </c>
      <c r="AB483" s="6">
        <v>46003</v>
      </c>
      <c r="AC483" s="7">
        <v>46000.688888888886</v>
      </c>
      <c r="AD483" s="5">
        <v>32281003463</v>
      </c>
      <c r="AE483" s="8">
        <v>45971</v>
      </c>
      <c r="AF483" s="5" t="s">
        <v>279</v>
      </c>
      <c r="AG483" s="5" t="s">
        <v>69</v>
      </c>
      <c r="AH483" s="5" t="s">
        <v>280</v>
      </c>
      <c r="AI483" s="6">
        <v>45973</v>
      </c>
      <c r="AJ483" s="6">
        <v>46003</v>
      </c>
    </row>
    <row r="484" spans="1:37" hidden="1" x14ac:dyDescent="0.55000000000000004">
      <c r="A484">
        <v>3228</v>
      </c>
      <c r="B484">
        <v>1003587</v>
      </c>
      <c r="C484">
        <v>90.5</v>
      </c>
      <c r="E484">
        <v>90.5</v>
      </c>
      <c r="G484">
        <v>90.5</v>
      </c>
      <c r="H484"/>
      <c r="I484"/>
      <c r="J484" s="2">
        <v>46003</v>
      </c>
      <c r="K484" s="5">
        <v>1003587</v>
      </c>
      <c r="L484" s="5">
        <v>3228</v>
      </c>
      <c r="M484" s="5">
        <v>0</v>
      </c>
      <c r="N484" s="5">
        <v>90.5</v>
      </c>
      <c r="O484" s="7">
        <v>45973</v>
      </c>
      <c r="P484" s="5">
        <v>90.5</v>
      </c>
      <c r="Q484" s="5">
        <v>0</v>
      </c>
      <c r="R484" s="5" t="s">
        <v>32</v>
      </c>
      <c r="S484" s="5" t="s">
        <v>33</v>
      </c>
      <c r="T484" s="5">
        <v>0</v>
      </c>
      <c r="U484" s="5">
        <v>90.5</v>
      </c>
      <c r="V484" s="5" t="s">
        <v>34</v>
      </c>
      <c r="W484" s="5">
        <v>2</v>
      </c>
      <c r="X484" s="5">
        <v>6914882413916</v>
      </c>
      <c r="Y484" s="7">
        <v>46003</v>
      </c>
      <c r="Z484" s="7">
        <v>45973</v>
      </c>
      <c r="AB484" s="6">
        <v>46003</v>
      </c>
      <c r="AC484" s="7">
        <v>46000.688888888886</v>
      </c>
      <c r="AD484" s="5">
        <v>32281003587</v>
      </c>
      <c r="AE484" s="8">
        <v>45973</v>
      </c>
      <c r="AF484" s="5" t="s">
        <v>281</v>
      </c>
      <c r="AG484" s="5" t="s">
        <v>65</v>
      </c>
      <c r="AH484" s="5">
        <v>202755</v>
      </c>
      <c r="AI484" s="6">
        <v>45973</v>
      </c>
      <c r="AJ484" s="6">
        <v>46003</v>
      </c>
    </row>
    <row r="485" spans="1:37" hidden="1" x14ac:dyDescent="0.55000000000000004">
      <c r="A485">
        <v>3228</v>
      </c>
      <c r="B485">
        <v>1003628</v>
      </c>
      <c r="C485">
        <v>534</v>
      </c>
      <c r="E485">
        <v>534</v>
      </c>
      <c r="G485">
        <v>534</v>
      </c>
      <c r="H485"/>
      <c r="I485"/>
      <c r="J485" s="2">
        <v>46003</v>
      </c>
      <c r="K485" s="5">
        <v>1003628</v>
      </c>
      <c r="L485" s="5">
        <v>3228</v>
      </c>
      <c r="M485" s="5">
        <v>0</v>
      </c>
      <c r="N485" s="5">
        <v>534</v>
      </c>
      <c r="O485" s="7">
        <v>45973</v>
      </c>
      <c r="P485" s="5">
        <v>534</v>
      </c>
      <c r="Q485" s="5">
        <v>0</v>
      </c>
      <c r="R485" s="5" t="s">
        <v>32</v>
      </c>
      <c r="S485" s="5" t="s">
        <v>33</v>
      </c>
      <c r="T485" s="5">
        <v>0</v>
      </c>
      <c r="U485" s="5">
        <v>534</v>
      </c>
      <c r="V485" s="5" t="s">
        <v>34</v>
      </c>
      <c r="W485" s="5">
        <v>2</v>
      </c>
      <c r="X485" s="5">
        <v>6914882413916</v>
      </c>
      <c r="Y485" s="7">
        <v>46003</v>
      </c>
      <c r="Z485" s="7">
        <v>45973</v>
      </c>
      <c r="AB485" s="6">
        <v>46003</v>
      </c>
      <c r="AC485" s="7">
        <v>46000.688888888886</v>
      </c>
      <c r="AD485" s="5">
        <v>32281003628</v>
      </c>
      <c r="AE485" s="8">
        <v>45973</v>
      </c>
      <c r="AF485" s="5" t="s">
        <v>282</v>
      </c>
      <c r="AG485" s="5" t="s">
        <v>65</v>
      </c>
      <c r="AH485" s="5">
        <v>202644</v>
      </c>
      <c r="AI485" s="6">
        <v>45973</v>
      </c>
      <c r="AJ485" s="6">
        <v>46003</v>
      </c>
    </row>
    <row r="486" spans="1:37" x14ac:dyDescent="0.55000000000000004">
      <c r="A486">
        <v>3228</v>
      </c>
      <c r="B486">
        <v>1003631</v>
      </c>
      <c r="C486">
        <v>201.87</v>
      </c>
      <c r="D486" s="4">
        <v>4.04</v>
      </c>
      <c r="E486">
        <v>197.83</v>
      </c>
      <c r="G486">
        <v>197.83</v>
      </c>
      <c r="H486" s="14">
        <f>C486-D486-F486</f>
        <v>197.83</v>
      </c>
      <c r="I486" s="14" t="b">
        <f>G486=H486</f>
        <v>1</v>
      </c>
      <c r="J486" s="2">
        <v>46003</v>
      </c>
      <c r="K486" s="5">
        <v>1003631</v>
      </c>
      <c r="L486" s="5">
        <v>3228</v>
      </c>
      <c r="M486" s="5">
        <v>4.04</v>
      </c>
      <c r="N486" s="5">
        <v>201.87</v>
      </c>
      <c r="O486" s="7">
        <v>45973</v>
      </c>
      <c r="P486" s="5">
        <v>197.83</v>
      </c>
      <c r="Q486" s="5">
        <v>4.04</v>
      </c>
      <c r="R486" s="5" t="s">
        <v>32</v>
      </c>
      <c r="S486" s="5" t="s">
        <v>33</v>
      </c>
      <c r="T486" s="5">
        <v>0</v>
      </c>
      <c r="U486" s="5">
        <v>197.83</v>
      </c>
      <c r="V486" s="5" t="s">
        <v>34</v>
      </c>
      <c r="W486" s="5">
        <v>2</v>
      </c>
      <c r="X486" s="5">
        <v>6914882413916</v>
      </c>
      <c r="Y486" s="7">
        <v>46003</v>
      </c>
      <c r="Z486" s="7">
        <v>45973</v>
      </c>
      <c r="AB486" s="6">
        <v>46003</v>
      </c>
      <c r="AC486" s="7">
        <v>46000.688888888886</v>
      </c>
      <c r="AD486" s="5">
        <v>32281003631</v>
      </c>
      <c r="AE486" s="8">
        <v>45973</v>
      </c>
      <c r="AF486" s="5" t="s">
        <v>283</v>
      </c>
      <c r="AG486" s="5" t="s">
        <v>71</v>
      </c>
      <c r="AH486" s="5">
        <v>202687</v>
      </c>
      <c r="AI486" s="6">
        <v>45973</v>
      </c>
      <c r="AJ486" s="6">
        <v>46003</v>
      </c>
      <c r="AK486" s="1">
        <f t="shared" ref="AK486" si="213">0.02*C486</f>
        <v>4.0373999999999999</v>
      </c>
    </row>
    <row r="487" spans="1:37" hidden="1" x14ac:dyDescent="0.55000000000000004">
      <c r="A487">
        <v>3228</v>
      </c>
      <c r="B487">
        <v>1003656</v>
      </c>
      <c r="C487">
        <v>83.19</v>
      </c>
      <c r="E487">
        <v>83.19</v>
      </c>
      <c r="G487">
        <v>83.19</v>
      </c>
      <c r="H487"/>
      <c r="I487"/>
      <c r="J487" s="2">
        <v>46003</v>
      </c>
      <c r="K487" s="5">
        <v>1003656</v>
      </c>
      <c r="L487" s="5">
        <v>3228</v>
      </c>
      <c r="M487" s="5">
        <v>0</v>
      </c>
      <c r="N487" s="5">
        <v>83.19</v>
      </c>
      <c r="O487" s="7">
        <v>45973</v>
      </c>
      <c r="P487" s="5">
        <v>83.19</v>
      </c>
      <c r="Q487" s="5">
        <v>0</v>
      </c>
      <c r="R487" s="5" t="s">
        <v>32</v>
      </c>
      <c r="S487" s="5" t="s">
        <v>33</v>
      </c>
      <c r="T487" s="5">
        <v>0</v>
      </c>
      <c r="U487" s="5">
        <v>83.19</v>
      </c>
      <c r="V487" s="5" t="s">
        <v>34</v>
      </c>
      <c r="W487" s="5">
        <v>2</v>
      </c>
      <c r="X487" s="5">
        <v>6914882413916</v>
      </c>
      <c r="Y487" s="7">
        <v>46003</v>
      </c>
      <c r="Z487" s="7">
        <v>45973</v>
      </c>
      <c r="AB487" s="6">
        <v>46003</v>
      </c>
      <c r="AC487" s="7">
        <v>46000.688888888886</v>
      </c>
      <c r="AD487" s="5">
        <v>32281003656</v>
      </c>
      <c r="AE487" s="8">
        <v>45973</v>
      </c>
      <c r="AF487" s="5" t="s">
        <v>283</v>
      </c>
      <c r="AG487" s="5" t="s">
        <v>65</v>
      </c>
      <c r="AH487" s="5">
        <v>202699</v>
      </c>
      <c r="AI487" s="6">
        <v>45973</v>
      </c>
      <c r="AJ487" s="6">
        <v>46003</v>
      </c>
    </row>
    <row r="488" spans="1:37" x14ac:dyDescent="0.55000000000000004">
      <c r="A488">
        <v>3228</v>
      </c>
      <c r="B488">
        <v>1003663</v>
      </c>
      <c r="C488">
        <v>635.74</v>
      </c>
      <c r="D488" s="4">
        <v>12.71</v>
      </c>
      <c r="E488">
        <v>623.03</v>
      </c>
      <c r="G488">
        <v>623.03</v>
      </c>
      <c r="H488" s="14">
        <f t="shared" ref="H488:H493" si="214">C488-D488-F488</f>
        <v>623.03</v>
      </c>
      <c r="I488" s="14" t="b">
        <f t="shared" ref="I488:I493" si="215">G488=H488</f>
        <v>1</v>
      </c>
      <c r="J488" s="2">
        <v>46003</v>
      </c>
      <c r="K488" s="5">
        <v>1003663</v>
      </c>
      <c r="L488" s="5">
        <v>3228</v>
      </c>
      <c r="M488" s="5">
        <v>12.71</v>
      </c>
      <c r="N488" s="5">
        <v>635.74</v>
      </c>
      <c r="O488" s="7">
        <v>45973</v>
      </c>
      <c r="P488" s="5">
        <v>623.03</v>
      </c>
      <c r="Q488" s="5">
        <v>12.71</v>
      </c>
      <c r="R488" s="5" t="s">
        <v>32</v>
      </c>
      <c r="S488" s="5" t="s">
        <v>33</v>
      </c>
      <c r="T488" s="5">
        <v>0</v>
      </c>
      <c r="U488" s="5">
        <v>623.03</v>
      </c>
      <c r="V488" s="5" t="s">
        <v>34</v>
      </c>
      <c r="W488" s="5">
        <v>2</v>
      </c>
      <c r="X488" s="5">
        <v>6914882413916</v>
      </c>
      <c r="Y488" s="7">
        <v>46003</v>
      </c>
      <c r="Z488" s="7">
        <v>45973</v>
      </c>
      <c r="AB488" s="6">
        <v>46003</v>
      </c>
      <c r="AC488" s="7">
        <v>46000.688888888886</v>
      </c>
      <c r="AD488" s="5">
        <v>32281003663</v>
      </c>
      <c r="AE488" s="8">
        <v>45973</v>
      </c>
      <c r="AF488" s="5" t="s">
        <v>283</v>
      </c>
      <c r="AG488" s="5" t="s">
        <v>71</v>
      </c>
      <c r="AH488" s="5">
        <v>202698</v>
      </c>
      <c r="AI488" s="6">
        <v>45973</v>
      </c>
      <c r="AJ488" s="6">
        <v>46003</v>
      </c>
      <c r="AK488" s="1">
        <f t="shared" ref="AK488:AK493" si="216">0.02*C488</f>
        <v>12.7148</v>
      </c>
    </row>
    <row r="489" spans="1:37" x14ac:dyDescent="0.55000000000000004">
      <c r="A489">
        <v>3228</v>
      </c>
      <c r="B489">
        <v>1003820</v>
      </c>
      <c r="C489">
        <v>167.04</v>
      </c>
      <c r="D489" s="4">
        <v>3.34</v>
      </c>
      <c r="E489">
        <v>163.69999999999999</v>
      </c>
      <c r="G489">
        <v>163.69999999999999</v>
      </c>
      <c r="H489" s="14">
        <f t="shared" si="214"/>
        <v>163.69999999999999</v>
      </c>
      <c r="I489" s="14" t="b">
        <f t="shared" si="215"/>
        <v>1</v>
      </c>
      <c r="J489" s="2">
        <v>46003</v>
      </c>
      <c r="K489" s="5">
        <v>1003820</v>
      </c>
      <c r="L489" s="5">
        <v>3228</v>
      </c>
      <c r="M489" s="5">
        <v>3.34</v>
      </c>
      <c r="N489" s="5">
        <v>167.04</v>
      </c>
      <c r="O489" s="7">
        <v>45974</v>
      </c>
      <c r="P489" s="5">
        <v>163.69999999999999</v>
      </c>
      <c r="Q489" s="5">
        <v>3.34</v>
      </c>
      <c r="R489" s="5" t="s">
        <v>32</v>
      </c>
      <c r="S489" s="5" t="s">
        <v>33</v>
      </c>
      <c r="T489" s="5">
        <v>0</v>
      </c>
      <c r="U489" s="5">
        <v>163.69999999999999</v>
      </c>
      <c r="V489" s="5" t="s">
        <v>34</v>
      </c>
      <c r="W489" s="5">
        <v>2</v>
      </c>
      <c r="X489" s="5">
        <v>6914882413916</v>
      </c>
      <c r="Y489" s="7">
        <v>46003</v>
      </c>
      <c r="Z489" s="7">
        <v>45974</v>
      </c>
      <c r="AB489" s="6">
        <v>46003</v>
      </c>
      <c r="AC489" s="7">
        <v>46000.688888888886</v>
      </c>
      <c r="AD489" s="5">
        <v>32281003820</v>
      </c>
      <c r="AE489" s="8">
        <v>45974</v>
      </c>
      <c r="AF489" s="5" t="s">
        <v>284</v>
      </c>
      <c r="AG489" s="5" t="s">
        <v>71</v>
      </c>
      <c r="AH489" s="5">
        <v>202894</v>
      </c>
      <c r="AI489" s="6">
        <v>45974</v>
      </c>
      <c r="AJ489" s="6">
        <v>46003</v>
      </c>
      <c r="AK489" s="1">
        <f t="shared" si="216"/>
        <v>3.3407999999999998</v>
      </c>
    </row>
    <row r="490" spans="1:37" x14ac:dyDescent="0.55000000000000004">
      <c r="A490">
        <v>3228</v>
      </c>
      <c r="B490">
        <v>1003822</v>
      </c>
      <c r="C490">
        <v>251.6</v>
      </c>
      <c r="D490" s="4">
        <v>5.03</v>
      </c>
      <c r="E490">
        <v>246.57</v>
      </c>
      <c r="G490">
        <v>246.57</v>
      </c>
      <c r="H490" s="14">
        <f t="shared" si="214"/>
        <v>246.57</v>
      </c>
      <c r="I490" s="14" t="b">
        <f t="shared" si="215"/>
        <v>1</v>
      </c>
      <c r="J490" s="2">
        <v>46003</v>
      </c>
      <c r="K490" s="5">
        <v>1003822</v>
      </c>
      <c r="L490" s="5">
        <v>3228</v>
      </c>
      <c r="M490" s="5">
        <v>5.03</v>
      </c>
      <c r="N490" s="5">
        <v>251.6</v>
      </c>
      <c r="O490" s="7">
        <v>45974</v>
      </c>
      <c r="P490" s="5">
        <v>246.57</v>
      </c>
      <c r="Q490" s="5">
        <v>5.03</v>
      </c>
      <c r="R490" s="5" t="s">
        <v>32</v>
      </c>
      <c r="S490" s="5" t="s">
        <v>33</v>
      </c>
      <c r="T490" s="5">
        <v>0</v>
      </c>
      <c r="U490" s="5">
        <v>246.57</v>
      </c>
      <c r="V490" s="5" t="s">
        <v>34</v>
      </c>
      <c r="W490" s="5">
        <v>2</v>
      </c>
      <c r="X490" s="5">
        <v>6914882413916</v>
      </c>
      <c r="Y490" s="7">
        <v>46003</v>
      </c>
      <c r="Z490" s="7">
        <v>45974</v>
      </c>
      <c r="AB490" s="6">
        <v>46003</v>
      </c>
      <c r="AC490" s="7">
        <v>46000.688888888886</v>
      </c>
      <c r="AD490" s="5">
        <v>32281003822</v>
      </c>
      <c r="AE490" s="8">
        <v>45974</v>
      </c>
      <c r="AF490" s="5" t="s">
        <v>285</v>
      </c>
      <c r="AG490" s="5" t="s">
        <v>71</v>
      </c>
      <c r="AH490" s="5">
        <v>202892</v>
      </c>
      <c r="AI490" s="6">
        <v>45974</v>
      </c>
      <c r="AJ490" s="6">
        <v>46003</v>
      </c>
      <c r="AK490" s="1">
        <f t="shared" si="216"/>
        <v>5.032</v>
      </c>
    </row>
    <row r="491" spans="1:37" x14ac:dyDescent="0.55000000000000004">
      <c r="A491">
        <v>3228</v>
      </c>
      <c r="B491">
        <v>1003826</v>
      </c>
      <c r="C491">
        <v>251.6</v>
      </c>
      <c r="D491" s="4">
        <v>5.03</v>
      </c>
      <c r="E491">
        <v>246.57</v>
      </c>
      <c r="G491">
        <v>246.57</v>
      </c>
      <c r="H491" s="14">
        <f t="shared" si="214"/>
        <v>246.57</v>
      </c>
      <c r="I491" s="14" t="b">
        <f t="shared" si="215"/>
        <v>1</v>
      </c>
      <c r="J491" s="2">
        <v>46003</v>
      </c>
      <c r="K491" s="5">
        <v>1003826</v>
      </c>
      <c r="L491" s="5">
        <v>3228</v>
      </c>
      <c r="M491" s="5">
        <v>5.03</v>
      </c>
      <c r="N491" s="5">
        <v>251.6</v>
      </c>
      <c r="O491" s="7">
        <v>45974</v>
      </c>
      <c r="P491" s="5">
        <v>246.57</v>
      </c>
      <c r="Q491" s="5">
        <v>5.03</v>
      </c>
      <c r="R491" s="5" t="s">
        <v>32</v>
      </c>
      <c r="S491" s="5" t="s">
        <v>33</v>
      </c>
      <c r="T491" s="5">
        <v>0</v>
      </c>
      <c r="U491" s="5">
        <v>246.57</v>
      </c>
      <c r="V491" s="5" t="s">
        <v>34</v>
      </c>
      <c r="W491" s="5">
        <v>2</v>
      </c>
      <c r="X491" s="5">
        <v>6914882413916</v>
      </c>
      <c r="Y491" s="7">
        <v>46003</v>
      </c>
      <c r="Z491" s="7">
        <v>45974</v>
      </c>
      <c r="AB491" s="6">
        <v>46003</v>
      </c>
      <c r="AC491" s="7">
        <v>46000.688888888886</v>
      </c>
      <c r="AD491" s="5">
        <v>32281003826</v>
      </c>
      <c r="AE491" s="8">
        <v>45974</v>
      </c>
      <c r="AF491" s="5" t="s">
        <v>286</v>
      </c>
      <c r="AG491" s="5" t="s">
        <v>71</v>
      </c>
      <c r="AH491" s="5">
        <v>202893</v>
      </c>
      <c r="AI491" s="6">
        <v>45974</v>
      </c>
      <c r="AJ491" s="6">
        <v>46003</v>
      </c>
      <c r="AK491" s="1">
        <f t="shared" si="216"/>
        <v>5.032</v>
      </c>
    </row>
    <row r="492" spans="1:37" x14ac:dyDescent="0.55000000000000004">
      <c r="A492">
        <v>3228</v>
      </c>
      <c r="B492">
        <v>1003887</v>
      </c>
      <c r="C492">
        <v>89.79</v>
      </c>
      <c r="D492" s="4">
        <v>1.8</v>
      </c>
      <c r="E492">
        <v>87.99</v>
      </c>
      <c r="G492">
        <v>87.99</v>
      </c>
      <c r="H492" s="14">
        <f t="shared" si="214"/>
        <v>87.990000000000009</v>
      </c>
      <c r="I492" s="14" t="b">
        <f t="shared" si="215"/>
        <v>1</v>
      </c>
      <c r="J492" s="2">
        <v>46003</v>
      </c>
      <c r="K492" s="5">
        <v>1003887</v>
      </c>
      <c r="L492" s="5">
        <v>3228</v>
      </c>
      <c r="M492" s="5">
        <v>1.8</v>
      </c>
      <c r="N492" s="5">
        <v>89.79</v>
      </c>
      <c r="O492" s="7">
        <v>45975</v>
      </c>
      <c r="P492" s="5">
        <v>87.99</v>
      </c>
      <c r="Q492" s="5">
        <v>1.8</v>
      </c>
      <c r="R492" s="5" t="s">
        <v>32</v>
      </c>
      <c r="S492" s="5" t="s">
        <v>33</v>
      </c>
      <c r="T492" s="5">
        <v>0</v>
      </c>
      <c r="U492" s="5">
        <v>87.99</v>
      </c>
      <c r="V492" s="5" t="s">
        <v>34</v>
      </c>
      <c r="W492" s="5">
        <v>2</v>
      </c>
      <c r="X492" s="5">
        <v>6914882413916</v>
      </c>
      <c r="Y492" s="7">
        <v>46003</v>
      </c>
      <c r="Z492" s="7">
        <v>45975</v>
      </c>
      <c r="AB492" s="6">
        <v>46003</v>
      </c>
      <c r="AC492" s="7">
        <v>46000.688888888886</v>
      </c>
      <c r="AD492" s="5">
        <v>32281003887</v>
      </c>
      <c r="AE492" s="8">
        <v>45975</v>
      </c>
      <c r="AF492" s="5" t="s">
        <v>287</v>
      </c>
      <c r="AG492" s="5" t="s">
        <v>71</v>
      </c>
      <c r="AH492" s="5">
        <v>202952</v>
      </c>
      <c r="AI492" s="6">
        <v>45975</v>
      </c>
      <c r="AJ492" s="6">
        <v>46003</v>
      </c>
      <c r="AK492" s="1">
        <f t="shared" si="216"/>
        <v>1.7958000000000001</v>
      </c>
    </row>
    <row r="493" spans="1:37" x14ac:dyDescent="0.55000000000000004">
      <c r="A493">
        <v>3228</v>
      </c>
      <c r="B493">
        <v>1003935</v>
      </c>
      <c r="C493">
        <v>103.56</v>
      </c>
      <c r="D493" s="4">
        <v>2.0699999999999998</v>
      </c>
      <c r="E493">
        <v>101.49</v>
      </c>
      <c r="G493">
        <v>101.49</v>
      </c>
      <c r="H493" s="14">
        <f t="shared" si="214"/>
        <v>101.49000000000001</v>
      </c>
      <c r="I493" s="14" t="b">
        <f t="shared" si="215"/>
        <v>1</v>
      </c>
      <c r="J493" s="2">
        <v>46003</v>
      </c>
      <c r="K493" s="5">
        <v>1003935</v>
      </c>
      <c r="L493" s="5">
        <v>3228</v>
      </c>
      <c r="M493" s="5">
        <v>2.0699999999999998</v>
      </c>
      <c r="N493" s="5">
        <v>103.56</v>
      </c>
      <c r="O493" s="7">
        <v>45975</v>
      </c>
      <c r="P493" s="5">
        <v>101.49</v>
      </c>
      <c r="Q493" s="5">
        <v>2.0699999999999998</v>
      </c>
      <c r="R493" s="5" t="s">
        <v>32</v>
      </c>
      <c r="S493" s="5" t="s">
        <v>33</v>
      </c>
      <c r="T493" s="5">
        <v>0</v>
      </c>
      <c r="U493" s="5">
        <v>101.49</v>
      </c>
      <c r="V493" s="5" t="s">
        <v>34</v>
      </c>
      <c r="W493" s="5">
        <v>2</v>
      </c>
      <c r="X493" s="5">
        <v>6914882413916</v>
      </c>
      <c r="Y493" s="7">
        <v>46003</v>
      </c>
      <c r="Z493" s="7">
        <v>45975</v>
      </c>
      <c r="AB493" s="6">
        <v>46003</v>
      </c>
      <c r="AC493" s="7">
        <v>46000.688888888886</v>
      </c>
      <c r="AD493" s="5">
        <v>32281003935</v>
      </c>
      <c r="AE493" s="8">
        <v>45975</v>
      </c>
      <c r="AF493" s="5" t="s">
        <v>288</v>
      </c>
      <c r="AG493" s="5" t="s">
        <v>71</v>
      </c>
      <c r="AH493" s="5">
        <v>203395</v>
      </c>
      <c r="AI493" s="6">
        <v>45975</v>
      </c>
      <c r="AJ493" s="6">
        <v>46003</v>
      </c>
      <c r="AK493" s="1">
        <f t="shared" si="216"/>
        <v>2.0712000000000002</v>
      </c>
    </row>
    <row r="494" spans="1:37" hidden="1" x14ac:dyDescent="0.55000000000000004">
      <c r="A494">
        <v>3228</v>
      </c>
      <c r="B494">
        <v>1004093</v>
      </c>
      <c r="C494" s="1">
        <v>5219.76</v>
      </c>
      <c r="E494" s="1">
        <v>5219.76</v>
      </c>
      <c r="G494" s="1">
        <v>5219.76</v>
      </c>
      <c r="H494" s="1"/>
      <c r="I494" s="1"/>
      <c r="J494" s="2">
        <v>46003</v>
      </c>
      <c r="K494" s="5">
        <v>1004093</v>
      </c>
      <c r="L494" s="5">
        <v>3228</v>
      </c>
      <c r="M494" s="5">
        <v>0</v>
      </c>
      <c r="N494" s="5">
        <v>5219.76</v>
      </c>
      <c r="O494" s="7">
        <v>45975</v>
      </c>
      <c r="P494" s="5">
        <v>5219.76</v>
      </c>
      <c r="Q494" s="5">
        <v>0</v>
      </c>
      <c r="R494" s="5" t="s">
        <v>32</v>
      </c>
      <c r="S494" s="5" t="s">
        <v>33</v>
      </c>
      <c r="T494" s="5">
        <v>0</v>
      </c>
      <c r="U494" s="5">
        <v>5219.76</v>
      </c>
      <c r="V494" s="5" t="s">
        <v>34</v>
      </c>
      <c r="W494" s="5">
        <v>2</v>
      </c>
      <c r="X494" s="5">
        <v>6914882413916</v>
      </c>
      <c r="Y494" s="7">
        <v>46003</v>
      </c>
      <c r="Z494" s="7">
        <v>45975</v>
      </c>
      <c r="AB494" s="6">
        <v>46003</v>
      </c>
      <c r="AC494" s="7">
        <v>46000.688888888886</v>
      </c>
      <c r="AD494" s="5">
        <v>32281004093</v>
      </c>
      <c r="AE494" s="8">
        <v>45975</v>
      </c>
      <c r="AF494" s="5" t="s">
        <v>289</v>
      </c>
      <c r="AG494" s="5" t="s">
        <v>65</v>
      </c>
      <c r="AH494" s="5">
        <v>203279</v>
      </c>
      <c r="AI494" s="6">
        <v>45975</v>
      </c>
      <c r="AJ494" s="6">
        <v>46003</v>
      </c>
    </row>
    <row r="495" spans="1:37" hidden="1" x14ac:dyDescent="0.55000000000000004">
      <c r="A495">
        <v>3228</v>
      </c>
      <c r="B495">
        <v>1004095</v>
      </c>
      <c r="C495" s="1">
        <v>4535.88</v>
      </c>
      <c r="E495" s="1">
        <v>4535.88</v>
      </c>
      <c r="G495" s="1">
        <v>4535.88</v>
      </c>
      <c r="H495" s="1"/>
      <c r="I495" s="1"/>
      <c r="J495" s="2">
        <v>46003</v>
      </c>
      <c r="K495" s="5">
        <v>1004095</v>
      </c>
      <c r="L495" s="5">
        <v>3228</v>
      </c>
      <c r="M495" s="5">
        <v>0</v>
      </c>
      <c r="N495" s="5">
        <v>4535.88</v>
      </c>
      <c r="O495" s="7">
        <v>45975</v>
      </c>
      <c r="P495" s="5">
        <v>4535.88</v>
      </c>
      <c r="Q495" s="5">
        <v>0</v>
      </c>
      <c r="R495" s="5" t="s">
        <v>32</v>
      </c>
      <c r="S495" s="5" t="s">
        <v>33</v>
      </c>
      <c r="T495" s="5">
        <v>0</v>
      </c>
      <c r="U495" s="5">
        <v>4535.88</v>
      </c>
      <c r="V495" s="5" t="s">
        <v>34</v>
      </c>
      <c r="W495" s="5">
        <v>2</v>
      </c>
      <c r="X495" s="5">
        <v>6914882413916</v>
      </c>
      <c r="Y495" s="7">
        <v>46003</v>
      </c>
      <c r="Z495" s="7">
        <v>45975</v>
      </c>
      <c r="AB495" s="6">
        <v>46003</v>
      </c>
      <c r="AC495" s="7">
        <v>46000.688888888886</v>
      </c>
      <c r="AD495" s="5">
        <v>32281004095</v>
      </c>
      <c r="AE495" s="8">
        <v>45975</v>
      </c>
      <c r="AF495" s="5" t="s">
        <v>290</v>
      </c>
      <c r="AG495" s="5" t="s">
        <v>65</v>
      </c>
      <c r="AH495" s="5">
        <v>203275</v>
      </c>
      <c r="AI495" s="6">
        <v>45975</v>
      </c>
      <c r="AJ495" s="6">
        <v>46003</v>
      </c>
    </row>
    <row r="496" spans="1:37" hidden="1" x14ac:dyDescent="0.55000000000000004">
      <c r="A496">
        <v>3228</v>
      </c>
      <c r="B496">
        <v>1004096</v>
      </c>
      <c r="C496">
        <v>364.46</v>
      </c>
      <c r="E496">
        <v>364.46</v>
      </c>
      <c r="G496">
        <v>364.46</v>
      </c>
      <c r="H496"/>
      <c r="I496"/>
      <c r="J496" s="2">
        <v>46003</v>
      </c>
      <c r="K496" s="5">
        <v>1004096</v>
      </c>
      <c r="L496" s="5">
        <v>3228</v>
      </c>
      <c r="M496" s="5">
        <v>0</v>
      </c>
      <c r="N496" s="5">
        <v>364.46</v>
      </c>
      <c r="O496" s="7">
        <v>45975</v>
      </c>
      <c r="P496" s="5">
        <v>364.46</v>
      </c>
      <c r="Q496" s="5">
        <v>0</v>
      </c>
      <c r="R496" s="5" t="s">
        <v>32</v>
      </c>
      <c r="S496" s="5" t="s">
        <v>33</v>
      </c>
      <c r="T496" s="5">
        <v>0</v>
      </c>
      <c r="U496" s="5">
        <v>364.46</v>
      </c>
      <c r="V496" s="5" t="s">
        <v>34</v>
      </c>
      <c r="W496" s="5">
        <v>2</v>
      </c>
      <c r="X496" s="5">
        <v>6914882413916</v>
      </c>
      <c r="Y496" s="7">
        <v>46003</v>
      </c>
      <c r="Z496" s="7">
        <v>45975</v>
      </c>
      <c r="AB496" s="6">
        <v>46003</v>
      </c>
      <c r="AC496" s="7">
        <v>46000.688888888886</v>
      </c>
      <c r="AD496" s="5">
        <v>32281004096</v>
      </c>
      <c r="AE496" s="8">
        <v>45975</v>
      </c>
      <c r="AF496" s="5" t="s">
        <v>291</v>
      </c>
      <c r="AG496" s="5" t="s">
        <v>65</v>
      </c>
      <c r="AH496" s="5">
        <v>203277</v>
      </c>
      <c r="AI496" s="6">
        <v>45975</v>
      </c>
      <c r="AJ496" s="6">
        <v>46003</v>
      </c>
    </row>
    <row r="497" spans="1:37" hidden="1" x14ac:dyDescent="0.55000000000000004">
      <c r="A497">
        <v>3228</v>
      </c>
      <c r="B497">
        <v>1004097</v>
      </c>
      <c r="C497" s="1">
        <v>2957.92</v>
      </c>
      <c r="E497" s="1">
        <v>2957.92</v>
      </c>
      <c r="G497" s="1">
        <v>2957.92</v>
      </c>
      <c r="H497" s="1"/>
      <c r="I497" s="1"/>
      <c r="J497" s="2">
        <v>46003</v>
      </c>
      <c r="K497" s="5">
        <v>1004097</v>
      </c>
      <c r="L497" s="5">
        <v>3228</v>
      </c>
      <c r="M497" s="5">
        <v>0</v>
      </c>
      <c r="N497" s="5">
        <v>2957.92</v>
      </c>
      <c r="O497" s="7">
        <v>45975</v>
      </c>
      <c r="P497" s="5">
        <v>2957.92</v>
      </c>
      <c r="Q497" s="5">
        <v>0</v>
      </c>
      <c r="R497" s="5" t="s">
        <v>32</v>
      </c>
      <c r="S497" s="5" t="s">
        <v>33</v>
      </c>
      <c r="T497" s="5">
        <v>0</v>
      </c>
      <c r="U497" s="5">
        <v>2957.92</v>
      </c>
      <c r="V497" s="5" t="s">
        <v>34</v>
      </c>
      <c r="W497" s="5">
        <v>2</v>
      </c>
      <c r="X497" s="5">
        <v>6914882413916</v>
      </c>
      <c r="Y497" s="7">
        <v>46003</v>
      </c>
      <c r="Z497" s="7">
        <v>45975</v>
      </c>
      <c r="AB497" s="6">
        <v>46003</v>
      </c>
      <c r="AC497" s="7">
        <v>46000.688888888886</v>
      </c>
      <c r="AD497" s="5">
        <v>32281004097</v>
      </c>
      <c r="AE497" s="8">
        <v>45975</v>
      </c>
      <c r="AF497" s="5" t="s">
        <v>292</v>
      </c>
      <c r="AG497" s="5" t="s">
        <v>65</v>
      </c>
      <c r="AH497" s="5">
        <v>203273</v>
      </c>
      <c r="AI497" s="6">
        <v>45975</v>
      </c>
      <c r="AJ497" s="6">
        <v>46003</v>
      </c>
    </row>
    <row r="498" spans="1:37" hidden="1" x14ac:dyDescent="0.55000000000000004">
      <c r="A498">
        <v>3228</v>
      </c>
      <c r="B498">
        <v>1004099</v>
      </c>
      <c r="C498" s="1">
        <v>3023.92</v>
      </c>
      <c r="E498" s="1">
        <v>3023.92</v>
      </c>
      <c r="G498" s="1">
        <v>3023.92</v>
      </c>
      <c r="H498" s="1"/>
      <c r="I498" s="1"/>
      <c r="J498" s="2">
        <v>46003</v>
      </c>
      <c r="K498" s="5">
        <v>1004099</v>
      </c>
      <c r="L498" s="5">
        <v>3228</v>
      </c>
      <c r="M498" s="5">
        <v>0</v>
      </c>
      <c r="N498" s="5">
        <v>3023.92</v>
      </c>
      <c r="O498" s="7">
        <v>45975</v>
      </c>
      <c r="P498" s="5">
        <v>3023.92</v>
      </c>
      <c r="Q498" s="5">
        <v>0</v>
      </c>
      <c r="R498" s="5" t="s">
        <v>32</v>
      </c>
      <c r="S498" s="5" t="s">
        <v>33</v>
      </c>
      <c r="T498" s="5">
        <v>0</v>
      </c>
      <c r="U498" s="5">
        <v>3023.92</v>
      </c>
      <c r="V498" s="5" t="s">
        <v>34</v>
      </c>
      <c r="W498" s="5">
        <v>2</v>
      </c>
      <c r="X498" s="5">
        <v>6914882413916</v>
      </c>
      <c r="Y498" s="7">
        <v>46003</v>
      </c>
      <c r="Z498" s="7">
        <v>45975</v>
      </c>
      <c r="AB498" s="6">
        <v>46003</v>
      </c>
      <c r="AC498" s="7">
        <v>46000.688888888886</v>
      </c>
      <c r="AD498" s="5">
        <v>32281004099</v>
      </c>
      <c r="AE498" s="8">
        <v>45975</v>
      </c>
      <c r="AF498" s="5" t="s">
        <v>293</v>
      </c>
      <c r="AG498" s="5" t="s">
        <v>65</v>
      </c>
      <c r="AH498" s="5">
        <v>203276</v>
      </c>
      <c r="AI498" s="6">
        <v>45975</v>
      </c>
      <c r="AJ498" s="6">
        <v>46003</v>
      </c>
    </row>
    <row r="499" spans="1:37" hidden="1" x14ac:dyDescent="0.55000000000000004">
      <c r="A499">
        <v>3228</v>
      </c>
      <c r="B499">
        <v>1004100</v>
      </c>
      <c r="C499">
        <v>426.6</v>
      </c>
      <c r="E499">
        <v>426.6</v>
      </c>
      <c r="G499">
        <v>426.6</v>
      </c>
      <c r="H499"/>
      <c r="I499"/>
      <c r="J499" s="2">
        <v>46003</v>
      </c>
      <c r="K499" s="5">
        <v>1004100</v>
      </c>
      <c r="L499" s="5">
        <v>3228</v>
      </c>
      <c r="M499" s="5">
        <v>0</v>
      </c>
      <c r="N499" s="5">
        <v>426.6</v>
      </c>
      <c r="O499" s="7">
        <v>45975</v>
      </c>
      <c r="P499" s="5">
        <v>426.6</v>
      </c>
      <c r="Q499" s="5">
        <v>0</v>
      </c>
      <c r="R499" s="5" t="s">
        <v>32</v>
      </c>
      <c r="S499" s="5" t="s">
        <v>33</v>
      </c>
      <c r="T499" s="5">
        <v>0</v>
      </c>
      <c r="U499" s="5">
        <v>426.6</v>
      </c>
      <c r="V499" s="5" t="s">
        <v>34</v>
      </c>
      <c r="W499" s="5">
        <v>2</v>
      </c>
      <c r="X499" s="5">
        <v>6914882413916</v>
      </c>
      <c r="Y499" s="7">
        <v>46003</v>
      </c>
      <c r="Z499" s="7">
        <v>45975</v>
      </c>
      <c r="AB499" s="6">
        <v>46003</v>
      </c>
      <c r="AC499" s="7">
        <v>46000.688888888886</v>
      </c>
      <c r="AD499" s="5">
        <v>32281004100</v>
      </c>
      <c r="AE499" s="8">
        <v>45975</v>
      </c>
      <c r="AF499" s="5" t="s">
        <v>294</v>
      </c>
      <c r="AG499" s="5" t="s">
        <v>65</v>
      </c>
      <c r="AH499" s="5">
        <v>203278</v>
      </c>
      <c r="AI499" s="6">
        <v>45975</v>
      </c>
      <c r="AJ499" s="6">
        <v>46003</v>
      </c>
    </row>
    <row r="500" spans="1:37" hidden="1" x14ac:dyDescent="0.55000000000000004">
      <c r="A500">
        <v>3228</v>
      </c>
      <c r="B500">
        <v>1004102</v>
      </c>
      <c r="C500" s="1">
        <v>1652.96</v>
      </c>
      <c r="E500" s="1">
        <v>1652.96</v>
      </c>
      <c r="G500" s="1">
        <v>1652.96</v>
      </c>
      <c r="H500" s="1"/>
      <c r="I500" s="1"/>
      <c r="J500" s="2">
        <v>46003</v>
      </c>
      <c r="K500" s="5">
        <v>1004102</v>
      </c>
      <c r="L500" s="5">
        <v>3228</v>
      </c>
      <c r="M500" s="5">
        <v>0</v>
      </c>
      <c r="N500" s="5">
        <v>1652.96</v>
      </c>
      <c r="O500" s="7">
        <v>45975</v>
      </c>
      <c r="P500" s="5">
        <v>1652.96</v>
      </c>
      <c r="Q500" s="5">
        <v>0</v>
      </c>
      <c r="R500" s="5" t="s">
        <v>32</v>
      </c>
      <c r="S500" s="5" t="s">
        <v>33</v>
      </c>
      <c r="T500" s="5">
        <v>0</v>
      </c>
      <c r="U500" s="5">
        <v>1652.96</v>
      </c>
      <c r="V500" s="5" t="s">
        <v>34</v>
      </c>
      <c r="W500" s="5">
        <v>2</v>
      </c>
      <c r="X500" s="5">
        <v>6914882413916</v>
      </c>
      <c r="Y500" s="7">
        <v>46003</v>
      </c>
      <c r="Z500" s="7">
        <v>45975</v>
      </c>
      <c r="AB500" s="6">
        <v>46003</v>
      </c>
      <c r="AC500" s="7">
        <v>46000.688888888886</v>
      </c>
      <c r="AD500" s="5">
        <v>32281004102</v>
      </c>
      <c r="AE500" s="8">
        <v>45975</v>
      </c>
      <c r="AF500" s="5" t="s">
        <v>295</v>
      </c>
      <c r="AG500" s="5" t="s">
        <v>65</v>
      </c>
      <c r="AH500" s="5">
        <v>203274</v>
      </c>
      <c r="AI500" s="6">
        <v>45975</v>
      </c>
      <c r="AJ500" s="6">
        <v>46003</v>
      </c>
    </row>
    <row r="501" spans="1:37" hidden="1" x14ac:dyDescent="0.55000000000000004">
      <c r="A501">
        <v>3228</v>
      </c>
      <c r="B501">
        <v>1004143</v>
      </c>
      <c r="C501" s="1">
        <v>6394.18</v>
      </c>
      <c r="E501" s="1">
        <v>6394.18</v>
      </c>
      <c r="G501" s="1">
        <v>6394.18</v>
      </c>
      <c r="H501" s="1"/>
      <c r="I501" s="1"/>
      <c r="J501" s="2">
        <v>46003</v>
      </c>
      <c r="K501" s="5">
        <v>1004143</v>
      </c>
      <c r="L501" s="5">
        <v>3228</v>
      </c>
      <c r="M501" s="5">
        <v>0</v>
      </c>
      <c r="N501" s="5">
        <v>6394.18</v>
      </c>
      <c r="O501" s="7">
        <v>45975</v>
      </c>
      <c r="P501" s="5">
        <v>6394.18</v>
      </c>
      <c r="Q501" s="5">
        <v>0</v>
      </c>
      <c r="R501" s="5" t="s">
        <v>32</v>
      </c>
      <c r="S501" s="5" t="s">
        <v>33</v>
      </c>
      <c r="T501" s="5">
        <v>0</v>
      </c>
      <c r="U501" s="5">
        <v>6394.18</v>
      </c>
      <c r="V501" s="5" t="s">
        <v>34</v>
      </c>
      <c r="W501" s="5">
        <v>2</v>
      </c>
      <c r="X501" s="5">
        <v>6914882413916</v>
      </c>
      <c r="Y501" s="7">
        <v>46003</v>
      </c>
      <c r="Z501" s="7">
        <v>45975</v>
      </c>
      <c r="AB501" s="6">
        <v>46003</v>
      </c>
      <c r="AC501" s="7">
        <v>46000.688888888886</v>
      </c>
      <c r="AD501" s="5">
        <v>32281004143</v>
      </c>
      <c r="AE501" s="8">
        <v>45975</v>
      </c>
      <c r="AF501" s="5" t="s">
        <v>296</v>
      </c>
      <c r="AG501" s="5" t="s">
        <v>65</v>
      </c>
      <c r="AH501" s="5">
        <v>203283</v>
      </c>
      <c r="AI501" s="6">
        <v>45975</v>
      </c>
      <c r="AJ501" s="6">
        <v>46003</v>
      </c>
    </row>
    <row r="502" spans="1:37" hidden="1" x14ac:dyDescent="0.55000000000000004">
      <c r="A502">
        <v>3228</v>
      </c>
      <c r="B502">
        <v>1004146</v>
      </c>
      <c r="C502" s="1">
        <v>1343.96</v>
      </c>
      <c r="E502" s="1">
        <v>1343.96</v>
      </c>
      <c r="G502" s="1">
        <v>1343.96</v>
      </c>
      <c r="H502" s="1"/>
      <c r="I502" s="1"/>
      <c r="J502" s="2">
        <v>46003</v>
      </c>
      <c r="K502" s="5">
        <v>1004146</v>
      </c>
      <c r="L502" s="5">
        <v>3228</v>
      </c>
      <c r="M502" s="5">
        <v>0</v>
      </c>
      <c r="N502" s="5">
        <v>1343.96</v>
      </c>
      <c r="O502" s="7">
        <v>45975</v>
      </c>
      <c r="P502" s="5">
        <v>1343.96</v>
      </c>
      <c r="Q502" s="5">
        <v>0</v>
      </c>
      <c r="R502" s="5" t="s">
        <v>32</v>
      </c>
      <c r="S502" s="5" t="s">
        <v>33</v>
      </c>
      <c r="T502" s="5">
        <v>0</v>
      </c>
      <c r="U502" s="5">
        <v>1343.96</v>
      </c>
      <c r="V502" s="5" t="s">
        <v>34</v>
      </c>
      <c r="W502" s="5">
        <v>2</v>
      </c>
      <c r="X502" s="5">
        <v>6914882413916</v>
      </c>
      <c r="Y502" s="7">
        <v>46003</v>
      </c>
      <c r="Z502" s="7">
        <v>45975</v>
      </c>
      <c r="AB502" s="6">
        <v>46003</v>
      </c>
      <c r="AC502" s="7">
        <v>46000.688888888886</v>
      </c>
      <c r="AD502" s="5">
        <v>32281004146</v>
      </c>
      <c r="AE502" s="8">
        <v>45975</v>
      </c>
      <c r="AF502" s="5" t="s">
        <v>297</v>
      </c>
      <c r="AG502" s="5" t="s">
        <v>65</v>
      </c>
      <c r="AH502" s="5">
        <v>203281</v>
      </c>
      <c r="AI502" s="6">
        <v>45975</v>
      </c>
      <c r="AJ502" s="6">
        <v>46003</v>
      </c>
    </row>
    <row r="503" spans="1:37" hidden="1" x14ac:dyDescent="0.55000000000000004">
      <c r="A503">
        <v>3228</v>
      </c>
      <c r="B503">
        <v>1004148</v>
      </c>
      <c r="C503" s="1">
        <v>1943.88</v>
      </c>
      <c r="E503" s="1">
        <v>1943.88</v>
      </c>
      <c r="G503" s="1">
        <v>1943.88</v>
      </c>
      <c r="H503" s="1"/>
      <c r="I503" s="1"/>
      <c r="J503" s="2">
        <v>46003</v>
      </c>
      <c r="K503" s="5">
        <v>1004148</v>
      </c>
      <c r="L503" s="5">
        <v>3228</v>
      </c>
      <c r="M503" s="5">
        <v>0</v>
      </c>
      <c r="N503" s="5">
        <v>1943.88</v>
      </c>
      <c r="O503" s="7">
        <v>45975</v>
      </c>
      <c r="P503" s="5">
        <v>1943.88</v>
      </c>
      <c r="Q503" s="5">
        <v>0</v>
      </c>
      <c r="R503" s="5" t="s">
        <v>32</v>
      </c>
      <c r="S503" s="5" t="s">
        <v>33</v>
      </c>
      <c r="T503" s="5">
        <v>0</v>
      </c>
      <c r="U503" s="5">
        <v>1943.88</v>
      </c>
      <c r="V503" s="5" t="s">
        <v>34</v>
      </c>
      <c r="W503" s="5">
        <v>2</v>
      </c>
      <c r="X503" s="5">
        <v>6914882413916</v>
      </c>
      <c r="Y503" s="7">
        <v>46003</v>
      </c>
      <c r="Z503" s="7">
        <v>45975</v>
      </c>
      <c r="AB503" s="6">
        <v>46003</v>
      </c>
      <c r="AC503" s="7">
        <v>46000.688888888886</v>
      </c>
      <c r="AD503" s="5">
        <v>32281004148</v>
      </c>
      <c r="AE503" s="8">
        <v>45975</v>
      </c>
      <c r="AF503" s="5" t="s">
        <v>272</v>
      </c>
      <c r="AG503" s="5" t="s">
        <v>65</v>
      </c>
      <c r="AH503" s="5">
        <v>203284</v>
      </c>
      <c r="AI503" s="6">
        <v>45975</v>
      </c>
      <c r="AJ503" s="6">
        <v>46003</v>
      </c>
    </row>
    <row r="504" spans="1:37" hidden="1" x14ac:dyDescent="0.55000000000000004">
      <c r="A504">
        <v>3228</v>
      </c>
      <c r="B504">
        <v>1004150</v>
      </c>
      <c r="C504" s="1">
        <v>4451.88</v>
      </c>
      <c r="E504" s="1">
        <v>4451.88</v>
      </c>
      <c r="G504" s="1">
        <v>4451.88</v>
      </c>
      <c r="H504" s="1"/>
      <c r="I504" s="1"/>
      <c r="J504" s="2">
        <v>46003</v>
      </c>
      <c r="K504" s="5">
        <v>1004150</v>
      </c>
      <c r="L504" s="5">
        <v>3228</v>
      </c>
      <c r="M504" s="5">
        <v>0</v>
      </c>
      <c r="N504" s="5">
        <v>4451.88</v>
      </c>
      <c r="O504" s="7">
        <v>45975</v>
      </c>
      <c r="P504" s="5">
        <v>4451.88</v>
      </c>
      <c r="Q504" s="5">
        <v>0</v>
      </c>
      <c r="R504" s="5" t="s">
        <v>32</v>
      </c>
      <c r="S504" s="5" t="s">
        <v>33</v>
      </c>
      <c r="T504" s="5">
        <v>0</v>
      </c>
      <c r="U504" s="5">
        <v>4451.88</v>
      </c>
      <c r="V504" s="5" t="s">
        <v>34</v>
      </c>
      <c r="W504" s="5">
        <v>2</v>
      </c>
      <c r="X504" s="5">
        <v>6914882413916</v>
      </c>
      <c r="Y504" s="7">
        <v>46003</v>
      </c>
      <c r="Z504" s="7">
        <v>45975</v>
      </c>
      <c r="AB504" s="6">
        <v>46003</v>
      </c>
      <c r="AC504" s="7">
        <v>46000.688888888886</v>
      </c>
      <c r="AD504" s="5">
        <v>32281004150</v>
      </c>
      <c r="AE504" s="8">
        <v>45975</v>
      </c>
      <c r="AF504" s="5" t="s">
        <v>298</v>
      </c>
      <c r="AG504" s="5" t="s">
        <v>65</v>
      </c>
      <c r="AH504" s="5">
        <v>203280</v>
      </c>
      <c r="AI504" s="6">
        <v>45975</v>
      </c>
      <c r="AJ504" s="6">
        <v>46003</v>
      </c>
    </row>
    <row r="505" spans="1:37" hidden="1" x14ac:dyDescent="0.55000000000000004">
      <c r="A505">
        <v>3228</v>
      </c>
      <c r="B505">
        <v>1004151</v>
      </c>
      <c r="C505">
        <v>364.46</v>
      </c>
      <c r="E505">
        <v>364.46</v>
      </c>
      <c r="G505">
        <v>364.46</v>
      </c>
      <c r="H505"/>
      <c r="I505"/>
      <c r="J505" s="2">
        <v>46003</v>
      </c>
      <c r="K505" s="5">
        <v>1004151</v>
      </c>
      <c r="L505" s="5">
        <v>3228</v>
      </c>
      <c r="M505" s="5">
        <v>0</v>
      </c>
      <c r="N505" s="5">
        <v>364.46</v>
      </c>
      <c r="O505" s="7">
        <v>45975</v>
      </c>
      <c r="P505" s="5">
        <v>364.46</v>
      </c>
      <c r="Q505" s="5">
        <v>0</v>
      </c>
      <c r="R505" s="5" t="s">
        <v>32</v>
      </c>
      <c r="S505" s="5" t="s">
        <v>33</v>
      </c>
      <c r="T505" s="5">
        <v>0</v>
      </c>
      <c r="U505" s="5">
        <v>364.46</v>
      </c>
      <c r="V505" s="5" t="s">
        <v>34</v>
      </c>
      <c r="W505" s="5">
        <v>2</v>
      </c>
      <c r="X505" s="5">
        <v>6914882413916</v>
      </c>
      <c r="Y505" s="7">
        <v>46003</v>
      </c>
      <c r="Z505" s="7">
        <v>45975</v>
      </c>
      <c r="AB505" s="6">
        <v>46003</v>
      </c>
      <c r="AC505" s="7">
        <v>46000.688888888886</v>
      </c>
      <c r="AD505" s="5">
        <v>32281004151</v>
      </c>
      <c r="AE505" s="8">
        <v>45975</v>
      </c>
      <c r="AF505" s="5" t="s">
        <v>299</v>
      </c>
      <c r="AG505" s="5" t="s">
        <v>65</v>
      </c>
      <c r="AH505" s="5">
        <v>203282</v>
      </c>
      <c r="AI505" s="6">
        <v>45975</v>
      </c>
      <c r="AJ505" s="6">
        <v>46003</v>
      </c>
    </row>
    <row r="506" spans="1:37" hidden="1" x14ac:dyDescent="0.55000000000000004">
      <c r="A506">
        <v>3228</v>
      </c>
      <c r="B506">
        <v>1006018</v>
      </c>
      <c r="C506">
        <v>-178</v>
      </c>
      <c r="E506">
        <v>-178</v>
      </c>
      <c r="G506">
        <v>-178</v>
      </c>
      <c r="H506"/>
      <c r="I506"/>
      <c r="J506" s="2">
        <v>46003</v>
      </c>
      <c r="K506" s="5">
        <v>1006018</v>
      </c>
      <c r="L506" s="5">
        <v>3228</v>
      </c>
      <c r="M506" s="5">
        <v>0</v>
      </c>
      <c r="N506" s="5">
        <v>-178</v>
      </c>
      <c r="O506" s="7">
        <v>45986</v>
      </c>
      <c r="P506" s="5">
        <v>-178</v>
      </c>
      <c r="Q506" s="5">
        <v>0</v>
      </c>
      <c r="R506" s="5">
        <v>1006018</v>
      </c>
      <c r="S506" s="5" t="s">
        <v>33</v>
      </c>
      <c r="T506" s="5">
        <v>0</v>
      </c>
      <c r="U506" s="5">
        <v>-178</v>
      </c>
      <c r="V506" s="5" t="s">
        <v>34</v>
      </c>
      <c r="W506" s="5">
        <v>2</v>
      </c>
      <c r="X506" s="5">
        <v>6914882413916</v>
      </c>
      <c r="Y506" s="7">
        <v>46003</v>
      </c>
      <c r="Z506" s="7">
        <v>45986</v>
      </c>
      <c r="AB506" s="6">
        <v>46003</v>
      </c>
      <c r="AC506" s="7">
        <v>46000.688888888886</v>
      </c>
      <c r="AD506" s="5">
        <v>32281006018</v>
      </c>
      <c r="AE506" s="8">
        <v>45986</v>
      </c>
      <c r="AF506" s="5" t="s">
        <v>32</v>
      </c>
      <c r="AG506" s="5" t="s">
        <v>65</v>
      </c>
      <c r="AH506" s="5" t="s">
        <v>32</v>
      </c>
      <c r="AI506" s="6">
        <v>45986</v>
      </c>
      <c r="AJ506" s="6">
        <v>46003</v>
      </c>
    </row>
    <row r="507" spans="1:37" x14ac:dyDescent="0.55000000000000004">
      <c r="A507">
        <v>3228</v>
      </c>
      <c r="B507">
        <v>1007296</v>
      </c>
      <c r="C507">
        <v>771.17</v>
      </c>
      <c r="D507" s="4">
        <v>15.42</v>
      </c>
      <c r="E507">
        <v>755.75</v>
      </c>
      <c r="F507">
        <v>7.71</v>
      </c>
      <c r="G507">
        <v>748.04</v>
      </c>
      <c r="H507" s="14">
        <f t="shared" ref="H507:H511" si="217">C507-D507-F507</f>
        <v>748.04</v>
      </c>
      <c r="I507" s="14" t="b">
        <f t="shared" ref="I507:I511" si="218">G507=H507</f>
        <v>1</v>
      </c>
      <c r="J507" s="2">
        <v>46003</v>
      </c>
      <c r="K507" s="5">
        <v>1007296</v>
      </c>
      <c r="L507" s="5">
        <v>3228</v>
      </c>
      <c r="M507" s="5">
        <v>15.42</v>
      </c>
      <c r="N507" s="5">
        <v>771.17</v>
      </c>
      <c r="O507" s="7">
        <v>45992</v>
      </c>
      <c r="P507" s="5">
        <v>755.75</v>
      </c>
      <c r="Q507" s="5">
        <v>15.42</v>
      </c>
      <c r="R507" s="5" t="s">
        <v>32</v>
      </c>
      <c r="S507" s="5" t="s">
        <v>33</v>
      </c>
      <c r="T507" s="5">
        <v>7.71</v>
      </c>
      <c r="U507" s="5">
        <v>748.04</v>
      </c>
      <c r="V507" s="5" t="s">
        <v>34</v>
      </c>
      <c r="W507" s="5">
        <v>2</v>
      </c>
      <c r="X507" s="5">
        <v>6914882413916</v>
      </c>
      <c r="Y507" s="7">
        <v>46003</v>
      </c>
      <c r="Z507" s="7">
        <v>45992</v>
      </c>
      <c r="AB507" s="6">
        <v>46003</v>
      </c>
      <c r="AC507" s="7">
        <v>46000.688888888886</v>
      </c>
      <c r="AD507" s="5">
        <v>32281007296</v>
      </c>
      <c r="AE507" s="8">
        <v>45992</v>
      </c>
      <c r="AF507" s="5" t="s">
        <v>300</v>
      </c>
      <c r="AG507" s="5" t="s">
        <v>37</v>
      </c>
      <c r="AH507" s="5">
        <v>205895</v>
      </c>
      <c r="AI507" s="6">
        <v>45992</v>
      </c>
      <c r="AJ507" s="6">
        <v>46003</v>
      </c>
      <c r="AK507" s="1">
        <f t="shared" ref="AK507:AK511" si="219">0.02*C507</f>
        <v>15.423399999999999</v>
      </c>
    </row>
    <row r="508" spans="1:37" x14ac:dyDescent="0.55000000000000004">
      <c r="A508">
        <v>3228</v>
      </c>
      <c r="B508">
        <v>1007374</v>
      </c>
      <c r="C508">
        <v>806.57</v>
      </c>
      <c r="D508" s="4">
        <v>16.13</v>
      </c>
      <c r="E508">
        <v>790.44</v>
      </c>
      <c r="F508">
        <v>8.07</v>
      </c>
      <c r="G508">
        <v>782.37</v>
      </c>
      <c r="H508" s="14">
        <f t="shared" si="217"/>
        <v>782.37</v>
      </c>
      <c r="I508" s="14" t="b">
        <f t="shared" si="218"/>
        <v>1</v>
      </c>
      <c r="J508" s="2">
        <v>46003</v>
      </c>
      <c r="K508" s="5">
        <v>1007374</v>
      </c>
      <c r="L508" s="5">
        <v>3228</v>
      </c>
      <c r="M508" s="5">
        <v>16.13</v>
      </c>
      <c r="N508" s="5">
        <v>806.57</v>
      </c>
      <c r="O508" s="7">
        <v>45992</v>
      </c>
      <c r="P508" s="5">
        <v>790.44</v>
      </c>
      <c r="Q508" s="5">
        <v>16.13</v>
      </c>
      <c r="R508" s="5" t="s">
        <v>32</v>
      </c>
      <c r="S508" s="5" t="s">
        <v>33</v>
      </c>
      <c r="T508" s="5">
        <v>8.07</v>
      </c>
      <c r="U508" s="5">
        <v>782.37</v>
      </c>
      <c r="V508" s="5" t="s">
        <v>34</v>
      </c>
      <c r="W508" s="5">
        <v>2</v>
      </c>
      <c r="X508" s="5">
        <v>6914882413916</v>
      </c>
      <c r="Y508" s="7">
        <v>46003</v>
      </c>
      <c r="Z508" s="7">
        <v>45992</v>
      </c>
      <c r="AB508" s="6">
        <v>46003</v>
      </c>
      <c r="AC508" s="7">
        <v>46000.688888888886</v>
      </c>
      <c r="AD508" s="5">
        <v>32281007374</v>
      </c>
      <c r="AE508" s="8">
        <v>45992</v>
      </c>
      <c r="AF508" s="5" t="s">
        <v>301</v>
      </c>
      <c r="AG508" s="5" t="s">
        <v>37</v>
      </c>
      <c r="AH508" s="5">
        <v>205935</v>
      </c>
      <c r="AI508" s="6">
        <v>45992</v>
      </c>
      <c r="AJ508" s="6">
        <v>46003</v>
      </c>
      <c r="AK508" s="1">
        <f t="shared" si="219"/>
        <v>16.131400000000003</v>
      </c>
    </row>
    <row r="509" spans="1:37" x14ac:dyDescent="0.55000000000000004">
      <c r="A509">
        <v>3228</v>
      </c>
      <c r="B509">
        <v>1007381</v>
      </c>
      <c r="C509">
        <v>47.55</v>
      </c>
      <c r="D509" s="4">
        <v>0.95</v>
      </c>
      <c r="E509">
        <v>46.6</v>
      </c>
      <c r="F509">
        <v>0.48</v>
      </c>
      <c r="G509">
        <v>46.12</v>
      </c>
      <c r="H509" s="14">
        <f t="shared" si="217"/>
        <v>46.12</v>
      </c>
      <c r="I509" s="14" t="b">
        <f t="shared" si="218"/>
        <v>1</v>
      </c>
      <c r="J509" s="2">
        <v>46003</v>
      </c>
      <c r="K509" s="5">
        <v>1007381</v>
      </c>
      <c r="L509" s="5">
        <v>3228</v>
      </c>
      <c r="M509" s="5">
        <v>0.95</v>
      </c>
      <c r="N509" s="5">
        <v>47.55</v>
      </c>
      <c r="O509" s="7">
        <v>45992</v>
      </c>
      <c r="P509" s="5">
        <v>46.6</v>
      </c>
      <c r="Q509" s="5">
        <v>0.95</v>
      </c>
      <c r="R509" s="5" t="s">
        <v>32</v>
      </c>
      <c r="S509" s="5" t="s">
        <v>33</v>
      </c>
      <c r="T509" s="5">
        <v>0.48</v>
      </c>
      <c r="U509" s="5">
        <v>46.12</v>
      </c>
      <c r="V509" s="5" t="s">
        <v>34</v>
      </c>
      <c r="W509" s="5">
        <v>2</v>
      </c>
      <c r="X509" s="5">
        <v>6914882413916</v>
      </c>
      <c r="Y509" s="7">
        <v>46003</v>
      </c>
      <c r="Z509" s="7">
        <v>45992</v>
      </c>
      <c r="AB509" s="6">
        <v>46003</v>
      </c>
      <c r="AC509" s="7">
        <v>46000.688888888886</v>
      </c>
      <c r="AD509" s="5">
        <v>32281007381</v>
      </c>
      <c r="AE509" s="8">
        <v>45992</v>
      </c>
      <c r="AF509" s="5" t="s">
        <v>283</v>
      </c>
      <c r="AG509" s="5" t="s">
        <v>37</v>
      </c>
      <c r="AH509" s="5">
        <v>205977</v>
      </c>
      <c r="AI509" s="6">
        <v>45992</v>
      </c>
      <c r="AJ509" s="6">
        <v>46003</v>
      </c>
      <c r="AK509" s="1">
        <f t="shared" si="219"/>
        <v>0.95099999999999996</v>
      </c>
    </row>
    <row r="510" spans="1:37" x14ac:dyDescent="0.55000000000000004">
      <c r="A510">
        <v>3228</v>
      </c>
      <c r="B510">
        <v>1007390</v>
      </c>
      <c r="C510">
        <v>421.49</v>
      </c>
      <c r="D510" s="4">
        <v>8.43</v>
      </c>
      <c r="E510">
        <v>413.06</v>
      </c>
      <c r="F510">
        <v>4.21</v>
      </c>
      <c r="G510">
        <v>408.85</v>
      </c>
      <c r="H510" s="14">
        <f t="shared" si="217"/>
        <v>408.85</v>
      </c>
      <c r="I510" s="14" t="b">
        <f t="shared" si="218"/>
        <v>1</v>
      </c>
      <c r="J510" s="2">
        <v>46003</v>
      </c>
      <c r="K510" s="5">
        <v>1007390</v>
      </c>
      <c r="L510" s="5">
        <v>3228</v>
      </c>
      <c r="M510" s="5">
        <v>8.43</v>
      </c>
      <c r="N510" s="5">
        <v>421.49</v>
      </c>
      <c r="O510" s="7">
        <v>45992</v>
      </c>
      <c r="P510" s="5">
        <v>413.06</v>
      </c>
      <c r="Q510" s="5">
        <v>8.43</v>
      </c>
      <c r="R510" s="5" t="s">
        <v>32</v>
      </c>
      <c r="S510" s="5" t="s">
        <v>33</v>
      </c>
      <c r="T510" s="5">
        <v>4.21</v>
      </c>
      <c r="U510" s="5">
        <v>408.85</v>
      </c>
      <c r="V510" s="5" t="s">
        <v>34</v>
      </c>
      <c r="W510" s="5">
        <v>2</v>
      </c>
      <c r="X510" s="5">
        <v>6914882413916</v>
      </c>
      <c r="Y510" s="7">
        <v>46003</v>
      </c>
      <c r="Z510" s="7">
        <v>45992</v>
      </c>
      <c r="AB510" s="6">
        <v>46003</v>
      </c>
      <c r="AC510" s="7">
        <v>46000.688888888886</v>
      </c>
      <c r="AD510" s="5">
        <v>32281007390</v>
      </c>
      <c r="AE510" s="8">
        <v>45992</v>
      </c>
      <c r="AF510" s="5" t="s">
        <v>302</v>
      </c>
      <c r="AG510" s="5" t="s">
        <v>37</v>
      </c>
      <c r="AH510" s="5">
        <v>205698</v>
      </c>
      <c r="AI510" s="6">
        <v>45992</v>
      </c>
      <c r="AJ510" s="6">
        <v>46003</v>
      </c>
      <c r="AK510" s="1">
        <f t="shared" si="219"/>
        <v>8.4298000000000002</v>
      </c>
    </row>
    <row r="511" spans="1:37" x14ac:dyDescent="0.55000000000000004">
      <c r="A511">
        <v>3228</v>
      </c>
      <c r="B511">
        <v>1007427</v>
      </c>
      <c r="C511">
        <v>124.8</v>
      </c>
      <c r="D511" s="4">
        <v>2.5</v>
      </c>
      <c r="E511">
        <v>122.3</v>
      </c>
      <c r="F511">
        <v>1.25</v>
      </c>
      <c r="G511">
        <v>121.05</v>
      </c>
      <c r="H511" s="14">
        <f t="shared" si="217"/>
        <v>121.05</v>
      </c>
      <c r="I511" s="14" t="b">
        <f t="shared" si="218"/>
        <v>1</v>
      </c>
      <c r="J511" s="2">
        <v>46003</v>
      </c>
      <c r="K511" s="5">
        <v>1007427</v>
      </c>
      <c r="L511" s="5">
        <v>3228</v>
      </c>
      <c r="M511" s="5">
        <v>2.5</v>
      </c>
      <c r="N511" s="5">
        <v>124.8</v>
      </c>
      <c r="O511" s="7">
        <v>45992</v>
      </c>
      <c r="P511" s="5">
        <v>122.3</v>
      </c>
      <c r="Q511" s="5">
        <v>2.5</v>
      </c>
      <c r="R511" s="5" t="s">
        <v>32</v>
      </c>
      <c r="S511" s="5" t="s">
        <v>33</v>
      </c>
      <c r="T511" s="5">
        <v>1.25</v>
      </c>
      <c r="U511" s="5">
        <v>121.05</v>
      </c>
      <c r="V511" s="5" t="s">
        <v>34</v>
      </c>
      <c r="W511" s="5">
        <v>2</v>
      </c>
      <c r="X511" s="5">
        <v>6914882413916</v>
      </c>
      <c r="Y511" s="7">
        <v>46003</v>
      </c>
      <c r="Z511" s="7">
        <v>45992</v>
      </c>
      <c r="AB511" s="6">
        <v>46003</v>
      </c>
      <c r="AC511" s="7">
        <v>46000.688888888886</v>
      </c>
      <c r="AD511" s="5">
        <v>32281007427</v>
      </c>
      <c r="AE511" s="8">
        <v>45992</v>
      </c>
      <c r="AF511" s="5" t="s">
        <v>301</v>
      </c>
      <c r="AG511" s="5" t="s">
        <v>37</v>
      </c>
      <c r="AH511" s="5">
        <v>205945</v>
      </c>
      <c r="AI511" s="6">
        <v>45992</v>
      </c>
      <c r="AJ511" s="6">
        <v>46003</v>
      </c>
      <c r="AK511" s="1">
        <f t="shared" si="219"/>
        <v>2.496</v>
      </c>
    </row>
    <row r="512" spans="1:37" hidden="1" x14ac:dyDescent="0.55000000000000004">
      <c r="A512">
        <v>3228</v>
      </c>
      <c r="B512">
        <v>1007445</v>
      </c>
      <c r="C512">
        <v>127.2</v>
      </c>
      <c r="E512">
        <v>127.2</v>
      </c>
      <c r="F512">
        <v>1.27</v>
      </c>
      <c r="G512">
        <v>125.93</v>
      </c>
      <c r="H512"/>
      <c r="I512"/>
      <c r="J512" s="2">
        <v>46003</v>
      </c>
      <c r="K512" s="5">
        <v>1007445</v>
      </c>
      <c r="L512" s="5">
        <v>3228</v>
      </c>
      <c r="M512" s="5">
        <v>0</v>
      </c>
      <c r="N512" s="5">
        <v>127.2</v>
      </c>
      <c r="O512" s="7">
        <v>45992</v>
      </c>
      <c r="P512" s="5">
        <v>127.2</v>
      </c>
      <c r="Q512" s="5">
        <v>0</v>
      </c>
      <c r="R512" s="5" t="s">
        <v>32</v>
      </c>
      <c r="S512" s="5" t="s">
        <v>33</v>
      </c>
      <c r="T512" s="5">
        <v>1.27</v>
      </c>
      <c r="U512" s="5">
        <v>125.93</v>
      </c>
      <c r="V512" s="5" t="s">
        <v>34</v>
      </c>
      <c r="W512" s="5">
        <v>2</v>
      </c>
      <c r="X512" s="5">
        <v>6914882413916</v>
      </c>
      <c r="Y512" s="7">
        <v>46003</v>
      </c>
      <c r="Z512" s="7">
        <v>45992</v>
      </c>
      <c r="AB512" s="6">
        <v>46003</v>
      </c>
      <c r="AC512" s="7">
        <v>46000.688888888886</v>
      </c>
      <c r="AD512" s="5">
        <v>32281007445</v>
      </c>
      <c r="AE512" s="8">
        <v>45992</v>
      </c>
      <c r="AF512" s="5" t="s">
        <v>300</v>
      </c>
      <c r="AG512" s="5" t="s">
        <v>38</v>
      </c>
      <c r="AH512" s="5">
        <v>205925</v>
      </c>
      <c r="AI512" s="6">
        <v>45992</v>
      </c>
      <c r="AJ512" s="6">
        <v>46003</v>
      </c>
    </row>
    <row r="513" spans="1:37" x14ac:dyDescent="0.55000000000000004">
      <c r="A513">
        <v>3228</v>
      </c>
      <c r="B513">
        <v>1007451</v>
      </c>
      <c r="C513">
        <v>276.79000000000002</v>
      </c>
      <c r="D513" s="4">
        <v>5.54</v>
      </c>
      <c r="E513">
        <v>271.25</v>
      </c>
      <c r="F513">
        <v>2.77</v>
      </c>
      <c r="G513">
        <v>268.48</v>
      </c>
      <c r="H513" s="14">
        <f t="shared" ref="H513:H514" si="220">C513-D513-F513</f>
        <v>268.48</v>
      </c>
      <c r="I513" s="14" t="b">
        <f t="shared" ref="I513:I514" si="221">G513=H513</f>
        <v>1</v>
      </c>
      <c r="J513" s="2">
        <v>46003</v>
      </c>
      <c r="K513" s="5">
        <v>1007451</v>
      </c>
      <c r="L513" s="5">
        <v>3228</v>
      </c>
      <c r="M513" s="5">
        <v>5.54</v>
      </c>
      <c r="N513" s="5">
        <v>276.79000000000002</v>
      </c>
      <c r="O513" s="7">
        <v>45992</v>
      </c>
      <c r="P513" s="5">
        <v>271.25</v>
      </c>
      <c r="Q513" s="5">
        <v>5.54</v>
      </c>
      <c r="R513" s="5" t="s">
        <v>32</v>
      </c>
      <c r="S513" s="5" t="s">
        <v>33</v>
      </c>
      <c r="T513" s="5">
        <v>2.77</v>
      </c>
      <c r="U513" s="5">
        <v>268.48</v>
      </c>
      <c r="V513" s="5" t="s">
        <v>34</v>
      </c>
      <c r="W513" s="5">
        <v>2</v>
      </c>
      <c r="X513" s="5">
        <v>6914882413916</v>
      </c>
      <c r="Y513" s="7">
        <v>46003</v>
      </c>
      <c r="Z513" s="7">
        <v>45992</v>
      </c>
      <c r="AB513" s="6">
        <v>46003</v>
      </c>
      <c r="AC513" s="7">
        <v>46000.688888888886</v>
      </c>
      <c r="AD513" s="5">
        <v>32281007451</v>
      </c>
      <c r="AE513" s="8">
        <v>45992</v>
      </c>
      <c r="AF513" s="5" t="s">
        <v>300</v>
      </c>
      <c r="AG513" s="5" t="s">
        <v>37</v>
      </c>
      <c r="AH513" s="5">
        <v>205924</v>
      </c>
      <c r="AI513" s="6">
        <v>45992</v>
      </c>
      <c r="AJ513" s="6">
        <v>46003</v>
      </c>
      <c r="AK513" s="1">
        <f t="shared" ref="AK513:AK514" si="222">0.02*C513</f>
        <v>5.5358000000000009</v>
      </c>
    </row>
    <row r="514" spans="1:37" x14ac:dyDescent="0.55000000000000004">
      <c r="A514">
        <v>3228</v>
      </c>
      <c r="B514">
        <v>1007490</v>
      </c>
      <c r="C514">
        <v>37.92</v>
      </c>
      <c r="D514" s="4">
        <v>0.76</v>
      </c>
      <c r="E514">
        <v>37.159999999999997</v>
      </c>
      <c r="F514">
        <v>0.38</v>
      </c>
      <c r="G514">
        <v>36.78</v>
      </c>
      <c r="H514" s="14">
        <f t="shared" si="220"/>
        <v>36.78</v>
      </c>
      <c r="I514" s="14" t="b">
        <f t="shared" si="221"/>
        <v>1</v>
      </c>
      <c r="J514" s="2">
        <v>46003</v>
      </c>
      <c r="K514" s="5">
        <v>1007490</v>
      </c>
      <c r="L514" s="5">
        <v>3228</v>
      </c>
      <c r="M514" s="5">
        <v>0.76</v>
      </c>
      <c r="N514" s="5">
        <v>37.92</v>
      </c>
      <c r="O514" s="7">
        <v>45992</v>
      </c>
      <c r="P514" s="5">
        <v>37.159999999999997</v>
      </c>
      <c r="Q514" s="5">
        <v>0.76</v>
      </c>
      <c r="R514" s="5" t="s">
        <v>32</v>
      </c>
      <c r="S514" s="5" t="s">
        <v>33</v>
      </c>
      <c r="T514" s="5">
        <v>0.38</v>
      </c>
      <c r="U514" s="5">
        <v>36.78</v>
      </c>
      <c r="V514" s="5" t="s">
        <v>34</v>
      </c>
      <c r="W514" s="5">
        <v>2</v>
      </c>
      <c r="X514" s="5">
        <v>6914882413916</v>
      </c>
      <c r="Y514" s="7">
        <v>46003</v>
      </c>
      <c r="Z514" s="7">
        <v>45992</v>
      </c>
      <c r="AB514" s="6">
        <v>46003</v>
      </c>
      <c r="AC514" s="7">
        <v>46000.688888888886</v>
      </c>
      <c r="AD514" s="5">
        <v>32281007490</v>
      </c>
      <c r="AE514" s="8">
        <v>45992</v>
      </c>
      <c r="AF514" s="5" t="s">
        <v>303</v>
      </c>
      <c r="AG514" s="5" t="s">
        <v>37</v>
      </c>
      <c r="AH514" s="5">
        <v>206017</v>
      </c>
      <c r="AI514" s="6">
        <v>45992</v>
      </c>
      <c r="AJ514" s="6">
        <v>46003</v>
      </c>
      <c r="AK514" s="1">
        <f t="shared" si="222"/>
        <v>0.75840000000000007</v>
      </c>
    </row>
    <row r="515" spans="1:37" hidden="1" x14ac:dyDescent="0.55000000000000004">
      <c r="A515">
        <v>3228</v>
      </c>
      <c r="B515">
        <v>1007594</v>
      </c>
      <c r="C515" s="1">
        <v>3990</v>
      </c>
      <c r="E515" s="1">
        <v>3990</v>
      </c>
      <c r="F515">
        <v>39.9</v>
      </c>
      <c r="G515" s="1">
        <v>3950.1</v>
      </c>
      <c r="H515" s="1"/>
      <c r="I515" s="1"/>
      <c r="J515" s="2">
        <v>46003</v>
      </c>
      <c r="K515" s="5">
        <v>1007594</v>
      </c>
      <c r="L515" s="5">
        <v>3228</v>
      </c>
      <c r="M515" s="5">
        <v>0</v>
      </c>
      <c r="N515" s="5">
        <v>3990</v>
      </c>
      <c r="O515" s="7">
        <v>45993</v>
      </c>
      <c r="P515" s="5">
        <v>3990</v>
      </c>
      <c r="Q515" s="5">
        <v>0</v>
      </c>
      <c r="R515" s="5" t="s">
        <v>32</v>
      </c>
      <c r="S515" s="5" t="s">
        <v>33</v>
      </c>
      <c r="T515" s="5">
        <v>39.9</v>
      </c>
      <c r="U515" s="5">
        <v>3950.1</v>
      </c>
      <c r="V515" s="5" t="s">
        <v>34</v>
      </c>
      <c r="W515" s="5">
        <v>2</v>
      </c>
      <c r="X515" s="5">
        <v>6914882413916</v>
      </c>
      <c r="Y515" s="7">
        <v>46003</v>
      </c>
      <c r="Z515" s="7">
        <v>45993</v>
      </c>
      <c r="AB515" s="6">
        <v>46003</v>
      </c>
      <c r="AC515" s="7">
        <v>46000.688888888886</v>
      </c>
      <c r="AD515" s="5">
        <v>32281007594</v>
      </c>
      <c r="AE515" s="8">
        <v>45993</v>
      </c>
      <c r="AF515" s="5" t="s">
        <v>32</v>
      </c>
      <c r="AG515" s="5" t="s">
        <v>35</v>
      </c>
      <c r="AH515" s="5" t="s">
        <v>32</v>
      </c>
      <c r="AI515" s="6">
        <v>45993</v>
      </c>
      <c r="AJ515" s="6">
        <v>46003</v>
      </c>
    </row>
    <row r="516" spans="1:37" x14ac:dyDescent="0.55000000000000004">
      <c r="A516">
        <v>3228</v>
      </c>
      <c r="B516">
        <v>1007767</v>
      </c>
      <c r="C516">
        <v>400.8</v>
      </c>
      <c r="D516" s="4">
        <v>8.02</v>
      </c>
      <c r="E516">
        <v>392.78</v>
      </c>
      <c r="F516">
        <v>4.01</v>
      </c>
      <c r="G516">
        <v>388.77</v>
      </c>
      <c r="H516" s="14">
        <f t="shared" ref="H516:H517" si="223">C516-D516-F516</f>
        <v>388.77000000000004</v>
      </c>
      <c r="I516" s="14" t="b">
        <f t="shared" ref="I516:I517" si="224">G516=H516</f>
        <v>1</v>
      </c>
      <c r="J516" s="2">
        <v>46003</v>
      </c>
      <c r="K516" s="5">
        <v>1007767</v>
      </c>
      <c r="L516" s="5">
        <v>3228</v>
      </c>
      <c r="M516" s="5">
        <v>8.02</v>
      </c>
      <c r="N516" s="5">
        <v>400.8</v>
      </c>
      <c r="O516" s="7">
        <v>45993</v>
      </c>
      <c r="P516" s="5">
        <v>392.78</v>
      </c>
      <c r="Q516" s="5">
        <v>8.02</v>
      </c>
      <c r="R516" s="5" t="s">
        <v>32</v>
      </c>
      <c r="S516" s="5" t="s">
        <v>33</v>
      </c>
      <c r="T516" s="5">
        <v>4.01</v>
      </c>
      <c r="U516" s="5">
        <v>388.77</v>
      </c>
      <c r="V516" s="5" t="s">
        <v>34</v>
      </c>
      <c r="W516" s="5">
        <v>2</v>
      </c>
      <c r="X516" s="5">
        <v>6914882413916</v>
      </c>
      <c r="Y516" s="7">
        <v>46003</v>
      </c>
      <c r="Z516" s="7">
        <v>45993</v>
      </c>
      <c r="AB516" s="6">
        <v>46003</v>
      </c>
      <c r="AC516" s="7">
        <v>46000.688888888886</v>
      </c>
      <c r="AD516" s="5">
        <v>32281007767</v>
      </c>
      <c r="AE516" s="8">
        <v>45993</v>
      </c>
      <c r="AF516" s="5" t="s">
        <v>304</v>
      </c>
      <c r="AG516" s="5" t="s">
        <v>37</v>
      </c>
      <c r="AH516" s="5">
        <v>206271</v>
      </c>
      <c r="AI516" s="6">
        <v>45993</v>
      </c>
      <c r="AJ516" s="6">
        <v>46003</v>
      </c>
      <c r="AK516" s="1">
        <f t="shared" ref="AK516:AK517" si="225">0.02*C516</f>
        <v>8.016</v>
      </c>
    </row>
    <row r="517" spans="1:37" x14ac:dyDescent="0.55000000000000004">
      <c r="A517">
        <v>3228</v>
      </c>
      <c r="B517">
        <v>1007832</v>
      </c>
      <c r="C517">
        <v>937.93</v>
      </c>
      <c r="D517" s="4">
        <v>18.760000000000002</v>
      </c>
      <c r="E517">
        <v>919.17</v>
      </c>
      <c r="F517">
        <v>9.3800000000000008</v>
      </c>
      <c r="G517">
        <v>909.79</v>
      </c>
      <c r="H517" s="14">
        <f t="shared" si="223"/>
        <v>909.79</v>
      </c>
      <c r="I517" s="14" t="b">
        <f t="shared" si="224"/>
        <v>1</v>
      </c>
      <c r="J517" s="2">
        <v>46003</v>
      </c>
      <c r="K517" s="5">
        <v>1007832</v>
      </c>
      <c r="L517" s="5">
        <v>3228</v>
      </c>
      <c r="M517" s="5">
        <v>18.760000000000002</v>
      </c>
      <c r="N517" s="5">
        <v>937.93</v>
      </c>
      <c r="O517" s="7">
        <v>45993</v>
      </c>
      <c r="P517" s="5">
        <v>919.17</v>
      </c>
      <c r="Q517" s="5">
        <v>18.760000000000002</v>
      </c>
      <c r="R517" s="5" t="s">
        <v>32</v>
      </c>
      <c r="S517" s="5" t="s">
        <v>33</v>
      </c>
      <c r="T517" s="5">
        <v>9.3800000000000008</v>
      </c>
      <c r="U517" s="5">
        <v>909.79</v>
      </c>
      <c r="V517" s="5" t="s">
        <v>34</v>
      </c>
      <c r="W517" s="5">
        <v>2</v>
      </c>
      <c r="X517" s="5">
        <v>6914882413916</v>
      </c>
      <c r="Y517" s="7">
        <v>46003</v>
      </c>
      <c r="Z517" s="7">
        <v>45993</v>
      </c>
      <c r="AB517" s="6">
        <v>46003</v>
      </c>
      <c r="AC517" s="7">
        <v>46000.688888888886</v>
      </c>
      <c r="AD517" s="5">
        <v>32281007832</v>
      </c>
      <c r="AE517" s="8">
        <v>45993</v>
      </c>
      <c r="AF517" s="5" t="s">
        <v>305</v>
      </c>
      <c r="AG517" s="5" t="s">
        <v>37</v>
      </c>
      <c r="AH517" s="5">
        <v>206163</v>
      </c>
      <c r="AI517" s="6">
        <v>45993</v>
      </c>
      <c r="AJ517" s="6">
        <v>46003</v>
      </c>
      <c r="AK517" s="1">
        <f t="shared" si="225"/>
        <v>18.758599999999998</v>
      </c>
    </row>
    <row r="518" spans="1:37" hidden="1" x14ac:dyDescent="0.55000000000000004">
      <c r="A518">
        <v>3228</v>
      </c>
      <c r="B518">
        <v>1007841</v>
      </c>
      <c r="C518">
        <v>769.46</v>
      </c>
      <c r="E518">
        <v>769.46</v>
      </c>
      <c r="F518">
        <v>7.69</v>
      </c>
      <c r="G518">
        <v>761.77</v>
      </c>
      <c r="H518"/>
      <c r="I518"/>
      <c r="J518" s="2">
        <v>46003</v>
      </c>
      <c r="K518" s="5">
        <v>1007841</v>
      </c>
      <c r="L518" s="5">
        <v>3228</v>
      </c>
      <c r="M518" s="5">
        <v>0</v>
      </c>
      <c r="N518" s="5">
        <v>769.46</v>
      </c>
      <c r="O518" s="7">
        <v>45993</v>
      </c>
      <c r="P518" s="5">
        <v>769.46</v>
      </c>
      <c r="Q518" s="5">
        <v>0</v>
      </c>
      <c r="R518" s="5" t="s">
        <v>32</v>
      </c>
      <c r="S518" s="5" t="s">
        <v>33</v>
      </c>
      <c r="T518" s="5">
        <v>7.69</v>
      </c>
      <c r="U518" s="5">
        <v>761.77</v>
      </c>
      <c r="V518" s="5" t="s">
        <v>34</v>
      </c>
      <c r="W518" s="5">
        <v>2</v>
      </c>
      <c r="X518" s="5">
        <v>6914882413916</v>
      </c>
      <c r="Y518" s="7">
        <v>46003</v>
      </c>
      <c r="Z518" s="7">
        <v>45993</v>
      </c>
      <c r="AB518" s="6">
        <v>46003</v>
      </c>
      <c r="AC518" s="7">
        <v>46000.688888888886</v>
      </c>
      <c r="AD518" s="5">
        <v>32281007841</v>
      </c>
      <c r="AE518" s="8">
        <v>45993</v>
      </c>
      <c r="AF518" s="5" t="s">
        <v>306</v>
      </c>
      <c r="AG518" s="5" t="s">
        <v>38</v>
      </c>
      <c r="AH518" s="5">
        <v>206127</v>
      </c>
      <c r="AI518" s="6">
        <v>45993</v>
      </c>
      <c r="AJ518" s="6">
        <v>46003</v>
      </c>
    </row>
    <row r="519" spans="1:37" hidden="1" x14ac:dyDescent="0.55000000000000004">
      <c r="A519">
        <v>3228</v>
      </c>
      <c r="B519">
        <v>1007847</v>
      </c>
      <c r="C519" s="1">
        <v>2733.03</v>
      </c>
      <c r="E519" s="1">
        <v>2733.03</v>
      </c>
      <c r="F519">
        <v>27.33</v>
      </c>
      <c r="G519" s="1">
        <v>2705.7</v>
      </c>
      <c r="H519" s="1"/>
      <c r="I519" s="1"/>
      <c r="J519" s="2">
        <v>46003</v>
      </c>
      <c r="K519" s="5">
        <v>1007847</v>
      </c>
      <c r="L519" s="5">
        <v>3228</v>
      </c>
      <c r="M519" s="5">
        <v>0</v>
      </c>
      <c r="N519" s="5">
        <v>2733.03</v>
      </c>
      <c r="O519" s="7">
        <v>45993</v>
      </c>
      <c r="P519" s="5">
        <v>2733.03</v>
      </c>
      <c r="Q519" s="5">
        <v>0</v>
      </c>
      <c r="R519" s="5" t="s">
        <v>32</v>
      </c>
      <c r="S519" s="5" t="s">
        <v>33</v>
      </c>
      <c r="T519" s="5">
        <v>27.33</v>
      </c>
      <c r="U519" s="5">
        <v>2705.7</v>
      </c>
      <c r="V519" s="5" t="s">
        <v>34</v>
      </c>
      <c r="W519" s="5">
        <v>2</v>
      </c>
      <c r="X519" s="5">
        <v>6914882413916</v>
      </c>
      <c r="Y519" s="7">
        <v>46003</v>
      </c>
      <c r="Z519" s="7">
        <v>45993</v>
      </c>
      <c r="AB519" s="6">
        <v>46003</v>
      </c>
      <c r="AC519" s="7">
        <v>46000.688888888886</v>
      </c>
      <c r="AD519" s="5">
        <v>32281007847</v>
      </c>
      <c r="AE519" s="8">
        <v>45993</v>
      </c>
      <c r="AF519" s="5" t="s">
        <v>297</v>
      </c>
      <c r="AG519" s="5" t="s">
        <v>38</v>
      </c>
      <c r="AH519" s="5">
        <v>206128</v>
      </c>
      <c r="AI519" s="6">
        <v>45993</v>
      </c>
      <c r="AJ519" s="6">
        <v>46003</v>
      </c>
    </row>
    <row r="520" spans="1:37" hidden="1" x14ac:dyDescent="0.55000000000000004">
      <c r="A520">
        <v>3228</v>
      </c>
      <c r="B520">
        <v>1007932</v>
      </c>
      <c r="C520" s="1">
        <v>1484.4</v>
      </c>
      <c r="E520" s="1">
        <v>1484.4</v>
      </c>
      <c r="F520">
        <v>14.84</v>
      </c>
      <c r="G520" s="1">
        <v>1469.56</v>
      </c>
      <c r="H520" s="1"/>
      <c r="I520" s="1"/>
      <c r="J520" s="2">
        <v>46003</v>
      </c>
      <c r="K520" s="5">
        <v>1007932</v>
      </c>
      <c r="L520" s="5">
        <v>3228</v>
      </c>
      <c r="M520" s="5">
        <v>0</v>
      </c>
      <c r="N520" s="5">
        <v>1484.4</v>
      </c>
      <c r="O520" s="7">
        <v>45994</v>
      </c>
      <c r="P520" s="5">
        <v>1484.4</v>
      </c>
      <c r="Q520" s="5">
        <v>0</v>
      </c>
      <c r="R520" s="5" t="s">
        <v>32</v>
      </c>
      <c r="S520" s="5" t="s">
        <v>33</v>
      </c>
      <c r="T520" s="5">
        <v>14.84</v>
      </c>
      <c r="U520" s="5">
        <v>1469.56</v>
      </c>
      <c r="V520" s="5" t="s">
        <v>34</v>
      </c>
      <c r="W520" s="5">
        <v>2</v>
      </c>
      <c r="X520" s="5">
        <v>6914882413916</v>
      </c>
      <c r="Y520" s="7">
        <v>46003</v>
      </c>
      <c r="Z520" s="7">
        <v>45994</v>
      </c>
      <c r="AB520" s="6">
        <v>46003</v>
      </c>
      <c r="AC520" s="7">
        <v>46000.688888888886</v>
      </c>
      <c r="AD520" s="5">
        <v>32281007932</v>
      </c>
      <c r="AE520" s="8">
        <v>45994</v>
      </c>
      <c r="AF520" s="5" t="s">
        <v>307</v>
      </c>
      <c r="AG520" s="5" t="s">
        <v>38</v>
      </c>
      <c r="AH520" s="5">
        <v>206467</v>
      </c>
      <c r="AI520" s="6">
        <v>45994</v>
      </c>
      <c r="AJ520" s="6">
        <v>46003</v>
      </c>
    </row>
    <row r="521" spans="1:37" hidden="1" x14ac:dyDescent="0.55000000000000004">
      <c r="A521">
        <v>3228</v>
      </c>
      <c r="B521">
        <v>1007934</v>
      </c>
      <c r="C521">
        <v>371.1</v>
      </c>
      <c r="E521">
        <v>371.1</v>
      </c>
      <c r="F521">
        <v>3.71</v>
      </c>
      <c r="G521">
        <v>367.39</v>
      </c>
      <c r="H521"/>
      <c r="I521"/>
      <c r="J521" s="2">
        <v>46003</v>
      </c>
      <c r="K521" s="5">
        <v>1007934</v>
      </c>
      <c r="L521" s="5">
        <v>3228</v>
      </c>
      <c r="M521" s="5">
        <v>0</v>
      </c>
      <c r="N521" s="5">
        <v>371.1</v>
      </c>
      <c r="O521" s="7">
        <v>45994</v>
      </c>
      <c r="P521" s="5">
        <v>371.1</v>
      </c>
      <c r="Q521" s="5">
        <v>0</v>
      </c>
      <c r="R521" s="5" t="s">
        <v>32</v>
      </c>
      <c r="S521" s="5" t="s">
        <v>33</v>
      </c>
      <c r="T521" s="5">
        <v>3.71</v>
      </c>
      <c r="U521" s="5">
        <v>367.39</v>
      </c>
      <c r="V521" s="5" t="s">
        <v>34</v>
      </c>
      <c r="W521" s="5">
        <v>2</v>
      </c>
      <c r="X521" s="5">
        <v>6914882413916</v>
      </c>
      <c r="Y521" s="7">
        <v>46003</v>
      </c>
      <c r="Z521" s="7">
        <v>45994</v>
      </c>
      <c r="AB521" s="6">
        <v>46003</v>
      </c>
      <c r="AC521" s="7">
        <v>46000.688888888886</v>
      </c>
      <c r="AD521" s="5">
        <v>32281007934</v>
      </c>
      <c r="AE521" s="8">
        <v>45994</v>
      </c>
      <c r="AF521" s="5" t="s">
        <v>302</v>
      </c>
      <c r="AG521" s="5" t="s">
        <v>38</v>
      </c>
      <c r="AH521" s="5">
        <v>206469</v>
      </c>
      <c r="AI521" s="6">
        <v>45994</v>
      </c>
      <c r="AJ521" s="6">
        <v>46003</v>
      </c>
    </row>
    <row r="522" spans="1:37" hidden="1" x14ac:dyDescent="0.55000000000000004">
      <c r="A522">
        <v>3228</v>
      </c>
      <c r="B522">
        <v>1007937</v>
      </c>
      <c r="C522">
        <v>828.19</v>
      </c>
      <c r="E522">
        <v>828.19</v>
      </c>
      <c r="F522">
        <v>8.2799999999999994</v>
      </c>
      <c r="G522">
        <v>819.91</v>
      </c>
      <c r="H522"/>
      <c r="I522"/>
      <c r="J522" s="2">
        <v>46003</v>
      </c>
      <c r="K522" s="5">
        <v>1007937</v>
      </c>
      <c r="L522" s="5">
        <v>3228</v>
      </c>
      <c r="M522" s="5">
        <v>0</v>
      </c>
      <c r="N522" s="5">
        <v>828.19</v>
      </c>
      <c r="O522" s="7">
        <v>45994</v>
      </c>
      <c r="P522" s="5">
        <v>828.19</v>
      </c>
      <c r="Q522" s="5">
        <v>0</v>
      </c>
      <c r="R522" s="5" t="s">
        <v>32</v>
      </c>
      <c r="S522" s="5" t="s">
        <v>33</v>
      </c>
      <c r="T522" s="5">
        <v>8.2799999999999994</v>
      </c>
      <c r="U522" s="5">
        <v>819.91</v>
      </c>
      <c r="V522" s="5" t="s">
        <v>34</v>
      </c>
      <c r="W522" s="5">
        <v>2</v>
      </c>
      <c r="X522" s="5">
        <v>6914882413916</v>
      </c>
      <c r="Y522" s="7">
        <v>46003</v>
      </c>
      <c r="Z522" s="7">
        <v>45994</v>
      </c>
      <c r="AB522" s="6">
        <v>46003</v>
      </c>
      <c r="AC522" s="7">
        <v>46000.688888888886</v>
      </c>
      <c r="AD522" s="5">
        <v>32281007937</v>
      </c>
      <c r="AE522" s="8">
        <v>45994</v>
      </c>
      <c r="AF522" s="5" t="s">
        <v>297</v>
      </c>
      <c r="AG522" s="5" t="s">
        <v>38</v>
      </c>
      <c r="AH522" s="5">
        <v>206468</v>
      </c>
      <c r="AI522" s="6">
        <v>45994</v>
      </c>
      <c r="AJ522" s="6">
        <v>46003</v>
      </c>
    </row>
    <row r="523" spans="1:37" hidden="1" x14ac:dyDescent="0.55000000000000004">
      <c r="A523">
        <v>3228</v>
      </c>
      <c r="B523">
        <v>1007939</v>
      </c>
      <c r="C523">
        <v>971.96</v>
      </c>
      <c r="E523">
        <v>971.96</v>
      </c>
      <c r="F523">
        <v>9.7200000000000006</v>
      </c>
      <c r="G523">
        <v>962.24</v>
      </c>
      <c r="H523"/>
      <c r="I523"/>
      <c r="J523" s="2">
        <v>46003</v>
      </c>
      <c r="K523" s="5">
        <v>1007939</v>
      </c>
      <c r="L523" s="5">
        <v>3228</v>
      </c>
      <c r="M523" s="5">
        <v>0</v>
      </c>
      <c r="N523" s="5">
        <v>971.96</v>
      </c>
      <c r="O523" s="7">
        <v>45994</v>
      </c>
      <c r="P523" s="5">
        <v>971.96</v>
      </c>
      <c r="Q523" s="5">
        <v>0</v>
      </c>
      <c r="R523" s="5" t="s">
        <v>32</v>
      </c>
      <c r="S523" s="5" t="s">
        <v>33</v>
      </c>
      <c r="T523" s="5">
        <v>9.7200000000000006</v>
      </c>
      <c r="U523" s="5">
        <v>962.24</v>
      </c>
      <c r="V523" s="5" t="s">
        <v>34</v>
      </c>
      <c r="W523" s="5">
        <v>2</v>
      </c>
      <c r="X523" s="5">
        <v>6914882413916</v>
      </c>
      <c r="Y523" s="7">
        <v>46003</v>
      </c>
      <c r="Z523" s="7">
        <v>45994</v>
      </c>
      <c r="AB523" s="6">
        <v>46003</v>
      </c>
      <c r="AC523" s="7">
        <v>46000.688888888886</v>
      </c>
      <c r="AD523" s="5">
        <v>32281007939</v>
      </c>
      <c r="AE523" s="8">
        <v>45994</v>
      </c>
      <c r="AF523" s="5" t="s">
        <v>306</v>
      </c>
      <c r="AG523" s="5" t="s">
        <v>38</v>
      </c>
      <c r="AH523" s="5">
        <v>206466</v>
      </c>
      <c r="AI523" s="6">
        <v>45994</v>
      </c>
      <c r="AJ523" s="6">
        <v>46003</v>
      </c>
    </row>
    <row r="524" spans="1:37" x14ac:dyDescent="0.55000000000000004">
      <c r="A524">
        <v>3228</v>
      </c>
      <c r="B524">
        <v>1007956</v>
      </c>
      <c r="C524">
        <v>985.65</v>
      </c>
      <c r="D524" s="4">
        <v>19.71</v>
      </c>
      <c r="E524">
        <v>965.94</v>
      </c>
      <c r="F524">
        <v>9.86</v>
      </c>
      <c r="G524">
        <v>956.08</v>
      </c>
      <c r="H524" s="14">
        <f>C524-D524-F524</f>
        <v>956.07999999999993</v>
      </c>
      <c r="I524" s="14" t="b">
        <f>G524=H524</f>
        <v>1</v>
      </c>
      <c r="J524" s="2">
        <v>46003</v>
      </c>
      <c r="K524" s="5">
        <v>1007956</v>
      </c>
      <c r="L524" s="5">
        <v>3228</v>
      </c>
      <c r="M524" s="5">
        <v>19.71</v>
      </c>
      <c r="N524" s="5">
        <v>985.65</v>
      </c>
      <c r="O524" s="7">
        <v>45994</v>
      </c>
      <c r="P524" s="5">
        <v>965.94</v>
      </c>
      <c r="Q524" s="5">
        <v>19.71</v>
      </c>
      <c r="R524" s="5" t="s">
        <v>32</v>
      </c>
      <c r="S524" s="5" t="s">
        <v>33</v>
      </c>
      <c r="T524" s="5">
        <v>9.86</v>
      </c>
      <c r="U524" s="5">
        <v>956.08</v>
      </c>
      <c r="V524" s="5" t="s">
        <v>34</v>
      </c>
      <c r="W524" s="5">
        <v>2</v>
      </c>
      <c r="X524" s="5">
        <v>6914882413916</v>
      </c>
      <c r="Y524" s="7">
        <v>46003</v>
      </c>
      <c r="Z524" s="7">
        <v>45994</v>
      </c>
      <c r="AB524" s="6">
        <v>46003</v>
      </c>
      <c r="AC524" s="7">
        <v>46000.688888888886</v>
      </c>
      <c r="AD524" s="5">
        <v>32281007956</v>
      </c>
      <c r="AE524" s="8">
        <v>45994</v>
      </c>
      <c r="AF524" s="5" t="s">
        <v>305</v>
      </c>
      <c r="AG524" s="5" t="s">
        <v>37</v>
      </c>
      <c r="AH524" s="5">
        <v>206249</v>
      </c>
      <c r="AI524" s="6">
        <v>45994</v>
      </c>
      <c r="AJ524" s="6">
        <v>46003</v>
      </c>
      <c r="AK524" s="1">
        <f t="shared" ref="AK524" si="226">0.02*C524</f>
        <v>19.713000000000001</v>
      </c>
    </row>
    <row r="525" spans="1:37" hidden="1" x14ac:dyDescent="0.55000000000000004">
      <c r="A525">
        <v>3228</v>
      </c>
      <c r="B525">
        <v>1007983</v>
      </c>
      <c r="C525" s="1">
        <v>1442.5</v>
      </c>
      <c r="E525" s="1">
        <v>1442.5</v>
      </c>
      <c r="F525">
        <v>14.43</v>
      </c>
      <c r="G525" s="1">
        <v>1428.07</v>
      </c>
      <c r="H525" s="1"/>
      <c r="I525" s="1"/>
      <c r="J525" s="2">
        <v>46003</v>
      </c>
      <c r="K525" s="5">
        <v>1007983</v>
      </c>
      <c r="L525" s="5">
        <v>3228</v>
      </c>
      <c r="M525" s="5">
        <v>0</v>
      </c>
      <c r="N525" s="5">
        <v>1442.5</v>
      </c>
      <c r="O525" s="7">
        <v>45994</v>
      </c>
      <c r="P525" s="5">
        <v>1442.5</v>
      </c>
      <c r="Q525" s="5">
        <v>0</v>
      </c>
      <c r="R525" s="5" t="s">
        <v>32</v>
      </c>
      <c r="S525" s="5" t="s">
        <v>33</v>
      </c>
      <c r="T525" s="5">
        <v>14.43</v>
      </c>
      <c r="U525" s="5">
        <v>1428.07</v>
      </c>
      <c r="V525" s="5" t="s">
        <v>34</v>
      </c>
      <c r="W525" s="5">
        <v>2</v>
      </c>
      <c r="X525" s="5">
        <v>6914882413916</v>
      </c>
      <c r="Y525" s="7">
        <v>46003</v>
      </c>
      <c r="Z525" s="7">
        <v>45994</v>
      </c>
      <c r="AB525" s="6">
        <v>46003</v>
      </c>
      <c r="AC525" s="7">
        <v>46000.688888888886</v>
      </c>
      <c r="AD525" s="5">
        <v>32281007983</v>
      </c>
      <c r="AE525" s="8">
        <v>45994</v>
      </c>
      <c r="AF525" s="5" t="s">
        <v>305</v>
      </c>
      <c r="AG525" s="5" t="s">
        <v>38</v>
      </c>
      <c r="AH525" s="5">
        <v>206250</v>
      </c>
      <c r="AI525" s="6">
        <v>45994</v>
      </c>
      <c r="AJ525" s="6">
        <v>46003</v>
      </c>
    </row>
    <row r="526" spans="1:37" hidden="1" x14ac:dyDescent="0.55000000000000004">
      <c r="A526">
        <v>3228</v>
      </c>
      <c r="B526">
        <v>1007992</v>
      </c>
      <c r="C526">
        <v>458.2</v>
      </c>
      <c r="E526">
        <v>458.2</v>
      </c>
      <c r="F526">
        <v>4.58</v>
      </c>
      <c r="G526">
        <v>453.62</v>
      </c>
      <c r="H526"/>
      <c r="I526"/>
      <c r="J526" s="2">
        <v>46003</v>
      </c>
      <c r="K526" s="5">
        <v>1007992</v>
      </c>
      <c r="L526" s="5">
        <v>3228</v>
      </c>
      <c r="M526" s="5">
        <v>0</v>
      </c>
      <c r="N526" s="5">
        <v>458.2</v>
      </c>
      <c r="O526" s="7">
        <v>45994</v>
      </c>
      <c r="P526" s="5">
        <v>458.2</v>
      </c>
      <c r="Q526" s="5">
        <v>0</v>
      </c>
      <c r="R526" s="5" t="s">
        <v>32</v>
      </c>
      <c r="S526" s="5" t="s">
        <v>33</v>
      </c>
      <c r="T526" s="5">
        <v>4.58</v>
      </c>
      <c r="U526" s="5">
        <v>453.62</v>
      </c>
      <c r="V526" s="5" t="s">
        <v>34</v>
      </c>
      <c r="W526" s="5">
        <v>2</v>
      </c>
      <c r="X526" s="5">
        <v>6914882413916</v>
      </c>
      <c r="Y526" s="7">
        <v>46003</v>
      </c>
      <c r="Z526" s="7">
        <v>45994</v>
      </c>
      <c r="AB526" s="6">
        <v>46003</v>
      </c>
      <c r="AC526" s="7">
        <v>46000.688888888886</v>
      </c>
      <c r="AD526" s="5">
        <v>32281007992</v>
      </c>
      <c r="AE526" s="8">
        <v>45994</v>
      </c>
      <c r="AF526" s="5" t="s">
        <v>304</v>
      </c>
      <c r="AG526" s="5" t="s">
        <v>38</v>
      </c>
      <c r="AH526" s="5">
        <v>206293</v>
      </c>
      <c r="AI526" s="6">
        <v>45994</v>
      </c>
      <c r="AJ526" s="6">
        <v>46003</v>
      </c>
    </row>
    <row r="527" spans="1:37" x14ac:dyDescent="0.55000000000000004">
      <c r="A527">
        <v>3228</v>
      </c>
      <c r="B527">
        <v>1007999</v>
      </c>
      <c r="C527">
        <v>97.89</v>
      </c>
      <c r="D527" s="4">
        <v>1.96</v>
      </c>
      <c r="E527">
        <v>95.93</v>
      </c>
      <c r="F527">
        <v>0.98</v>
      </c>
      <c r="G527">
        <v>94.95</v>
      </c>
      <c r="H527" s="14">
        <f t="shared" ref="H527:H533" si="227">C527-D527-F527</f>
        <v>94.95</v>
      </c>
      <c r="I527" s="14" t="b">
        <f t="shared" ref="I527:I533" si="228">G527=H527</f>
        <v>1</v>
      </c>
      <c r="J527" s="2">
        <v>46003</v>
      </c>
      <c r="K527" s="5">
        <v>1007999</v>
      </c>
      <c r="L527" s="5">
        <v>3228</v>
      </c>
      <c r="M527" s="5">
        <v>1.96</v>
      </c>
      <c r="N527" s="5">
        <v>97.89</v>
      </c>
      <c r="O527" s="7">
        <v>45994</v>
      </c>
      <c r="P527" s="5">
        <v>95.93</v>
      </c>
      <c r="Q527" s="5">
        <v>1.96</v>
      </c>
      <c r="R527" s="5" t="s">
        <v>32</v>
      </c>
      <c r="S527" s="5" t="s">
        <v>33</v>
      </c>
      <c r="T527" s="5">
        <v>0.98</v>
      </c>
      <c r="U527" s="5">
        <v>94.95</v>
      </c>
      <c r="V527" s="5" t="s">
        <v>34</v>
      </c>
      <c r="W527" s="5">
        <v>2</v>
      </c>
      <c r="X527" s="5">
        <v>6914882413916</v>
      </c>
      <c r="Y527" s="7">
        <v>46003</v>
      </c>
      <c r="Z527" s="7">
        <v>45994</v>
      </c>
      <c r="AB527" s="6">
        <v>46003</v>
      </c>
      <c r="AC527" s="7">
        <v>46000.688888888886</v>
      </c>
      <c r="AD527" s="5">
        <v>32281007999</v>
      </c>
      <c r="AE527" s="8">
        <v>45994</v>
      </c>
      <c r="AF527" s="5" t="s">
        <v>304</v>
      </c>
      <c r="AG527" s="5" t="s">
        <v>37</v>
      </c>
      <c r="AH527" s="5">
        <v>206292</v>
      </c>
      <c r="AI527" s="6">
        <v>45994</v>
      </c>
      <c r="AJ527" s="6">
        <v>46003</v>
      </c>
      <c r="AK527" s="1">
        <f t="shared" ref="AK527:AK533" si="229">0.02*C527</f>
        <v>1.9578</v>
      </c>
    </row>
    <row r="528" spans="1:37" x14ac:dyDescent="0.55000000000000004">
      <c r="A528">
        <v>3228</v>
      </c>
      <c r="B528">
        <v>1008067</v>
      </c>
      <c r="C528" s="1">
        <v>1117</v>
      </c>
      <c r="D528" s="4">
        <v>22.34</v>
      </c>
      <c r="E528" s="1">
        <v>1094.6600000000001</v>
      </c>
      <c r="F528">
        <v>11.17</v>
      </c>
      <c r="G528" s="1">
        <v>1083.49</v>
      </c>
      <c r="H528" s="14">
        <f t="shared" si="227"/>
        <v>1083.49</v>
      </c>
      <c r="I528" s="14" t="b">
        <f t="shared" si="228"/>
        <v>1</v>
      </c>
      <c r="J528" s="2">
        <v>46003</v>
      </c>
      <c r="K528" s="5">
        <v>1008067</v>
      </c>
      <c r="L528" s="5">
        <v>3228</v>
      </c>
      <c r="M528" s="5">
        <v>22.34</v>
      </c>
      <c r="N528" s="5">
        <v>1117</v>
      </c>
      <c r="O528" s="7">
        <v>45995</v>
      </c>
      <c r="P528" s="5">
        <v>1094.6600000000001</v>
      </c>
      <c r="Q528" s="5">
        <v>22.34</v>
      </c>
      <c r="R528" s="5" t="s">
        <v>32</v>
      </c>
      <c r="S528" s="5" t="s">
        <v>33</v>
      </c>
      <c r="T528" s="5">
        <v>11.17</v>
      </c>
      <c r="U528" s="5">
        <v>1083.49</v>
      </c>
      <c r="V528" s="5" t="s">
        <v>34</v>
      </c>
      <c r="W528" s="5">
        <v>2</v>
      </c>
      <c r="X528" s="5">
        <v>6914882413916</v>
      </c>
      <c r="Y528" s="7">
        <v>46003</v>
      </c>
      <c r="Z528" s="7">
        <v>45995</v>
      </c>
      <c r="AB528" s="6">
        <v>46003</v>
      </c>
      <c r="AC528" s="7">
        <v>46000.688888888886</v>
      </c>
      <c r="AD528" s="5">
        <v>32281008067</v>
      </c>
      <c r="AE528" s="8">
        <v>45995</v>
      </c>
      <c r="AF528" s="5" t="s">
        <v>308</v>
      </c>
      <c r="AG528" s="5" t="s">
        <v>37</v>
      </c>
      <c r="AH528" s="5">
        <v>206416</v>
      </c>
      <c r="AI528" s="6">
        <v>45995</v>
      </c>
      <c r="AJ528" s="6">
        <v>46003</v>
      </c>
      <c r="AK528" s="1">
        <f t="shared" si="229"/>
        <v>22.34</v>
      </c>
    </row>
    <row r="529" spans="1:37" x14ac:dyDescent="0.55000000000000004">
      <c r="A529">
        <v>3228</v>
      </c>
      <c r="B529">
        <v>1008071</v>
      </c>
      <c r="C529">
        <v>718</v>
      </c>
      <c r="D529" s="4">
        <v>14.36</v>
      </c>
      <c r="E529">
        <v>703.64</v>
      </c>
      <c r="F529">
        <v>7.18</v>
      </c>
      <c r="G529">
        <v>696.46</v>
      </c>
      <c r="H529" s="14">
        <f t="shared" si="227"/>
        <v>696.46</v>
      </c>
      <c r="I529" s="14" t="b">
        <f t="shared" si="228"/>
        <v>1</v>
      </c>
      <c r="J529" s="2">
        <v>46003</v>
      </c>
      <c r="K529" s="5">
        <v>1008071</v>
      </c>
      <c r="L529" s="5">
        <v>3228</v>
      </c>
      <c r="M529" s="5">
        <v>14.36</v>
      </c>
      <c r="N529" s="5">
        <v>718</v>
      </c>
      <c r="O529" s="7">
        <v>45995</v>
      </c>
      <c r="P529" s="5">
        <v>703.64</v>
      </c>
      <c r="Q529" s="5">
        <v>14.36</v>
      </c>
      <c r="R529" s="5" t="s">
        <v>32</v>
      </c>
      <c r="S529" s="5" t="s">
        <v>33</v>
      </c>
      <c r="T529" s="5">
        <v>7.18</v>
      </c>
      <c r="U529" s="5">
        <v>696.46</v>
      </c>
      <c r="V529" s="5" t="s">
        <v>34</v>
      </c>
      <c r="W529" s="5">
        <v>2</v>
      </c>
      <c r="X529" s="5">
        <v>6914882413916</v>
      </c>
      <c r="Y529" s="7">
        <v>46003</v>
      </c>
      <c r="Z529" s="7">
        <v>45995</v>
      </c>
      <c r="AB529" s="6">
        <v>46003</v>
      </c>
      <c r="AC529" s="7">
        <v>46000.688888888886</v>
      </c>
      <c r="AD529" s="5">
        <v>32281008071</v>
      </c>
      <c r="AE529" s="8">
        <v>45995</v>
      </c>
      <c r="AF529" s="5" t="s">
        <v>306</v>
      </c>
      <c r="AG529" s="5" t="s">
        <v>37</v>
      </c>
      <c r="AH529" s="5">
        <v>206417</v>
      </c>
      <c r="AI529" s="6">
        <v>45995</v>
      </c>
      <c r="AJ529" s="6">
        <v>46003</v>
      </c>
      <c r="AK529" s="1">
        <f t="shared" si="229"/>
        <v>14.36</v>
      </c>
    </row>
    <row r="530" spans="1:37" x14ac:dyDescent="0.55000000000000004">
      <c r="A530">
        <v>3228</v>
      </c>
      <c r="B530">
        <v>1008139</v>
      </c>
      <c r="C530" s="1">
        <v>1603.29</v>
      </c>
      <c r="D530" s="4">
        <v>32.07</v>
      </c>
      <c r="E530" s="1">
        <v>1571.22</v>
      </c>
      <c r="F530">
        <v>16.03</v>
      </c>
      <c r="G530" s="1">
        <v>1555.19</v>
      </c>
      <c r="H530" s="14">
        <f t="shared" si="227"/>
        <v>1555.19</v>
      </c>
      <c r="I530" s="14" t="b">
        <f t="shared" si="228"/>
        <v>1</v>
      </c>
      <c r="J530" s="2">
        <v>46003</v>
      </c>
      <c r="K530" s="5">
        <v>1008139</v>
      </c>
      <c r="L530" s="5">
        <v>3228</v>
      </c>
      <c r="M530" s="5">
        <v>32.07</v>
      </c>
      <c r="N530" s="5">
        <v>1603.29</v>
      </c>
      <c r="O530" s="7">
        <v>45995</v>
      </c>
      <c r="P530" s="5">
        <v>1571.22</v>
      </c>
      <c r="Q530" s="5">
        <v>32.07</v>
      </c>
      <c r="R530" s="5" t="s">
        <v>32</v>
      </c>
      <c r="S530" s="5" t="s">
        <v>33</v>
      </c>
      <c r="T530" s="5">
        <v>16.03</v>
      </c>
      <c r="U530" s="5">
        <v>1555.19</v>
      </c>
      <c r="V530" s="5" t="s">
        <v>34</v>
      </c>
      <c r="W530" s="5">
        <v>2</v>
      </c>
      <c r="X530" s="5">
        <v>6914882413916</v>
      </c>
      <c r="Y530" s="7">
        <v>46003</v>
      </c>
      <c r="Z530" s="7">
        <v>45995</v>
      </c>
      <c r="AB530" s="6">
        <v>46003</v>
      </c>
      <c r="AC530" s="7">
        <v>46000.688888888886</v>
      </c>
      <c r="AD530" s="5">
        <v>32281008139</v>
      </c>
      <c r="AE530" s="8">
        <v>45995</v>
      </c>
      <c r="AF530" s="5" t="s">
        <v>309</v>
      </c>
      <c r="AG530" s="5" t="s">
        <v>37</v>
      </c>
      <c r="AH530" s="5">
        <v>206711</v>
      </c>
      <c r="AI530" s="6">
        <v>45995</v>
      </c>
      <c r="AJ530" s="6">
        <v>46003</v>
      </c>
      <c r="AK530" s="1">
        <f t="shared" si="229"/>
        <v>32.065800000000003</v>
      </c>
    </row>
    <row r="531" spans="1:37" x14ac:dyDescent="0.55000000000000004">
      <c r="A531">
        <v>3228</v>
      </c>
      <c r="B531">
        <v>1008246</v>
      </c>
      <c r="C531">
        <v>154.91999999999999</v>
      </c>
      <c r="D531" s="4">
        <v>3.1</v>
      </c>
      <c r="E531">
        <v>151.82</v>
      </c>
      <c r="F531">
        <v>1.55</v>
      </c>
      <c r="G531">
        <v>150.27000000000001</v>
      </c>
      <c r="H531" s="14">
        <f t="shared" si="227"/>
        <v>150.26999999999998</v>
      </c>
      <c r="I531" s="14" t="b">
        <f t="shared" si="228"/>
        <v>1</v>
      </c>
      <c r="J531" s="2">
        <v>46003</v>
      </c>
      <c r="K531" s="5">
        <v>1008246</v>
      </c>
      <c r="L531" s="5">
        <v>3228</v>
      </c>
      <c r="M531" s="5">
        <v>3.1</v>
      </c>
      <c r="N531" s="5">
        <v>154.91999999999999</v>
      </c>
      <c r="O531" s="7">
        <v>45995</v>
      </c>
      <c r="P531" s="5">
        <v>151.82</v>
      </c>
      <c r="Q531" s="5">
        <v>3.1</v>
      </c>
      <c r="R531" s="5" t="s">
        <v>32</v>
      </c>
      <c r="S531" s="5" t="s">
        <v>33</v>
      </c>
      <c r="T531" s="5">
        <v>1.55</v>
      </c>
      <c r="U531" s="5">
        <v>150.27000000000001</v>
      </c>
      <c r="V531" s="5" t="s">
        <v>34</v>
      </c>
      <c r="W531" s="5">
        <v>2</v>
      </c>
      <c r="X531" s="5">
        <v>6914882413916</v>
      </c>
      <c r="Y531" s="7">
        <v>46003</v>
      </c>
      <c r="Z531" s="7">
        <v>45995</v>
      </c>
      <c r="AB531" s="6">
        <v>46003</v>
      </c>
      <c r="AC531" s="7">
        <v>46000.688888888886</v>
      </c>
      <c r="AD531" s="5">
        <v>32281008246</v>
      </c>
      <c r="AE531" s="8">
        <v>45995</v>
      </c>
      <c r="AF531" s="5" t="s">
        <v>305</v>
      </c>
      <c r="AG531" s="5" t="s">
        <v>37</v>
      </c>
      <c r="AH531" s="5">
        <v>206572</v>
      </c>
      <c r="AI531" s="6">
        <v>45995</v>
      </c>
      <c r="AJ531" s="6">
        <v>46003</v>
      </c>
      <c r="AK531" s="1">
        <f t="shared" si="229"/>
        <v>3.0983999999999998</v>
      </c>
    </row>
    <row r="532" spans="1:37" x14ac:dyDescent="0.55000000000000004">
      <c r="A532">
        <v>3228</v>
      </c>
      <c r="B532">
        <v>1008252</v>
      </c>
      <c r="C532">
        <v>76.3</v>
      </c>
      <c r="D532" s="4">
        <v>1.53</v>
      </c>
      <c r="E532">
        <v>74.77</v>
      </c>
      <c r="F532">
        <v>0.76</v>
      </c>
      <c r="G532">
        <v>74.010000000000005</v>
      </c>
      <c r="H532" s="14">
        <f t="shared" si="227"/>
        <v>74.009999999999991</v>
      </c>
      <c r="I532" s="14" t="b">
        <f t="shared" si="228"/>
        <v>1</v>
      </c>
      <c r="J532" s="2">
        <v>46003</v>
      </c>
      <c r="K532" s="5">
        <v>1008252</v>
      </c>
      <c r="L532" s="5">
        <v>3228</v>
      </c>
      <c r="M532" s="5">
        <v>1.53</v>
      </c>
      <c r="N532" s="5">
        <v>76.3</v>
      </c>
      <c r="O532" s="7">
        <v>45995</v>
      </c>
      <c r="P532" s="5">
        <v>74.77</v>
      </c>
      <c r="Q532" s="5">
        <v>1.53</v>
      </c>
      <c r="R532" s="5" t="s">
        <v>32</v>
      </c>
      <c r="S532" s="5" t="s">
        <v>33</v>
      </c>
      <c r="T532" s="5">
        <v>0.76</v>
      </c>
      <c r="U532" s="5">
        <v>74.010000000000005</v>
      </c>
      <c r="V532" s="5" t="s">
        <v>34</v>
      </c>
      <c r="W532" s="5">
        <v>2</v>
      </c>
      <c r="X532" s="5">
        <v>6914882413916</v>
      </c>
      <c r="Y532" s="7">
        <v>46003</v>
      </c>
      <c r="Z532" s="7">
        <v>45995</v>
      </c>
      <c r="AB532" s="6">
        <v>46003</v>
      </c>
      <c r="AC532" s="7">
        <v>46000.688888888886</v>
      </c>
      <c r="AD532" s="5">
        <v>32281008252</v>
      </c>
      <c r="AE532" s="8">
        <v>45995</v>
      </c>
      <c r="AF532" s="5" t="s">
        <v>310</v>
      </c>
      <c r="AG532" s="5" t="s">
        <v>37</v>
      </c>
      <c r="AH532" s="5">
        <v>206571</v>
      </c>
      <c r="AI532" s="6">
        <v>45995</v>
      </c>
      <c r="AJ532" s="6">
        <v>46003</v>
      </c>
      <c r="AK532" s="1">
        <f t="shared" si="229"/>
        <v>1.526</v>
      </c>
    </row>
    <row r="533" spans="1:37" x14ac:dyDescent="0.55000000000000004">
      <c r="A533">
        <v>3228</v>
      </c>
      <c r="B533">
        <v>1008254</v>
      </c>
      <c r="C533">
        <v>90.48</v>
      </c>
      <c r="D533" s="4">
        <v>1.81</v>
      </c>
      <c r="E533">
        <v>88.67</v>
      </c>
      <c r="F533">
        <v>0.9</v>
      </c>
      <c r="G533">
        <v>87.77</v>
      </c>
      <c r="H533" s="14">
        <f t="shared" si="227"/>
        <v>87.77</v>
      </c>
      <c r="I533" s="14" t="b">
        <f t="shared" si="228"/>
        <v>1</v>
      </c>
      <c r="J533" s="2">
        <v>46003</v>
      </c>
      <c r="K533" s="5">
        <v>1008254</v>
      </c>
      <c r="L533" s="5">
        <v>3228</v>
      </c>
      <c r="M533" s="5">
        <v>1.81</v>
      </c>
      <c r="N533" s="5">
        <v>90.48</v>
      </c>
      <c r="O533" s="7">
        <v>45995</v>
      </c>
      <c r="P533" s="5">
        <v>88.67</v>
      </c>
      <c r="Q533" s="5">
        <v>1.81</v>
      </c>
      <c r="R533" s="5" t="s">
        <v>32</v>
      </c>
      <c r="S533" s="5" t="s">
        <v>33</v>
      </c>
      <c r="T533" s="5">
        <v>0.9</v>
      </c>
      <c r="U533" s="5">
        <v>87.77</v>
      </c>
      <c r="V533" s="5" t="s">
        <v>34</v>
      </c>
      <c r="W533" s="5">
        <v>2</v>
      </c>
      <c r="X533" s="5">
        <v>6914882413916</v>
      </c>
      <c r="Y533" s="7">
        <v>46003</v>
      </c>
      <c r="Z533" s="7">
        <v>45995</v>
      </c>
      <c r="AB533" s="6">
        <v>46003</v>
      </c>
      <c r="AC533" s="7">
        <v>46000.688888888886</v>
      </c>
      <c r="AD533" s="5">
        <v>32281008254</v>
      </c>
      <c r="AE533" s="8">
        <v>45995</v>
      </c>
      <c r="AF533" s="5" t="s">
        <v>311</v>
      </c>
      <c r="AG533" s="5" t="s">
        <v>37</v>
      </c>
      <c r="AH533" s="5">
        <v>206517</v>
      </c>
      <c r="AI533" s="6">
        <v>45995</v>
      </c>
      <c r="AJ533" s="6">
        <v>46003</v>
      </c>
      <c r="AK533" s="1">
        <f t="shared" si="229"/>
        <v>1.8096000000000001</v>
      </c>
    </row>
    <row r="534" spans="1:37" hidden="1" x14ac:dyDescent="0.55000000000000004">
      <c r="A534">
        <v>3228</v>
      </c>
      <c r="B534">
        <v>1008259</v>
      </c>
      <c r="C534">
        <v>182.24</v>
      </c>
      <c r="E534">
        <v>182.24</v>
      </c>
      <c r="F534">
        <v>1.82</v>
      </c>
      <c r="G534">
        <v>180.42</v>
      </c>
      <c r="H534"/>
      <c r="I534"/>
      <c r="J534" s="2">
        <v>46003</v>
      </c>
      <c r="K534" s="5">
        <v>1008259</v>
      </c>
      <c r="L534" s="5">
        <v>3228</v>
      </c>
      <c r="M534" s="5">
        <v>0</v>
      </c>
      <c r="N534" s="5">
        <v>182.24</v>
      </c>
      <c r="O534" s="7">
        <v>45995</v>
      </c>
      <c r="P534" s="5">
        <v>182.24</v>
      </c>
      <c r="Q534" s="5">
        <v>0</v>
      </c>
      <c r="R534" s="5" t="s">
        <v>32</v>
      </c>
      <c r="S534" s="5" t="s">
        <v>33</v>
      </c>
      <c r="T534" s="5">
        <v>1.82</v>
      </c>
      <c r="U534" s="5">
        <v>180.42</v>
      </c>
      <c r="V534" s="5" t="s">
        <v>34</v>
      </c>
      <c r="W534" s="5">
        <v>2</v>
      </c>
      <c r="X534" s="5">
        <v>6914882413916</v>
      </c>
      <c r="Y534" s="7">
        <v>46003</v>
      </c>
      <c r="Z534" s="7">
        <v>45995</v>
      </c>
      <c r="AB534" s="6">
        <v>46003</v>
      </c>
      <c r="AC534" s="7">
        <v>46000.688888888886</v>
      </c>
      <c r="AD534" s="5">
        <v>32281008259</v>
      </c>
      <c r="AE534" s="8">
        <v>45995</v>
      </c>
      <c r="AF534" s="5" t="s">
        <v>311</v>
      </c>
      <c r="AG534" s="5" t="s">
        <v>38</v>
      </c>
      <c r="AH534" s="5">
        <v>206518</v>
      </c>
      <c r="AI534" s="6">
        <v>45995</v>
      </c>
      <c r="AJ534" s="6">
        <v>46003</v>
      </c>
    </row>
    <row r="535" spans="1:37" x14ac:dyDescent="0.55000000000000004">
      <c r="A535">
        <v>3228</v>
      </c>
      <c r="B535">
        <v>1008414</v>
      </c>
      <c r="C535">
        <v>241.37</v>
      </c>
      <c r="D535" s="4">
        <v>4.83</v>
      </c>
      <c r="E535">
        <v>236.54</v>
      </c>
      <c r="F535">
        <v>2.41</v>
      </c>
      <c r="G535">
        <v>234.13</v>
      </c>
      <c r="H535" s="14">
        <f t="shared" ref="H535:H536" si="230">C535-D535-F535</f>
        <v>234.13</v>
      </c>
      <c r="I535" s="14" t="b">
        <f t="shared" ref="I535:I536" si="231">G535=H535</f>
        <v>1</v>
      </c>
      <c r="J535" s="2">
        <v>46003</v>
      </c>
      <c r="K535" s="5">
        <v>1008414</v>
      </c>
      <c r="L535" s="5">
        <v>3228</v>
      </c>
      <c r="M535" s="5">
        <v>4.83</v>
      </c>
      <c r="N535" s="5">
        <v>241.37</v>
      </c>
      <c r="O535" s="7">
        <v>45996</v>
      </c>
      <c r="P535" s="5">
        <v>236.54</v>
      </c>
      <c r="Q535" s="5">
        <v>4.83</v>
      </c>
      <c r="R535" s="5" t="s">
        <v>32</v>
      </c>
      <c r="S535" s="5" t="s">
        <v>33</v>
      </c>
      <c r="T535" s="5">
        <v>2.41</v>
      </c>
      <c r="U535" s="5">
        <v>234.13</v>
      </c>
      <c r="V535" s="5" t="s">
        <v>34</v>
      </c>
      <c r="W535" s="5">
        <v>2</v>
      </c>
      <c r="X535" s="5">
        <v>6914882413916</v>
      </c>
      <c r="Y535" s="7">
        <v>46003</v>
      </c>
      <c r="Z535" s="7">
        <v>45996</v>
      </c>
      <c r="AB535" s="6">
        <v>46003</v>
      </c>
      <c r="AC535" s="7">
        <v>46000.688888888886</v>
      </c>
      <c r="AD535" s="5">
        <v>32281008414</v>
      </c>
      <c r="AE535" s="8">
        <v>45996</v>
      </c>
      <c r="AF535" s="5" t="s">
        <v>309</v>
      </c>
      <c r="AG535" s="5" t="s">
        <v>37</v>
      </c>
      <c r="AH535" s="5">
        <v>206717</v>
      </c>
      <c r="AI535" s="6">
        <v>45996</v>
      </c>
      <c r="AJ535" s="6">
        <v>46003</v>
      </c>
      <c r="AK535" s="1">
        <f t="shared" ref="AK535:AK536" si="232">0.02*C535</f>
        <v>4.8273999999999999</v>
      </c>
    </row>
    <row r="536" spans="1:37" x14ac:dyDescent="0.55000000000000004">
      <c r="A536">
        <v>3228</v>
      </c>
      <c r="B536">
        <v>1008479</v>
      </c>
      <c r="C536">
        <v>73.75</v>
      </c>
      <c r="D536" s="4">
        <v>1.48</v>
      </c>
      <c r="E536">
        <v>72.27</v>
      </c>
      <c r="F536">
        <v>0.74</v>
      </c>
      <c r="G536">
        <v>71.53</v>
      </c>
      <c r="H536" s="14">
        <f t="shared" si="230"/>
        <v>71.53</v>
      </c>
      <c r="I536" s="14" t="b">
        <f t="shared" si="231"/>
        <v>1</v>
      </c>
      <c r="J536" s="2">
        <v>46003</v>
      </c>
      <c r="K536" s="5">
        <v>1008479</v>
      </c>
      <c r="L536" s="5">
        <v>3228</v>
      </c>
      <c r="M536" s="5">
        <v>1.48</v>
      </c>
      <c r="N536" s="5">
        <v>73.75</v>
      </c>
      <c r="O536" s="7">
        <v>45996</v>
      </c>
      <c r="P536" s="5">
        <v>72.27</v>
      </c>
      <c r="Q536" s="5">
        <v>1.48</v>
      </c>
      <c r="R536" s="5" t="s">
        <v>32</v>
      </c>
      <c r="S536" s="5" t="s">
        <v>33</v>
      </c>
      <c r="T536" s="5">
        <v>0.74</v>
      </c>
      <c r="U536" s="5">
        <v>71.53</v>
      </c>
      <c r="V536" s="5" t="s">
        <v>34</v>
      </c>
      <c r="W536" s="5">
        <v>2</v>
      </c>
      <c r="X536" s="5">
        <v>6914882413916</v>
      </c>
      <c r="Y536" s="7">
        <v>46003</v>
      </c>
      <c r="Z536" s="7">
        <v>45996</v>
      </c>
      <c r="AB536" s="6">
        <v>46003</v>
      </c>
      <c r="AC536" s="7">
        <v>46000.688888888886</v>
      </c>
      <c r="AD536" s="5">
        <v>32281008479</v>
      </c>
      <c r="AE536" s="8">
        <v>45996</v>
      </c>
      <c r="AF536" s="5" t="s">
        <v>284</v>
      </c>
      <c r="AG536" s="5" t="s">
        <v>37</v>
      </c>
      <c r="AH536" s="5">
        <v>206625</v>
      </c>
      <c r="AI536" s="6">
        <v>45996</v>
      </c>
      <c r="AJ536" s="6">
        <v>46003</v>
      </c>
      <c r="AK536" s="1">
        <f t="shared" si="232"/>
        <v>1.4750000000000001</v>
      </c>
    </row>
    <row r="537" spans="1:37" hidden="1" x14ac:dyDescent="0.55000000000000004">
      <c r="A537">
        <v>3228</v>
      </c>
      <c r="B537">
        <v>1008499</v>
      </c>
      <c r="C537">
        <v>85.02</v>
      </c>
      <c r="E537">
        <v>85.02</v>
      </c>
      <c r="F537">
        <v>0.85</v>
      </c>
      <c r="G537">
        <v>84.17</v>
      </c>
      <c r="H537"/>
      <c r="I537"/>
      <c r="J537" s="2">
        <v>46003</v>
      </c>
      <c r="K537" s="5">
        <v>1008499</v>
      </c>
      <c r="L537" s="5">
        <v>3228</v>
      </c>
      <c r="M537" s="5">
        <v>0</v>
      </c>
      <c r="N537" s="5">
        <v>85.02</v>
      </c>
      <c r="O537" s="7">
        <v>45996</v>
      </c>
      <c r="P537" s="5">
        <v>85.02</v>
      </c>
      <c r="Q537" s="5">
        <v>0</v>
      </c>
      <c r="R537" s="5" t="s">
        <v>32</v>
      </c>
      <c r="S537" s="5" t="s">
        <v>33</v>
      </c>
      <c r="T537" s="5">
        <v>0.85</v>
      </c>
      <c r="U537" s="5">
        <v>84.17</v>
      </c>
      <c r="V537" s="5" t="s">
        <v>34</v>
      </c>
      <c r="W537" s="5">
        <v>2</v>
      </c>
      <c r="X537" s="5">
        <v>6914882413916</v>
      </c>
      <c r="Y537" s="7">
        <v>46003</v>
      </c>
      <c r="Z537" s="7">
        <v>45996</v>
      </c>
      <c r="AB537" s="6">
        <v>46003</v>
      </c>
      <c r="AC537" s="7">
        <v>46000.688888888886</v>
      </c>
      <c r="AD537" s="5">
        <v>32281008499</v>
      </c>
      <c r="AE537" s="8">
        <v>45996</v>
      </c>
      <c r="AF537" s="5" t="s">
        <v>311</v>
      </c>
      <c r="AG537" s="5" t="s">
        <v>38</v>
      </c>
      <c r="AH537" s="5">
        <v>206813</v>
      </c>
      <c r="AI537" s="6">
        <v>45996</v>
      </c>
      <c r="AJ537" s="6">
        <v>46003</v>
      </c>
    </row>
    <row r="538" spans="1:37" x14ac:dyDescent="0.55000000000000004">
      <c r="A538">
        <v>3228</v>
      </c>
      <c r="B538">
        <v>1008545</v>
      </c>
      <c r="C538">
        <v>444.84</v>
      </c>
      <c r="D538" s="4">
        <v>8.9</v>
      </c>
      <c r="E538">
        <v>435.94</v>
      </c>
      <c r="F538">
        <v>4.45</v>
      </c>
      <c r="G538">
        <v>431.49</v>
      </c>
      <c r="H538" s="14">
        <f>C538-D538-F538</f>
        <v>431.49</v>
      </c>
      <c r="I538" s="14" t="b">
        <f>G538=H538</f>
        <v>1</v>
      </c>
      <c r="J538" s="2">
        <v>46003</v>
      </c>
      <c r="K538" s="5">
        <v>1008545</v>
      </c>
      <c r="L538" s="5">
        <v>3228</v>
      </c>
      <c r="M538" s="5">
        <v>8.9</v>
      </c>
      <c r="N538" s="5">
        <v>444.84</v>
      </c>
      <c r="O538" s="7">
        <v>45996</v>
      </c>
      <c r="P538" s="5">
        <v>435.94</v>
      </c>
      <c r="Q538" s="5">
        <v>8.9</v>
      </c>
      <c r="R538" s="5" t="s">
        <v>32</v>
      </c>
      <c r="S538" s="5" t="s">
        <v>33</v>
      </c>
      <c r="T538" s="5">
        <v>4.45</v>
      </c>
      <c r="U538" s="5">
        <v>431.49</v>
      </c>
      <c r="V538" s="5" t="s">
        <v>34</v>
      </c>
      <c r="W538" s="5">
        <v>2</v>
      </c>
      <c r="X538" s="5">
        <v>6914882413916</v>
      </c>
      <c r="Y538" s="7">
        <v>46003</v>
      </c>
      <c r="Z538" s="7">
        <v>45996</v>
      </c>
      <c r="AB538" s="6">
        <v>46003</v>
      </c>
      <c r="AC538" s="7">
        <v>46000.688888888886</v>
      </c>
      <c r="AD538" s="5">
        <v>32281008545</v>
      </c>
      <c r="AE538" s="8">
        <v>45996</v>
      </c>
      <c r="AF538" s="5" t="s">
        <v>312</v>
      </c>
      <c r="AG538" s="5" t="s">
        <v>37</v>
      </c>
      <c r="AH538" s="5">
        <v>206860</v>
      </c>
      <c r="AI538" s="6">
        <v>45996</v>
      </c>
      <c r="AJ538" s="6">
        <v>46003</v>
      </c>
      <c r="AK538" s="1">
        <f t="shared" ref="AK538" si="233">0.02*C538</f>
        <v>8.8967999999999989</v>
      </c>
    </row>
    <row r="539" spans="1:37" hidden="1" x14ac:dyDescent="0.55000000000000004">
      <c r="A539">
        <v>3228</v>
      </c>
      <c r="B539">
        <v>1008570</v>
      </c>
      <c r="C539">
        <v>-200</v>
      </c>
      <c r="E539">
        <v>-200</v>
      </c>
      <c r="G539">
        <v>-200</v>
      </c>
      <c r="H539"/>
      <c r="I539"/>
      <c r="J539" s="2">
        <v>46003</v>
      </c>
      <c r="K539" s="5">
        <v>1008570</v>
      </c>
      <c r="L539" s="5">
        <v>3228</v>
      </c>
      <c r="M539" s="5">
        <v>0</v>
      </c>
      <c r="N539" s="5">
        <v>-200</v>
      </c>
      <c r="O539" s="7">
        <v>45999</v>
      </c>
      <c r="P539" s="5">
        <v>-200</v>
      </c>
      <c r="Q539" s="5">
        <v>0</v>
      </c>
      <c r="R539" s="5">
        <v>1008570</v>
      </c>
      <c r="S539" s="5" t="s">
        <v>33</v>
      </c>
      <c r="T539" s="5">
        <v>0</v>
      </c>
      <c r="U539" s="5">
        <v>-200</v>
      </c>
      <c r="V539" s="5" t="s">
        <v>34</v>
      </c>
      <c r="W539" s="5">
        <v>2</v>
      </c>
      <c r="X539" s="5">
        <v>6914882413916</v>
      </c>
      <c r="Y539" s="7">
        <v>46003</v>
      </c>
      <c r="Z539" s="7">
        <v>45999</v>
      </c>
      <c r="AB539" s="6">
        <v>46003</v>
      </c>
      <c r="AC539" s="7">
        <v>46000.688888888886</v>
      </c>
      <c r="AD539" s="5">
        <v>32281008570</v>
      </c>
      <c r="AE539" s="8">
        <v>45999</v>
      </c>
      <c r="AF539" s="5" t="s">
        <v>41</v>
      </c>
      <c r="AG539" s="5" t="s">
        <v>38</v>
      </c>
      <c r="AH539" s="5" t="s">
        <v>40</v>
      </c>
      <c r="AI539" s="6">
        <v>45999</v>
      </c>
      <c r="AJ539" s="6">
        <v>46003</v>
      </c>
    </row>
    <row r="540" spans="1:37" x14ac:dyDescent="0.55000000000000004">
      <c r="A540">
        <v>3249</v>
      </c>
      <c r="B540">
        <v>1007362</v>
      </c>
      <c r="C540">
        <v>439.2</v>
      </c>
      <c r="D540" s="4">
        <v>8.7799999999999994</v>
      </c>
      <c r="E540">
        <v>430.42</v>
      </c>
      <c r="F540">
        <v>4.3899999999999997</v>
      </c>
      <c r="G540">
        <v>426.03</v>
      </c>
      <c r="H540" s="14">
        <f t="shared" ref="H540:H545" si="234">C540-D540-F540</f>
        <v>426.03000000000003</v>
      </c>
      <c r="I540" s="14" t="b">
        <f t="shared" ref="I540:I545" si="235">G540=H540</f>
        <v>1</v>
      </c>
      <c r="J540" s="2">
        <v>46003</v>
      </c>
      <c r="K540" s="5">
        <v>1007362</v>
      </c>
      <c r="L540" s="5">
        <v>3249</v>
      </c>
      <c r="M540" s="5">
        <v>8.7799999999999994</v>
      </c>
      <c r="N540" s="5">
        <v>439.2</v>
      </c>
      <c r="O540" s="7">
        <v>45992</v>
      </c>
      <c r="P540" s="5">
        <v>430.42</v>
      </c>
      <c r="Q540" s="5">
        <v>8.7799999999999994</v>
      </c>
      <c r="R540" s="5" t="s">
        <v>32</v>
      </c>
      <c r="S540" s="5" t="s">
        <v>33</v>
      </c>
      <c r="T540" s="5">
        <v>4.3899999999999997</v>
      </c>
      <c r="U540" s="5">
        <v>426.03</v>
      </c>
      <c r="V540" s="5" t="s">
        <v>34</v>
      </c>
      <c r="W540" s="5">
        <v>2</v>
      </c>
      <c r="X540" s="5">
        <v>1841535894754</v>
      </c>
      <c r="Y540" s="7">
        <v>46003</v>
      </c>
      <c r="Z540" s="7">
        <v>45992</v>
      </c>
      <c r="AB540" s="6">
        <v>46003</v>
      </c>
      <c r="AC540" s="7">
        <v>46000.571527777778</v>
      </c>
      <c r="AD540" s="5">
        <v>32491007362</v>
      </c>
      <c r="AE540" s="8">
        <v>45992</v>
      </c>
      <c r="AF540" s="5" t="s">
        <v>313</v>
      </c>
      <c r="AG540" s="5" t="s">
        <v>37</v>
      </c>
      <c r="AH540" s="5">
        <v>205841</v>
      </c>
      <c r="AI540" s="6">
        <v>45992</v>
      </c>
      <c r="AJ540" s="6">
        <v>46003</v>
      </c>
      <c r="AK540" s="1">
        <f t="shared" ref="AK540:AK545" si="236">0.02*C540</f>
        <v>8.7840000000000007</v>
      </c>
    </row>
    <row r="541" spans="1:37" x14ac:dyDescent="0.55000000000000004">
      <c r="A541">
        <v>3249</v>
      </c>
      <c r="B541">
        <v>1007369</v>
      </c>
      <c r="C541">
        <v>20.57</v>
      </c>
      <c r="D541" s="4">
        <v>0.41</v>
      </c>
      <c r="E541">
        <v>20.16</v>
      </c>
      <c r="F541">
        <v>0.21</v>
      </c>
      <c r="G541">
        <v>19.95</v>
      </c>
      <c r="H541" s="14">
        <f t="shared" si="234"/>
        <v>19.95</v>
      </c>
      <c r="I541" s="14" t="b">
        <f t="shared" si="235"/>
        <v>1</v>
      </c>
      <c r="J541" s="2">
        <v>46003</v>
      </c>
      <c r="K541" s="5">
        <v>1007369</v>
      </c>
      <c r="L541" s="5">
        <v>3249</v>
      </c>
      <c r="M541" s="5">
        <v>0.41</v>
      </c>
      <c r="N541" s="5">
        <v>20.57</v>
      </c>
      <c r="O541" s="7">
        <v>45992</v>
      </c>
      <c r="P541" s="5">
        <v>20.16</v>
      </c>
      <c r="Q541" s="5">
        <v>0.41</v>
      </c>
      <c r="R541" s="5" t="s">
        <v>32</v>
      </c>
      <c r="S541" s="5" t="s">
        <v>33</v>
      </c>
      <c r="T541" s="5">
        <v>0.21</v>
      </c>
      <c r="U541" s="5">
        <v>19.95</v>
      </c>
      <c r="V541" s="5" t="s">
        <v>34</v>
      </c>
      <c r="W541" s="5">
        <v>2</v>
      </c>
      <c r="X541" s="5">
        <v>1841535894754</v>
      </c>
      <c r="Y541" s="7">
        <v>46003</v>
      </c>
      <c r="Z541" s="7">
        <v>45992</v>
      </c>
      <c r="AB541" s="6">
        <v>46003</v>
      </c>
      <c r="AC541" s="7">
        <v>46000.571527777778</v>
      </c>
      <c r="AD541" s="5">
        <v>32491007369</v>
      </c>
      <c r="AE541" s="8">
        <v>45992</v>
      </c>
      <c r="AF541" s="5" t="s">
        <v>314</v>
      </c>
      <c r="AG541" s="5" t="s">
        <v>37</v>
      </c>
      <c r="AH541" s="5">
        <v>205840</v>
      </c>
      <c r="AI541" s="6">
        <v>45992</v>
      </c>
      <c r="AJ541" s="6">
        <v>46003</v>
      </c>
      <c r="AK541" s="1">
        <f t="shared" si="236"/>
        <v>0.41139999999999999</v>
      </c>
    </row>
    <row r="542" spans="1:37" x14ac:dyDescent="0.55000000000000004">
      <c r="A542">
        <v>3249</v>
      </c>
      <c r="B542">
        <v>1007383</v>
      </c>
      <c r="C542">
        <v>82.59</v>
      </c>
      <c r="D542" s="4">
        <v>1.65</v>
      </c>
      <c r="E542">
        <v>80.94</v>
      </c>
      <c r="F542">
        <v>0.83</v>
      </c>
      <c r="G542">
        <v>80.11</v>
      </c>
      <c r="H542" s="14">
        <f t="shared" si="234"/>
        <v>80.11</v>
      </c>
      <c r="I542" s="14" t="b">
        <f t="shared" si="235"/>
        <v>1</v>
      </c>
      <c r="J542" s="2">
        <v>46003</v>
      </c>
      <c r="K542" s="5">
        <v>1007383</v>
      </c>
      <c r="L542" s="5">
        <v>3249</v>
      </c>
      <c r="M542" s="5">
        <v>1.65</v>
      </c>
      <c r="N542" s="5">
        <v>82.59</v>
      </c>
      <c r="O542" s="7">
        <v>45992</v>
      </c>
      <c r="P542" s="5">
        <v>80.94</v>
      </c>
      <c r="Q542" s="5">
        <v>1.65</v>
      </c>
      <c r="R542" s="5" t="s">
        <v>32</v>
      </c>
      <c r="S542" s="5" t="s">
        <v>33</v>
      </c>
      <c r="T542" s="5">
        <v>0.83</v>
      </c>
      <c r="U542" s="5">
        <v>80.11</v>
      </c>
      <c r="V542" s="5" t="s">
        <v>34</v>
      </c>
      <c r="W542" s="5">
        <v>2</v>
      </c>
      <c r="X542" s="5">
        <v>1841535894754</v>
      </c>
      <c r="Y542" s="7">
        <v>46003</v>
      </c>
      <c r="Z542" s="7">
        <v>45992</v>
      </c>
      <c r="AB542" s="6">
        <v>46003</v>
      </c>
      <c r="AC542" s="7">
        <v>46000.571527777778</v>
      </c>
      <c r="AD542" s="5">
        <v>32491007383</v>
      </c>
      <c r="AE542" s="8">
        <v>45992</v>
      </c>
      <c r="AF542" s="5" t="s">
        <v>315</v>
      </c>
      <c r="AG542" s="5" t="s">
        <v>37</v>
      </c>
      <c r="AH542" s="5">
        <v>205975</v>
      </c>
      <c r="AI542" s="6">
        <v>45992</v>
      </c>
      <c r="AJ542" s="6">
        <v>46003</v>
      </c>
      <c r="AK542" s="1">
        <f t="shared" si="236"/>
        <v>1.6518000000000002</v>
      </c>
    </row>
    <row r="543" spans="1:37" x14ac:dyDescent="0.55000000000000004">
      <c r="A543">
        <v>3249</v>
      </c>
      <c r="B543">
        <v>1007387</v>
      </c>
      <c r="C543">
        <v>222.18</v>
      </c>
      <c r="D543" s="4">
        <v>4.4400000000000004</v>
      </c>
      <c r="E543">
        <v>217.74</v>
      </c>
      <c r="F543">
        <v>2.2200000000000002</v>
      </c>
      <c r="G543">
        <v>215.52</v>
      </c>
      <c r="H543" s="14">
        <f t="shared" si="234"/>
        <v>215.52</v>
      </c>
      <c r="I543" s="14" t="b">
        <f t="shared" si="235"/>
        <v>1</v>
      </c>
      <c r="J543" s="2">
        <v>46003</v>
      </c>
      <c r="K543" s="5">
        <v>1007387</v>
      </c>
      <c r="L543" s="5">
        <v>3249</v>
      </c>
      <c r="M543" s="5">
        <v>4.4400000000000004</v>
      </c>
      <c r="N543" s="5">
        <v>222.18</v>
      </c>
      <c r="O543" s="7">
        <v>45992</v>
      </c>
      <c r="P543" s="5">
        <v>217.74</v>
      </c>
      <c r="Q543" s="5">
        <v>4.4400000000000004</v>
      </c>
      <c r="R543" s="5" t="s">
        <v>32</v>
      </c>
      <c r="S543" s="5" t="s">
        <v>33</v>
      </c>
      <c r="T543" s="5">
        <v>2.2200000000000002</v>
      </c>
      <c r="U543" s="5">
        <v>215.52</v>
      </c>
      <c r="V543" s="5" t="s">
        <v>34</v>
      </c>
      <c r="W543" s="5">
        <v>2</v>
      </c>
      <c r="X543" s="5">
        <v>1841535894754</v>
      </c>
      <c r="Y543" s="7">
        <v>46003</v>
      </c>
      <c r="Z543" s="7">
        <v>45992</v>
      </c>
      <c r="AB543" s="6">
        <v>46003</v>
      </c>
      <c r="AC543" s="7">
        <v>46000.571527777778</v>
      </c>
      <c r="AD543" s="5">
        <v>32491007387</v>
      </c>
      <c r="AE543" s="8">
        <v>45992</v>
      </c>
      <c r="AF543" s="5" t="s">
        <v>316</v>
      </c>
      <c r="AG543" s="5" t="s">
        <v>37</v>
      </c>
      <c r="AH543" s="5">
        <v>205974</v>
      </c>
      <c r="AI543" s="6">
        <v>45992</v>
      </c>
      <c r="AJ543" s="6">
        <v>46003</v>
      </c>
      <c r="AK543" s="1">
        <f t="shared" si="236"/>
        <v>4.4436</v>
      </c>
    </row>
    <row r="544" spans="1:37" x14ac:dyDescent="0.55000000000000004">
      <c r="A544">
        <v>3249</v>
      </c>
      <c r="B544">
        <v>1007447</v>
      </c>
      <c r="C544" s="1">
        <v>1310.3499999999999</v>
      </c>
      <c r="D544" s="4">
        <v>26.21</v>
      </c>
      <c r="E544" s="1">
        <v>1284.1400000000001</v>
      </c>
      <c r="F544">
        <v>13.1</v>
      </c>
      <c r="G544" s="1">
        <v>1271.04</v>
      </c>
      <c r="H544" s="14">
        <f t="shared" si="234"/>
        <v>1271.04</v>
      </c>
      <c r="I544" s="14" t="b">
        <f t="shared" si="235"/>
        <v>1</v>
      </c>
      <c r="J544" s="2">
        <v>46003</v>
      </c>
      <c r="K544" s="5">
        <v>1007447</v>
      </c>
      <c r="L544" s="5">
        <v>3249</v>
      </c>
      <c r="M544" s="5">
        <v>26.21</v>
      </c>
      <c r="N544" s="5">
        <v>1310.3499999999999</v>
      </c>
      <c r="O544" s="7">
        <v>45992</v>
      </c>
      <c r="P544" s="5">
        <v>1284.1400000000001</v>
      </c>
      <c r="Q544" s="5">
        <v>26.21</v>
      </c>
      <c r="R544" s="5" t="s">
        <v>32</v>
      </c>
      <c r="S544" s="5" t="s">
        <v>33</v>
      </c>
      <c r="T544" s="5">
        <v>13.1</v>
      </c>
      <c r="U544" s="5">
        <v>1271.04</v>
      </c>
      <c r="V544" s="5" t="s">
        <v>34</v>
      </c>
      <c r="W544" s="5">
        <v>2</v>
      </c>
      <c r="X544" s="5">
        <v>1841535894754</v>
      </c>
      <c r="Y544" s="7">
        <v>46003</v>
      </c>
      <c r="Z544" s="7">
        <v>45992</v>
      </c>
      <c r="AB544" s="6">
        <v>46003</v>
      </c>
      <c r="AC544" s="7">
        <v>46000.571527777778</v>
      </c>
      <c r="AD544" s="5">
        <v>32491007447</v>
      </c>
      <c r="AE544" s="8">
        <v>45992</v>
      </c>
      <c r="AF544" s="5" t="s">
        <v>317</v>
      </c>
      <c r="AG544" s="5" t="s">
        <v>37</v>
      </c>
      <c r="AH544" s="5">
        <v>205921</v>
      </c>
      <c r="AI544" s="6">
        <v>45992</v>
      </c>
      <c r="AJ544" s="6">
        <v>46003</v>
      </c>
      <c r="AK544" s="1">
        <f t="shared" si="236"/>
        <v>26.206999999999997</v>
      </c>
    </row>
    <row r="545" spans="1:37" x14ac:dyDescent="0.55000000000000004">
      <c r="A545">
        <v>3249</v>
      </c>
      <c r="B545">
        <v>1007453</v>
      </c>
      <c r="C545" s="1">
        <v>1252.58</v>
      </c>
      <c r="D545" s="4">
        <v>25.05</v>
      </c>
      <c r="E545" s="1">
        <v>1227.53</v>
      </c>
      <c r="F545">
        <v>12.53</v>
      </c>
      <c r="G545" s="1">
        <v>1215</v>
      </c>
      <c r="H545" s="14">
        <f t="shared" si="234"/>
        <v>1215</v>
      </c>
      <c r="I545" s="14" t="b">
        <f t="shared" si="235"/>
        <v>1</v>
      </c>
      <c r="J545" s="2">
        <v>46003</v>
      </c>
      <c r="K545" s="5">
        <v>1007453</v>
      </c>
      <c r="L545" s="5">
        <v>3249</v>
      </c>
      <c r="M545" s="5">
        <v>25.05</v>
      </c>
      <c r="N545" s="5">
        <v>1252.58</v>
      </c>
      <c r="O545" s="7">
        <v>45992</v>
      </c>
      <c r="P545" s="5">
        <v>1227.53</v>
      </c>
      <c r="Q545" s="5">
        <v>25.05</v>
      </c>
      <c r="R545" s="5" t="s">
        <v>32</v>
      </c>
      <c r="S545" s="5" t="s">
        <v>33</v>
      </c>
      <c r="T545" s="5">
        <v>12.53</v>
      </c>
      <c r="U545" s="5">
        <v>1215</v>
      </c>
      <c r="V545" s="5" t="s">
        <v>34</v>
      </c>
      <c r="W545" s="5">
        <v>2</v>
      </c>
      <c r="X545" s="5">
        <v>1841535894754</v>
      </c>
      <c r="Y545" s="7">
        <v>46003</v>
      </c>
      <c r="Z545" s="7">
        <v>45992</v>
      </c>
      <c r="AB545" s="6">
        <v>46003</v>
      </c>
      <c r="AC545" s="7">
        <v>46000.571527777778</v>
      </c>
      <c r="AD545" s="5">
        <v>32491007453</v>
      </c>
      <c r="AE545" s="8">
        <v>45992</v>
      </c>
      <c r="AF545" s="5" t="s">
        <v>318</v>
      </c>
      <c r="AG545" s="5" t="s">
        <v>37</v>
      </c>
      <c r="AH545" s="5">
        <v>205920</v>
      </c>
      <c r="AI545" s="6">
        <v>45992</v>
      </c>
      <c r="AJ545" s="6">
        <v>46003</v>
      </c>
      <c r="AK545" s="1">
        <f t="shared" si="236"/>
        <v>25.051600000000001</v>
      </c>
    </row>
    <row r="546" spans="1:37" hidden="1" x14ac:dyDescent="0.55000000000000004">
      <c r="A546">
        <v>3249</v>
      </c>
      <c r="B546">
        <v>1007518</v>
      </c>
      <c r="C546" s="1">
        <v>3990</v>
      </c>
      <c r="E546" s="1">
        <v>3990</v>
      </c>
      <c r="F546">
        <v>39.9</v>
      </c>
      <c r="G546" s="1">
        <v>3950.1</v>
      </c>
      <c r="H546" s="1"/>
      <c r="I546" s="1"/>
      <c r="J546" s="2">
        <v>46003</v>
      </c>
      <c r="K546" s="5">
        <v>1007518</v>
      </c>
      <c r="L546" s="5">
        <v>3249</v>
      </c>
      <c r="M546" s="5">
        <v>0</v>
      </c>
      <c r="N546" s="5">
        <v>3990</v>
      </c>
      <c r="O546" s="7">
        <v>45993</v>
      </c>
      <c r="P546" s="5">
        <v>3990</v>
      </c>
      <c r="Q546" s="5">
        <v>0</v>
      </c>
      <c r="R546" s="5" t="s">
        <v>32</v>
      </c>
      <c r="S546" s="5" t="s">
        <v>33</v>
      </c>
      <c r="T546" s="5">
        <v>39.9</v>
      </c>
      <c r="U546" s="5">
        <v>3950.1</v>
      </c>
      <c r="V546" s="5" t="s">
        <v>34</v>
      </c>
      <c r="W546" s="5">
        <v>2</v>
      </c>
      <c r="X546" s="5">
        <v>1841535894754</v>
      </c>
      <c r="Y546" s="7">
        <v>46003</v>
      </c>
      <c r="Z546" s="7">
        <v>45993</v>
      </c>
      <c r="AB546" s="6">
        <v>46003</v>
      </c>
      <c r="AC546" s="7">
        <v>46000.571527777778</v>
      </c>
      <c r="AD546" s="5">
        <v>32491007518</v>
      </c>
      <c r="AE546" s="8">
        <v>45993</v>
      </c>
      <c r="AF546" s="5" t="s">
        <v>32</v>
      </c>
      <c r="AG546" s="5" t="s">
        <v>35</v>
      </c>
      <c r="AH546" s="5" t="s">
        <v>32</v>
      </c>
      <c r="AI546" s="6">
        <v>45993</v>
      </c>
      <c r="AJ546" s="6">
        <v>46003</v>
      </c>
    </row>
    <row r="547" spans="1:37" hidden="1" x14ac:dyDescent="0.55000000000000004">
      <c r="A547">
        <v>3249</v>
      </c>
      <c r="B547">
        <v>1007842</v>
      </c>
      <c r="C547">
        <v>769.46</v>
      </c>
      <c r="E547">
        <v>769.46</v>
      </c>
      <c r="F547">
        <v>7.69</v>
      </c>
      <c r="G547">
        <v>761.77</v>
      </c>
      <c r="H547"/>
      <c r="I547"/>
      <c r="J547" s="2">
        <v>46003</v>
      </c>
      <c r="K547" s="5">
        <v>1007842</v>
      </c>
      <c r="L547" s="5">
        <v>3249</v>
      </c>
      <c r="M547" s="5">
        <v>0</v>
      </c>
      <c r="N547" s="5">
        <v>769.46</v>
      </c>
      <c r="O547" s="7">
        <v>45993</v>
      </c>
      <c r="P547" s="5">
        <v>769.46</v>
      </c>
      <c r="Q547" s="5">
        <v>0</v>
      </c>
      <c r="R547" s="5" t="s">
        <v>32</v>
      </c>
      <c r="S547" s="5" t="s">
        <v>33</v>
      </c>
      <c r="T547" s="5">
        <v>7.69</v>
      </c>
      <c r="U547" s="5">
        <v>761.77</v>
      </c>
      <c r="V547" s="5" t="s">
        <v>34</v>
      </c>
      <c r="W547" s="5">
        <v>2</v>
      </c>
      <c r="X547" s="5">
        <v>1841535894754</v>
      </c>
      <c r="Y547" s="7">
        <v>46003</v>
      </c>
      <c r="Z547" s="7">
        <v>45993</v>
      </c>
      <c r="AB547" s="6">
        <v>46003</v>
      </c>
      <c r="AC547" s="7">
        <v>46000.571527777778</v>
      </c>
      <c r="AD547" s="5">
        <v>32491007842</v>
      </c>
      <c r="AE547" s="8">
        <v>45993</v>
      </c>
      <c r="AF547" s="5" t="s">
        <v>319</v>
      </c>
      <c r="AG547" s="5" t="s">
        <v>38</v>
      </c>
      <c r="AH547" s="5">
        <v>206123</v>
      </c>
      <c r="AI547" s="6">
        <v>45993</v>
      </c>
      <c r="AJ547" s="6">
        <v>46003</v>
      </c>
    </row>
    <row r="548" spans="1:37" hidden="1" x14ac:dyDescent="0.55000000000000004">
      <c r="A548">
        <v>3249</v>
      </c>
      <c r="B548">
        <v>1007845</v>
      </c>
      <c r="C548" s="1">
        <v>3478.42</v>
      </c>
      <c r="E548" s="1">
        <v>3478.42</v>
      </c>
      <c r="F548">
        <v>34.78</v>
      </c>
      <c r="G548" s="1">
        <v>3443.64</v>
      </c>
      <c r="H548" s="1"/>
      <c r="I548" s="1"/>
      <c r="J548" s="2">
        <v>46003</v>
      </c>
      <c r="K548" s="5">
        <v>1007845</v>
      </c>
      <c r="L548" s="5">
        <v>3249</v>
      </c>
      <c r="M548" s="5">
        <v>0</v>
      </c>
      <c r="N548" s="5">
        <v>3478.42</v>
      </c>
      <c r="O548" s="7">
        <v>45993</v>
      </c>
      <c r="P548" s="5">
        <v>3478.42</v>
      </c>
      <c r="Q548" s="5">
        <v>0</v>
      </c>
      <c r="R548" s="5" t="s">
        <v>32</v>
      </c>
      <c r="S548" s="5" t="s">
        <v>33</v>
      </c>
      <c r="T548" s="5">
        <v>34.78</v>
      </c>
      <c r="U548" s="5">
        <v>3443.64</v>
      </c>
      <c r="V548" s="5" t="s">
        <v>34</v>
      </c>
      <c r="W548" s="5">
        <v>2</v>
      </c>
      <c r="X548" s="5">
        <v>1841535894754</v>
      </c>
      <c r="Y548" s="7">
        <v>46003</v>
      </c>
      <c r="Z548" s="7">
        <v>45993</v>
      </c>
      <c r="AB548" s="6">
        <v>46003</v>
      </c>
      <c r="AC548" s="7">
        <v>46000.571527777778</v>
      </c>
      <c r="AD548" s="5">
        <v>32491007845</v>
      </c>
      <c r="AE548" s="8">
        <v>45993</v>
      </c>
      <c r="AF548" s="5" t="s">
        <v>320</v>
      </c>
      <c r="AG548" s="5" t="s">
        <v>38</v>
      </c>
      <c r="AH548" s="5">
        <v>206121</v>
      </c>
      <c r="AI548" s="6">
        <v>45993</v>
      </c>
      <c r="AJ548" s="6">
        <v>46003</v>
      </c>
    </row>
    <row r="549" spans="1:37" hidden="1" x14ac:dyDescent="0.55000000000000004">
      <c r="A549">
        <v>3249</v>
      </c>
      <c r="B549">
        <v>1007848</v>
      </c>
      <c r="C549">
        <v>404.96</v>
      </c>
      <c r="E549">
        <v>404.96</v>
      </c>
      <c r="F549">
        <v>4.05</v>
      </c>
      <c r="G549">
        <v>400.91</v>
      </c>
      <c r="H549"/>
      <c r="I549"/>
      <c r="J549" s="2">
        <v>46003</v>
      </c>
      <c r="K549" s="5">
        <v>1007848</v>
      </c>
      <c r="L549" s="5">
        <v>3249</v>
      </c>
      <c r="M549" s="5">
        <v>0</v>
      </c>
      <c r="N549" s="5">
        <v>404.96</v>
      </c>
      <c r="O549" s="7">
        <v>45993</v>
      </c>
      <c r="P549" s="5">
        <v>404.96</v>
      </c>
      <c r="Q549" s="5">
        <v>0</v>
      </c>
      <c r="R549" s="5" t="s">
        <v>32</v>
      </c>
      <c r="S549" s="5" t="s">
        <v>33</v>
      </c>
      <c r="T549" s="5">
        <v>4.05</v>
      </c>
      <c r="U549" s="5">
        <v>400.91</v>
      </c>
      <c r="V549" s="5" t="s">
        <v>34</v>
      </c>
      <c r="W549" s="5">
        <v>2</v>
      </c>
      <c r="X549" s="5">
        <v>1841535894754</v>
      </c>
      <c r="Y549" s="7">
        <v>46003</v>
      </c>
      <c r="Z549" s="7">
        <v>45993</v>
      </c>
      <c r="AB549" s="6">
        <v>46003</v>
      </c>
      <c r="AC549" s="7">
        <v>46000.571527777778</v>
      </c>
      <c r="AD549" s="5">
        <v>32491007848</v>
      </c>
      <c r="AE549" s="8">
        <v>45993</v>
      </c>
      <c r="AF549" s="5" t="s">
        <v>321</v>
      </c>
      <c r="AG549" s="5" t="s">
        <v>38</v>
      </c>
      <c r="AH549" s="5">
        <v>206124</v>
      </c>
      <c r="AI549" s="6">
        <v>45993</v>
      </c>
      <c r="AJ549" s="6">
        <v>46003</v>
      </c>
    </row>
    <row r="550" spans="1:37" hidden="1" x14ac:dyDescent="0.55000000000000004">
      <c r="A550">
        <v>3249</v>
      </c>
      <c r="B550">
        <v>1007850</v>
      </c>
      <c r="C550">
        <v>971.96</v>
      </c>
      <c r="E550">
        <v>971.96</v>
      </c>
      <c r="F550">
        <v>9.7200000000000006</v>
      </c>
      <c r="G550">
        <v>962.24</v>
      </c>
      <c r="H550"/>
      <c r="I550"/>
      <c r="J550" s="2">
        <v>46003</v>
      </c>
      <c r="K550" s="5">
        <v>1007850</v>
      </c>
      <c r="L550" s="5">
        <v>3249</v>
      </c>
      <c r="M550" s="5">
        <v>0</v>
      </c>
      <c r="N550" s="5">
        <v>971.96</v>
      </c>
      <c r="O550" s="7">
        <v>45993</v>
      </c>
      <c r="P550" s="5">
        <v>971.96</v>
      </c>
      <c r="Q550" s="5">
        <v>0</v>
      </c>
      <c r="R550" s="5" t="s">
        <v>32</v>
      </c>
      <c r="S550" s="5" t="s">
        <v>33</v>
      </c>
      <c r="T550" s="5">
        <v>9.7200000000000006</v>
      </c>
      <c r="U550" s="5">
        <v>962.24</v>
      </c>
      <c r="V550" s="5" t="s">
        <v>34</v>
      </c>
      <c r="W550" s="5">
        <v>2</v>
      </c>
      <c r="X550" s="5">
        <v>1841535894754</v>
      </c>
      <c r="Y550" s="7">
        <v>46003</v>
      </c>
      <c r="Z550" s="7">
        <v>45993</v>
      </c>
      <c r="AB550" s="6">
        <v>46003</v>
      </c>
      <c r="AC550" s="7">
        <v>46000.571527777778</v>
      </c>
      <c r="AD550" s="5">
        <v>32491007850</v>
      </c>
      <c r="AE550" s="8">
        <v>45993</v>
      </c>
      <c r="AF550" s="5" t="s">
        <v>322</v>
      </c>
      <c r="AG550" s="5" t="s">
        <v>38</v>
      </c>
      <c r="AH550" s="5">
        <v>206122</v>
      </c>
      <c r="AI550" s="6">
        <v>45993</v>
      </c>
      <c r="AJ550" s="6">
        <v>46003</v>
      </c>
    </row>
    <row r="551" spans="1:37" hidden="1" x14ac:dyDescent="0.55000000000000004">
      <c r="A551">
        <v>3249</v>
      </c>
      <c r="B551">
        <v>1007895</v>
      </c>
      <c r="C551" s="1">
        <v>2932.3</v>
      </c>
      <c r="E551" s="1">
        <v>2932.3</v>
      </c>
      <c r="F551">
        <v>29.32</v>
      </c>
      <c r="G551" s="1">
        <v>2902.98</v>
      </c>
      <c r="H551" s="1"/>
      <c r="I551" s="1"/>
      <c r="J551" s="2">
        <v>46003</v>
      </c>
      <c r="K551" s="5">
        <v>1007895</v>
      </c>
      <c r="L551" s="5">
        <v>3249</v>
      </c>
      <c r="M551" s="5">
        <v>0</v>
      </c>
      <c r="N551" s="5">
        <v>2932.3</v>
      </c>
      <c r="O551" s="7">
        <v>45994</v>
      </c>
      <c r="P551" s="5">
        <v>2932.3</v>
      </c>
      <c r="Q551" s="5">
        <v>0</v>
      </c>
      <c r="R551" s="5" t="s">
        <v>32</v>
      </c>
      <c r="S551" s="5" t="s">
        <v>33</v>
      </c>
      <c r="T551" s="5">
        <v>29.32</v>
      </c>
      <c r="U551" s="5">
        <v>2902.98</v>
      </c>
      <c r="V551" s="5" t="s">
        <v>34</v>
      </c>
      <c r="W551" s="5">
        <v>2</v>
      </c>
      <c r="X551" s="5">
        <v>1841535894754</v>
      </c>
      <c r="Y551" s="7">
        <v>46003</v>
      </c>
      <c r="Z551" s="7">
        <v>45994</v>
      </c>
      <c r="AB551" s="6">
        <v>46003</v>
      </c>
      <c r="AC551" s="7">
        <v>46000.571527777778</v>
      </c>
      <c r="AD551" s="5">
        <v>32491007895</v>
      </c>
      <c r="AE551" s="8">
        <v>45994</v>
      </c>
      <c r="AF551" s="5" t="s">
        <v>323</v>
      </c>
      <c r="AG551" s="5" t="s">
        <v>38</v>
      </c>
      <c r="AH551" s="5">
        <v>206490</v>
      </c>
      <c r="AI551" s="6">
        <v>45994</v>
      </c>
      <c r="AJ551" s="6">
        <v>46003</v>
      </c>
    </row>
    <row r="552" spans="1:37" hidden="1" x14ac:dyDescent="0.55000000000000004">
      <c r="A552">
        <v>3249</v>
      </c>
      <c r="B552">
        <v>1007899</v>
      </c>
      <c r="C552">
        <v>566.96</v>
      </c>
      <c r="E552">
        <v>566.96</v>
      </c>
      <c r="F552">
        <v>5.67</v>
      </c>
      <c r="G552">
        <v>561.29</v>
      </c>
      <c r="H552"/>
      <c r="I552"/>
      <c r="J552" s="2">
        <v>46003</v>
      </c>
      <c r="K552" s="5">
        <v>1007899</v>
      </c>
      <c r="L552" s="5">
        <v>3249</v>
      </c>
      <c r="M552" s="5">
        <v>0</v>
      </c>
      <c r="N552" s="5">
        <v>566.96</v>
      </c>
      <c r="O552" s="7">
        <v>45994</v>
      </c>
      <c r="P552" s="5">
        <v>566.96</v>
      </c>
      <c r="Q552" s="5">
        <v>0</v>
      </c>
      <c r="R552" s="5" t="s">
        <v>32</v>
      </c>
      <c r="S552" s="5" t="s">
        <v>33</v>
      </c>
      <c r="T552" s="5">
        <v>5.67</v>
      </c>
      <c r="U552" s="5">
        <v>561.29</v>
      </c>
      <c r="V552" s="5" t="s">
        <v>34</v>
      </c>
      <c r="W552" s="5">
        <v>2</v>
      </c>
      <c r="X552" s="5">
        <v>1841535894754</v>
      </c>
      <c r="Y552" s="7">
        <v>46003</v>
      </c>
      <c r="Z552" s="7">
        <v>45994</v>
      </c>
      <c r="AB552" s="6">
        <v>46003</v>
      </c>
      <c r="AC552" s="7">
        <v>46000.571527777778</v>
      </c>
      <c r="AD552" s="5">
        <v>32491007899</v>
      </c>
      <c r="AE552" s="8">
        <v>45994</v>
      </c>
      <c r="AF552" s="5" t="s">
        <v>324</v>
      </c>
      <c r="AG552" s="5" t="s">
        <v>38</v>
      </c>
      <c r="AH552" s="5">
        <v>206458</v>
      </c>
      <c r="AI552" s="6">
        <v>45994</v>
      </c>
      <c r="AJ552" s="6">
        <v>46003</v>
      </c>
    </row>
    <row r="553" spans="1:37" hidden="1" x14ac:dyDescent="0.55000000000000004">
      <c r="A553">
        <v>3249</v>
      </c>
      <c r="B553">
        <v>1007904</v>
      </c>
      <c r="C553" s="1">
        <v>1943.92</v>
      </c>
      <c r="E553" s="1">
        <v>1943.92</v>
      </c>
      <c r="F553">
        <v>19.440000000000001</v>
      </c>
      <c r="G553" s="1">
        <v>1924.48</v>
      </c>
      <c r="H553" s="1"/>
      <c r="I553" s="1"/>
      <c r="J553" s="2">
        <v>46003</v>
      </c>
      <c r="K553" s="5">
        <v>1007904</v>
      </c>
      <c r="L553" s="5">
        <v>3249</v>
      </c>
      <c r="M553" s="5">
        <v>0</v>
      </c>
      <c r="N553" s="5">
        <v>1943.92</v>
      </c>
      <c r="O553" s="7">
        <v>45994</v>
      </c>
      <c r="P553" s="5">
        <v>1943.92</v>
      </c>
      <c r="Q553" s="5">
        <v>0</v>
      </c>
      <c r="R553" s="5" t="s">
        <v>32</v>
      </c>
      <c r="S553" s="5" t="s">
        <v>33</v>
      </c>
      <c r="T553" s="5">
        <v>19.440000000000001</v>
      </c>
      <c r="U553" s="5">
        <v>1924.48</v>
      </c>
      <c r="V553" s="5" t="s">
        <v>34</v>
      </c>
      <c r="W553" s="5">
        <v>2</v>
      </c>
      <c r="X553" s="5">
        <v>1841535894754</v>
      </c>
      <c r="Y553" s="7">
        <v>46003</v>
      </c>
      <c r="Z553" s="7">
        <v>45994</v>
      </c>
      <c r="AB553" s="6">
        <v>46003</v>
      </c>
      <c r="AC553" s="7">
        <v>46000.571527777778</v>
      </c>
      <c r="AD553" s="5">
        <v>32491007904</v>
      </c>
      <c r="AE553" s="8">
        <v>45994</v>
      </c>
      <c r="AF553" s="5" t="s">
        <v>319</v>
      </c>
      <c r="AG553" s="5" t="s">
        <v>38</v>
      </c>
      <c r="AH553" s="5">
        <v>206459</v>
      </c>
      <c r="AI553" s="6">
        <v>45994</v>
      </c>
      <c r="AJ553" s="6">
        <v>46003</v>
      </c>
    </row>
    <row r="554" spans="1:37" x14ac:dyDescent="0.55000000000000004">
      <c r="A554">
        <v>3249</v>
      </c>
      <c r="B554">
        <v>1007917</v>
      </c>
      <c r="C554" s="1">
        <v>1277.81</v>
      </c>
      <c r="D554" s="4">
        <v>25.56</v>
      </c>
      <c r="E554" s="1">
        <v>1252.25</v>
      </c>
      <c r="F554">
        <v>12.78</v>
      </c>
      <c r="G554" s="1">
        <v>1239.47</v>
      </c>
      <c r="H554" s="14">
        <f t="shared" ref="H554:H555" si="237">C554-D554-F554</f>
        <v>1239.47</v>
      </c>
      <c r="I554" s="14" t="b">
        <f t="shared" ref="I554:I555" si="238">G554=H554</f>
        <v>1</v>
      </c>
      <c r="J554" s="2">
        <v>46003</v>
      </c>
      <c r="K554" s="5">
        <v>1007917</v>
      </c>
      <c r="L554" s="5">
        <v>3249</v>
      </c>
      <c r="M554" s="5">
        <v>25.56</v>
      </c>
      <c r="N554" s="5">
        <v>1277.81</v>
      </c>
      <c r="O554" s="7">
        <v>45994</v>
      </c>
      <c r="P554" s="5">
        <v>1252.25</v>
      </c>
      <c r="Q554" s="5">
        <v>25.56</v>
      </c>
      <c r="R554" s="5" t="s">
        <v>32</v>
      </c>
      <c r="S554" s="5" t="s">
        <v>33</v>
      </c>
      <c r="T554" s="5">
        <v>12.78</v>
      </c>
      <c r="U554" s="5">
        <v>1239.47</v>
      </c>
      <c r="V554" s="5" t="s">
        <v>34</v>
      </c>
      <c r="W554" s="5">
        <v>2</v>
      </c>
      <c r="X554" s="5">
        <v>1841535894754</v>
      </c>
      <c r="Y554" s="7">
        <v>46003</v>
      </c>
      <c r="Z554" s="7">
        <v>45994</v>
      </c>
      <c r="AB554" s="6">
        <v>46003</v>
      </c>
      <c r="AC554" s="7">
        <v>46000.571527777778</v>
      </c>
      <c r="AD554" s="5">
        <v>32491007917</v>
      </c>
      <c r="AE554" s="8">
        <v>45994</v>
      </c>
      <c r="AF554" s="5" t="s">
        <v>323</v>
      </c>
      <c r="AG554" s="5" t="s">
        <v>37</v>
      </c>
      <c r="AH554" s="5">
        <v>206489</v>
      </c>
      <c r="AI554" s="6">
        <v>45994</v>
      </c>
      <c r="AJ554" s="6">
        <v>46003</v>
      </c>
      <c r="AK554" s="1">
        <f t="shared" ref="AK554:AK555" si="239">0.02*C554</f>
        <v>25.5562</v>
      </c>
    </row>
    <row r="555" spans="1:37" x14ac:dyDescent="0.55000000000000004">
      <c r="A555">
        <v>3249</v>
      </c>
      <c r="B555">
        <v>1007919</v>
      </c>
      <c r="C555">
        <v>194.04</v>
      </c>
      <c r="D555" s="4">
        <v>3.88</v>
      </c>
      <c r="E555">
        <v>190.16</v>
      </c>
      <c r="F555">
        <v>1.94</v>
      </c>
      <c r="G555">
        <v>188.22</v>
      </c>
      <c r="H555" s="14">
        <f t="shared" si="237"/>
        <v>188.22</v>
      </c>
      <c r="I555" s="14" t="b">
        <f t="shared" si="238"/>
        <v>1</v>
      </c>
      <c r="J555" s="2">
        <v>46003</v>
      </c>
      <c r="K555" s="5">
        <v>1007919</v>
      </c>
      <c r="L555" s="5">
        <v>3249</v>
      </c>
      <c r="M555" s="5">
        <v>3.88</v>
      </c>
      <c r="N555" s="5">
        <v>194.04</v>
      </c>
      <c r="O555" s="7">
        <v>45994</v>
      </c>
      <c r="P555" s="5">
        <v>190.16</v>
      </c>
      <c r="Q555" s="5">
        <v>3.88</v>
      </c>
      <c r="R555" s="5" t="s">
        <v>32</v>
      </c>
      <c r="S555" s="5" t="s">
        <v>33</v>
      </c>
      <c r="T555" s="5">
        <v>1.94</v>
      </c>
      <c r="U555" s="5">
        <v>188.22</v>
      </c>
      <c r="V555" s="5" t="s">
        <v>34</v>
      </c>
      <c r="W555" s="5">
        <v>2</v>
      </c>
      <c r="X555" s="5">
        <v>1841535894754</v>
      </c>
      <c r="Y555" s="7">
        <v>46003</v>
      </c>
      <c r="Z555" s="7">
        <v>45994</v>
      </c>
      <c r="AB555" s="6">
        <v>46003</v>
      </c>
      <c r="AC555" s="7">
        <v>46000.571527777778</v>
      </c>
      <c r="AD555" s="5">
        <v>32491007919</v>
      </c>
      <c r="AE555" s="8">
        <v>45994</v>
      </c>
      <c r="AF555" s="5" t="s">
        <v>323</v>
      </c>
      <c r="AG555" s="5" t="s">
        <v>37</v>
      </c>
      <c r="AH555" s="5">
        <v>206480</v>
      </c>
      <c r="AI555" s="6">
        <v>45994</v>
      </c>
      <c r="AJ555" s="6">
        <v>46003</v>
      </c>
      <c r="AK555" s="1">
        <f t="shared" si="239"/>
        <v>3.8807999999999998</v>
      </c>
    </row>
    <row r="556" spans="1:37" hidden="1" x14ac:dyDescent="0.55000000000000004">
      <c r="A556">
        <v>3249</v>
      </c>
      <c r="B556">
        <v>1007933</v>
      </c>
      <c r="C556" s="1">
        <v>2694.63</v>
      </c>
      <c r="E556" s="1">
        <v>2694.63</v>
      </c>
      <c r="F556">
        <v>26.95</v>
      </c>
      <c r="G556" s="1">
        <v>2667.68</v>
      </c>
      <c r="H556" s="1"/>
      <c r="I556" s="1"/>
      <c r="J556" s="2">
        <v>46003</v>
      </c>
      <c r="K556" s="5">
        <v>1007933</v>
      </c>
      <c r="L556" s="5">
        <v>3249</v>
      </c>
      <c r="M556" s="5">
        <v>0</v>
      </c>
      <c r="N556" s="5">
        <v>2694.63</v>
      </c>
      <c r="O556" s="7">
        <v>45994</v>
      </c>
      <c r="P556" s="5">
        <v>2694.63</v>
      </c>
      <c r="Q556" s="5">
        <v>0</v>
      </c>
      <c r="R556" s="5" t="s">
        <v>32</v>
      </c>
      <c r="S556" s="5" t="s">
        <v>33</v>
      </c>
      <c r="T556" s="5">
        <v>26.95</v>
      </c>
      <c r="U556" s="5">
        <v>2667.68</v>
      </c>
      <c r="V556" s="5" t="s">
        <v>34</v>
      </c>
      <c r="W556" s="5">
        <v>2</v>
      </c>
      <c r="X556" s="5">
        <v>1841535894754</v>
      </c>
      <c r="Y556" s="7">
        <v>46003</v>
      </c>
      <c r="Z556" s="7">
        <v>45994</v>
      </c>
      <c r="AB556" s="6">
        <v>46003</v>
      </c>
      <c r="AC556" s="7">
        <v>46000.571527777778</v>
      </c>
      <c r="AD556" s="5">
        <v>32491007933</v>
      </c>
      <c r="AE556" s="8">
        <v>45994</v>
      </c>
      <c r="AF556" s="5" t="s">
        <v>325</v>
      </c>
      <c r="AG556" s="5" t="s">
        <v>38</v>
      </c>
      <c r="AH556" s="5">
        <v>206461</v>
      </c>
      <c r="AI556" s="6">
        <v>45994</v>
      </c>
      <c r="AJ556" s="6">
        <v>46003</v>
      </c>
    </row>
    <row r="557" spans="1:37" hidden="1" x14ac:dyDescent="0.55000000000000004">
      <c r="A557">
        <v>3249</v>
      </c>
      <c r="B557">
        <v>1007936</v>
      </c>
      <c r="C557">
        <v>364.46</v>
      </c>
      <c r="E557">
        <v>364.46</v>
      </c>
      <c r="F557">
        <v>3.64</v>
      </c>
      <c r="G557">
        <v>360.82</v>
      </c>
      <c r="H557"/>
      <c r="I557"/>
      <c r="J557" s="2">
        <v>46003</v>
      </c>
      <c r="K557" s="5">
        <v>1007936</v>
      </c>
      <c r="L557" s="5">
        <v>3249</v>
      </c>
      <c r="M557" s="5">
        <v>0</v>
      </c>
      <c r="N557" s="5">
        <v>364.46</v>
      </c>
      <c r="O557" s="7">
        <v>45994</v>
      </c>
      <c r="P557" s="5">
        <v>364.46</v>
      </c>
      <c r="Q557" s="5">
        <v>0</v>
      </c>
      <c r="R557" s="5" t="s">
        <v>32</v>
      </c>
      <c r="S557" s="5" t="s">
        <v>33</v>
      </c>
      <c r="T557" s="5">
        <v>3.64</v>
      </c>
      <c r="U557" s="5">
        <v>360.82</v>
      </c>
      <c r="V557" s="5" t="s">
        <v>34</v>
      </c>
      <c r="W557" s="5">
        <v>2</v>
      </c>
      <c r="X557" s="5">
        <v>1841535894754</v>
      </c>
      <c r="Y557" s="7">
        <v>46003</v>
      </c>
      <c r="Z557" s="7">
        <v>45994</v>
      </c>
      <c r="AB557" s="6">
        <v>46003</v>
      </c>
      <c r="AC557" s="7">
        <v>46000.571527777778</v>
      </c>
      <c r="AD557" s="5">
        <v>32491007936</v>
      </c>
      <c r="AE557" s="8">
        <v>45994</v>
      </c>
      <c r="AF557" s="5" t="s">
        <v>321</v>
      </c>
      <c r="AG557" s="5" t="s">
        <v>38</v>
      </c>
      <c r="AH557" s="5">
        <v>206460</v>
      </c>
      <c r="AI557" s="6">
        <v>45994</v>
      </c>
      <c r="AJ557" s="6">
        <v>46003</v>
      </c>
    </row>
    <row r="558" spans="1:37" hidden="1" x14ac:dyDescent="0.55000000000000004">
      <c r="A558">
        <v>3249</v>
      </c>
      <c r="B558">
        <v>1008007</v>
      </c>
      <c r="C558" s="1">
        <v>18411.810000000001</v>
      </c>
      <c r="E558" s="1">
        <v>18411.810000000001</v>
      </c>
      <c r="F558">
        <v>184.12</v>
      </c>
      <c r="G558" s="1">
        <v>18227.689999999999</v>
      </c>
      <c r="H558" s="1"/>
      <c r="I558" s="1"/>
      <c r="J558" s="2">
        <v>46003</v>
      </c>
      <c r="K558" s="5">
        <v>1008007</v>
      </c>
      <c r="L558" s="5">
        <v>3249</v>
      </c>
      <c r="M558" s="5">
        <v>0</v>
      </c>
      <c r="N558" s="5">
        <v>18411.810000000001</v>
      </c>
      <c r="O558" s="7">
        <v>45994</v>
      </c>
      <c r="P558" s="5">
        <v>18411.810000000001</v>
      </c>
      <c r="Q558" s="5">
        <v>0</v>
      </c>
      <c r="R558" s="5" t="s">
        <v>32</v>
      </c>
      <c r="S558" s="5" t="s">
        <v>33</v>
      </c>
      <c r="T558" s="5">
        <v>184.12</v>
      </c>
      <c r="U558" s="5">
        <v>18227.689999999999</v>
      </c>
      <c r="V558" s="5" t="s">
        <v>34</v>
      </c>
      <c r="W558" s="5">
        <v>2</v>
      </c>
      <c r="X558" s="5">
        <v>1841535894754</v>
      </c>
      <c r="Y558" s="7">
        <v>46003</v>
      </c>
      <c r="Z558" s="7">
        <v>45994</v>
      </c>
      <c r="AB558" s="6">
        <v>46003</v>
      </c>
      <c r="AC558" s="7">
        <v>46000.571527777778</v>
      </c>
      <c r="AD558" s="5">
        <v>32491008007</v>
      </c>
      <c r="AE558" s="8">
        <v>45994</v>
      </c>
      <c r="AF558" s="5" t="s">
        <v>326</v>
      </c>
      <c r="AG558" s="5" t="s">
        <v>38</v>
      </c>
      <c r="AH558" s="5">
        <v>206238</v>
      </c>
      <c r="AI558" s="6">
        <v>45994</v>
      </c>
      <c r="AJ558" s="6">
        <v>46003</v>
      </c>
    </row>
    <row r="559" spans="1:37" x14ac:dyDescent="0.55000000000000004">
      <c r="A559">
        <v>3249</v>
      </c>
      <c r="B559">
        <v>1008044</v>
      </c>
      <c r="C559" s="1">
        <v>1345.86</v>
      </c>
      <c r="D559" s="4">
        <v>26.92</v>
      </c>
      <c r="E559" s="1">
        <v>1318.94</v>
      </c>
      <c r="F559">
        <v>13.46</v>
      </c>
      <c r="G559" s="1">
        <v>1305.48</v>
      </c>
      <c r="H559" s="14">
        <f t="shared" ref="H559:H560" si="240">C559-D559-F559</f>
        <v>1305.4799999999998</v>
      </c>
      <c r="I559" s="14" t="b">
        <f t="shared" ref="I559:I560" si="241">G559=H559</f>
        <v>1</v>
      </c>
      <c r="J559" s="2">
        <v>46003</v>
      </c>
      <c r="K559" s="5">
        <v>1008044</v>
      </c>
      <c r="L559" s="5">
        <v>3249</v>
      </c>
      <c r="M559" s="5">
        <v>26.92</v>
      </c>
      <c r="N559" s="5">
        <v>1345.86</v>
      </c>
      <c r="O559" s="7">
        <v>45994</v>
      </c>
      <c r="P559" s="5">
        <v>1318.94</v>
      </c>
      <c r="Q559" s="5">
        <v>26.92</v>
      </c>
      <c r="R559" s="5" t="s">
        <v>32</v>
      </c>
      <c r="S559" s="5" t="s">
        <v>33</v>
      </c>
      <c r="T559" s="5">
        <v>13.46</v>
      </c>
      <c r="U559" s="5">
        <v>1305.48</v>
      </c>
      <c r="V559" s="5" t="s">
        <v>34</v>
      </c>
      <c r="W559" s="5">
        <v>2</v>
      </c>
      <c r="X559" s="5">
        <v>1841535894754</v>
      </c>
      <c r="Y559" s="7">
        <v>46003</v>
      </c>
      <c r="Z559" s="7">
        <v>45994</v>
      </c>
      <c r="AB559" s="6">
        <v>46003</v>
      </c>
      <c r="AC559" s="7">
        <v>46000.571527777778</v>
      </c>
      <c r="AD559" s="5">
        <v>32491008044</v>
      </c>
      <c r="AE559" s="8">
        <v>45994</v>
      </c>
      <c r="AF559" s="5" t="s">
        <v>327</v>
      </c>
      <c r="AG559" s="5" t="s">
        <v>37</v>
      </c>
      <c r="AH559" s="5">
        <v>206072</v>
      </c>
      <c r="AI559" s="6">
        <v>45994</v>
      </c>
      <c r="AJ559" s="6">
        <v>46003</v>
      </c>
      <c r="AK559" s="1">
        <f t="shared" ref="AK559:AK560" si="242">0.02*C559</f>
        <v>26.917199999999998</v>
      </c>
    </row>
    <row r="560" spans="1:37" x14ac:dyDescent="0.55000000000000004">
      <c r="A560">
        <v>3249</v>
      </c>
      <c r="B560">
        <v>1008054</v>
      </c>
      <c r="C560" s="1">
        <v>1536.6</v>
      </c>
      <c r="D560" s="4">
        <v>30.73</v>
      </c>
      <c r="E560" s="1">
        <v>1505.87</v>
      </c>
      <c r="F560">
        <v>15.37</v>
      </c>
      <c r="G560" s="1">
        <v>1490.5</v>
      </c>
      <c r="H560" s="14">
        <f t="shared" si="240"/>
        <v>1490.5</v>
      </c>
      <c r="I560" s="14" t="b">
        <f t="shared" si="241"/>
        <v>1</v>
      </c>
      <c r="J560" s="2">
        <v>46003</v>
      </c>
      <c r="K560" s="5">
        <v>1008054</v>
      </c>
      <c r="L560" s="5">
        <v>3249</v>
      </c>
      <c r="M560" s="5">
        <v>30.73</v>
      </c>
      <c r="N560" s="5">
        <v>1536.6</v>
      </c>
      <c r="O560" s="7">
        <v>45994</v>
      </c>
      <c r="P560" s="5">
        <v>1505.87</v>
      </c>
      <c r="Q560" s="5">
        <v>30.73</v>
      </c>
      <c r="R560" s="5" t="s">
        <v>32</v>
      </c>
      <c r="S560" s="5" t="s">
        <v>33</v>
      </c>
      <c r="T560" s="5">
        <v>15.37</v>
      </c>
      <c r="U560" s="5">
        <v>1490.5</v>
      </c>
      <c r="V560" s="5" t="s">
        <v>34</v>
      </c>
      <c r="W560" s="5">
        <v>2</v>
      </c>
      <c r="X560" s="5">
        <v>1841535894754</v>
      </c>
      <c r="Y560" s="7">
        <v>46003</v>
      </c>
      <c r="Z560" s="7">
        <v>45994</v>
      </c>
      <c r="AB560" s="6">
        <v>46003</v>
      </c>
      <c r="AC560" s="7">
        <v>46000.571527777778</v>
      </c>
      <c r="AD560" s="5">
        <v>32491008054</v>
      </c>
      <c r="AE560" s="8">
        <v>45994</v>
      </c>
      <c r="AF560" s="5" t="s">
        <v>328</v>
      </c>
      <c r="AG560" s="5" t="s">
        <v>37</v>
      </c>
      <c r="AH560" s="5">
        <v>206547</v>
      </c>
      <c r="AI560" s="6">
        <v>45994</v>
      </c>
      <c r="AJ560" s="6">
        <v>46003</v>
      </c>
      <c r="AK560" s="1">
        <f t="shared" si="242"/>
        <v>30.731999999999999</v>
      </c>
    </row>
    <row r="561" spans="1:39" hidden="1" x14ac:dyDescent="0.55000000000000004">
      <c r="A561">
        <v>3249</v>
      </c>
      <c r="B561">
        <v>1008064</v>
      </c>
      <c r="C561" s="1">
        <v>-8850</v>
      </c>
      <c r="E561" s="1">
        <v>-8850</v>
      </c>
      <c r="G561" s="1">
        <v>-8850</v>
      </c>
      <c r="H561" s="1"/>
      <c r="I561" s="1"/>
      <c r="J561" s="2">
        <v>46003</v>
      </c>
      <c r="K561" s="5">
        <v>1008064</v>
      </c>
      <c r="L561" s="5">
        <v>3249</v>
      </c>
      <c r="M561" s="5">
        <v>0</v>
      </c>
      <c r="N561" s="5">
        <v>-8850</v>
      </c>
      <c r="O561" s="7">
        <v>45995</v>
      </c>
      <c r="P561" s="5">
        <v>-8850</v>
      </c>
      <c r="Q561" s="5">
        <v>0</v>
      </c>
      <c r="R561" s="5" t="s">
        <v>329</v>
      </c>
      <c r="S561" s="5" t="s">
        <v>33</v>
      </c>
      <c r="T561" s="5">
        <v>0</v>
      </c>
      <c r="U561" s="5">
        <v>-8850</v>
      </c>
      <c r="V561" s="5" t="s">
        <v>34</v>
      </c>
      <c r="W561" s="5">
        <v>2</v>
      </c>
      <c r="X561" s="5">
        <v>1841535894754</v>
      </c>
      <c r="Y561" s="7">
        <v>46003</v>
      </c>
      <c r="Z561" s="7">
        <v>45995</v>
      </c>
      <c r="AB561" s="6">
        <v>46003</v>
      </c>
      <c r="AC561" s="7">
        <v>46000.571527777778</v>
      </c>
      <c r="AD561" s="5">
        <v>32491008064</v>
      </c>
      <c r="AE561" s="8">
        <v>45995</v>
      </c>
      <c r="AF561" s="5" t="s">
        <v>41</v>
      </c>
      <c r="AG561" s="5" t="s">
        <v>38</v>
      </c>
      <c r="AH561" s="5" t="s">
        <v>329</v>
      </c>
      <c r="AI561" s="6">
        <v>45995</v>
      </c>
      <c r="AJ561" s="6">
        <v>46003</v>
      </c>
    </row>
    <row r="562" spans="1:39" x14ac:dyDescent="0.55000000000000004">
      <c r="A562">
        <v>3249</v>
      </c>
      <c r="B562">
        <v>1008070</v>
      </c>
      <c r="C562">
        <v>107.96</v>
      </c>
      <c r="D562" s="4">
        <v>2.16</v>
      </c>
      <c r="E562">
        <v>105.8</v>
      </c>
      <c r="F562">
        <v>1.08</v>
      </c>
      <c r="G562">
        <v>104.72</v>
      </c>
      <c r="H562" s="14">
        <f t="shared" ref="H562:H563" si="243">C562-D562-F562</f>
        <v>104.72</v>
      </c>
      <c r="I562" s="14" t="b">
        <f t="shared" ref="I562:I563" si="244">G562=H562</f>
        <v>1</v>
      </c>
      <c r="J562" s="2">
        <v>46003</v>
      </c>
      <c r="K562" s="5">
        <v>1008070</v>
      </c>
      <c r="L562" s="5">
        <v>3249</v>
      </c>
      <c r="M562" s="5">
        <v>2.16</v>
      </c>
      <c r="N562" s="5">
        <v>107.96</v>
      </c>
      <c r="O562" s="7">
        <v>45995</v>
      </c>
      <c r="P562" s="5">
        <v>105.8</v>
      </c>
      <c r="Q562" s="5">
        <v>2.16</v>
      </c>
      <c r="R562" s="5" t="s">
        <v>32</v>
      </c>
      <c r="S562" s="5" t="s">
        <v>33</v>
      </c>
      <c r="T562" s="5">
        <v>1.08</v>
      </c>
      <c r="U562" s="5">
        <v>104.72</v>
      </c>
      <c r="V562" s="5" t="s">
        <v>34</v>
      </c>
      <c r="W562" s="5">
        <v>2</v>
      </c>
      <c r="X562" s="5">
        <v>1841535894754</v>
      </c>
      <c r="Y562" s="7">
        <v>46003</v>
      </c>
      <c r="Z562" s="7">
        <v>45995</v>
      </c>
      <c r="AB562" s="6">
        <v>46003</v>
      </c>
      <c r="AC562" s="7">
        <v>46000.571527777778</v>
      </c>
      <c r="AD562" s="5">
        <v>32491008070</v>
      </c>
      <c r="AE562" s="8">
        <v>45995</v>
      </c>
      <c r="AF562" s="5" t="s">
        <v>330</v>
      </c>
      <c r="AG562" s="5" t="s">
        <v>37</v>
      </c>
      <c r="AH562" s="5">
        <v>206414</v>
      </c>
      <c r="AI562" s="6">
        <v>45995</v>
      </c>
      <c r="AJ562" s="6">
        <v>46003</v>
      </c>
      <c r="AK562" s="1">
        <f t="shared" ref="AK562:AK563" si="245">0.02*C562</f>
        <v>2.1591999999999998</v>
      </c>
    </row>
    <row r="563" spans="1:39" x14ac:dyDescent="0.55000000000000004">
      <c r="A563">
        <v>3249</v>
      </c>
      <c r="B563">
        <v>1008265</v>
      </c>
      <c r="C563" s="1">
        <v>5954.15</v>
      </c>
      <c r="D563" s="4">
        <v>19.079999999999998</v>
      </c>
      <c r="E563" s="1">
        <v>5835.07</v>
      </c>
      <c r="F563">
        <v>59.54</v>
      </c>
      <c r="G563" s="1">
        <v>5775.53</v>
      </c>
      <c r="H563" s="14">
        <f t="shared" si="243"/>
        <v>5875.53</v>
      </c>
      <c r="I563" s="14" t="b">
        <f t="shared" si="244"/>
        <v>0</v>
      </c>
      <c r="J563" s="2">
        <v>46003</v>
      </c>
      <c r="K563" s="5">
        <v>1008265</v>
      </c>
      <c r="L563" s="5">
        <v>3249</v>
      </c>
      <c r="M563" s="5">
        <v>119.08</v>
      </c>
      <c r="N563" s="5">
        <v>5954.15</v>
      </c>
      <c r="O563" s="7">
        <v>45995</v>
      </c>
      <c r="P563" s="5">
        <v>5835.07</v>
      </c>
      <c r="Q563" s="5">
        <v>119.08</v>
      </c>
      <c r="R563" s="5" t="s">
        <v>32</v>
      </c>
      <c r="S563" s="5" t="s">
        <v>33</v>
      </c>
      <c r="T563" s="5">
        <v>59.54</v>
      </c>
      <c r="U563" s="5">
        <v>5775.53</v>
      </c>
      <c r="V563" s="5" t="s">
        <v>34</v>
      </c>
      <c r="W563" s="5">
        <v>2</v>
      </c>
      <c r="X563" s="5">
        <v>1841535894754</v>
      </c>
      <c r="Y563" s="7">
        <v>46003</v>
      </c>
      <c r="Z563" s="7">
        <v>45995</v>
      </c>
      <c r="AB563" s="6">
        <v>46003</v>
      </c>
      <c r="AC563" s="7">
        <v>46000.571527777778</v>
      </c>
      <c r="AD563" s="5">
        <v>32491008265</v>
      </c>
      <c r="AE563" s="8">
        <v>45995</v>
      </c>
      <c r="AF563" s="5" t="s">
        <v>328</v>
      </c>
      <c r="AG563" s="5" t="s">
        <v>37</v>
      </c>
      <c r="AH563" s="5">
        <v>206558</v>
      </c>
      <c r="AI563" s="6">
        <v>45995</v>
      </c>
      <c r="AJ563" s="6">
        <v>46003</v>
      </c>
      <c r="AK563" s="1">
        <f t="shared" si="245"/>
        <v>119.083</v>
      </c>
      <c r="AM563">
        <f>F563</f>
        <v>59.54</v>
      </c>
    </row>
    <row r="564" spans="1:39" hidden="1" x14ac:dyDescent="0.55000000000000004">
      <c r="A564">
        <v>3249</v>
      </c>
      <c r="B564">
        <v>1008272</v>
      </c>
      <c r="C564" s="1">
        <v>-2700</v>
      </c>
      <c r="E564" s="1">
        <v>-2700</v>
      </c>
      <c r="G564" s="1">
        <v>-2700</v>
      </c>
      <c r="H564" s="1"/>
      <c r="I564" s="1"/>
      <c r="J564" s="2">
        <v>46003</v>
      </c>
      <c r="K564" s="5">
        <v>1008272</v>
      </c>
      <c r="L564" s="5">
        <v>3249</v>
      </c>
      <c r="M564" s="5">
        <v>0</v>
      </c>
      <c r="N564" s="5">
        <v>-2700</v>
      </c>
      <c r="O564" s="7">
        <v>45995</v>
      </c>
      <c r="P564" s="5">
        <v>-2700</v>
      </c>
      <c r="Q564" s="5">
        <v>0</v>
      </c>
      <c r="R564" s="5" t="s">
        <v>40</v>
      </c>
      <c r="S564" s="5" t="s">
        <v>33</v>
      </c>
      <c r="T564" s="5">
        <v>0</v>
      </c>
      <c r="U564" s="5">
        <v>-2700</v>
      </c>
      <c r="V564" s="5" t="s">
        <v>34</v>
      </c>
      <c r="W564" s="5">
        <v>2</v>
      </c>
      <c r="X564" s="5">
        <v>1841535894754</v>
      </c>
      <c r="Y564" s="7">
        <v>46003</v>
      </c>
      <c r="Z564" s="7">
        <v>45995</v>
      </c>
      <c r="AB564" s="6">
        <v>46003</v>
      </c>
      <c r="AC564" s="7">
        <v>46000.571527777778</v>
      </c>
      <c r="AD564" s="5">
        <v>32491008272</v>
      </c>
      <c r="AE564" s="8">
        <v>45995</v>
      </c>
      <c r="AF564" s="5" t="s">
        <v>41</v>
      </c>
      <c r="AG564" s="5" t="s">
        <v>38</v>
      </c>
      <c r="AH564" s="5" t="s">
        <v>40</v>
      </c>
      <c r="AI564" s="6">
        <v>45995</v>
      </c>
      <c r="AJ564" s="6">
        <v>46003</v>
      </c>
    </row>
    <row r="565" spans="1:39" hidden="1" x14ac:dyDescent="0.55000000000000004">
      <c r="A565">
        <v>3249</v>
      </c>
      <c r="B565">
        <v>1008328</v>
      </c>
      <c r="C565">
        <v>-300</v>
      </c>
      <c r="E565">
        <v>-300</v>
      </c>
      <c r="G565">
        <v>-300</v>
      </c>
      <c r="H565"/>
      <c r="I565"/>
      <c r="J565" s="2">
        <v>46003</v>
      </c>
      <c r="K565" s="5">
        <v>1008328</v>
      </c>
      <c r="L565" s="5">
        <v>3249</v>
      </c>
      <c r="M565" s="5">
        <v>0</v>
      </c>
      <c r="N565" s="5">
        <v>-300</v>
      </c>
      <c r="O565" s="7">
        <v>45996</v>
      </c>
      <c r="P565" s="5">
        <v>-300</v>
      </c>
      <c r="Q565" s="5">
        <v>0</v>
      </c>
      <c r="R565" s="5" t="s">
        <v>331</v>
      </c>
      <c r="S565" s="5" t="s">
        <v>191</v>
      </c>
      <c r="T565" s="5">
        <v>0</v>
      </c>
      <c r="U565" s="5">
        <v>-300</v>
      </c>
      <c r="V565" s="5" t="s">
        <v>34</v>
      </c>
      <c r="W565" s="5">
        <v>2</v>
      </c>
      <c r="X565" s="5">
        <v>1841535894754</v>
      </c>
      <c r="Y565" s="7">
        <v>46003</v>
      </c>
      <c r="Z565" s="7">
        <v>45996</v>
      </c>
      <c r="AB565" s="6">
        <v>46003</v>
      </c>
      <c r="AC565" s="7">
        <v>46000.571527777778</v>
      </c>
      <c r="AD565" s="5">
        <v>32491008328</v>
      </c>
      <c r="AE565" s="8">
        <v>45996</v>
      </c>
      <c r="AF565" s="5" t="s">
        <v>192</v>
      </c>
      <c r="AG565" s="5" t="s">
        <v>38</v>
      </c>
      <c r="AH565" s="5" t="s">
        <v>331</v>
      </c>
      <c r="AI565" s="6">
        <v>45996</v>
      </c>
      <c r="AJ565" s="6">
        <v>46003</v>
      </c>
    </row>
    <row r="566" spans="1:39" hidden="1" x14ac:dyDescent="0.55000000000000004">
      <c r="A566">
        <v>3249</v>
      </c>
      <c r="B566">
        <v>1008337</v>
      </c>
      <c r="C566" s="1">
        <v>1584.6</v>
      </c>
      <c r="E566" s="1">
        <v>1584.6</v>
      </c>
      <c r="F566">
        <v>15.85</v>
      </c>
      <c r="G566" s="1">
        <v>1568.75</v>
      </c>
      <c r="H566" s="1"/>
      <c r="I566" s="1"/>
      <c r="J566" s="2">
        <v>46003</v>
      </c>
      <c r="K566" s="5">
        <v>1008337</v>
      </c>
      <c r="L566" s="5">
        <v>3249</v>
      </c>
      <c r="M566" s="5">
        <v>0</v>
      </c>
      <c r="N566" s="5">
        <v>1584.6</v>
      </c>
      <c r="O566" s="7">
        <v>45996</v>
      </c>
      <c r="P566" s="5">
        <v>1584.6</v>
      </c>
      <c r="Q566" s="5">
        <v>0</v>
      </c>
      <c r="R566" s="5">
        <v>1043700</v>
      </c>
      <c r="S566" s="5" t="s">
        <v>59</v>
      </c>
      <c r="T566" s="5">
        <v>15.85</v>
      </c>
      <c r="U566" s="5">
        <v>1568.75</v>
      </c>
      <c r="V566" s="5" t="s">
        <v>34</v>
      </c>
      <c r="W566" s="5">
        <v>2</v>
      </c>
      <c r="X566" s="5">
        <v>1841535894754</v>
      </c>
      <c r="Y566" s="7">
        <v>46003</v>
      </c>
      <c r="Z566" s="7">
        <v>45996</v>
      </c>
      <c r="AB566" s="6">
        <v>46003</v>
      </c>
      <c r="AC566" s="7">
        <v>46000.571527777778</v>
      </c>
      <c r="AD566" s="5">
        <v>32491008337</v>
      </c>
      <c r="AE566" s="8">
        <v>45996</v>
      </c>
      <c r="AF566" s="5">
        <v>215359</v>
      </c>
      <c r="AG566" s="5" t="s">
        <v>38</v>
      </c>
      <c r="AH566" s="5">
        <v>1043700</v>
      </c>
      <c r="AI566" s="6">
        <v>45996</v>
      </c>
      <c r="AJ566" s="6">
        <v>46003</v>
      </c>
    </row>
    <row r="567" spans="1:39" hidden="1" x14ac:dyDescent="0.55000000000000004">
      <c r="A567">
        <v>3249</v>
      </c>
      <c r="B567">
        <v>1008344</v>
      </c>
      <c r="C567" s="1">
        <v>1133.73</v>
      </c>
      <c r="E567" s="1">
        <v>1133.73</v>
      </c>
      <c r="F567">
        <v>11.34</v>
      </c>
      <c r="G567" s="1">
        <v>1122.3900000000001</v>
      </c>
      <c r="H567" s="1"/>
      <c r="I567" s="1"/>
      <c r="J567" s="2">
        <v>46003</v>
      </c>
      <c r="K567" s="5">
        <v>1008344</v>
      </c>
      <c r="L567" s="5">
        <v>3249</v>
      </c>
      <c r="M567" s="5">
        <v>0</v>
      </c>
      <c r="N567" s="5">
        <v>1133.73</v>
      </c>
      <c r="O567" s="7">
        <v>45996</v>
      </c>
      <c r="P567" s="5">
        <v>1133.73</v>
      </c>
      <c r="Q567" s="5">
        <v>0</v>
      </c>
      <c r="R567" s="5" t="s">
        <v>332</v>
      </c>
      <c r="S567" s="5" t="s">
        <v>43</v>
      </c>
      <c r="T567" s="5">
        <v>11.34</v>
      </c>
      <c r="U567" s="5">
        <v>1122.3900000000001</v>
      </c>
      <c r="V567" s="5" t="s">
        <v>34</v>
      </c>
      <c r="W567" s="5">
        <v>2</v>
      </c>
      <c r="X567" s="5">
        <v>1841535894754</v>
      </c>
      <c r="Y567" s="7">
        <v>46003</v>
      </c>
      <c r="Z567" s="7">
        <v>45996</v>
      </c>
      <c r="AB567" s="6">
        <v>46003</v>
      </c>
      <c r="AC567" s="7">
        <v>46000.571527777778</v>
      </c>
      <c r="AD567" s="5">
        <v>32491008344</v>
      </c>
      <c r="AE567" s="8">
        <v>45996</v>
      </c>
      <c r="AF567" s="5" t="s">
        <v>333</v>
      </c>
      <c r="AG567" s="5" t="s">
        <v>38</v>
      </c>
      <c r="AH567" s="5" t="s">
        <v>332</v>
      </c>
      <c r="AI567" s="6">
        <v>45996</v>
      </c>
      <c r="AJ567" s="6">
        <v>46003</v>
      </c>
    </row>
    <row r="568" spans="1:39" x14ac:dyDescent="0.55000000000000004">
      <c r="A568">
        <v>3249</v>
      </c>
      <c r="B568">
        <v>1008440</v>
      </c>
      <c r="C568" s="1">
        <v>1101.1600000000001</v>
      </c>
      <c r="D568" s="4">
        <v>22.02</v>
      </c>
      <c r="E568" s="1">
        <v>1079.1400000000001</v>
      </c>
      <c r="F568">
        <v>11.01</v>
      </c>
      <c r="G568" s="1">
        <v>1068.1300000000001</v>
      </c>
      <c r="H568" s="14">
        <f>C568-D568-F568</f>
        <v>1068.1300000000001</v>
      </c>
      <c r="I568" s="14" t="b">
        <f>G568=H568</f>
        <v>1</v>
      </c>
      <c r="J568" s="2">
        <v>46003</v>
      </c>
      <c r="K568" s="5">
        <v>1008440</v>
      </c>
      <c r="L568" s="5">
        <v>3249</v>
      </c>
      <c r="M568" s="5">
        <v>22.02</v>
      </c>
      <c r="N568" s="5">
        <v>1101.1600000000001</v>
      </c>
      <c r="O568" s="7">
        <v>45996</v>
      </c>
      <c r="P568" s="5">
        <v>1079.1400000000001</v>
      </c>
      <c r="Q568" s="5">
        <v>22.02</v>
      </c>
      <c r="R568" s="5" t="s">
        <v>32</v>
      </c>
      <c r="S568" s="5" t="s">
        <v>33</v>
      </c>
      <c r="T568" s="5">
        <v>11.01</v>
      </c>
      <c r="U568" s="5">
        <v>1068.1300000000001</v>
      </c>
      <c r="V568" s="5" t="s">
        <v>34</v>
      </c>
      <c r="W568" s="5">
        <v>2</v>
      </c>
      <c r="X568" s="5">
        <v>1841535894754</v>
      </c>
      <c r="Y568" s="7">
        <v>46003</v>
      </c>
      <c r="Z568" s="7">
        <v>45996</v>
      </c>
      <c r="AB568" s="6">
        <v>46003</v>
      </c>
      <c r="AC568" s="7">
        <v>46000.571527777778</v>
      </c>
      <c r="AD568" s="5">
        <v>32491008440</v>
      </c>
      <c r="AE568" s="8">
        <v>45996</v>
      </c>
      <c r="AF568" s="5" t="s">
        <v>334</v>
      </c>
      <c r="AG568" s="5" t="s">
        <v>37</v>
      </c>
      <c r="AH568" s="5">
        <v>206619</v>
      </c>
      <c r="AI568" s="6">
        <v>45996</v>
      </c>
      <c r="AJ568" s="6">
        <v>46003</v>
      </c>
      <c r="AK568" s="1">
        <f t="shared" ref="AK568" si="246">0.02*C568</f>
        <v>22.023200000000003</v>
      </c>
    </row>
    <row r="569" spans="1:39" hidden="1" x14ac:dyDescent="0.55000000000000004">
      <c r="A569">
        <v>3249</v>
      </c>
      <c r="B569">
        <v>1008527</v>
      </c>
      <c r="C569" s="1">
        <v>10621.72</v>
      </c>
      <c r="E569" s="1">
        <v>10621.72</v>
      </c>
      <c r="F569">
        <v>106.22</v>
      </c>
      <c r="G569" s="1">
        <v>10515.5</v>
      </c>
      <c r="H569" s="1"/>
      <c r="I569" s="1"/>
      <c r="J569" s="2">
        <v>46003</v>
      </c>
      <c r="K569" s="5">
        <v>1008527</v>
      </c>
      <c r="L569" s="5">
        <v>3249</v>
      </c>
      <c r="M569" s="5">
        <v>0</v>
      </c>
      <c r="N569" s="5">
        <v>10621.72</v>
      </c>
      <c r="O569" s="7">
        <v>45996</v>
      </c>
      <c r="P569" s="5">
        <v>10621.72</v>
      </c>
      <c r="Q569" s="5">
        <v>0</v>
      </c>
      <c r="R569" s="5" t="s">
        <v>32</v>
      </c>
      <c r="S569" s="5" t="s">
        <v>33</v>
      </c>
      <c r="T569" s="5">
        <v>106.22</v>
      </c>
      <c r="U569" s="5">
        <v>10515.5</v>
      </c>
      <c r="V569" s="5" t="s">
        <v>34</v>
      </c>
      <c r="W569" s="5">
        <v>2</v>
      </c>
      <c r="X569" s="5">
        <v>1841535894754</v>
      </c>
      <c r="Y569" s="7">
        <v>46003</v>
      </c>
      <c r="Z569" s="7">
        <v>45996</v>
      </c>
      <c r="AB569" s="6">
        <v>46003</v>
      </c>
      <c r="AC569" s="7">
        <v>46000.571527777778</v>
      </c>
      <c r="AD569" s="5">
        <v>32491008527</v>
      </c>
      <c r="AE569" s="8">
        <v>45996</v>
      </c>
      <c r="AF569" s="5" t="s">
        <v>323</v>
      </c>
      <c r="AG569" s="5" t="s">
        <v>38</v>
      </c>
      <c r="AH569" s="5">
        <v>206809</v>
      </c>
      <c r="AI569" s="6">
        <v>45996</v>
      </c>
      <c r="AJ569" s="6">
        <v>46003</v>
      </c>
    </row>
    <row r="570" spans="1:39" x14ac:dyDescent="0.55000000000000004">
      <c r="A570">
        <v>3305</v>
      </c>
      <c r="B570">
        <v>1007218</v>
      </c>
      <c r="C570">
        <v>20.57</v>
      </c>
      <c r="E570">
        <v>20.57</v>
      </c>
      <c r="F570">
        <v>0.21</v>
      </c>
      <c r="G570">
        <v>20.57</v>
      </c>
      <c r="H570" s="14">
        <f t="shared" ref="H570:H571" si="247">C570-D570-F570</f>
        <v>20.36</v>
      </c>
      <c r="I570" s="14" t="b">
        <f t="shared" ref="I570:I571" si="248">G570=H570</f>
        <v>0</v>
      </c>
      <c r="J570" s="2">
        <v>46003</v>
      </c>
      <c r="K570" s="5">
        <v>1007218</v>
      </c>
      <c r="L570" s="5">
        <v>3305</v>
      </c>
      <c r="M570" s="5">
        <v>0</v>
      </c>
      <c r="N570" s="5">
        <v>20.57</v>
      </c>
      <c r="O570" s="7">
        <v>45992</v>
      </c>
      <c r="P570" s="5">
        <v>20.57</v>
      </c>
      <c r="Q570" s="5">
        <v>0</v>
      </c>
      <c r="R570" s="5" t="s">
        <v>32</v>
      </c>
      <c r="S570" s="5" t="s">
        <v>33</v>
      </c>
      <c r="T570" s="5">
        <v>0.21</v>
      </c>
      <c r="U570" s="5">
        <v>20.57</v>
      </c>
      <c r="V570" s="5" t="s">
        <v>34</v>
      </c>
      <c r="W570" s="5">
        <v>10</v>
      </c>
      <c r="X570" s="5" t="s">
        <v>335</v>
      </c>
      <c r="Y570" s="7">
        <v>46003</v>
      </c>
      <c r="Z570" s="7">
        <v>45992</v>
      </c>
      <c r="AA570" s="5" t="s">
        <v>32</v>
      </c>
      <c r="AB570" s="6">
        <v>46003</v>
      </c>
      <c r="AC570" s="7">
        <v>46003.572916666664</v>
      </c>
      <c r="AD570" s="5">
        <v>33051007218</v>
      </c>
      <c r="AE570" s="8">
        <v>45992</v>
      </c>
      <c r="AF570" s="5">
        <v>92525</v>
      </c>
      <c r="AG570" s="5" t="s">
        <v>37</v>
      </c>
      <c r="AH570" s="5">
        <v>205711</v>
      </c>
      <c r="AI570" s="6">
        <v>45992</v>
      </c>
      <c r="AJ570" s="6">
        <v>46003</v>
      </c>
      <c r="AK570" s="1">
        <f t="shared" ref="AK570:AK571" si="249">0.02*C570</f>
        <v>0.41139999999999999</v>
      </c>
      <c r="AL570" t="s">
        <v>673</v>
      </c>
      <c r="AM570">
        <f t="shared" ref="AM570:AM571" si="250">F570</f>
        <v>0.21</v>
      </c>
    </row>
    <row r="571" spans="1:39" x14ac:dyDescent="0.55000000000000004">
      <c r="A571">
        <v>3305</v>
      </c>
      <c r="B571">
        <v>1007222</v>
      </c>
      <c r="C571">
        <v>18.920000000000002</v>
      </c>
      <c r="E571">
        <v>18.920000000000002</v>
      </c>
      <c r="F571">
        <v>0.19</v>
      </c>
      <c r="G571">
        <v>18.920000000000002</v>
      </c>
      <c r="H571" s="14">
        <f t="shared" si="247"/>
        <v>18.73</v>
      </c>
      <c r="I571" s="14" t="b">
        <f t="shared" si="248"/>
        <v>0</v>
      </c>
      <c r="J571" s="2">
        <v>46003</v>
      </c>
      <c r="K571" s="5">
        <v>1007222</v>
      </c>
      <c r="L571" s="5">
        <v>3305</v>
      </c>
      <c r="M571" s="5">
        <v>0</v>
      </c>
      <c r="N571" s="5">
        <v>18.920000000000002</v>
      </c>
      <c r="O571" s="7">
        <v>45992</v>
      </c>
      <c r="P571" s="5">
        <v>18.920000000000002</v>
      </c>
      <c r="Q571" s="5">
        <v>0</v>
      </c>
      <c r="R571" s="5" t="s">
        <v>32</v>
      </c>
      <c r="S571" s="5" t="s">
        <v>33</v>
      </c>
      <c r="T571" s="5">
        <v>0.19</v>
      </c>
      <c r="U571" s="5">
        <v>18.920000000000002</v>
      </c>
      <c r="V571" s="5" t="s">
        <v>34</v>
      </c>
      <c r="W571" s="5">
        <v>10</v>
      </c>
      <c r="X571" s="5" t="s">
        <v>335</v>
      </c>
      <c r="Y571" s="7">
        <v>46003</v>
      </c>
      <c r="Z571" s="7">
        <v>45992</v>
      </c>
      <c r="AA571" s="5" t="s">
        <v>32</v>
      </c>
      <c r="AB571" s="6">
        <v>46003</v>
      </c>
      <c r="AC571" s="7">
        <v>46003.572916666664</v>
      </c>
      <c r="AD571" s="5">
        <v>33051007222</v>
      </c>
      <c r="AE571" s="8">
        <v>45992</v>
      </c>
      <c r="AF571" s="5">
        <v>112625</v>
      </c>
      <c r="AG571" s="5" t="s">
        <v>37</v>
      </c>
      <c r="AH571" s="5">
        <v>205712</v>
      </c>
      <c r="AI571" s="6">
        <v>45992</v>
      </c>
      <c r="AJ571" s="6">
        <v>46003</v>
      </c>
      <c r="AK571" s="1">
        <f t="shared" si="249"/>
        <v>0.37840000000000007</v>
      </c>
      <c r="AL571" t="s">
        <v>673</v>
      </c>
      <c r="AM571">
        <f t="shared" si="250"/>
        <v>0.19</v>
      </c>
    </row>
    <row r="572" spans="1:39" hidden="1" x14ac:dyDescent="0.55000000000000004">
      <c r="A572">
        <v>3305</v>
      </c>
      <c r="B572">
        <v>1007608</v>
      </c>
      <c r="C572" s="1">
        <v>3990</v>
      </c>
      <c r="E572" s="1">
        <v>3990</v>
      </c>
      <c r="F572">
        <v>39.9</v>
      </c>
      <c r="G572" s="1">
        <v>3950.1</v>
      </c>
      <c r="H572" s="1"/>
      <c r="I572" s="1"/>
      <c r="J572" s="2">
        <v>46003</v>
      </c>
      <c r="K572" s="5">
        <v>1007608</v>
      </c>
      <c r="L572" s="5">
        <v>3305</v>
      </c>
      <c r="M572" s="5">
        <v>0</v>
      </c>
      <c r="N572" s="5">
        <v>3990</v>
      </c>
      <c r="O572" s="7">
        <v>45993</v>
      </c>
      <c r="P572" s="5">
        <v>3990</v>
      </c>
      <c r="Q572" s="5">
        <v>0</v>
      </c>
      <c r="R572" s="5" t="s">
        <v>32</v>
      </c>
      <c r="S572" s="5" t="s">
        <v>33</v>
      </c>
      <c r="T572" s="5">
        <v>39.9</v>
      </c>
      <c r="U572" s="5">
        <v>3950.1</v>
      </c>
      <c r="V572" s="5" t="s">
        <v>34</v>
      </c>
      <c r="W572" s="5">
        <v>10</v>
      </c>
      <c r="X572" s="5" t="s">
        <v>335</v>
      </c>
      <c r="Y572" s="7">
        <v>46003</v>
      </c>
      <c r="Z572" s="7">
        <v>45993</v>
      </c>
      <c r="AA572" s="5" t="s">
        <v>32</v>
      </c>
      <c r="AB572" s="6">
        <v>46003</v>
      </c>
      <c r="AC572" s="7">
        <v>46003.572916666664</v>
      </c>
      <c r="AD572" s="5">
        <v>33051007608</v>
      </c>
      <c r="AE572" s="8">
        <v>45993</v>
      </c>
      <c r="AF572" s="5" t="s">
        <v>32</v>
      </c>
      <c r="AG572" s="5" t="s">
        <v>35</v>
      </c>
      <c r="AH572" s="5" t="s">
        <v>32</v>
      </c>
      <c r="AI572" s="6">
        <v>45993</v>
      </c>
      <c r="AJ572" s="6">
        <v>46003</v>
      </c>
    </row>
    <row r="573" spans="1:39" hidden="1" x14ac:dyDescent="0.55000000000000004">
      <c r="A573">
        <v>3305</v>
      </c>
      <c r="B573">
        <v>1008393</v>
      </c>
      <c r="C573">
        <v>304.85000000000002</v>
      </c>
      <c r="E573">
        <v>304.85000000000002</v>
      </c>
      <c r="F573">
        <v>3.05</v>
      </c>
      <c r="G573">
        <v>301.8</v>
      </c>
      <c r="H573"/>
      <c r="I573"/>
      <c r="J573" s="2">
        <v>46003</v>
      </c>
      <c r="K573" s="5">
        <v>1008393</v>
      </c>
      <c r="L573" s="5">
        <v>3305</v>
      </c>
      <c r="M573" s="5">
        <v>0</v>
      </c>
      <c r="N573" s="5">
        <v>304.85000000000002</v>
      </c>
      <c r="O573" s="7">
        <v>45996</v>
      </c>
      <c r="P573" s="5">
        <v>304.85000000000002</v>
      </c>
      <c r="Q573" s="5">
        <v>0</v>
      </c>
      <c r="R573" s="5">
        <v>3031924</v>
      </c>
      <c r="S573" s="5" t="s">
        <v>336</v>
      </c>
      <c r="T573" s="5">
        <v>3.05</v>
      </c>
      <c r="U573" s="5">
        <v>301.8</v>
      </c>
      <c r="V573" s="5" t="s">
        <v>34</v>
      </c>
      <c r="W573" s="5">
        <v>10</v>
      </c>
      <c r="X573" s="5" t="s">
        <v>335</v>
      </c>
      <c r="Y573" s="7">
        <v>46003</v>
      </c>
      <c r="Z573" s="7">
        <v>45996</v>
      </c>
      <c r="AA573" s="5" t="s">
        <v>32</v>
      </c>
      <c r="AB573" s="6">
        <v>46003</v>
      </c>
      <c r="AC573" s="7">
        <v>46003.572916666664</v>
      </c>
      <c r="AD573" s="5">
        <v>33051008393</v>
      </c>
      <c r="AE573" s="8">
        <v>45996</v>
      </c>
      <c r="AF573" s="5">
        <v>694</v>
      </c>
      <c r="AG573" s="5" t="s">
        <v>38</v>
      </c>
      <c r="AH573" s="5">
        <v>3031924</v>
      </c>
      <c r="AI573" s="6">
        <v>45996</v>
      </c>
      <c r="AJ573" s="6">
        <v>46003</v>
      </c>
    </row>
    <row r="574" spans="1:39" x14ac:dyDescent="0.55000000000000004">
      <c r="A574">
        <v>3312</v>
      </c>
      <c r="B574">
        <v>1007297</v>
      </c>
      <c r="C574">
        <v>199.08</v>
      </c>
      <c r="D574" s="4">
        <v>3.98</v>
      </c>
      <c r="E574">
        <v>195.1</v>
      </c>
      <c r="F574">
        <v>1.99</v>
      </c>
      <c r="G574">
        <v>193.11</v>
      </c>
      <c r="H574" s="14">
        <f t="shared" ref="H574:H576" si="251">C574-D574-F574</f>
        <v>193.11</v>
      </c>
      <c r="I574" s="14" t="b">
        <f t="shared" ref="I574:I576" si="252">G574=H574</f>
        <v>1</v>
      </c>
      <c r="J574" s="2">
        <v>46003</v>
      </c>
      <c r="K574" s="5">
        <v>1007297</v>
      </c>
      <c r="L574" s="5">
        <v>3312</v>
      </c>
      <c r="M574" s="5">
        <v>3.98</v>
      </c>
      <c r="N574" s="5">
        <v>199.08</v>
      </c>
      <c r="O574" s="7">
        <v>45992</v>
      </c>
      <c r="P574" s="5">
        <v>195.1</v>
      </c>
      <c r="Q574" s="5">
        <v>3.98</v>
      </c>
      <c r="R574" s="5" t="s">
        <v>32</v>
      </c>
      <c r="S574" s="5" t="s">
        <v>33</v>
      </c>
      <c r="T574" s="5">
        <v>1.99</v>
      </c>
      <c r="U574" s="5">
        <v>193.11</v>
      </c>
      <c r="V574" s="5" t="s">
        <v>34</v>
      </c>
      <c r="W574" s="5">
        <v>2</v>
      </c>
      <c r="X574" s="5">
        <v>1757977392645</v>
      </c>
      <c r="Y574" s="7">
        <v>46003</v>
      </c>
      <c r="Z574" s="7">
        <v>45992</v>
      </c>
      <c r="AB574" s="6">
        <v>46003</v>
      </c>
      <c r="AC574" s="7">
        <v>46002.370833333334</v>
      </c>
      <c r="AD574" s="5">
        <v>33121007297</v>
      </c>
      <c r="AE574" s="8">
        <v>45992</v>
      </c>
      <c r="AF574" s="5" t="s">
        <v>337</v>
      </c>
      <c r="AG574" s="5" t="s">
        <v>37</v>
      </c>
      <c r="AH574" s="5">
        <v>205853</v>
      </c>
      <c r="AI574" s="6">
        <v>45992</v>
      </c>
      <c r="AJ574" s="6">
        <v>46003</v>
      </c>
      <c r="AK574" s="1">
        <f t="shared" ref="AK574:AK576" si="253">0.02*C574</f>
        <v>3.9816000000000003</v>
      </c>
    </row>
    <row r="575" spans="1:39" x14ac:dyDescent="0.55000000000000004">
      <c r="A575">
        <v>3312</v>
      </c>
      <c r="B575">
        <v>1007302</v>
      </c>
      <c r="C575">
        <v>41.14</v>
      </c>
      <c r="D575" s="4">
        <v>0.82</v>
      </c>
      <c r="E575">
        <v>40.32</v>
      </c>
      <c r="F575">
        <v>0.41</v>
      </c>
      <c r="G575">
        <v>39.909999999999997</v>
      </c>
      <c r="H575" s="14">
        <f t="shared" si="251"/>
        <v>39.910000000000004</v>
      </c>
      <c r="I575" s="14" t="b">
        <f t="shared" si="252"/>
        <v>1</v>
      </c>
      <c r="J575" s="2">
        <v>46003</v>
      </c>
      <c r="K575" s="5">
        <v>1007302</v>
      </c>
      <c r="L575" s="5">
        <v>3312</v>
      </c>
      <c r="M575" s="5">
        <v>0.82</v>
      </c>
      <c r="N575" s="5">
        <v>41.14</v>
      </c>
      <c r="O575" s="7">
        <v>45992</v>
      </c>
      <c r="P575" s="5">
        <v>40.32</v>
      </c>
      <c r="Q575" s="5">
        <v>0.82</v>
      </c>
      <c r="R575" s="5" t="s">
        <v>32</v>
      </c>
      <c r="S575" s="5" t="s">
        <v>33</v>
      </c>
      <c r="T575" s="5">
        <v>0.41</v>
      </c>
      <c r="U575" s="5">
        <v>39.909999999999997</v>
      </c>
      <c r="V575" s="5" t="s">
        <v>34</v>
      </c>
      <c r="W575" s="5">
        <v>2</v>
      </c>
      <c r="X575" s="5">
        <v>1757977392645</v>
      </c>
      <c r="Y575" s="7">
        <v>46003</v>
      </c>
      <c r="Z575" s="7">
        <v>45992</v>
      </c>
      <c r="AB575" s="6">
        <v>46003</v>
      </c>
      <c r="AC575" s="7">
        <v>46002.370833333334</v>
      </c>
      <c r="AD575" s="5">
        <v>33121007302</v>
      </c>
      <c r="AE575" s="8">
        <v>45992</v>
      </c>
      <c r="AF575" s="5" t="s">
        <v>338</v>
      </c>
      <c r="AG575" s="5" t="s">
        <v>37</v>
      </c>
      <c r="AH575" s="5">
        <v>205854</v>
      </c>
      <c r="AI575" s="6">
        <v>45992</v>
      </c>
      <c r="AJ575" s="6">
        <v>46003</v>
      </c>
      <c r="AK575" s="1">
        <f t="shared" si="253"/>
        <v>0.82279999999999998</v>
      </c>
    </row>
    <row r="576" spans="1:39" x14ac:dyDescent="0.55000000000000004">
      <c r="A576">
        <v>3312</v>
      </c>
      <c r="B576">
        <v>1007422</v>
      </c>
      <c r="C576">
        <v>790.71</v>
      </c>
      <c r="D576" s="4">
        <v>15.81</v>
      </c>
      <c r="E576">
        <v>774.9</v>
      </c>
      <c r="F576">
        <v>7.91</v>
      </c>
      <c r="G576">
        <v>766.99</v>
      </c>
      <c r="H576" s="14">
        <f t="shared" si="251"/>
        <v>766.99000000000012</v>
      </c>
      <c r="I576" s="14" t="b">
        <f t="shared" si="252"/>
        <v>1</v>
      </c>
      <c r="J576" s="2">
        <v>46003</v>
      </c>
      <c r="K576" s="5">
        <v>1007422</v>
      </c>
      <c r="L576" s="5">
        <v>3312</v>
      </c>
      <c r="M576" s="5">
        <v>15.81</v>
      </c>
      <c r="N576" s="5">
        <v>790.71</v>
      </c>
      <c r="O576" s="7">
        <v>45992</v>
      </c>
      <c r="P576" s="5">
        <v>774.9</v>
      </c>
      <c r="Q576" s="5">
        <v>15.81</v>
      </c>
      <c r="R576" s="5" t="s">
        <v>32</v>
      </c>
      <c r="S576" s="5" t="s">
        <v>33</v>
      </c>
      <c r="T576" s="5">
        <v>7.91</v>
      </c>
      <c r="U576" s="5">
        <v>766.99</v>
      </c>
      <c r="V576" s="5" t="s">
        <v>34</v>
      </c>
      <c r="W576" s="5">
        <v>2</v>
      </c>
      <c r="X576" s="5">
        <v>1757977392645</v>
      </c>
      <c r="Y576" s="7">
        <v>46003</v>
      </c>
      <c r="Z576" s="7">
        <v>45992</v>
      </c>
      <c r="AB576" s="6">
        <v>46003</v>
      </c>
      <c r="AC576" s="7">
        <v>46002.370833333334</v>
      </c>
      <c r="AD576" s="5">
        <v>33121007422</v>
      </c>
      <c r="AE576" s="8">
        <v>45992</v>
      </c>
      <c r="AF576" s="5" t="s">
        <v>339</v>
      </c>
      <c r="AG576" s="5" t="s">
        <v>37</v>
      </c>
      <c r="AH576" s="5">
        <v>205678</v>
      </c>
      <c r="AI576" s="6">
        <v>45992</v>
      </c>
      <c r="AJ576" s="6">
        <v>46003</v>
      </c>
      <c r="AK576" s="1">
        <f t="shared" si="253"/>
        <v>15.814200000000001</v>
      </c>
    </row>
    <row r="577" spans="1:39" hidden="1" x14ac:dyDescent="0.55000000000000004">
      <c r="A577">
        <v>3312</v>
      </c>
      <c r="B577">
        <v>1007423</v>
      </c>
      <c r="C577" s="1">
        <v>1772.72</v>
      </c>
      <c r="E577" s="1">
        <v>1772.72</v>
      </c>
      <c r="F577">
        <v>17.73</v>
      </c>
      <c r="G577" s="1">
        <v>1754.99</v>
      </c>
      <c r="H577" s="1"/>
      <c r="I577" s="1"/>
      <c r="J577" s="2">
        <v>46003</v>
      </c>
      <c r="K577" s="5">
        <v>1007423</v>
      </c>
      <c r="L577" s="5">
        <v>3312</v>
      </c>
      <c r="M577" s="5">
        <v>0</v>
      </c>
      <c r="N577" s="5">
        <v>1772.72</v>
      </c>
      <c r="O577" s="7">
        <v>45992</v>
      </c>
      <c r="P577" s="5">
        <v>1772.72</v>
      </c>
      <c r="Q577" s="5">
        <v>0</v>
      </c>
      <c r="R577" s="5" t="s">
        <v>32</v>
      </c>
      <c r="S577" s="5" t="s">
        <v>33</v>
      </c>
      <c r="T577" s="5">
        <v>17.73</v>
      </c>
      <c r="U577" s="5">
        <v>1754.99</v>
      </c>
      <c r="V577" s="5" t="s">
        <v>34</v>
      </c>
      <c r="W577" s="5">
        <v>2</v>
      </c>
      <c r="X577" s="5">
        <v>1757977392645</v>
      </c>
      <c r="Y577" s="7">
        <v>46003</v>
      </c>
      <c r="Z577" s="7">
        <v>45992</v>
      </c>
      <c r="AB577" s="6">
        <v>46003</v>
      </c>
      <c r="AC577" s="7">
        <v>46002.370833333334</v>
      </c>
      <c r="AD577" s="5">
        <v>33121007423</v>
      </c>
      <c r="AE577" s="8">
        <v>45992</v>
      </c>
      <c r="AF577" s="5" t="s">
        <v>339</v>
      </c>
      <c r="AG577" s="5" t="s">
        <v>38</v>
      </c>
      <c r="AH577" s="5">
        <v>205679</v>
      </c>
      <c r="AI577" s="6">
        <v>45992</v>
      </c>
      <c r="AJ577" s="6">
        <v>46003</v>
      </c>
    </row>
    <row r="578" spans="1:39" x14ac:dyDescent="0.55000000000000004">
      <c r="A578">
        <v>3312</v>
      </c>
      <c r="B578">
        <v>1007449</v>
      </c>
      <c r="C578">
        <v>861.3</v>
      </c>
      <c r="D578" s="4">
        <v>17.23</v>
      </c>
      <c r="E578">
        <v>844.07</v>
      </c>
      <c r="F578">
        <v>8.61</v>
      </c>
      <c r="G578">
        <v>835.46</v>
      </c>
      <c r="H578" s="14">
        <f>C578-D578-F578</f>
        <v>835.45999999999992</v>
      </c>
      <c r="I578" s="14" t="b">
        <f>G578=H578</f>
        <v>1</v>
      </c>
      <c r="J578" s="2">
        <v>46003</v>
      </c>
      <c r="K578" s="5">
        <v>1007449</v>
      </c>
      <c r="L578" s="5">
        <v>3312</v>
      </c>
      <c r="M578" s="5">
        <v>17.23</v>
      </c>
      <c r="N578" s="5">
        <v>861.3</v>
      </c>
      <c r="O578" s="7">
        <v>45992</v>
      </c>
      <c r="P578" s="5">
        <v>844.07</v>
      </c>
      <c r="Q578" s="5">
        <v>17.23</v>
      </c>
      <c r="R578" s="5" t="s">
        <v>32</v>
      </c>
      <c r="S578" s="5" t="s">
        <v>33</v>
      </c>
      <c r="T578" s="5">
        <v>8.61</v>
      </c>
      <c r="U578" s="5">
        <v>835.46</v>
      </c>
      <c r="V578" s="5" t="s">
        <v>34</v>
      </c>
      <c r="W578" s="5">
        <v>2</v>
      </c>
      <c r="X578" s="5">
        <v>1757977392645</v>
      </c>
      <c r="Y578" s="7">
        <v>46003</v>
      </c>
      <c r="Z578" s="7">
        <v>45992</v>
      </c>
      <c r="AB578" s="6">
        <v>46003</v>
      </c>
      <c r="AC578" s="7">
        <v>46002.370833333334</v>
      </c>
      <c r="AD578" s="5">
        <v>33121007449</v>
      </c>
      <c r="AE578" s="8">
        <v>45992</v>
      </c>
      <c r="AF578" s="5" t="s">
        <v>340</v>
      </c>
      <c r="AG578" s="5" t="s">
        <v>37</v>
      </c>
      <c r="AH578" s="5">
        <v>205926</v>
      </c>
      <c r="AI578" s="6">
        <v>45992</v>
      </c>
      <c r="AJ578" s="6">
        <v>46003</v>
      </c>
      <c r="AK578" s="1">
        <f t="shared" ref="AK578" si="254">0.02*C578</f>
        <v>17.225999999999999</v>
      </c>
    </row>
    <row r="579" spans="1:39" hidden="1" x14ac:dyDescent="0.55000000000000004">
      <c r="A579">
        <v>3312</v>
      </c>
      <c r="B579">
        <v>1007640</v>
      </c>
      <c r="C579" s="1">
        <v>3990</v>
      </c>
      <c r="E579" s="1">
        <v>3990</v>
      </c>
      <c r="F579">
        <v>39.9</v>
      </c>
      <c r="G579" s="1">
        <v>3950.1</v>
      </c>
      <c r="H579" s="1"/>
      <c r="I579" s="1"/>
      <c r="J579" s="2">
        <v>46003</v>
      </c>
      <c r="K579" s="5">
        <v>1007640</v>
      </c>
      <c r="L579" s="5">
        <v>3312</v>
      </c>
      <c r="M579" s="5">
        <v>0</v>
      </c>
      <c r="N579" s="5">
        <v>3990</v>
      </c>
      <c r="O579" s="7">
        <v>45993</v>
      </c>
      <c r="P579" s="5">
        <v>3990</v>
      </c>
      <c r="Q579" s="5">
        <v>0</v>
      </c>
      <c r="R579" s="5" t="s">
        <v>32</v>
      </c>
      <c r="S579" s="5" t="s">
        <v>33</v>
      </c>
      <c r="T579" s="5">
        <v>39.9</v>
      </c>
      <c r="U579" s="5">
        <v>3950.1</v>
      </c>
      <c r="V579" s="5" t="s">
        <v>34</v>
      </c>
      <c r="W579" s="5">
        <v>2</v>
      </c>
      <c r="X579" s="5">
        <v>1757977392645</v>
      </c>
      <c r="Y579" s="7">
        <v>46003</v>
      </c>
      <c r="Z579" s="7">
        <v>45993</v>
      </c>
      <c r="AB579" s="6">
        <v>46003</v>
      </c>
      <c r="AC579" s="7">
        <v>46002.370833333334</v>
      </c>
      <c r="AD579" s="5">
        <v>33121007640</v>
      </c>
      <c r="AE579" s="8">
        <v>45993</v>
      </c>
      <c r="AF579" s="5" t="s">
        <v>32</v>
      </c>
      <c r="AG579" s="5" t="s">
        <v>35</v>
      </c>
      <c r="AH579" s="5" t="s">
        <v>32</v>
      </c>
      <c r="AI579" s="6">
        <v>45993</v>
      </c>
      <c r="AJ579" s="6">
        <v>46003</v>
      </c>
    </row>
    <row r="580" spans="1:39" hidden="1" x14ac:dyDescent="0.55000000000000004">
      <c r="A580">
        <v>3312</v>
      </c>
      <c r="B580">
        <v>1007844</v>
      </c>
      <c r="C580">
        <v>74.22</v>
      </c>
      <c r="E580">
        <v>74.22</v>
      </c>
      <c r="F580">
        <v>0.74</v>
      </c>
      <c r="G580">
        <v>73.48</v>
      </c>
      <c r="H580"/>
      <c r="I580"/>
      <c r="J580" s="2">
        <v>46003</v>
      </c>
      <c r="K580" s="5">
        <v>1007844</v>
      </c>
      <c r="L580" s="5">
        <v>3312</v>
      </c>
      <c r="M580" s="5">
        <v>0</v>
      </c>
      <c r="N580" s="5">
        <v>74.22</v>
      </c>
      <c r="O580" s="7">
        <v>45993</v>
      </c>
      <c r="P580" s="5">
        <v>74.22</v>
      </c>
      <c r="Q580" s="5">
        <v>0</v>
      </c>
      <c r="R580" s="5" t="s">
        <v>32</v>
      </c>
      <c r="S580" s="5" t="s">
        <v>33</v>
      </c>
      <c r="T580" s="5">
        <v>0.74</v>
      </c>
      <c r="U580" s="5">
        <v>73.48</v>
      </c>
      <c r="V580" s="5" t="s">
        <v>34</v>
      </c>
      <c r="W580" s="5">
        <v>2</v>
      </c>
      <c r="X580" s="5">
        <v>1757977392645</v>
      </c>
      <c r="Y580" s="7">
        <v>46003</v>
      </c>
      <c r="Z580" s="7">
        <v>45993</v>
      </c>
      <c r="AB580" s="6">
        <v>46003</v>
      </c>
      <c r="AC580" s="7">
        <v>46002.370833333334</v>
      </c>
      <c r="AD580" s="5">
        <v>33121007844</v>
      </c>
      <c r="AE580" s="8">
        <v>45993</v>
      </c>
      <c r="AF580" s="5" t="s">
        <v>338</v>
      </c>
      <c r="AG580" s="5" t="s">
        <v>38</v>
      </c>
      <c r="AH580" s="5">
        <v>206129</v>
      </c>
      <c r="AI580" s="6">
        <v>45993</v>
      </c>
      <c r="AJ580" s="6">
        <v>46003</v>
      </c>
    </row>
    <row r="581" spans="1:39" hidden="1" x14ac:dyDescent="0.55000000000000004">
      <c r="A581">
        <v>3312</v>
      </c>
      <c r="B581">
        <v>1007993</v>
      </c>
      <c r="C581">
        <v>133.65</v>
      </c>
      <c r="E581">
        <v>133.65</v>
      </c>
      <c r="F581">
        <v>1.34</v>
      </c>
      <c r="G581">
        <v>132.31</v>
      </c>
      <c r="H581"/>
      <c r="I581"/>
      <c r="J581" s="2">
        <v>46003</v>
      </c>
      <c r="K581" s="5">
        <v>1007993</v>
      </c>
      <c r="L581" s="5">
        <v>3312</v>
      </c>
      <c r="M581" s="5">
        <v>0</v>
      </c>
      <c r="N581" s="5">
        <v>133.65</v>
      </c>
      <c r="O581" s="7">
        <v>45994</v>
      </c>
      <c r="P581" s="5">
        <v>133.65</v>
      </c>
      <c r="Q581" s="5">
        <v>0</v>
      </c>
      <c r="R581" s="5" t="s">
        <v>32</v>
      </c>
      <c r="S581" s="5" t="s">
        <v>33</v>
      </c>
      <c r="T581" s="5">
        <v>1.34</v>
      </c>
      <c r="U581" s="5">
        <v>132.31</v>
      </c>
      <c r="V581" s="5" t="s">
        <v>34</v>
      </c>
      <c r="W581" s="5">
        <v>2</v>
      </c>
      <c r="X581" s="5">
        <v>1757977392645</v>
      </c>
      <c r="Y581" s="7">
        <v>46003</v>
      </c>
      <c r="Z581" s="7">
        <v>45994</v>
      </c>
      <c r="AB581" s="6">
        <v>46003</v>
      </c>
      <c r="AC581" s="7">
        <v>46002.370833333334</v>
      </c>
      <c r="AD581" s="5">
        <v>33121007993</v>
      </c>
      <c r="AE581" s="8">
        <v>45994</v>
      </c>
      <c r="AF581" s="5" t="s">
        <v>341</v>
      </c>
      <c r="AG581" s="5" t="s">
        <v>38</v>
      </c>
      <c r="AH581" s="5">
        <v>206295</v>
      </c>
      <c r="AI581" s="6">
        <v>45994</v>
      </c>
      <c r="AJ581" s="6">
        <v>46003</v>
      </c>
    </row>
    <row r="582" spans="1:39" x14ac:dyDescent="0.55000000000000004">
      <c r="A582">
        <v>3312</v>
      </c>
      <c r="B582">
        <v>1007997</v>
      </c>
      <c r="C582">
        <v>855.02</v>
      </c>
      <c r="D582" s="4">
        <v>17.100000000000001</v>
      </c>
      <c r="E582">
        <v>837.92</v>
      </c>
      <c r="F582">
        <v>8.5500000000000007</v>
      </c>
      <c r="G582">
        <v>829.37</v>
      </c>
      <c r="H582" s="14">
        <f>C582-D582-F582</f>
        <v>829.37</v>
      </c>
      <c r="I582" s="14" t="b">
        <f>G582=H582</f>
        <v>1</v>
      </c>
      <c r="J582" s="2">
        <v>46003</v>
      </c>
      <c r="K582" s="5">
        <v>1007997</v>
      </c>
      <c r="L582" s="5">
        <v>3312</v>
      </c>
      <c r="M582" s="5">
        <v>17.100000000000001</v>
      </c>
      <c r="N582" s="5">
        <v>855.02</v>
      </c>
      <c r="O582" s="7">
        <v>45994</v>
      </c>
      <c r="P582" s="5">
        <v>837.92</v>
      </c>
      <c r="Q582" s="5">
        <v>17.100000000000001</v>
      </c>
      <c r="R582" s="5" t="s">
        <v>32</v>
      </c>
      <c r="S582" s="5" t="s">
        <v>33</v>
      </c>
      <c r="T582" s="5">
        <v>8.5500000000000007</v>
      </c>
      <c r="U582" s="5">
        <v>829.37</v>
      </c>
      <c r="V582" s="5" t="s">
        <v>34</v>
      </c>
      <c r="W582" s="5">
        <v>2</v>
      </c>
      <c r="X582" s="5">
        <v>1757977392645</v>
      </c>
      <c r="Y582" s="7">
        <v>46003</v>
      </c>
      <c r="Z582" s="7">
        <v>45994</v>
      </c>
      <c r="AB582" s="6">
        <v>46003</v>
      </c>
      <c r="AC582" s="7">
        <v>46002.370833333334</v>
      </c>
      <c r="AD582" s="5">
        <v>33121007997</v>
      </c>
      <c r="AE582" s="8">
        <v>45994</v>
      </c>
      <c r="AF582" s="5" t="s">
        <v>341</v>
      </c>
      <c r="AG582" s="5" t="s">
        <v>37</v>
      </c>
      <c r="AH582" s="5">
        <v>206294</v>
      </c>
      <c r="AI582" s="6">
        <v>45994</v>
      </c>
      <c r="AJ582" s="6">
        <v>46003</v>
      </c>
      <c r="AK582" s="1">
        <f t="shared" ref="AK582" si="255">0.02*C582</f>
        <v>17.1004</v>
      </c>
    </row>
    <row r="583" spans="1:39" hidden="1" x14ac:dyDescent="0.55000000000000004">
      <c r="A583">
        <v>3312</v>
      </c>
      <c r="B583">
        <v>1008202</v>
      </c>
      <c r="C583">
        <v>299.52999999999997</v>
      </c>
      <c r="E583">
        <v>299.52999999999997</v>
      </c>
      <c r="F583">
        <v>3</v>
      </c>
      <c r="G583">
        <v>296.52999999999997</v>
      </c>
      <c r="H583"/>
      <c r="I583"/>
      <c r="J583" s="2">
        <v>46003</v>
      </c>
      <c r="K583" s="5">
        <v>1008202</v>
      </c>
      <c r="L583" s="5">
        <v>3312</v>
      </c>
      <c r="M583" s="5">
        <v>0</v>
      </c>
      <c r="N583" s="5">
        <v>299.52999999999997</v>
      </c>
      <c r="O583" s="7">
        <v>45995</v>
      </c>
      <c r="P583" s="5">
        <v>299.52999999999997</v>
      </c>
      <c r="Q583" s="5">
        <v>0</v>
      </c>
      <c r="R583" s="5" t="s">
        <v>32</v>
      </c>
      <c r="S583" s="5" t="s">
        <v>33</v>
      </c>
      <c r="T583" s="5">
        <v>3</v>
      </c>
      <c r="U583" s="5">
        <v>296.52999999999997</v>
      </c>
      <c r="V583" s="5" t="s">
        <v>34</v>
      </c>
      <c r="W583" s="5">
        <v>2</v>
      </c>
      <c r="X583" s="5">
        <v>1757977392645</v>
      </c>
      <c r="Y583" s="7">
        <v>46003</v>
      </c>
      <c r="Z583" s="7">
        <v>45995</v>
      </c>
      <c r="AB583" s="6">
        <v>46003</v>
      </c>
      <c r="AC583" s="7">
        <v>46002.370833333334</v>
      </c>
      <c r="AD583" s="5">
        <v>33121008202</v>
      </c>
      <c r="AE583" s="8">
        <v>45995</v>
      </c>
      <c r="AF583" s="5" t="s">
        <v>341</v>
      </c>
      <c r="AG583" s="5" t="s">
        <v>38</v>
      </c>
      <c r="AH583" s="5">
        <v>206664</v>
      </c>
      <c r="AI583" s="6">
        <v>45995</v>
      </c>
      <c r="AJ583" s="6">
        <v>46003</v>
      </c>
    </row>
    <row r="584" spans="1:39" hidden="1" x14ac:dyDescent="0.55000000000000004">
      <c r="A584">
        <v>3312</v>
      </c>
      <c r="B584">
        <v>1008297</v>
      </c>
      <c r="C584">
        <v>-50</v>
      </c>
      <c r="E584">
        <v>-50</v>
      </c>
      <c r="G584">
        <v>-50</v>
      </c>
      <c r="H584"/>
      <c r="I584"/>
      <c r="J584" s="2">
        <v>46003</v>
      </c>
      <c r="K584" s="5">
        <v>1008297</v>
      </c>
      <c r="L584" s="5">
        <v>3312</v>
      </c>
      <c r="M584" s="5">
        <v>0</v>
      </c>
      <c r="N584" s="5">
        <v>-50</v>
      </c>
      <c r="O584" s="7">
        <v>45995</v>
      </c>
      <c r="P584" s="5">
        <v>-50</v>
      </c>
      <c r="Q584" s="5">
        <v>0</v>
      </c>
      <c r="R584" s="5" t="s">
        <v>40</v>
      </c>
      <c r="S584" s="5" t="s">
        <v>33</v>
      </c>
      <c r="T584" s="5">
        <v>0</v>
      </c>
      <c r="U584" s="5">
        <v>-50</v>
      </c>
      <c r="V584" s="5" t="s">
        <v>34</v>
      </c>
      <c r="W584" s="5">
        <v>2</v>
      </c>
      <c r="X584" s="5">
        <v>1757977392645</v>
      </c>
      <c r="Y584" s="7">
        <v>46003</v>
      </c>
      <c r="Z584" s="7">
        <v>45995</v>
      </c>
      <c r="AB584" s="6">
        <v>46003</v>
      </c>
      <c r="AC584" s="7">
        <v>46002.370833333334</v>
      </c>
      <c r="AD584" s="5">
        <v>33121008297</v>
      </c>
      <c r="AE584" s="8">
        <v>45995</v>
      </c>
      <c r="AF584" s="5" t="s">
        <v>41</v>
      </c>
      <c r="AG584" s="5" t="s">
        <v>38</v>
      </c>
      <c r="AH584" s="5" t="s">
        <v>40</v>
      </c>
      <c r="AI584" s="6">
        <v>45995</v>
      </c>
      <c r="AJ584" s="6">
        <v>46003</v>
      </c>
    </row>
    <row r="585" spans="1:39" x14ac:dyDescent="0.55000000000000004">
      <c r="A585">
        <v>3312</v>
      </c>
      <c r="B585">
        <v>1008472</v>
      </c>
      <c r="C585">
        <v>199</v>
      </c>
      <c r="D585" s="4">
        <v>3.98</v>
      </c>
      <c r="E585">
        <v>195.02</v>
      </c>
      <c r="F585">
        <v>1.99</v>
      </c>
      <c r="G585">
        <v>193.03</v>
      </c>
      <c r="H585" s="14">
        <f t="shared" ref="H585:H586" si="256">C585-D585-F585</f>
        <v>193.03</v>
      </c>
      <c r="I585" s="14" t="b">
        <f t="shared" ref="I585:I586" si="257">G585=H585</f>
        <v>1</v>
      </c>
      <c r="J585" s="2">
        <v>46003</v>
      </c>
      <c r="K585" s="5">
        <v>1008472</v>
      </c>
      <c r="L585" s="5">
        <v>3312</v>
      </c>
      <c r="M585" s="5">
        <v>3.98</v>
      </c>
      <c r="N585" s="5">
        <v>199</v>
      </c>
      <c r="O585" s="7">
        <v>45996</v>
      </c>
      <c r="P585" s="5">
        <v>195.02</v>
      </c>
      <c r="Q585" s="5">
        <v>3.98</v>
      </c>
      <c r="R585" s="5" t="s">
        <v>32</v>
      </c>
      <c r="S585" s="5" t="s">
        <v>33</v>
      </c>
      <c r="T585" s="5">
        <v>1.99</v>
      </c>
      <c r="U585" s="5">
        <v>193.03</v>
      </c>
      <c r="V585" s="5" t="s">
        <v>34</v>
      </c>
      <c r="W585" s="5">
        <v>2</v>
      </c>
      <c r="X585" s="5">
        <v>1757977392645</v>
      </c>
      <c r="Y585" s="7">
        <v>46003</v>
      </c>
      <c r="Z585" s="7">
        <v>45996</v>
      </c>
      <c r="AB585" s="6">
        <v>46003</v>
      </c>
      <c r="AC585" s="7">
        <v>46002.370833333334</v>
      </c>
      <c r="AD585" s="5">
        <v>33121008472</v>
      </c>
      <c r="AE585" s="8">
        <v>45996</v>
      </c>
      <c r="AF585" s="5" t="s">
        <v>342</v>
      </c>
      <c r="AG585" s="5" t="s">
        <v>37</v>
      </c>
      <c r="AH585" s="5">
        <v>206626</v>
      </c>
      <c r="AI585" s="6">
        <v>45996</v>
      </c>
      <c r="AJ585" s="6">
        <v>46003</v>
      </c>
      <c r="AK585" s="1">
        <f t="shared" ref="AK585:AK586" si="258">0.02*C585</f>
        <v>3.98</v>
      </c>
    </row>
    <row r="586" spans="1:39" x14ac:dyDescent="0.55000000000000004">
      <c r="A586">
        <v>3333</v>
      </c>
      <c r="B586">
        <v>1007301</v>
      </c>
      <c r="C586">
        <v>48.24</v>
      </c>
      <c r="E586">
        <v>48.24</v>
      </c>
      <c r="F586">
        <v>0.48</v>
      </c>
      <c r="G586">
        <v>48.24</v>
      </c>
      <c r="H586" s="14">
        <f t="shared" si="256"/>
        <v>47.760000000000005</v>
      </c>
      <c r="I586" s="14" t="b">
        <f t="shared" si="257"/>
        <v>0</v>
      </c>
      <c r="J586" s="2">
        <v>46003</v>
      </c>
      <c r="K586" s="5">
        <v>1007301</v>
      </c>
      <c r="L586" s="5">
        <v>3333</v>
      </c>
      <c r="M586" s="5">
        <v>0</v>
      </c>
      <c r="N586" s="5">
        <v>48.24</v>
      </c>
      <c r="O586" s="7">
        <v>45992</v>
      </c>
      <c r="P586" s="5">
        <v>48.24</v>
      </c>
      <c r="Q586" s="5">
        <v>0</v>
      </c>
      <c r="R586" s="5" t="s">
        <v>32</v>
      </c>
      <c r="S586" s="5" t="s">
        <v>33</v>
      </c>
      <c r="T586" s="5">
        <v>0.48</v>
      </c>
      <c r="U586" s="5">
        <v>48.24</v>
      </c>
      <c r="V586" s="5" t="s">
        <v>34</v>
      </c>
      <c r="W586" s="5">
        <v>10</v>
      </c>
      <c r="X586" s="5" t="s">
        <v>343</v>
      </c>
      <c r="Y586" s="7">
        <v>46003</v>
      </c>
      <c r="Z586" s="7">
        <v>45992</v>
      </c>
      <c r="AA586" s="5" t="s">
        <v>32</v>
      </c>
      <c r="AB586" s="6">
        <v>46003</v>
      </c>
      <c r="AC586" s="7">
        <v>46003.572916666664</v>
      </c>
      <c r="AD586" s="5">
        <v>33331007301</v>
      </c>
      <c r="AE586" s="8">
        <v>45992</v>
      </c>
      <c r="AF586" s="5" t="s">
        <v>344</v>
      </c>
      <c r="AG586" s="5" t="s">
        <v>37</v>
      </c>
      <c r="AH586" s="5">
        <v>205855</v>
      </c>
      <c r="AI586" s="6">
        <v>45992</v>
      </c>
      <c r="AJ586" s="6">
        <v>46003</v>
      </c>
      <c r="AK586" s="1">
        <f t="shared" si="258"/>
        <v>0.9648000000000001</v>
      </c>
      <c r="AL586" t="s">
        <v>673</v>
      </c>
      <c r="AM586">
        <f>F586</f>
        <v>0.48</v>
      </c>
    </row>
    <row r="587" spans="1:39" hidden="1" x14ac:dyDescent="0.55000000000000004">
      <c r="A587">
        <v>3333</v>
      </c>
      <c r="B587">
        <v>1007565</v>
      </c>
      <c r="C587">
        <v>350</v>
      </c>
      <c r="E587">
        <v>350</v>
      </c>
      <c r="F587">
        <v>3.5</v>
      </c>
      <c r="G587">
        <v>346.5</v>
      </c>
      <c r="H587"/>
      <c r="I587"/>
      <c r="J587" s="2">
        <v>46003</v>
      </c>
      <c r="K587" s="5">
        <v>1007565</v>
      </c>
      <c r="L587" s="5">
        <v>3333</v>
      </c>
      <c r="M587" s="5">
        <v>0</v>
      </c>
      <c r="N587" s="5">
        <v>350</v>
      </c>
      <c r="O587" s="7">
        <v>45993</v>
      </c>
      <c r="P587" s="5">
        <v>350</v>
      </c>
      <c r="Q587" s="5">
        <v>0</v>
      </c>
      <c r="R587" s="5" t="s">
        <v>32</v>
      </c>
      <c r="S587" s="5" t="s">
        <v>33</v>
      </c>
      <c r="T587" s="5">
        <v>3.5</v>
      </c>
      <c r="U587" s="5">
        <v>346.5</v>
      </c>
      <c r="V587" s="5" t="s">
        <v>34</v>
      </c>
      <c r="W587" s="5">
        <v>10</v>
      </c>
      <c r="X587" s="5" t="s">
        <v>343</v>
      </c>
      <c r="Y587" s="7">
        <v>46003</v>
      </c>
      <c r="Z587" s="7">
        <v>45993</v>
      </c>
      <c r="AA587" s="5" t="s">
        <v>32</v>
      </c>
      <c r="AB587" s="6">
        <v>46003</v>
      </c>
      <c r="AC587" s="7">
        <v>46003.572916666664</v>
      </c>
      <c r="AD587" s="5">
        <v>33331007565</v>
      </c>
      <c r="AE587" s="8">
        <v>45993</v>
      </c>
      <c r="AF587" s="5" t="s">
        <v>32</v>
      </c>
      <c r="AG587" s="5" t="s">
        <v>82</v>
      </c>
      <c r="AH587" s="5" t="s">
        <v>32</v>
      </c>
      <c r="AI587" s="6">
        <v>45993</v>
      </c>
      <c r="AJ587" s="6">
        <v>46003</v>
      </c>
    </row>
    <row r="588" spans="1:39" hidden="1" x14ac:dyDescent="0.55000000000000004">
      <c r="A588">
        <v>3333</v>
      </c>
      <c r="B588">
        <v>1008392</v>
      </c>
      <c r="C588" s="1">
        <v>1256.97</v>
      </c>
      <c r="E588" s="1">
        <v>1256.97</v>
      </c>
      <c r="F588">
        <v>12.57</v>
      </c>
      <c r="G588" s="1">
        <v>1244.4000000000001</v>
      </c>
      <c r="H588" s="1"/>
      <c r="I588" s="1"/>
      <c r="J588" s="2">
        <v>46003</v>
      </c>
      <c r="K588" s="5">
        <v>1008392</v>
      </c>
      <c r="L588" s="5">
        <v>3333</v>
      </c>
      <c r="M588" s="5">
        <v>0</v>
      </c>
      <c r="N588" s="5">
        <v>1256.97</v>
      </c>
      <c r="O588" s="7">
        <v>45996</v>
      </c>
      <c r="P588" s="5">
        <v>1256.97</v>
      </c>
      <c r="Q588" s="5">
        <v>0</v>
      </c>
      <c r="R588" s="5">
        <v>3031925</v>
      </c>
      <c r="S588" s="5" t="s">
        <v>336</v>
      </c>
      <c r="T588" s="5">
        <v>12.57</v>
      </c>
      <c r="U588" s="5">
        <v>1244.4000000000001</v>
      </c>
      <c r="V588" s="5" t="s">
        <v>34</v>
      </c>
      <c r="W588" s="5">
        <v>10</v>
      </c>
      <c r="X588" s="5" t="s">
        <v>343</v>
      </c>
      <c r="Y588" s="7">
        <v>46003</v>
      </c>
      <c r="Z588" s="7">
        <v>45996</v>
      </c>
      <c r="AA588" s="5" t="s">
        <v>32</v>
      </c>
      <c r="AB588" s="6">
        <v>46003</v>
      </c>
      <c r="AC588" s="7">
        <v>46003.572916666664</v>
      </c>
      <c r="AD588" s="5">
        <v>33331008392</v>
      </c>
      <c r="AE588" s="8">
        <v>45996</v>
      </c>
      <c r="AF588" s="5">
        <v>2025</v>
      </c>
      <c r="AG588" s="5" t="s">
        <v>38</v>
      </c>
      <c r="AH588" s="5">
        <v>3031925</v>
      </c>
      <c r="AI588" s="6">
        <v>45996</v>
      </c>
      <c r="AJ588" s="6">
        <v>46003</v>
      </c>
    </row>
    <row r="589" spans="1:39" x14ac:dyDescent="0.55000000000000004">
      <c r="A589">
        <v>3347</v>
      </c>
      <c r="B589">
        <v>1007282</v>
      </c>
      <c r="C589">
        <v>149.63999999999999</v>
      </c>
      <c r="D589" s="4">
        <v>2.99</v>
      </c>
      <c r="E589">
        <v>146.65</v>
      </c>
      <c r="F589">
        <v>1.5</v>
      </c>
      <c r="G589">
        <v>145.15</v>
      </c>
      <c r="H589" s="14">
        <f>C589-D589-F589</f>
        <v>145.14999999999998</v>
      </c>
      <c r="I589" s="14" t="b">
        <f>G589=H589</f>
        <v>1</v>
      </c>
      <c r="J589" s="2">
        <v>46003</v>
      </c>
      <c r="K589" s="5">
        <v>1007282</v>
      </c>
      <c r="L589" s="5">
        <v>3347</v>
      </c>
      <c r="M589" s="5">
        <v>2.99</v>
      </c>
      <c r="N589" s="5">
        <v>149.63999999999999</v>
      </c>
      <c r="O589" s="7">
        <v>45992</v>
      </c>
      <c r="P589" s="5">
        <v>146.65</v>
      </c>
      <c r="Q589" s="5">
        <v>2.99</v>
      </c>
      <c r="R589" s="5" t="s">
        <v>32</v>
      </c>
      <c r="S589" s="5" t="s">
        <v>33</v>
      </c>
      <c r="T589" s="5">
        <v>1.5</v>
      </c>
      <c r="U589" s="5">
        <v>145.15</v>
      </c>
      <c r="V589" s="5" t="s">
        <v>34</v>
      </c>
      <c r="W589" s="5">
        <v>2</v>
      </c>
      <c r="X589" s="5">
        <v>7157094758822</v>
      </c>
      <c r="Y589" s="7">
        <v>46003</v>
      </c>
      <c r="Z589" s="7">
        <v>45992</v>
      </c>
      <c r="AB589" s="6">
        <v>46003</v>
      </c>
      <c r="AC589" s="7">
        <v>45999.590277777781</v>
      </c>
      <c r="AD589" s="5">
        <v>33471007282</v>
      </c>
      <c r="AE589" s="8">
        <v>45992</v>
      </c>
      <c r="AF589" s="5">
        <v>11589</v>
      </c>
      <c r="AG589" s="5" t="s">
        <v>37</v>
      </c>
      <c r="AH589" s="5">
        <v>205814</v>
      </c>
      <c r="AI589" s="6">
        <v>45992</v>
      </c>
      <c r="AJ589" s="6">
        <v>46003</v>
      </c>
      <c r="AK589" s="1">
        <f t="shared" ref="AK589" si="259">0.02*C589</f>
        <v>2.9927999999999999</v>
      </c>
    </row>
    <row r="590" spans="1:39" hidden="1" x14ac:dyDescent="0.55000000000000004">
      <c r="A590">
        <v>3347</v>
      </c>
      <c r="B590">
        <v>1007629</v>
      </c>
      <c r="C590" s="1">
        <v>3990</v>
      </c>
      <c r="E590" s="1">
        <v>3990</v>
      </c>
      <c r="F590">
        <v>39.9</v>
      </c>
      <c r="G590" s="1">
        <v>3950.1</v>
      </c>
      <c r="H590" s="1"/>
      <c r="I590" s="1"/>
      <c r="J590" s="2">
        <v>46003</v>
      </c>
      <c r="K590" s="5">
        <v>1007629</v>
      </c>
      <c r="L590" s="5">
        <v>3347</v>
      </c>
      <c r="M590" s="5">
        <v>0</v>
      </c>
      <c r="N590" s="5">
        <v>3990</v>
      </c>
      <c r="O590" s="7">
        <v>45993</v>
      </c>
      <c r="P590" s="5">
        <v>3990</v>
      </c>
      <c r="Q590" s="5">
        <v>0</v>
      </c>
      <c r="R590" s="5" t="s">
        <v>32</v>
      </c>
      <c r="S590" s="5" t="s">
        <v>33</v>
      </c>
      <c r="T590" s="5">
        <v>39.9</v>
      </c>
      <c r="U590" s="5">
        <v>3950.1</v>
      </c>
      <c r="V590" s="5" t="s">
        <v>34</v>
      </c>
      <c r="W590" s="5">
        <v>2</v>
      </c>
      <c r="X590" s="5">
        <v>7157094758822</v>
      </c>
      <c r="Y590" s="7">
        <v>46003</v>
      </c>
      <c r="Z590" s="7">
        <v>45993</v>
      </c>
      <c r="AB590" s="6">
        <v>46003</v>
      </c>
      <c r="AC590" s="7">
        <v>45999.590277777781</v>
      </c>
      <c r="AD590" s="5">
        <v>33471007629</v>
      </c>
      <c r="AE590" s="8">
        <v>45993</v>
      </c>
      <c r="AF590" s="5" t="s">
        <v>32</v>
      </c>
      <c r="AG590" s="5" t="s">
        <v>35</v>
      </c>
      <c r="AH590" s="5" t="s">
        <v>32</v>
      </c>
      <c r="AI590" s="6">
        <v>45993</v>
      </c>
      <c r="AJ590" s="6">
        <v>46003</v>
      </c>
    </row>
    <row r="591" spans="1:39" x14ac:dyDescent="0.55000000000000004">
      <c r="A591">
        <v>3347</v>
      </c>
      <c r="B591">
        <v>1008198</v>
      </c>
      <c r="C591">
        <v>724.36</v>
      </c>
      <c r="D591" s="4">
        <v>14.49</v>
      </c>
      <c r="E591">
        <v>709.87</v>
      </c>
      <c r="F591">
        <v>7.24</v>
      </c>
      <c r="G591">
        <v>702.63</v>
      </c>
      <c r="H591" s="14">
        <f t="shared" ref="H591:H592" si="260">C591-D591-F591</f>
        <v>702.63</v>
      </c>
      <c r="I591" s="14" t="b">
        <f t="shared" ref="I591:I592" si="261">G591=H591</f>
        <v>1</v>
      </c>
      <c r="J591" s="2">
        <v>46003</v>
      </c>
      <c r="K591" s="5">
        <v>1008198</v>
      </c>
      <c r="L591" s="5">
        <v>3347</v>
      </c>
      <c r="M591" s="5">
        <v>14.49</v>
      </c>
      <c r="N591" s="5">
        <v>724.36</v>
      </c>
      <c r="O591" s="7">
        <v>45995</v>
      </c>
      <c r="P591" s="5">
        <v>709.87</v>
      </c>
      <c r="Q591" s="5">
        <v>14.49</v>
      </c>
      <c r="R591" s="5" t="s">
        <v>32</v>
      </c>
      <c r="S591" s="5" t="s">
        <v>33</v>
      </c>
      <c r="T591" s="5">
        <v>7.24</v>
      </c>
      <c r="U591" s="5">
        <v>702.63</v>
      </c>
      <c r="V591" s="5" t="s">
        <v>34</v>
      </c>
      <c r="W591" s="5">
        <v>2</v>
      </c>
      <c r="X591" s="5">
        <v>7157094758822</v>
      </c>
      <c r="Y591" s="7">
        <v>46003</v>
      </c>
      <c r="Z591" s="7">
        <v>45995</v>
      </c>
      <c r="AB591" s="6">
        <v>46003</v>
      </c>
      <c r="AC591" s="7">
        <v>45999.590277777781</v>
      </c>
      <c r="AD591" s="5">
        <v>33471008198</v>
      </c>
      <c r="AE591" s="8">
        <v>45995</v>
      </c>
      <c r="AF591" s="5">
        <v>11624</v>
      </c>
      <c r="AG591" s="5" t="s">
        <v>37</v>
      </c>
      <c r="AH591" s="5">
        <v>206782</v>
      </c>
      <c r="AI591" s="6">
        <v>45995</v>
      </c>
      <c r="AJ591" s="6">
        <v>46003</v>
      </c>
      <c r="AK591" s="1">
        <f t="shared" ref="AK591:AK592" si="262">0.02*C591</f>
        <v>14.487200000000001</v>
      </c>
    </row>
    <row r="592" spans="1:39" x14ac:dyDescent="0.55000000000000004">
      <c r="A592">
        <v>3347</v>
      </c>
      <c r="B592">
        <v>1008466</v>
      </c>
      <c r="C592">
        <v>307</v>
      </c>
      <c r="D592" s="4">
        <v>6.14</v>
      </c>
      <c r="E592">
        <v>300.86</v>
      </c>
      <c r="F592">
        <v>3.07</v>
      </c>
      <c r="G592">
        <v>297.79000000000002</v>
      </c>
      <c r="H592" s="14">
        <f t="shared" si="260"/>
        <v>297.79000000000002</v>
      </c>
      <c r="I592" s="14" t="b">
        <f t="shared" si="261"/>
        <v>1</v>
      </c>
      <c r="J592" s="2">
        <v>46003</v>
      </c>
      <c r="K592" s="5">
        <v>1008466</v>
      </c>
      <c r="L592" s="5">
        <v>3347</v>
      </c>
      <c r="M592" s="5">
        <v>6.14</v>
      </c>
      <c r="N592" s="5">
        <v>307</v>
      </c>
      <c r="O592" s="7">
        <v>45996</v>
      </c>
      <c r="P592" s="5">
        <v>300.86</v>
      </c>
      <c r="Q592" s="5">
        <v>6.14</v>
      </c>
      <c r="R592" s="5" t="s">
        <v>32</v>
      </c>
      <c r="S592" s="5" t="s">
        <v>33</v>
      </c>
      <c r="T592" s="5">
        <v>3.07</v>
      </c>
      <c r="U592" s="5">
        <v>297.79000000000002</v>
      </c>
      <c r="V592" s="5" t="s">
        <v>34</v>
      </c>
      <c r="W592" s="5">
        <v>2</v>
      </c>
      <c r="X592" s="5">
        <v>7157094758822</v>
      </c>
      <c r="Y592" s="7">
        <v>46003</v>
      </c>
      <c r="Z592" s="7">
        <v>45996</v>
      </c>
      <c r="AB592" s="6">
        <v>46003</v>
      </c>
      <c r="AC592" s="7">
        <v>45999.590277777781</v>
      </c>
      <c r="AD592" s="5">
        <v>33471008466</v>
      </c>
      <c r="AE592" s="8">
        <v>45996</v>
      </c>
      <c r="AF592" s="5">
        <v>11624</v>
      </c>
      <c r="AG592" s="5" t="s">
        <v>37</v>
      </c>
      <c r="AH592" s="5">
        <v>206784</v>
      </c>
      <c r="AI592" s="6">
        <v>45996</v>
      </c>
      <c r="AJ592" s="6">
        <v>46003</v>
      </c>
      <c r="AK592" s="1">
        <f t="shared" si="262"/>
        <v>6.1400000000000006</v>
      </c>
    </row>
    <row r="593" spans="1:39" hidden="1" x14ac:dyDescent="0.55000000000000004">
      <c r="A593">
        <v>3361</v>
      </c>
      <c r="B593">
        <v>1007524</v>
      </c>
      <c r="C593" s="1">
        <v>3990</v>
      </c>
      <c r="E593" s="1">
        <v>3990</v>
      </c>
      <c r="F593">
        <v>39.9</v>
      </c>
      <c r="G593" s="1">
        <v>3950.1</v>
      </c>
      <c r="H593" s="1"/>
      <c r="I593" s="1"/>
      <c r="J593" s="2">
        <v>46003</v>
      </c>
      <c r="K593" s="5">
        <v>1007524</v>
      </c>
      <c r="L593" s="5">
        <v>3361</v>
      </c>
      <c r="M593" s="5">
        <v>0</v>
      </c>
      <c r="N593" s="5">
        <v>3990</v>
      </c>
      <c r="O593" s="7">
        <v>45993</v>
      </c>
      <c r="P593" s="5">
        <v>3990</v>
      </c>
      <c r="Q593" s="5">
        <v>0</v>
      </c>
      <c r="R593" s="5" t="s">
        <v>32</v>
      </c>
      <c r="S593" s="5" t="s">
        <v>33</v>
      </c>
      <c r="T593" s="5">
        <v>39.9</v>
      </c>
      <c r="U593" s="5">
        <v>3950.1</v>
      </c>
      <c r="V593" s="5" t="s">
        <v>34</v>
      </c>
      <c r="W593" s="5">
        <v>10</v>
      </c>
      <c r="X593" s="5" t="s">
        <v>345</v>
      </c>
      <c r="Y593" s="7">
        <v>46003</v>
      </c>
      <c r="Z593" s="7">
        <v>45993</v>
      </c>
      <c r="AA593" s="5" t="s">
        <v>32</v>
      </c>
      <c r="AB593" s="6">
        <v>46003</v>
      </c>
      <c r="AC593" s="7">
        <v>46003.572916666664</v>
      </c>
      <c r="AD593" s="5">
        <v>33611007524</v>
      </c>
      <c r="AE593" s="8">
        <v>45993</v>
      </c>
      <c r="AF593" s="5" t="s">
        <v>32</v>
      </c>
      <c r="AG593" s="5" t="s">
        <v>35</v>
      </c>
      <c r="AH593" s="5" t="s">
        <v>32</v>
      </c>
      <c r="AI593" s="6">
        <v>45993</v>
      </c>
      <c r="AJ593" s="6">
        <v>46003</v>
      </c>
    </row>
    <row r="594" spans="1:39" x14ac:dyDescent="0.55000000000000004">
      <c r="A594">
        <v>3361</v>
      </c>
      <c r="B594">
        <v>1008052</v>
      </c>
      <c r="C594" s="1">
        <v>2292.23</v>
      </c>
      <c r="E594" s="1">
        <v>2292.23</v>
      </c>
      <c r="F594">
        <v>22.92</v>
      </c>
      <c r="G594" s="1">
        <v>2292.23</v>
      </c>
      <c r="H594" s="14">
        <f t="shared" ref="H594:H595" si="263">C594-D594-F594</f>
        <v>2269.31</v>
      </c>
      <c r="I594" s="14" t="b">
        <f t="shared" ref="I594:I595" si="264">G594=H594</f>
        <v>0</v>
      </c>
      <c r="J594" s="2">
        <v>46003</v>
      </c>
      <c r="K594" s="5">
        <v>1008052</v>
      </c>
      <c r="L594" s="5">
        <v>3361</v>
      </c>
      <c r="M594" s="5">
        <v>0</v>
      </c>
      <c r="N594" s="5">
        <v>2292.23</v>
      </c>
      <c r="O594" s="7">
        <v>45994</v>
      </c>
      <c r="P594" s="5">
        <v>2292.23</v>
      </c>
      <c r="Q594" s="5">
        <v>0</v>
      </c>
      <c r="R594" s="5" t="s">
        <v>32</v>
      </c>
      <c r="S594" s="5" t="s">
        <v>33</v>
      </c>
      <c r="T594" s="5">
        <v>22.92</v>
      </c>
      <c r="U594" s="5">
        <v>2292.23</v>
      </c>
      <c r="V594" s="5" t="s">
        <v>34</v>
      </c>
      <c r="W594" s="5">
        <v>10</v>
      </c>
      <c r="X594" s="5" t="s">
        <v>345</v>
      </c>
      <c r="Y594" s="7">
        <v>46003</v>
      </c>
      <c r="Z594" s="7">
        <v>45994</v>
      </c>
      <c r="AA594" s="5" t="s">
        <v>32</v>
      </c>
      <c r="AB594" s="6">
        <v>46003</v>
      </c>
      <c r="AC594" s="7">
        <v>46003.572916666664</v>
      </c>
      <c r="AD594" s="5">
        <v>33611008052</v>
      </c>
      <c r="AE594" s="8">
        <v>45994</v>
      </c>
      <c r="AF594" s="5">
        <v>3008</v>
      </c>
      <c r="AG594" s="5" t="s">
        <v>37</v>
      </c>
      <c r="AH594" s="5">
        <v>206545</v>
      </c>
      <c r="AI594" s="6">
        <v>45994</v>
      </c>
      <c r="AJ594" s="6">
        <v>46003</v>
      </c>
      <c r="AK594" s="1">
        <f t="shared" ref="AK594:AK595" si="265">0.02*C594</f>
        <v>45.8446</v>
      </c>
      <c r="AL594" t="s">
        <v>673</v>
      </c>
      <c r="AM594">
        <f t="shared" ref="AM594:AM595" si="266">F594</f>
        <v>22.92</v>
      </c>
    </row>
    <row r="595" spans="1:39" x14ac:dyDescent="0.55000000000000004">
      <c r="A595">
        <v>3361</v>
      </c>
      <c r="B595">
        <v>1008263</v>
      </c>
      <c r="C595" s="1">
        <v>1985.82</v>
      </c>
      <c r="E595" s="1">
        <v>1985.82</v>
      </c>
      <c r="F595">
        <v>19.86</v>
      </c>
      <c r="G595" s="1">
        <v>1985.82</v>
      </c>
      <c r="H595" s="14">
        <f t="shared" si="263"/>
        <v>1965.96</v>
      </c>
      <c r="I595" s="14" t="b">
        <f t="shared" si="264"/>
        <v>0</v>
      </c>
      <c r="J595" s="2">
        <v>46003</v>
      </c>
      <c r="K595" s="5">
        <v>1008263</v>
      </c>
      <c r="L595" s="5">
        <v>3361</v>
      </c>
      <c r="M595" s="5">
        <v>0</v>
      </c>
      <c r="N595" s="5">
        <v>1985.82</v>
      </c>
      <c r="O595" s="7">
        <v>45995</v>
      </c>
      <c r="P595" s="5">
        <v>1985.82</v>
      </c>
      <c r="Q595" s="5">
        <v>0</v>
      </c>
      <c r="R595" s="5" t="s">
        <v>32</v>
      </c>
      <c r="S595" s="5" t="s">
        <v>33</v>
      </c>
      <c r="T595" s="5">
        <v>19.86</v>
      </c>
      <c r="U595" s="5">
        <v>1985.82</v>
      </c>
      <c r="V595" s="5" t="s">
        <v>34</v>
      </c>
      <c r="W595" s="5">
        <v>10</v>
      </c>
      <c r="X595" s="5" t="s">
        <v>345</v>
      </c>
      <c r="Y595" s="7">
        <v>46003</v>
      </c>
      <c r="Z595" s="7">
        <v>45995</v>
      </c>
      <c r="AA595" s="5" t="s">
        <v>32</v>
      </c>
      <c r="AB595" s="6">
        <v>46003</v>
      </c>
      <c r="AC595" s="7">
        <v>46003.572916666664</v>
      </c>
      <c r="AD595" s="5">
        <v>33611008263</v>
      </c>
      <c r="AE595" s="8">
        <v>45995</v>
      </c>
      <c r="AF595" s="5">
        <v>3008</v>
      </c>
      <c r="AG595" s="5" t="s">
        <v>37</v>
      </c>
      <c r="AH595" s="5">
        <v>206552</v>
      </c>
      <c r="AI595" s="6">
        <v>45995</v>
      </c>
      <c r="AJ595" s="6">
        <v>46003</v>
      </c>
      <c r="AK595" s="1">
        <f t="shared" si="265"/>
        <v>39.7164</v>
      </c>
      <c r="AL595" t="s">
        <v>673</v>
      </c>
      <c r="AM595">
        <f t="shared" si="266"/>
        <v>19.86</v>
      </c>
    </row>
    <row r="596" spans="1:39" hidden="1" x14ac:dyDescent="0.55000000000000004">
      <c r="A596">
        <v>3361</v>
      </c>
      <c r="B596">
        <v>1008269</v>
      </c>
      <c r="C596" s="1">
        <v>1135.05</v>
      </c>
      <c r="E596" s="1">
        <v>1135.05</v>
      </c>
      <c r="F596">
        <v>11.35</v>
      </c>
      <c r="G596" s="1">
        <v>1123.7</v>
      </c>
      <c r="H596" s="1"/>
      <c r="I596" s="1"/>
      <c r="J596" s="2">
        <v>46003</v>
      </c>
      <c r="K596" s="5">
        <v>1008269</v>
      </c>
      <c r="L596" s="5">
        <v>3361</v>
      </c>
      <c r="M596" s="5">
        <v>0</v>
      </c>
      <c r="N596" s="5">
        <v>1135.05</v>
      </c>
      <c r="O596" s="7">
        <v>45995</v>
      </c>
      <c r="P596" s="5">
        <v>1135.05</v>
      </c>
      <c r="Q596" s="5">
        <v>0</v>
      </c>
      <c r="R596" s="5" t="s">
        <v>32</v>
      </c>
      <c r="S596" s="5" t="s">
        <v>33</v>
      </c>
      <c r="T596" s="5">
        <v>11.35</v>
      </c>
      <c r="U596" s="5">
        <v>1123.7</v>
      </c>
      <c r="V596" s="5" t="s">
        <v>34</v>
      </c>
      <c r="W596" s="5">
        <v>10</v>
      </c>
      <c r="X596" s="5" t="s">
        <v>345</v>
      </c>
      <c r="Y596" s="7">
        <v>46003</v>
      </c>
      <c r="Z596" s="7">
        <v>45995</v>
      </c>
      <c r="AA596" s="5" t="s">
        <v>32</v>
      </c>
      <c r="AB596" s="6">
        <v>46003</v>
      </c>
      <c r="AC596" s="7">
        <v>46003.572916666664</v>
      </c>
      <c r="AD596" s="5">
        <v>33611008269</v>
      </c>
      <c r="AE596" s="8">
        <v>45995</v>
      </c>
      <c r="AF596" s="5">
        <v>3008</v>
      </c>
      <c r="AG596" s="5" t="s">
        <v>38</v>
      </c>
      <c r="AH596" s="5">
        <v>206553</v>
      </c>
      <c r="AI596" s="6">
        <v>45995</v>
      </c>
      <c r="AJ596" s="6">
        <v>46003</v>
      </c>
    </row>
    <row r="597" spans="1:39" hidden="1" x14ac:dyDescent="0.55000000000000004">
      <c r="A597">
        <v>3368</v>
      </c>
      <c r="B597">
        <v>999710</v>
      </c>
      <c r="C597">
        <v>750.54</v>
      </c>
      <c r="E597">
        <v>750.54</v>
      </c>
      <c r="G597">
        <v>750.54</v>
      </c>
      <c r="H597"/>
      <c r="I597"/>
      <c r="J597" s="2">
        <v>46003</v>
      </c>
      <c r="K597" s="5">
        <v>999710</v>
      </c>
      <c r="L597" s="5">
        <v>3368</v>
      </c>
      <c r="M597" s="5">
        <v>0</v>
      </c>
      <c r="N597" s="5">
        <v>750.54</v>
      </c>
      <c r="O597" s="7">
        <v>45953</v>
      </c>
      <c r="P597" s="5">
        <v>750.54</v>
      </c>
      <c r="Q597" s="5">
        <v>0</v>
      </c>
      <c r="R597" s="5" t="s">
        <v>32</v>
      </c>
      <c r="S597" s="5" t="s">
        <v>33</v>
      </c>
      <c r="T597" s="5">
        <v>0</v>
      </c>
      <c r="U597" s="5">
        <v>750.54</v>
      </c>
      <c r="V597" s="5" t="s">
        <v>34</v>
      </c>
      <c r="W597" s="5">
        <v>2</v>
      </c>
      <c r="X597" s="5">
        <v>1771145575112</v>
      </c>
      <c r="Y597" s="7">
        <v>46003</v>
      </c>
      <c r="Z597" s="7">
        <v>45953</v>
      </c>
      <c r="AB597" s="6">
        <v>46003</v>
      </c>
      <c r="AC597" s="7">
        <v>46000.447222222225</v>
      </c>
      <c r="AD597" s="5">
        <v>3368999710</v>
      </c>
      <c r="AE597" s="8">
        <v>45953</v>
      </c>
      <c r="AF597" s="5" t="s">
        <v>350</v>
      </c>
      <c r="AG597" s="5" t="s">
        <v>65</v>
      </c>
      <c r="AH597" s="5">
        <v>199856</v>
      </c>
      <c r="AI597" s="6">
        <v>45953</v>
      </c>
      <c r="AJ597" s="6">
        <v>46003</v>
      </c>
    </row>
    <row r="598" spans="1:39" x14ac:dyDescent="0.55000000000000004">
      <c r="A598">
        <v>3368</v>
      </c>
      <c r="B598">
        <v>999713</v>
      </c>
      <c r="C598">
        <v>179.6</v>
      </c>
      <c r="D598" s="4">
        <v>3.59</v>
      </c>
      <c r="E598">
        <v>176.01</v>
      </c>
      <c r="G598">
        <v>176.01</v>
      </c>
      <c r="H598" s="14">
        <f t="shared" ref="H598:H599" si="267">C598-D598-F598</f>
        <v>176.01</v>
      </c>
      <c r="I598" s="14" t="b">
        <f t="shared" ref="I598:I599" si="268">G598=H598</f>
        <v>1</v>
      </c>
      <c r="J598" s="2">
        <v>46003</v>
      </c>
      <c r="K598" s="5">
        <v>999713</v>
      </c>
      <c r="L598" s="5">
        <v>3368</v>
      </c>
      <c r="M598" s="5">
        <v>3.59</v>
      </c>
      <c r="N598" s="5">
        <v>179.6</v>
      </c>
      <c r="O598" s="7">
        <v>45953</v>
      </c>
      <c r="P598" s="5">
        <v>176.01</v>
      </c>
      <c r="Q598" s="5">
        <v>3.59</v>
      </c>
      <c r="R598" s="5" t="s">
        <v>32</v>
      </c>
      <c r="S598" s="5" t="s">
        <v>33</v>
      </c>
      <c r="T598" s="5">
        <v>0</v>
      </c>
      <c r="U598" s="5">
        <v>176.01</v>
      </c>
      <c r="V598" s="5" t="s">
        <v>34</v>
      </c>
      <c r="W598" s="5">
        <v>2</v>
      </c>
      <c r="X598" s="5">
        <v>1771145575112</v>
      </c>
      <c r="Y598" s="7">
        <v>46003</v>
      </c>
      <c r="Z598" s="7">
        <v>45953</v>
      </c>
      <c r="AB598" s="6">
        <v>46003</v>
      </c>
      <c r="AC598" s="7">
        <v>46000.447222222225</v>
      </c>
      <c r="AD598" s="5">
        <v>3368999713</v>
      </c>
      <c r="AE598" s="8">
        <v>45953</v>
      </c>
      <c r="AF598" s="5" t="s">
        <v>350</v>
      </c>
      <c r="AG598" s="5" t="s">
        <v>71</v>
      </c>
      <c r="AH598" s="5">
        <v>199855</v>
      </c>
      <c r="AI598" s="6">
        <v>45953</v>
      </c>
      <c r="AJ598" s="6">
        <v>46003</v>
      </c>
      <c r="AK598" s="1">
        <f t="shared" ref="AK598:AK599" si="269">0.02*C598</f>
        <v>3.5920000000000001</v>
      </c>
    </row>
    <row r="599" spans="1:39" x14ac:dyDescent="0.55000000000000004">
      <c r="A599">
        <v>3368</v>
      </c>
      <c r="B599">
        <v>1002901</v>
      </c>
      <c r="C599">
        <v>491.03</v>
      </c>
      <c r="D599" s="4">
        <v>9.82</v>
      </c>
      <c r="E599">
        <v>481.21</v>
      </c>
      <c r="G599">
        <v>481.21</v>
      </c>
      <c r="H599" s="14">
        <f t="shared" si="267"/>
        <v>481.21</v>
      </c>
      <c r="I599" s="14" t="b">
        <f t="shared" si="268"/>
        <v>1</v>
      </c>
      <c r="J599" s="2">
        <v>46003</v>
      </c>
      <c r="K599" s="5">
        <v>1002901</v>
      </c>
      <c r="L599" s="5">
        <v>3368</v>
      </c>
      <c r="M599" s="5">
        <v>9.82</v>
      </c>
      <c r="N599" s="5">
        <v>491.03</v>
      </c>
      <c r="O599" s="7">
        <v>45971</v>
      </c>
      <c r="P599" s="5">
        <v>481.21</v>
      </c>
      <c r="Q599" s="5">
        <v>9.82</v>
      </c>
      <c r="R599" s="5" t="s">
        <v>32</v>
      </c>
      <c r="S599" s="5" t="s">
        <v>33</v>
      </c>
      <c r="T599" s="5">
        <v>0</v>
      </c>
      <c r="U599" s="5">
        <v>481.21</v>
      </c>
      <c r="V599" s="5" t="s">
        <v>34</v>
      </c>
      <c r="W599" s="5">
        <v>2</v>
      </c>
      <c r="X599" s="5">
        <v>1771145575112</v>
      </c>
      <c r="Y599" s="7">
        <v>46003</v>
      </c>
      <c r="Z599" s="7">
        <v>45971</v>
      </c>
      <c r="AB599" s="6">
        <v>46003</v>
      </c>
      <c r="AC599" s="7">
        <v>46000.447222222225</v>
      </c>
      <c r="AD599" s="5">
        <v>33681002901</v>
      </c>
      <c r="AE599" s="8">
        <v>45971</v>
      </c>
      <c r="AF599" s="5" t="s">
        <v>346</v>
      </c>
      <c r="AG599" s="5" t="s">
        <v>71</v>
      </c>
      <c r="AH599" s="5">
        <v>202250</v>
      </c>
      <c r="AI599" s="6">
        <v>45971</v>
      </c>
      <c r="AJ599" s="6">
        <v>46003</v>
      </c>
      <c r="AK599" s="1">
        <f t="shared" si="269"/>
        <v>9.8205999999999989</v>
      </c>
    </row>
    <row r="600" spans="1:39" hidden="1" x14ac:dyDescent="0.55000000000000004">
      <c r="A600">
        <v>3368</v>
      </c>
      <c r="B600">
        <v>1002903</v>
      </c>
      <c r="C600">
        <v>401.16</v>
      </c>
      <c r="E600">
        <v>401.16</v>
      </c>
      <c r="G600">
        <v>401.16</v>
      </c>
      <c r="H600"/>
      <c r="I600"/>
      <c r="J600" s="2">
        <v>46003</v>
      </c>
      <c r="K600" s="5">
        <v>1002903</v>
      </c>
      <c r="L600" s="5">
        <v>3368</v>
      </c>
      <c r="M600" s="5">
        <v>0</v>
      </c>
      <c r="N600" s="5">
        <v>401.16</v>
      </c>
      <c r="O600" s="7">
        <v>45971</v>
      </c>
      <c r="P600" s="5">
        <v>401.16</v>
      </c>
      <c r="Q600" s="5">
        <v>0</v>
      </c>
      <c r="R600" s="5" t="s">
        <v>32</v>
      </c>
      <c r="S600" s="5" t="s">
        <v>33</v>
      </c>
      <c r="T600" s="5">
        <v>0</v>
      </c>
      <c r="U600" s="5">
        <v>401.16</v>
      </c>
      <c r="V600" s="5" t="s">
        <v>34</v>
      </c>
      <c r="W600" s="5">
        <v>2</v>
      </c>
      <c r="X600" s="5">
        <v>1771145575112</v>
      </c>
      <c r="Y600" s="7">
        <v>46003</v>
      </c>
      <c r="Z600" s="7">
        <v>45971</v>
      </c>
      <c r="AB600" s="6">
        <v>46003</v>
      </c>
      <c r="AC600" s="7">
        <v>46000.447222222225</v>
      </c>
      <c r="AD600" s="5">
        <v>33681002903</v>
      </c>
      <c r="AE600" s="8">
        <v>45971</v>
      </c>
      <c r="AF600" s="5" t="s">
        <v>346</v>
      </c>
      <c r="AG600" s="5" t="s">
        <v>65</v>
      </c>
      <c r="AH600" s="5">
        <v>202251</v>
      </c>
      <c r="AI600" s="6">
        <v>45971</v>
      </c>
      <c r="AJ600" s="6">
        <v>46003</v>
      </c>
    </row>
    <row r="601" spans="1:39" x14ac:dyDescent="0.55000000000000004">
      <c r="A601">
        <v>3368</v>
      </c>
      <c r="B601">
        <v>1003486</v>
      </c>
      <c r="C601">
        <v>812.88</v>
      </c>
      <c r="D601" s="4">
        <v>16.260000000000002</v>
      </c>
      <c r="E601">
        <v>796.62</v>
      </c>
      <c r="G601">
        <v>796.62</v>
      </c>
      <c r="H601" s="14">
        <f>C601-D601-F601</f>
        <v>796.62</v>
      </c>
      <c r="I601" s="14" t="b">
        <f>G601=H601</f>
        <v>1</v>
      </c>
      <c r="J601" s="2">
        <v>46003</v>
      </c>
      <c r="K601" s="5">
        <v>1003486</v>
      </c>
      <c r="L601" s="5">
        <v>3368</v>
      </c>
      <c r="M601" s="5">
        <v>16.260000000000002</v>
      </c>
      <c r="N601" s="5">
        <v>812.88</v>
      </c>
      <c r="O601" s="7">
        <v>45973</v>
      </c>
      <c r="P601" s="5">
        <v>796.62</v>
      </c>
      <c r="Q601" s="5">
        <v>16.260000000000002</v>
      </c>
      <c r="R601" s="5">
        <v>54118889</v>
      </c>
      <c r="S601" s="5" t="s">
        <v>347</v>
      </c>
      <c r="T601" s="5">
        <v>0</v>
      </c>
      <c r="U601" s="5">
        <v>796.62</v>
      </c>
      <c r="V601" s="5" t="s">
        <v>34</v>
      </c>
      <c r="W601" s="5">
        <v>2</v>
      </c>
      <c r="X601" s="5">
        <v>1771145575112</v>
      </c>
      <c r="Y601" s="7">
        <v>46003</v>
      </c>
      <c r="Z601" s="7">
        <v>45973</v>
      </c>
      <c r="AB601" s="6">
        <v>46003</v>
      </c>
      <c r="AC601" s="7">
        <v>46000.447222222225</v>
      </c>
      <c r="AD601" s="5">
        <v>33681003486</v>
      </c>
      <c r="AE601" s="8">
        <v>45973</v>
      </c>
      <c r="AF601" s="5">
        <v>10312025</v>
      </c>
      <c r="AG601" s="5" t="s">
        <v>71</v>
      </c>
      <c r="AH601" s="5">
        <v>54118889</v>
      </c>
      <c r="AI601" s="6">
        <v>45973</v>
      </c>
      <c r="AJ601" s="6">
        <v>46003</v>
      </c>
      <c r="AK601" s="1">
        <f t="shared" ref="AK601" si="270">0.02*C601</f>
        <v>16.2576</v>
      </c>
    </row>
    <row r="602" spans="1:39" hidden="1" x14ac:dyDescent="0.55000000000000004">
      <c r="A602">
        <v>3368</v>
      </c>
      <c r="B602">
        <v>1004506</v>
      </c>
      <c r="C602">
        <v>-262.45999999999998</v>
      </c>
      <c r="E602">
        <v>-262.45999999999998</v>
      </c>
      <c r="G602">
        <v>-262.45999999999998</v>
      </c>
      <c r="H602"/>
      <c r="I602"/>
      <c r="J602" s="2">
        <v>46003</v>
      </c>
      <c r="K602" s="5">
        <v>1004506</v>
      </c>
      <c r="L602" s="5">
        <v>3368</v>
      </c>
      <c r="M602" s="5">
        <v>0</v>
      </c>
      <c r="N602" s="5">
        <v>-262.45999999999998</v>
      </c>
      <c r="O602" s="7">
        <v>45979</v>
      </c>
      <c r="P602" s="5">
        <v>-262.45999999999998</v>
      </c>
      <c r="Q602" s="5">
        <v>0</v>
      </c>
      <c r="R602" s="5">
        <v>1004506</v>
      </c>
      <c r="S602" s="5" t="s">
        <v>33</v>
      </c>
      <c r="T602" s="5">
        <v>0</v>
      </c>
      <c r="U602" s="5">
        <v>-262.45999999999998</v>
      </c>
      <c r="V602" s="5" t="s">
        <v>34</v>
      </c>
      <c r="W602" s="5">
        <v>2</v>
      </c>
      <c r="X602" s="5">
        <v>1771145575112</v>
      </c>
      <c r="Y602" s="7">
        <v>46003</v>
      </c>
      <c r="Z602" s="7">
        <v>45979</v>
      </c>
      <c r="AB602" s="6">
        <v>46003</v>
      </c>
      <c r="AC602" s="7">
        <v>46000.447222222225</v>
      </c>
      <c r="AD602" s="5">
        <v>33681004506</v>
      </c>
      <c r="AE602" s="8">
        <v>45979</v>
      </c>
      <c r="AF602" s="5">
        <v>142027</v>
      </c>
      <c r="AG602" s="5" t="s">
        <v>65</v>
      </c>
      <c r="AH602" s="5">
        <v>53468</v>
      </c>
      <c r="AI602" s="6">
        <v>45979</v>
      </c>
      <c r="AJ602" s="6">
        <v>46003</v>
      </c>
    </row>
    <row r="603" spans="1:39" x14ac:dyDescent="0.55000000000000004">
      <c r="A603">
        <v>3368</v>
      </c>
      <c r="B603">
        <v>1005560</v>
      </c>
      <c r="C603" s="1">
        <v>1257.57</v>
      </c>
      <c r="D603" s="4">
        <v>25.15</v>
      </c>
      <c r="E603" s="1">
        <v>1232.42</v>
      </c>
      <c r="G603" s="1">
        <v>1232.42</v>
      </c>
      <c r="H603" s="14">
        <f>C603-D603-F603</f>
        <v>1232.4199999999998</v>
      </c>
      <c r="I603" s="14" t="b">
        <f>G603=H603</f>
        <v>1</v>
      </c>
      <c r="J603" s="2">
        <v>46003</v>
      </c>
      <c r="K603" s="5">
        <v>1005560</v>
      </c>
      <c r="L603" s="5">
        <v>3368</v>
      </c>
      <c r="M603" s="5">
        <v>25.15</v>
      </c>
      <c r="N603" s="5">
        <v>1257.57</v>
      </c>
      <c r="O603" s="7">
        <v>45981</v>
      </c>
      <c r="P603" s="5">
        <v>1232.42</v>
      </c>
      <c r="Q603" s="5">
        <v>25.15</v>
      </c>
      <c r="R603" s="5">
        <v>336550</v>
      </c>
      <c r="S603" s="5" t="s">
        <v>186</v>
      </c>
      <c r="T603" s="5">
        <v>0</v>
      </c>
      <c r="U603" s="5">
        <v>1232.42</v>
      </c>
      <c r="V603" s="5" t="s">
        <v>34</v>
      </c>
      <c r="W603" s="5">
        <v>2</v>
      </c>
      <c r="X603" s="5">
        <v>1771145575112</v>
      </c>
      <c r="Y603" s="7">
        <v>46003</v>
      </c>
      <c r="Z603" s="7">
        <v>45982</v>
      </c>
      <c r="AB603" s="6">
        <v>46003</v>
      </c>
      <c r="AC603" s="7">
        <v>46000.447222222225</v>
      </c>
      <c r="AD603" s="5">
        <v>33681005560</v>
      </c>
      <c r="AE603" s="8">
        <v>45981</v>
      </c>
      <c r="AF603" s="5" t="s">
        <v>348</v>
      </c>
      <c r="AG603" s="5" t="s">
        <v>71</v>
      </c>
      <c r="AH603" s="5">
        <v>336550</v>
      </c>
      <c r="AI603" s="6">
        <v>45982</v>
      </c>
      <c r="AJ603" s="6">
        <v>46003</v>
      </c>
      <c r="AK603" s="1">
        <f t="shared" ref="AK603" si="271">0.02*C603</f>
        <v>25.151399999999999</v>
      </c>
    </row>
    <row r="604" spans="1:39" hidden="1" x14ac:dyDescent="0.55000000000000004">
      <c r="A604">
        <v>3368</v>
      </c>
      <c r="B604">
        <v>1007557</v>
      </c>
      <c r="C604">
        <v>350</v>
      </c>
      <c r="E604">
        <v>350</v>
      </c>
      <c r="F604">
        <v>3.5</v>
      </c>
      <c r="G604">
        <v>346.5</v>
      </c>
      <c r="H604"/>
      <c r="I604"/>
      <c r="J604" s="2">
        <v>46003</v>
      </c>
      <c r="K604" s="5">
        <v>1007557</v>
      </c>
      <c r="L604" s="5">
        <v>3368</v>
      </c>
      <c r="M604" s="5">
        <v>0</v>
      </c>
      <c r="N604" s="5">
        <v>350</v>
      </c>
      <c r="O604" s="7">
        <v>45993</v>
      </c>
      <c r="P604" s="5">
        <v>350</v>
      </c>
      <c r="Q604" s="5">
        <v>0</v>
      </c>
      <c r="R604" s="5" t="s">
        <v>32</v>
      </c>
      <c r="S604" s="5" t="s">
        <v>33</v>
      </c>
      <c r="T604" s="5">
        <v>3.5</v>
      </c>
      <c r="U604" s="5">
        <v>346.5</v>
      </c>
      <c r="V604" s="5" t="s">
        <v>34</v>
      </c>
      <c r="W604" s="5">
        <v>2</v>
      </c>
      <c r="X604" s="5">
        <v>1771145575112</v>
      </c>
      <c r="Y604" s="7">
        <v>46003</v>
      </c>
      <c r="Z604" s="7">
        <v>45993</v>
      </c>
      <c r="AB604" s="6">
        <v>46003</v>
      </c>
      <c r="AC604" s="7">
        <v>46000.447222222225</v>
      </c>
      <c r="AD604" s="5">
        <v>33681007557</v>
      </c>
      <c r="AE604" s="8">
        <v>45993</v>
      </c>
      <c r="AF604" s="5" t="s">
        <v>32</v>
      </c>
      <c r="AG604" s="5" t="s">
        <v>82</v>
      </c>
      <c r="AH604" s="5" t="s">
        <v>32</v>
      </c>
      <c r="AI604" s="6">
        <v>45993</v>
      </c>
      <c r="AJ604" s="6">
        <v>46003</v>
      </c>
    </row>
    <row r="605" spans="1:39" hidden="1" x14ac:dyDescent="0.55000000000000004">
      <c r="A605">
        <v>3368</v>
      </c>
      <c r="B605">
        <v>1008287</v>
      </c>
      <c r="C605">
        <v>-50</v>
      </c>
      <c r="E605">
        <v>-50</v>
      </c>
      <c r="G605">
        <v>-50</v>
      </c>
      <c r="H605"/>
      <c r="I605"/>
      <c r="J605" s="2">
        <v>46003</v>
      </c>
      <c r="K605" s="5">
        <v>1008287</v>
      </c>
      <c r="L605" s="5">
        <v>3368</v>
      </c>
      <c r="M605" s="5">
        <v>0</v>
      </c>
      <c r="N605" s="5">
        <v>-50</v>
      </c>
      <c r="O605" s="7">
        <v>45995</v>
      </c>
      <c r="P605" s="5">
        <v>-50</v>
      </c>
      <c r="Q605" s="5">
        <v>0</v>
      </c>
      <c r="R605" s="5" t="s">
        <v>40</v>
      </c>
      <c r="S605" s="5" t="s">
        <v>33</v>
      </c>
      <c r="T605" s="5">
        <v>0</v>
      </c>
      <c r="U605" s="5">
        <v>-50</v>
      </c>
      <c r="V605" s="5" t="s">
        <v>34</v>
      </c>
      <c r="W605" s="5">
        <v>2</v>
      </c>
      <c r="X605" s="5">
        <v>1771145575112</v>
      </c>
      <c r="Y605" s="7">
        <v>46003</v>
      </c>
      <c r="Z605" s="7">
        <v>45995</v>
      </c>
      <c r="AB605" s="6">
        <v>46003</v>
      </c>
      <c r="AC605" s="7">
        <v>46000.447222222225</v>
      </c>
      <c r="AD605" s="5">
        <v>33681008287</v>
      </c>
      <c r="AE605" s="8">
        <v>45995</v>
      </c>
      <c r="AF605" s="5" t="s">
        <v>41</v>
      </c>
      <c r="AG605" s="5" t="s">
        <v>38</v>
      </c>
      <c r="AH605" s="5" t="s">
        <v>40</v>
      </c>
      <c r="AI605" s="6">
        <v>45995</v>
      </c>
      <c r="AJ605" s="6">
        <v>46003</v>
      </c>
    </row>
    <row r="606" spans="1:39" x14ac:dyDescent="0.55000000000000004">
      <c r="A606">
        <v>3368</v>
      </c>
      <c r="B606">
        <v>1008309</v>
      </c>
      <c r="C606">
        <v>-23.76</v>
      </c>
      <c r="E606">
        <v>-23.76</v>
      </c>
      <c r="G606">
        <v>-23.76</v>
      </c>
      <c r="H606" s="14">
        <f t="shared" ref="H606:H608" si="272">C606-D606-F606</f>
        <v>-23.76</v>
      </c>
      <c r="I606" s="14" t="b">
        <f t="shared" ref="I606:I608" si="273">G606=H606</f>
        <v>1</v>
      </c>
      <c r="J606" s="2">
        <v>46003</v>
      </c>
      <c r="K606" s="5">
        <v>1008309</v>
      </c>
      <c r="L606" s="5">
        <v>3368</v>
      </c>
      <c r="M606" s="5">
        <v>0</v>
      </c>
      <c r="N606" s="5">
        <v>-23.76</v>
      </c>
      <c r="O606" s="7">
        <v>45996</v>
      </c>
      <c r="P606" s="5">
        <v>-23.76</v>
      </c>
      <c r="Q606" s="5">
        <v>0</v>
      </c>
      <c r="R606" s="5" t="s">
        <v>349</v>
      </c>
      <c r="S606" s="5" t="s">
        <v>265</v>
      </c>
      <c r="T606" s="5">
        <v>0</v>
      </c>
      <c r="U606" s="5">
        <v>-23.76</v>
      </c>
      <c r="V606" s="5" t="s">
        <v>34</v>
      </c>
      <c r="W606" s="5">
        <v>2</v>
      </c>
      <c r="X606" s="5">
        <v>1771145575112</v>
      </c>
      <c r="Y606" s="7">
        <v>46003</v>
      </c>
      <c r="Z606" s="7">
        <v>45996</v>
      </c>
      <c r="AB606" s="6">
        <v>46003</v>
      </c>
      <c r="AC606" s="7">
        <v>46000.447222222225</v>
      </c>
      <c r="AD606" s="5">
        <v>33681008309</v>
      </c>
      <c r="AE606" s="8">
        <v>45996</v>
      </c>
      <c r="AF606" s="5" t="s">
        <v>32</v>
      </c>
      <c r="AG606" s="5" t="s">
        <v>37</v>
      </c>
      <c r="AH606" s="5" t="s">
        <v>349</v>
      </c>
      <c r="AI606" s="6">
        <v>45996</v>
      </c>
      <c r="AJ606" s="6">
        <v>46003</v>
      </c>
    </row>
    <row r="607" spans="1:39" x14ac:dyDescent="0.55000000000000004">
      <c r="A607">
        <v>3389</v>
      </c>
      <c r="B607">
        <v>1007281</v>
      </c>
      <c r="C607">
        <v>116.61</v>
      </c>
      <c r="D607" s="4">
        <v>2.33</v>
      </c>
      <c r="E607">
        <v>114.28</v>
      </c>
      <c r="F607">
        <v>1.17</v>
      </c>
      <c r="G607">
        <v>113.11</v>
      </c>
      <c r="H607" s="14">
        <f t="shared" si="272"/>
        <v>113.11</v>
      </c>
      <c r="I607" s="14" t="b">
        <f t="shared" si="273"/>
        <v>1</v>
      </c>
      <c r="J607" s="2">
        <v>46003</v>
      </c>
      <c r="K607" s="5">
        <v>1007281</v>
      </c>
      <c r="L607" s="5">
        <v>3389</v>
      </c>
      <c r="M607" s="5">
        <v>2.33</v>
      </c>
      <c r="N607" s="5">
        <v>116.61</v>
      </c>
      <c r="O607" s="7">
        <v>45992</v>
      </c>
      <c r="P607" s="5">
        <v>114.28</v>
      </c>
      <c r="Q607" s="5">
        <v>2.33</v>
      </c>
      <c r="R607" s="5" t="s">
        <v>32</v>
      </c>
      <c r="S607" s="5" t="s">
        <v>33</v>
      </c>
      <c r="T607" s="5">
        <v>1.17</v>
      </c>
      <c r="U607" s="5">
        <v>113.11</v>
      </c>
      <c r="V607" s="5" t="s">
        <v>34</v>
      </c>
      <c r="W607" s="5">
        <v>2</v>
      </c>
      <c r="X607" s="5">
        <v>7359515978720</v>
      </c>
      <c r="Y607" s="7">
        <v>46003</v>
      </c>
      <c r="Z607" s="7">
        <v>45992</v>
      </c>
      <c r="AB607" s="6">
        <v>46003</v>
      </c>
      <c r="AC607" s="7">
        <v>46001.772222222222</v>
      </c>
      <c r="AD607" s="5">
        <v>33891007281</v>
      </c>
      <c r="AE607" s="8">
        <v>45992</v>
      </c>
      <c r="AF607" s="5" t="s">
        <v>351</v>
      </c>
      <c r="AG607" s="5" t="s">
        <v>37</v>
      </c>
      <c r="AH607" s="5">
        <v>205815</v>
      </c>
      <c r="AI607" s="6">
        <v>45992</v>
      </c>
      <c r="AJ607" s="6">
        <v>46003</v>
      </c>
      <c r="AK607" s="1">
        <f t="shared" ref="AK607:AK608" si="274">0.02*C607</f>
        <v>2.3321999999999998</v>
      </c>
    </row>
    <row r="608" spans="1:39" x14ac:dyDescent="0.55000000000000004">
      <c r="A608">
        <v>3389</v>
      </c>
      <c r="B608">
        <v>1007355</v>
      </c>
      <c r="C608">
        <v>126.42</v>
      </c>
      <c r="D608" s="4">
        <v>2.5299999999999998</v>
      </c>
      <c r="E608">
        <v>123.89</v>
      </c>
      <c r="F608">
        <v>1.26</v>
      </c>
      <c r="G608">
        <v>122.63</v>
      </c>
      <c r="H608" s="14">
        <f t="shared" si="272"/>
        <v>122.63</v>
      </c>
      <c r="I608" s="14" t="b">
        <f t="shared" si="273"/>
        <v>1</v>
      </c>
      <c r="J608" s="2">
        <v>46003</v>
      </c>
      <c r="K608" s="5">
        <v>1007355</v>
      </c>
      <c r="L608" s="5">
        <v>3389</v>
      </c>
      <c r="M608" s="5">
        <v>2.5299999999999998</v>
      </c>
      <c r="N608" s="5">
        <v>126.42</v>
      </c>
      <c r="O608" s="7">
        <v>45992</v>
      </c>
      <c r="P608" s="5">
        <v>123.89</v>
      </c>
      <c r="Q608" s="5">
        <v>2.5299999999999998</v>
      </c>
      <c r="R608" s="5" t="s">
        <v>32</v>
      </c>
      <c r="S608" s="5" t="s">
        <v>33</v>
      </c>
      <c r="T608" s="5">
        <v>1.26</v>
      </c>
      <c r="U608" s="5">
        <v>122.63</v>
      </c>
      <c r="V608" s="5" t="s">
        <v>34</v>
      </c>
      <c r="W608" s="5">
        <v>2</v>
      </c>
      <c r="X608" s="5">
        <v>8539372917542</v>
      </c>
      <c r="Y608" s="7">
        <v>46003</v>
      </c>
      <c r="Z608" s="7">
        <v>45992</v>
      </c>
      <c r="AB608" s="6">
        <v>46003</v>
      </c>
      <c r="AC608" s="7">
        <v>46001.775000000001</v>
      </c>
      <c r="AD608" s="5">
        <v>33891007355</v>
      </c>
      <c r="AE608" s="8">
        <v>45992</v>
      </c>
      <c r="AF608" s="5" t="s">
        <v>352</v>
      </c>
      <c r="AG608" s="5" t="s">
        <v>37</v>
      </c>
      <c r="AH608" s="5">
        <v>205882</v>
      </c>
      <c r="AI608" s="6">
        <v>45992</v>
      </c>
      <c r="AJ608" s="6">
        <v>46003</v>
      </c>
      <c r="AK608" s="1">
        <f t="shared" si="274"/>
        <v>2.5284</v>
      </c>
    </row>
    <row r="609" spans="1:39" hidden="1" x14ac:dyDescent="0.55000000000000004">
      <c r="A609">
        <v>3389</v>
      </c>
      <c r="B609">
        <v>1007361</v>
      </c>
      <c r="C609">
        <v>948.14</v>
      </c>
      <c r="E609">
        <v>948.14</v>
      </c>
      <c r="F609">
        <v>9.48</v>
      </c>
      <c r="G609">
        <v>938.66</v>
      </c>
      <c r="H609"/>
      <c r="I609"/>
      <c r="J609" s="2">
        <v>46003</v>
      </c>
      <c r="K609" s="5">
        <v>1007361</v>
      </c>
      <c r="L609" s="5">
        <v>3389</v>
      </c>
      <c r="M609" s="5">
        <v>0</v>
      </c>
      <c r="N609" s="5">
        <v>948.14</v>
      </c>
      <c r="O609" s="7">
        <v>45992</v>
      </c>
      <c r="P609" s="5">
        <v>948.14</v>
      </c>
      <c r="Q609" s="5">
        <v>0</v>
      </c>
      <c r="R609" s="5" t="s">
        <v>32</v>
      </c>
      <c r="S609" s="5" t="s">
        <v>33</v>
      </c>
      <c r="T609" s="5">
        <v>9.48</v>
      </c>
      <c r="U609" s="5">
        <v>938.66</v>
      </c>
      <c r="V609" s="5" t="s">
        <v>34</v>
      </c>
      <c r="W609" s="5">
        <v>2</v>
      </c>
      <c r="X609" s="5">
        <v>8539372917542</v>
      </c>
      <c r="Y609" s="7">
        <v>46003</v>
      </c>
      <c r="Z609" s="7">
        <v>45992</v>
      </c>
      <c r="AB609" s="6">
        <v>46003</v>
      </c>
      <c r="AC609" s="7">
        <v>46001.775000000001</v>
      </c>
      <c r="AD609" s="5">
        <v>33891007361</v>
      </c>
      <c r="AE609" s="8">
        <v>45992</v>
      </c>
      <c r="AF609" s="5" t="s">
        <v>352</v>
      </c>
      <c r="AG609" s="5" t="s">
        <v>38</v>
      </c>
      <c r="AH609" s="5">
        <v>205883</v>
      </c>
      <c r="AI609" s="6">
        <v>45992</v>
      </c>
      <c r="AJ609" s="6">
        <v>46003</v>
      </c>
    </row>
    <row r="610" spans="1:39" x14ac:dyDescent="0.55000000000000004">
      <c r="A610">
        <v>3389</v>
      </c>
      <c r="B610">
        <v>1007380</v>
      </c>
      <c r="C610" s="1">
        <v>1554.86</v>
      </c>
      <c r="D610" s="4">
        <v>31.1</v>
      </c>
      <c r="E610" s="1">
        <v>1523.76</v>
      </c>
      <c r="F610">
        <v>15.55</v>
      </c>
      <c r="G610" s="1">
        <v>1508.21</v>
      </c>
      <c r="H610" s="14">
        <f>C610-D610-F610</f>
        <v>1508.21</v>
      </c>
      <c r="I610" s="14" t="b">
        <f>G610=H610</f>
        <v>1</v>
      </c>
      <c r="J610" s="2">
        <v>46003</v>
      </c>
      <c r="K610" s="5">
        <v>1007380</v>
      </c>
      <c r="L610" s="5">
        <v>3389</v>
      </c>
      <c r="M610" s="5">
        <v>31.1</v>
      </c>
      <c r="N610" s="5">
        <v>1554.86</v>
      </c>
      <c r="O610" s="7">
        <v>45992</v>
      </c>
      <c r="P610" s="5">
        <v>1523.76</v>
      </c>
      <c r="Q610" s="5">
        <v>31.1</v>
      </c>
      <c r="R610" s="5" t="s">
        <v>32</v>
      </c>
      <c r="S610" s="5" t="s">
        <v>33</v>
      </c>
      <c r="T610" s="5">
        <v>15.55</v>
      </c>
      <c r="U610" s="5">
        <v>1508.21</v>
      </c>
      <c r="V610" s="5" t="s">
        <v>34</v>
      </c>
      <c r="W610" s="5">
        <v>2</v>
      </c>
      <c r="X610" s="5">
        <v>8539372917542</v>
      </c>
      <c r="Y610" s="7">
        <v>46003</v>
      </c>
      <c r="Z610" s="7">
        <v>45992</v>
      </c>
      <c r="AB610" s="6">
        <v>46003</v>
      </c>
      <c r="AC610" s="7">
        <v>46001.775000000001</v>
      </c>
      <c r="AD610" s="5">
        <v>33891007380</v>
      </c>
      <c r="AE610" s="8">
        <v>45992</v>
      </c>
      <c r="AF610" s="5" t="s">
        <v>353</v>
      </c>
      <c r="AG610" s="5" t="s">
        <v>37</v>
      </c>
      <c r="AH610" s="5">
        <v>205932</v>
      </c>
      <c r="AI610" s="6">
        <v>45992</v>
      </c>
      <c r="AJ610" s="6">
        <v>46003</v>
      </c>
      <c r="AK610" s="1">
        <f t="shared" ref="AK610" si="275">0.02*C610</f>
        <v>31.097199999999997</v>
      </c>
    </row>
    <row r="611" spans="1:39" hidden="1" x14ac:dyDescent="0.55000000000000004">
      <c r="A611">
        <v>3389</v>
      </c>
      <c r="B611">
        <v>1007426</v>
      </c>
      <c r="C611" s="1">
        <v>1035.81</v>
      </c>
      <c r="E611" s="1">
        <v>1035.81</v>
      </c>
      <c r="F611">
        <v>10.36</v>
      </c>
      <c r="G611" s="1">
        <v>1025.45</v>
      </c>
      <c r="H611" s="1"/>
      <c r="I611" s="1"/>
      <c r="J611" s="2">
        <v>46003</v>
      </c>
      <c r="K611" s="5">
        <v>1007426</v>
      </c>
      <c r="L611" s="5">
        <v>3389</v>
      </c>
      <c r="M611" s="5">
        <v>0</v>
      </c>
      <c r="N611" s="5">
        <v>1035.81</v>
      </c>
      <c r="O611" s="7">
        <v>45992</v>
      </c>
      <c r="P611" s="5">
        <v>1035.81</v>
      </c>
      <c r="Q611" s="5">
        <v>0</v>
      </c>
      <c r="R611" s="5" t="s">
        <v>32</v>
      </c>
      <c r="S611" s="5" t="s">
        <v>33</v>
      </c>
      <c r="T611" s="5">
        <v>10.36</v>
      </c>
      <c r="U611" s="5">
        <v>1025.45</v>
      </c>
      <c r="V611" s="5" t="s">
        <v>34</v>
      </c>
      <c r="W611" s="5">
        <v>2</v>
      </c>
      <c r="X611" s="5">
        <v>8539372917542</v>
      </c>
      <c r="Y611" s="7">
        <v>46003</v>
      </c>
      <c r="Z611" s="7">
        <v>45992</v>
      </c>
      <c r="AB611" s="6">
        <v>46003</v>
      </c>
      <c r="AC611" s="7">
        <v>46001.775000000001</v>
      </c>
      <c r="AD611" s="5">
        <v>33891007426</v>
      </c>
      <c r="AE611" s="8">
        <v>45992</v>
      </c>
      <c r="AF611" s="5" t="s">
        <v>353</v>
      </c>
      <c r="AG611" s="5" t="s">
        <v>38</v>
      </c>
      <c r="AH611" s="5">
        <v>205941</v>
      </c>
      <c r="AI611" s="6">
        <v>45992</v>
      </c>
      <c r="AJ611" s="6">
        <v>46003</v>
      </c>
    </row>
    <row r="612" spans="1:39" x14ac:dyDescent="0.55000000000000004">
      <c r="A612">
        <v>3389</v>
      </c>
      <c r="B612">
        <v>1007430</v>
      </c>
      <c r="C612">
        <v>667.43</v>
      </c>
      <c r="D612" s="4">
        <v>13.35</v>
      </c>
      <c r="E612">
        <v>654.08000000000004</v>
      </c>
      <c r="F612">
        <v>6.67</v>
      </c>
      <c r="G612">
        <v>647.41</v>
      </c>
      <c r="H612" s="14">
        <f>C612-D612-F612</f>
        <v>647.41</v>
      </c>
      <c r="I612" s="14" t="b">
        <f>G612=H612</f>
        <v>1</v>
      </c>
      <c r="J612" s="2">
        <v>46003</v>
      </c>
      <c r="K612" s="5">
        <v>1007430</v>
      </c>
      <c r="L612" s="5">
        <v>3389</v>
      </c>
      <c r="M612" s="5">
        <v>13.35</v>
      </c>
      <c r="N612" s="5">
        <v>667.43</v>
      </c>
      <c r="O612" s="7">
        <v>45992</v>
      </c>
      <c r="P612" s="5">
        <v>654.08000000000004</v>
      </c>
      <c r="Q612" s="5">
        <v>13.35</v>
      </c>
      <c r="R612" s="5" t="s">
        <v>32</v>
      </c>
      <c r="S612" s="5" t="s">
        <v>33</v>
      </c>
      <c r="T612" s="5">
        <v>6.67</v>
      </c>
      <c r="U612" s="5">
        <v>647.41</v>
      </c>
      <c r="V612" s="5" t="s">
        <v>34</v>
      </c>
      <c r="W612" s="5">
        <v>2</v>
      </c>
      <c r="X612" s="5">
        <v>8539372917542</v>
      </c>
      <c r="Y612" s="7">
        <v>46003</v>
      </c>
      <c r="Z612" s="7">
        <v>45992</v>
      </c>
      <c r="AB612" s="6">
        <v>46003</v>
      </c>
      <c r="AC612" s="7">
        <v>46001.775000000001</v>
      </c>
      <c r="AD612" s="5">
        <v>33891007430</v>
      </c>
      <c r="AE612" s="8">
        <v>45992</v>
      </c>
      <c r="AF612" s="5" t="s">
        <v>353</v>
      </c>
      <c r="AG612" s="5" t="s">
        <v>37</v>
      </c>
      <c r="AH612" s="5">
        <v>205940</v>
      </c>
      <c r="AI612" s="6">
        <v>45992</v>
      </c>
      <c r="AJ612" s="6">
        <v>46003</v>
      </c>
      <c r="AK612" s="1">
        <f t="shared" ref="AK612" si="276">0.02*C612</f>
        <v>13.348599999999999</v>
      </c>
    </row>
    <row r="613" spans="1:39" hidden="1" x14ac:dyDescent="0.55000000000000004">
      <c r="A613">
        <v>3389</v>
      </c>
      <c r="B613">
        <v>1007651</v>
      </c>
      <c r="C613" s="1">
        <v>3990</v>
      </c>
      <c r="E613" s="1">
        <v>3990</v>
      </c>
      <c r="F613">
        <v>39.9</v>
      </c>
      <c r="G613" s="1">
        <v>3950.1</v>
      </c>
      <c r="H613" s="1"/>
      <c r="I613" s="1"/>
      <c r="J613" s="2">
        <v>46003</v>
      </c>
      <c r="K613" s="5">
        <v>1007651</v>
      </c>
      <c r="L613" s="5">
        <v>3389</v>
      </c>
      <c r="M613" s="5">
        <v>0</v>
      </c>
      <c r="N613" s="5">
        <v>3990</v>
      </c>
      <c r="O613" s="7">
        <v>45993</v>
      </c>
      <c r="P613" s="5">
        <v>3990</v>
      </c>
      <c r="Q613" s="5">
        <v>0</v>
      </c>
      <c r="R613" s="5" t="s">
        <v>32</v>
      </c>
      <c r="S613" s="5" t="s">
        <v>33</v>
      </c>
      <c r="T613" s="5">
        <v>39.9</v>
      </c>
      <c r="U613" s="5">
        <v>3950.1</v>
      </c>
      <c r="V613" s="5" t="s">
        <v>34</v>
      </c>
      <c r="W613" s="5">
        <v>2</v>
      </c>
      <c r="X613" s="5">
        <v>8539372917542</v>
      </c>
      <c r="Y613" s="7">
        <v>46003</v>
      </c>
      <c r="Z613" s="7">
        <v>45993</v>
      </c>
      <c r="AB613" s="6">
        <v>46003</v>
      </c>
      <c r="AC613" s="7">
        <v>46001.775000000001</v>
      </c>
      <c r="AD613" s="5">
        <v>33891007651</v>
      </c>
      <c r="AE613" s="8">
        <v>45993</v>
      </c>
      <c r="AF613" s="5" t="s">
        <v>32</v>
      </c>
      <c r="AG613" s="5" t="s">
        <v>35</v>
      </c>
      <c r="AH613" s="5" t="s">
        <v>32</v>
      </c>
      <c r="AI613" s="6">
        <v>45993</v>
      </c>
      <c r="AJ613" s="6">
        <v>46003</v>
      </c>
    </row>
    <row r="614" spans="1:39" x14ac:dyDescent="0.55000000000000004">
      <c r="A614">
        <v>3389</v>
      </c>
      <c r="B614">
        <v>1007739</v>
      </c>
      <c r="C614">
        <v>276.97000000000003</v>
      </c>
      <c r="D614" s="4">
        <v>5.54</v>
      </c>
      <c r="E614">
        <v>271.43</v>
      </c>
      <c r="F614">
        <v>2.77</v>
      </c>
      <c r="G614">
        <v>268.66000000000003</v>
      </c>
      <c r="H614" s="14">
        <f t="shared" ref="H614:H615" si="277">C614-D614-F614</f>
        <v>268.66000000000003</v>
      </c>
      <c r="I614" s="14" t="b">
        <f t="shared" ref="I614:I615" si="278">G614=H614</f>
        <v>1</v>
      </c>
      <c r="J614" s="2">
        <v>46003</v>
      </c>
      <c r="K614" s="5">
        <v>1007739</v>
      </c>
      <c r="L614" s="5">
        <v>3389</v>
      </c>
      <c r="M614" s="5">
        <v>5.54</v>
      </c>
      <c r="N614" s="5">
        <v>276.97000000000003</v>
      </c>
      <c r="O614" s="7">
        <v>45993</v>
      </c>
      <c r="P614" s="5">
        <v>271.43</v>
      </c>
      <c r="Q614" s="5">
        <v>5.54</v>
      </c>
      <c r="R614" s="5" t="s">
        <v>32</v>
      </c>
      <c r="S614" s="5" t="s">
        <v>33</v>
      </c>
      <c r="T614" s="5">
        <v>2.77</v>
      </c>
      <c r="U614" s="5">
        <v>268.66000000000003</v>
      </c>
      <c r="V614" s="5" t="s">
        <v>34</v>
      </c>
      <c r="W614" s="5">
        <v>2</v>
      </c>
      <c r="X614" s="5">
        <v>7359515978720</v>
      </c>
      <c r="Y614" s="7">
        <v>46003</v>
      </c>
      <c r="Z614" s="7">
        <v>45993</v>
      </c>
      <c r="AB614" s="6">
        <v>46003</v>
      </c>
      <c r="AC614" s="7">
        <v>46001.772222222222</v>
      </c>
      <c r="AD614" s="5">
        <v>33891007739</v>
      </c>
      <c r="AE614" s="8">
        <v>45993</v>
      </c>
      <c r="AF614" s="5" t="s">
        <v>354</v>
      </c>
      <c r="AG614" s="5" t="s">
        <v>37</v>
      </c>
      <c r="AH614" s="5">
        <v>206157</v>
      </c>
      <c r="AI614" s="6">
        <v>45993</v>
      </c>
      <c r="AJ614" s="6">
        <v>46003</v>
      </c>
      <c r="AK614" s="1">
        <f t="shared" ref="AK614:AK615" si="279">0.02*C614</f>
        <v>5.5394000000000005</v>
      </c>
    </row>
    <row r="615" spans="1:39" x14ac:dyDescent="0.55000000000000004">
      <c r="A615">
        <v>3389</v>
      </c>
      <c r="B615">
        <v>1008002</v>
      </c>
      <c r="C615">
        <v>923.78</v>
      </c>
      <c r="D615" s="4">
        <v>18.48</v>
      </c>
      <c r="E615">
        <v>905.3</v>
      </c>
      <c r="F615">
        <v>9.24</v>
      </c>
      <c r="G615">
        <v>896.06</v>
      </c>
      <c r="H615" s="14">
        <f t="shared" si="277"/>
        <v>896.06</v>
      </c>
      <c r="I615" s="14" t="b">
        <f t="shared" si="278"/>
        <v>1</v>
      </c>
      <c r="J615" s="2">
        <v>46003</v>
      </c>
      <c r="K615" s="5">
        <v>1008002</v>
      </c>
      <c r="L615" s="5">
        <v>3389</v>
      </c>
      <c r="M615" s="5">
        <v>18.48</v>
      </c>
      <c r="N615" s="5">
        <v>923.78</v>
      </c>
      <c r="O615" s="7">
        <v>45994</v>
      </c>
      <c r="P615" s="5">
        <v>905.3</v>
      </c>
      <c r="Q615" s="5">
        <v>18.48</v>
      </c>
      <c r="R615" s="5" t="s">
        <v>32</v>
      </c>
      <c r="S615" s="5" t="s">
        <v>33</v>
      </c>
      <c r="T615" s="5">
        <v>9.24</v>
      </c>
      <c r="U615" s="5">
        <v>896.06</v>
      </c>
      <c r="V615" s="5" t="s">
        <v>34</v>
      </c>
      <c r="W615" s="5">
        <v>2</v>
      </c>
      <c r="X615" s="5">
        <v>7359515978720</v>
      </c>
      <c r="Y615" s="7">
        <v>46003</v>
      </c>
      <c r="Z615" s="7">
        <v>45994</v>
      </c>
      <c r="AB615" s="6">
        <v>46003</v>
      </c>
      <c r="AC615" s="7">
        <v>46001.772222222222</v>
      </c>
      <c r="AD615" s="5">
        <v>33891008002</v>
      </c>
      <c r="AE615" s="8">
        <v>45994</v>
      </c>
      <c r="AF615" s="5" t="s">
        <v>354</v>
      </c>
      <c r="AG615" s="5" t="s">
        <v>37</v>
      </c>
      <c r="AH615" s="5">
        <v>206231</v>
      </c>
      <c r="AI615" s="6">
        <v>45994</v>
      </c>
      <c r="AJ615" s="6">
        <v>46003</v>
      </c>
      <c r="AK615" s="1">
        <f t="shared" si="279"/>
        <v>18.4756</v>
      </c>
    </row>
    <row r="616" spans="1:39" hidden="1" x14ac:dyDescent="0.55000000000000004">
      <c r="A616">
        <v>3389</v>
      </c>
      <c r="B616">
        <v>1008008</v>
      </c>
      <c r="C616">
        <v>597.1</v>
      </c>
      <c r="E616">
        <v>597.1</v>
      </c>
      <c r="F616">
        <v>5.97</v>
      </c>
      <c r="G616">
        <v>591.13</v>
      </c>
      <c r="H616"/>
      <c r="I616"/>
      <c r="J616" s="2">
        <v>46003</v>
      </c>
      <c r="K616" s="5">
        <v>1008008</v>
      </c>
      <c r="L616" s="5">
        <v>3389</v>
      </c>
      <c r="M616" s="5">
        <v>0</v>
      </c>
      <c r="N616" s="5">
        <v>597.1</v>
      </c>
      <c r="O616" s="7">
        <v>45994</v>
      </c>
      <c r="P616" s="5">
        <v>597.1</v>
      </c>
      <c r="Q616" s="5">
        <v>0</v>
      </c>
      <c r="R616" s="5" t="s">
        <v>32</v>
      </c>
      <c r="S616" s="5" t="s">
        <v>33</v>
      </c>
      <c r="T616" s="5">
        <v>5.97</v>
      </c>
      <c r="U616" s="5">
        <v>591.13</v>
      </c>
      <c r="V616" s="5" t="s">
        <v>34</v>
      </c>
      <c r="W616" s="5">
        <v>2</v>
      </c>
      <c r="X616" s="5">
        <v>7359515978720</v>
      </c>
      <c r="Y616" s="7">
        <v>46003</v>
      </c>
      <c r="Z616" s="7">
        <v>45994</v>
      </c>
      <c r="AB616" s="6">
        <v>46003</v>
      </c>
      <c r="AC616" s="7">
        <v>46001.772222222222</v>
      </c>
      <c r="AD616" s="5">
        <v>33891008008</v>
      </c>
      <c r="AE616" s="8">
        <v>45994</v>
      </c>
      <c r="AF616" s="5" t="s">
        <v>354</v>
      </c>
      <c r="AG616" s="5" t="s">
        <v>38</v>
      </c>
      <c r="AH616" s="5">
        <v>206232</v>
      </c>
      <c r="AI616" s="6">
        <v>45994</v>
      </c>
      <c r="AJ616" s="6">
        <v>46003</v>
      </c>
    </row>
    <row r="617" spans="1:39" x14ac:dyDescent="0.55000000000000004">
      <c r="A617">
        <v>3389</v>
      </c>
      <c r="B617">
        <v>1008085</v>
      </c>
      <c r="C617">
        <v>311</v>
      </c>
      <c r="D617" s="4">
        <v>6.22</v>
      </c>
      <c r="E617">
        <v>304.77999999999997</v>
      </c>
      <c r="F617">
        <v>3.11</v>
      </c>
      <c r="G617">
        <v>301.67</v>
      </c>
      <c r="H617" s="14">
        <f t="shared" ref="H617:H618" si="280">C617-D617-F617</f>
        <v>301.66999999999996</v>
      </c>
      <c r="I617" s="14" t="b">
        <f t="shared" ref="I617:I618" si="281">G617=H617</f>
        <v>1</v>
      </c>
      <c r="J617" s="2">
        <v>46003</v>
      </c>
      <c r="K617" s="5">
        <v>1008085</v>
      </c>
      <c r="L617" s="5">
        <v>3389</v>
      </c>
      <c r="M617" s="5">
        <v>6.22</v>
      </c>
      <c r="N617" s="5">
        <v>311</v>
      </c>
      <c r="O617" s="7">
        <v>45995</v>
      </c>
      <c r="P617" s="5">
        <v>304.77999999999997</v>
      </c>
      <c r="Q617" s="5">
        <v>6.22</v>
      </c>
      <c r="R617" s="5" t="s">
        <v>32</v>
      </c>
      <c r="S617" s="5" t="s">
        <v>33</v>
      </c>
      <c r="T617" s="5">
        <v>3.11</v>
      </c>
      <c r="U617" s="5">
        <v>301.67</v>
      </c>
      <c r="V617" s="5" t="s">
        <v>34</v>
      </c>
      <c r="W617" s="5">
        <v>2</v>
      </c>
      <c r="X617" s="5">
        <v>8539372917542</v>
      </c>
      <c r="Y617" s="7">
        <v>46003</v>
      </c>
      <c r="Z617" s="7">
        <v>45995</v>
      </c>
      <c r="AB617" s="6">
        <v>46003</v>
      </c>
      <c r="AC617" s="7">
        <v>46001.775000000001</v>
      </c>
      <c r="AD617" s="5">
        <v>33891008085</v>
      </c>
      <c r="AE617" s="8">
        <v>45995</v>
      </c>
      <c r="AF617" s="5" t="s">
        <v>355</v>
      </c>
      <c r="AG617" s="5" t="s">
        <v>37</v>
      </c>
      <c r="AH617" s="5">
        <v>206404</v>
      </c>
      <c r="AI617" s="6">
        <v>45995</v>
      </c>
      <c r="AJ617" s="6">
        <v>46003</v>
      </c>
      <c r="AK617" s="1">
        <f t="shared" ref="AK617:AK618" si="282">0.02*C617</f>
        <v>6.22</v>
      </c>
    </row>
    <row r="618" spans="1:39" x14ac:dyDescent="0.55000000000000004">
      <c r="A618">
        <v>3389</v>
      </c>
      <c r="B618">
        <v>1008088</v>
      </c>
      <c r="C618">
        <v>359</v>
      </c>
      <c r="D618" s="4">
        <v>7.18</v>
      </c>
      <c r="E618">
        <v>351.82</v>
      </c>
      <c r="F618">
        <v>3.59</v>
      </c>
      <c r="G618">
        <v>348.23</v>
      </c>
      <c r="H618" s="14">
        <f t="shared" si="280"/>
        <v>348.23</v>
      </c>
      <c r="I618" s="14" t="b">
        <f t="shared" si="281"/>
        <v>1</v>
      </c>
      <c r="J618" s="2">
        <v>46003</v>
      </c>
      <c r="K618" s="5">
        <v>1008088</v>
      </c>
      <c r="L618" s="5">
        <v>3389</v>
      </c>
      <c r="M618" s="5">
        <v>7.18</v>
      </c>
      <c r="N618" s="5">
        <v>359</v>
      </c>
      <c r="O618" s="7">
        <v>45995</v>
      </c>
      <c r="P618" s="5">
        <v>351.82</v>
      </c>
      <c r="Q618" s="5">
        <v>7.18</v>
      </c>
      <c r="R618" s="5" t="s">
        <v>32</v>
      </c>
      <c r="S618" s="5" t="s">
        <v>33</v>
      </c>
      <c r="T618" s="5">
        <v>3.59</v>
      </c>
      <c r="U618" s="5">
        <v>348.23</v>
      </c>
      <c r="V618" s="5" t="s">
        <v>34</v>
      </c>
      <c r="W618" s="5">
        <v>2</v>
      </c>
      <c r="X618" s="5">
        <v>8539372917542</v>
      </c>
      <c r="Y618" s="7">
        <v>46003</v>
      </c>
      <c r="Z618" s="7">
        <v>45995</v>
      </c>
      <c r="AB618" s="6">
        <v>46003</v>
      </c>
      <c r="AC618" s="7">
        <v>46001.775000000001</v>
      </c>
      <c r="AD618" s="5">
        <v>33891008088</v>
      </c>
      <c r="AE618" s="8">
        <v>45995</v>
      </c>
      <c r="AF618" s="5" t="s">
        <v>353</v>
      </c>
      <c r="AG618" s="5" t="s">
        <v>37</v>
      </c>
      <c r="AH618" s="5">
        <v>206405</v>
      </c>
      <c r="AI618" s="6">
        <v>45995</v>
      </c>
      <c r="AJ618" s="6">
        <v>46003</v>
      </c>
      <c r="AK618" s="1">
        <f t="shared" si="282"/>
        <v>7.18</v>
      </c>
    </row>
    <row r="619" spans="1:39" hidden="1" x14ac:dyDescent="0.55000000000000004">
      <c r="A619">
        <v>3389</v>
      </c>
      <c r="B619">
        <v>1008151</v>
      </c>
      <c r="C619">
        <v>768.42</v>
      </c>
      <c r="E619">
        <v>768.42</v>
      </c>
      <c r="F619">
        <v>7.68</v>
      </c>
      <c r="G619">
        <v>760.74</v>
      </c>
      <c r="H619"/>
      <c r="I619"/>
      <c r="J619" s="2">
        <v>46003</v>
      </c>
      <c r="K619" s="5">
        <v>1008151</v>
      </c>
      <c r="L619" s="5">
        <v>3389</v>
      </c>
      <c r="M619" s="5">
        <v>0</v>
      </c>
      <c r="N619" s="5">
        <v>768.42</v>
      </c>
      <c r="O619" s="7">
        <v>45995</v>
      </c>
      <c r="P619" s="5">
        <v>768.42</v>
      </c>
      <c r="Q619" s="5">
        <v>0</v>
      </c>
      <c r="R619" s="5" t="s">
        <v>32</v>
      </c>
      <c r="S619" s="5" t="s">
        <v>33</v>
      </c>
      <c r="T619" s="5">
        <v>7.68</v>
      </c>
      <c r="U619" s="5">
        <v>760.74</v>
      </c>
      <c r="V619" s="5" t="s">
        <v>34</v>
      </c>
      <c r="W619" s="5">
        <v>2</v>
      </c>
      <c r="X619" s="5">
        <v>7359515978720</v>
      </c>
      <c r="Y619" s="7">
        <v>46003</v>
      </c>
      <c r="Z619" s="7">
        <v>45995</v>
      </c>
      <c r="AB619" s="6">
        <v>46003</v>
      </c>
      <c r="AC619" s="7">
        <v>46001.772222222222</v>
      </c>
      <c r="AD619" s="5">
        <v>33891008151</v>
      </c>
      <c r="AE619" s="8">
        <v>45995</v>
      </c>
      <c r="AF619" s="5" t="s">
        <v>354</v>
      </c>
      <c r="AG619" s="5" t="s">
        <v>38</v>
      </c>
      <c r="AH619" s="5">
        <v>206658</v>
      </c>
      <c r="AI619" s="6">
        <v>45995</v>
      </c>
      <c r="AJ619" s="6">
        <v>46003</v>
      </c>
    </row>
    <row r="620" spans="1:39" x14ac:dyDescent="0.55000000000000004">
      <c r="A620">
        <v>3389</v>
      </c>
      <c r="B620">
        <v>1008444</v>
      </c>
      <c r="C620">
        <v>83.37</v>
      </c>
      <c r="D620" s="4">
        <v>1.67</v>
      </c>
      <c r="E620">
        <v>81.7</v>
      </c>
      <c r="F620">
        <v>0.83</v>
      </c>
      <c r="G620">
        <v>80.87</v>
      </c>
      <c r="H620" s="14">
        <f t="shared" ref="H620:H621" si="283">C620-D620-F620</f>
        <v>80.87</v>
      </c>
      <c r="I620" s="14" t="b">
        <f t="shared" ref="I620:I621" si="284">G620=H620</f>
        <v>1</v>
      </c>
      <c r="J620" s="2">
        <v>46003</v>
      </c>
      <c r="K620" s="5">
        <v>1008444</v>
      </c>
      <c r="L620" s="5">
        <v>3389</v>
      </c>
      <c r="M620" s="5">
        <v>1.67</v>
      </c>
      <c r="N620" s="5">
        <v>83.37</v>
      </c>
      <c r="O620" s="7">
        <v>45996</v>
      </c>
      <c r="P620" s="5">
        <v>81.7</v>
      </c>
      <c r="Q620" s="5">
        <v>1.67</v>
      </c>
      <c r="R620" s="5" t="s">
        <v>32</v>
      </c>
      <c r="S620" s="5" t="s">
        <v>33</v>
      </c>
      <c r="T620" s="5">
        <v>0.83</v>
      </c>
      <c r="U620" s="5">
        <v>80.87</v>
      </c>
      <c r="V620" s="5" t="s">
        <v>34</v>
      </c>
      <c r="W620" s="5">
        <v>2</v>
      </c>
      <c r="X620" s="5">
        <v>8539372917542</v>
      </c>
      <c r="Y620" s="7">
        <v>46003</v>
      </c>
      <c r="Z620" s="7">
        <v>45996</v>
      </c>
      <c r="AB620" s="6">
        <v>46003</v>
      </c>
      <c r="AC620" s="7">
        <v>46001.775000000001</v>
      </c>
      <c r="AD620" s="5">
        <v>33891008444</v>
      </c>
      <c r="AE620" s="8">
        <v>45996</v>
      </c>
      <c r="AF620" s="5" t="s">
        <v>356</v>
      </c>
      <c r="AG620" s="5" t="s">
        <v>37</v>
      </c>
      <c r="AH620" s="5">
        <v>206613</v>
      </c>
      <c r="AI620" s="6">
        <v>45996</v>
      </c>
      <c r="AJ620" s="6">
        <v>46003</v>
      </c>
      <c r="AK620" s="1">
        <f t="shared" ref="AK620:AK621" si="285">0.02*C620</f>
        <v>1.6674000000000002</v>
      </c>
    </row>
    <row r="621" spans="1:39" x14ac:dyDescent="0.55000000000000004">
      <c r="A621">
        <v>3389</v>
      </c>
      <c r="B621">
        <v>1008511</v>
      </c>
      <c r="C621">
        <v>519.99</v>
      </c>
      <c r="D621" s="4">
        <v>10.4</v>
      </c>
      <c r="E621">
        <v>509.59</v>
      </c>
      <c r="F621">
        <v>5.2</v>
      </c>
      <c r="G621">
        <v>504.39</v>
      </c>
      <c r="H621" s="14">
        <f t="shared" si="283"/>
        <v>504.39000000000004</v>
      </c>
      <c r="I621" s="14" t="b">
        <f t="shared" si="284"/>
        <v>1</v>
      </c>
      <c r="J621" s="2">
        <v>46003</v>
      </c>
      <c r="K621" s="5">
        <v>1008511</v>
      </c>
      <c r="L621" s="5">
        <v>3389</v>
      </c>
      <c r="M621" s="5">
        <v>10.4</v>
      </c>
      <c r="N621" s="5">
        <v>519.99</v>
      </c>
      <c r="O621" s="7">
        <v>45996</v>
      </c>
      <c r="P621" s="5">
        <v>509.59</v>
      </c>
      <c r="Q621" s="5">
        <v>10.4</v>
      </c>
      <c r="R621" s="5" t="s">
        <v>32</v>
      </c>
      <c r="S621" s="5" t="s">
        <v>33</v>
      </c>
      <c r="T621" s="5">
        <v>5.2</v>
      </c>
      <c r="U621" s="5">
        <v>504.39</v>
      </c>
      <c r="V621" s="5" t="s">
        <v>34</v>
      </c>
      <c r="W621" s="5">
        <v>2</v>
      </c>
      <c r="X621" s="5">
        <v>8539372917542</v>
      </c>
      <c r="Y621" s="7">
        <v>46003</v>
      </c>
      <c r="Z621" s="7">
        <v>45996</v>
      </c>
      <c r="AB621" s="6">
        <v>46003</v>
      </c>
      <c r="AC621" s="7">
        <v>46001.775000000001</v>
      </c>
      <c r="AD621" s="5">
        <v>33891008511</v>
      </c>
      <c r="AE621" s="8">
        <v>45996</v>
      </c>
      <c r="AF621" s="5" t="s">
        <v>357</v>
      </c>
      <c r="AG621" s="5" t="s">
        <v>37</v>
      </c>
      <c r="AH621" s="5">
        <v>206859</v>
      </c>
      <c r="AI621" s="6">
        <v>45996</v>
      </c>
      <c r="AJ621" s="6">
        <v>46003</v>
      </c>
      <c r="AK621" s="1">
        <f t="shared" si="285"/>
        <v>10.399800000000001</v>
      </c>
    </row>
    <row r="622" spans="1:39" hidden="1" x14ac:dyDescent="0.55000000000000004">
      <c r="A622">
        <v>3389</v>
      </c>
      <c r="B622">
        <v>1008943</v>
      </c>
      <c r="C622">
        <v>-161.38</v>
      </c>
      <c r="E622">
        <v>-161.38</v>
      </c>
      <c r="G622">
        <v>-161.38</v>
      </c>
      <c r="H622"/>
      <c r="I622"/>
      <c r="J622" s="2">
        <v>46003</v>
      </c>
      <c r="K622" s="5">
        <v>1008943</v>
      </c>
      <c r="L622" s="5">
        <v>3389</v>
      </c>
      <c r="M622" s="5">
        <v>0</v>
      </c>
      <c r="N622" s="5">
        <v>-161.38</v>
      </c>
      <c r="O622" s="7">
        <v>46000</v>
      </c>
      <c r="P622" s="5">
        <v>-161.38</v>
      </c>
      <c r="Q622" s="5">
        <v>0</v>
      </c>
      <c r="R622" s="5">
        <v>1008943</v>
      </c>
      <c r="S622" s="5" t="s">
        <v>33</v>
      </c>
      <c r="T622" s="5">
        <v>0</v>
      </c>
      <c r="U622" s="5">
        <v>-161.38</v>
      </c>
      <c r="V622" s="5" t="s">
        <v>34</v>
      </c>
      <c r="W622" s="5">
        <v>2</v>
      </c>
      <c r="X622" s="5">
        <v>7359515978720</v>
      </c>
      <c r="Y622" s="7">
        <v>46003</v>
      </c>
      <c r="Z622" s="7">
        <v>46000</v>
      </c>
      <c r="AB622" s="6">
        <v>46003</v>
      </c>
      <c r="AC622" s="7">
        <v>46001.772222222222</v>
      </c>
      <c r="AD622" s="5">
        <v>33891008943</v>
      </c>
      <c r="AE622" s="8">
        <v>46000</v>
      </c>
      <c r="AF622" s="5">
        <v>142069</v>
      </c>
      <c r="AG622" s="5" t="s">
        <v>38</v>
      </c>
      <c r="AH622" s="5">
        <v>53538</v>
      </c>
      <c r="AI622" s="6">
        <v>46000</v>
      </c>
      <c r="AJ622" s="6">
        <v>46003</v>
      </c>
    </row>
    <row r="623" spans="1:39" x14ac:dyDescent="0.55000000000000004">
      <c r="A623">
        <v>3403</v>
      </c>
      <c r="B623">
        <v>1007210</v>
      </c>
      <c r="C623">
        <v>194.35</v>
      </c>
      <c r="E623">
        <v>194.35</v>
      </c>
      <c r="F623">
        <v>1.94</v>
      </c>
      <c r="G623">
        <v>194.35</v>
      </c>
      <c r="H623" s="14">
        <f t="shared" ref="H623:H624" si="286">C623-D623-F623</f>
        <v>192.41</v>
      </c>
      <c r="I623" s="14" t="b">
        <f t="shared" ref="I623:I624" si="287">G623=H623</f>
        <v>0</v>
      </c>
      <c r="J623" s="2">
        <v>46003</v>
      </c>
      <c r="K623" s="5">
        <v>1007210</v>
      </c>
      <c r="L623" s="5">
        <v>3403</v>
      </c>
      <c r="M623" s="5">
        <v>0</v>
      </c>
      <c r="N623" s="5">
        <v>194.35</v>
      </c>
      <c r="O623" s="7">
        <v>45992</v>
      </c>
      <c r="P623" s="5">
        <v>194.35</v>
      </c>
      <c r="Q623" s="5">
        <v>0</v>
      </c>
      <c r="R623" s="5" t="s">
        <v>32</v>
      </c>
      <c r="S623" s="5" t="s">
        <v>33</v>
      </c>
      <c r="T623" s="5">
        <v>1.94</v>
      </c>
      <c r="U623" s="5">
        <v>194.35</v>
      </c>
      <c r="V623" s="5" t="s">
        <v>34</v>
      </c>
      <c r="W623" s="5">
        <v>10</v>
      </c>
      <c r="X623" s="5" t="s">
        <v>358</v>
      </c>
      <c r="Y623" s="7">
        <v>46003</v>
      </c>
      <c r="Z623" s="7">
        <v>45992</v>
      </c>
      <c r="AA623" s="5" t="s">
        <v>32</v>
      </c>
      <c r="AB623" s="6">
        <v>46003</v>
      </c>
      <c r="AC623" s="7">
        <v>46003.572916666664</v>
      </c>
      <c r="AD623" s="5">
        <v>34031007210</v>
      </c>
      <c r="AE623" s="8">
        <v>45992</v>
      </c>
      <c r="AF623" s="5" t="s">
        <v>359</v>
      </c>
      <c r="AG623" s="5" t="s">
        <v>37</v>
      </c>
      <c r="AH623" s="5">
        <v>205792</v>
      </c>
      <c r="AI623" s="6">
        <v>45992</v>
      </c>
      <c r="AJ623" s="6">
        <v>46003</v>
      </c>
      <c r="AK623" s="1">
        <f t="shared" ref="AK623:AK624" si="288">0.02*C623</f>
        <v>3.887</v>
      </c>
      <c r="AL623" t="s">
        <v>673</v>
      </c>
      <c r="AM623">
        <f t="shared" ref="AM623:AM624" si="289">F623</f>
        <v>1.94</v>
      </c>
    </row>
    <row r="624" spans="1:39" x14ac:dyDescent="0.55000000000000004">
      <c r="A624">
        <v>3403</v>
      </c>
      <c r="B624">
        <v>1007213</v>
      </c>
      <c r="C624">
        <v>66.36</v>
      </c>
      <c r="E624">
        <v>66.36</v>
      </c>
      <c r="F624">
        <v>0.66</v>
      </c>
      <c r="G624">
        <v>66.36</v>
      </c>
      <c r="H624" s="14">
        <f t="shared" si="286"/>
        <v>65.7</v>
      </c>
      <c r="I624" s="14" t="b">
        <f t="shared" si="287"/>
        <v>0</v>
      </c>
      <c r="J624" s="2">
        <v>46003</v>
      </c>
      <c r="K624" s="5">
        <v>1007213</v>
      </c>
      <c r="L624" s="5">
        <v>3403</v>
      </c>
      <c r="M624" s="5">
        <v>0</v>
      </c>
      <c r="N624" s="5">
        <v>66.36</v>
      </c>
      <c r="O624" s="7">
        <v>45992</v>
      </c>
      <c r="P624" s="5">
        <v>66.36</v>
      </c>
      <c r="Q624" s="5">
        <v>0</v>
      </c>
      <c r="R624" s="5" t="s">
        <v>32</v>
      </c>
      <c r="S624" s="5" t="s">
        <v>33</v>
      </c>
      <c r="T624" s="5">
        <v>0.66</v>
      </c>
      <c r="U624" s="5">
        <v>66.36</v>
      </c>
      <c r="V624" s="5" t="s">
        <v>34</v>
      </c>
      <c r="W624" s="5">
        <v>10</v>
      </c>
      <c r="X624" s="5" t="s">
        <v>358</v>
      </c>
      <c r="Y624" s="7">
        <v>46003</v>
      </c>
      <c r="Z624" s="7">
        <v>45992</v>
      </c>
      <c r="AA624" s="5" t="s">
        <v>32</v>
      </c>
      <c r="AB624" s="6">
        <v>46003</v>
      </c>
      <c r="AC624" s="7">
        <v>46003.572916666664</v>
      </c>
      <c r="AD624" s="5">
        <v>34031007213</v>
      </c>
      <c r="AE624" s="8">
        <v>45992</v>
      </c>
      <c r="AF624" s="5" t="s">
        <v>360</v>
      </c>
      <c r="AG624" s="5" t="s">
        <v>37</v>
      </c>
      <c r="AH624" s="5">
        <v>205791</v>
      </c>
      <c r="AI624" s="6">
        <v>45992</v>
      </c>
      <c r="AJ624" s="6">
        <v>46003</v>
      </c>
      <c r="AK624" s="1">
        <f t="shared" si="288"/>
        <v>1.3271999999999999</v>
      </c>
      <c r="AL624" t="s">
        <v>673</v>
      </c>
      <c r="AM624">
        <f t="shared" si="289"/>
        <v>0.66</v>
      </c>
    </row>
    <row r="625" spans="1:39" hidden="1" x14ac:dyDescent="0.55000000000000004">
      <c r="A625">
        <v>3403</v>
      </c>
      <c r="B625">
        <v>1007544</v>
      </c>
      <c r="C625" s="1">
        <v>3990</v>
      </c>
      <c r="E625" s="1">
        <v>3990</v>
      </c>
      <c r="F625">
        <v>39.9</v>
      </c>
      <c r="G625" s="1">
        <v>3950.1</v>
      </c>
      <c r="H625" s="1"/>
      <c r="I625" s="1"/>
      <c r="J625" s="2">
        <v>46003</v>
      </c>
      <c r="K625" s="5">
        <v>1007544</v>
      </c>
      <c r="L625" s="5">
        <v>3403</v>
      </c>
      <c r="M625" s="5">
        <v>0</v>
      </c>
      <c r="N625" s="5">
        <v>3990</v>
      </c>
      <c r="O625" s="7">
        <v>45993</v>
      </c>
      <c r="P625" s="5">
        <v>3990</v>
      </c>
      <c r="Q625" s="5">
        <v>0</v>
      </c>
      <c r="R625" s="5" t="s">
        <v>32</v>
      </c>
      <c r="S625" s="5" t="s">
        <v>33</v>
      </c>
      <c r="T625" s="5">
        <v>39.9</v>
      </c>
      <c r="U625" s="5">
        <v>3950.1</v>
      </c>
      <c r="V625" s="5" t="s">
        <v>34</v>
      </c>
      <c r="W625" s="5">
        <v>10</v>
      </c>
      <c r="X625" s="5" t="s">
        <v>358</v>
      </c>
      <c r="Y625" s="7">
        <v>46003</v>
      </c>
      <c r="Z625" s="7">
        <v>45993</v>
      </c>
      <c r="AA625" s="5" t="s">
        <v>32</v>
      </c>
      <c r="AB625" s="6">
        <v>46003</v>
      </c>
      <c r="AC625" s="7">
        <v>46003.572916666664</v>
      </c>
      <c r="AD625" s="5">
        <v>34031007544</v>
      </c>
      <c r="AE625" s="8">
        <v>45993</v>
      </c>
      <c r="AF625" s="5" t="s">
        <v>32</v>
      </c>
      <c r="AG625" s="5" t="s">
        <v>35</v>
      </c>
      <c r="AH625" s="5" t="s">
        <v>32</v>
      </c>
      <c r="AI625" s="6">
        <v>45993</v>
      </c>
      <c r="AJ625" s="6">
        <v>46003</v>
      </c>
    </row>
    <row r="626" spans="1:39" x14ac:dyDescent="0.55000000000000004">
      <c r="A626">
        <v>3403</v>
      </c>
      <c r="B626">
        <v>1007735</v>
      </c>
      <c r="C626">
        <v>540.29999999999995</v>
      </c>
      <c r="E626">
        <v>540.29999999999995</v>
      </c>
      <c r="F626">
        <v>5.4</v>
      </c>
      <c r="G626">
        <v>540.29999999999995</v>
      </c>
      <c r="H626" s="14">
        <f t="shared" ref="H626:H627" si="290">C626-D626-F626</f>
        <v>534.9</v>
      </c>
      <c r="I626" s="14" t="b">
        <f t="shared" ref="I626:I627" si="291">G626=H626</f>
        <v>0</v>
      </c>
      <c r="J626" s="2">
        <v>46003</v>
      </c>
      <c r="K626" s="5">
        <v>1007735</v>
      </c>
      <c r="L626" s="5">
        <v>3403</v>
      </c>
      <c r="M626" s="5">
        <v>0</v>
      </c>
      <c r="N626" s="5">
        <v>540.29999999999995</v>
      </c>
      <c r="O626" s="7">
        <v>45993</v>
      </c>
      <c r="P626" s="5">
        <v>540.29999999999995</v>
      </c>
      <c r="Q626" s="5">
        <v>0</v>
      </c>
      <c r="R626" s="5" t="s">
        <v>32</v>
      </c>
      <c r="S626" s="5" t="s">
        <v>33</v>
      </c>
      <c r="T626" s="5">
        <v>5.4</v>
      </c>
      <c r="U626" s="5">
        <v>540.29999999999995</v>
      </c>
      <c r="V626" s="5" t="s">
        <v>34</v>
      </c>
      <c r="W626" s="5">
        <v>10</v>
      </c>
      <c r="X626" s="5" t="s">
        <v>358</v>
      </c>
      <c r="Y626" s="7">
        <v>46003</v>
      </c>
      <c r="Z626" s="7">
        <v>45993</v>
      </c>
      <c r="AA626" s="5" t="s">
        <v>32</v>
      </c>
      <c r="AB626" s="6">
        <v>46003</v>
      </c>
      <c r="AC626" s="7">
        <v>46003.572916666664</v>
      </c>
      <c r="AD626" s="5">
        <v>34031007735</v>
      </c>
      <c r="AE626" s="8">
        <v>45993</v>
      </c>
      <c r="AF626" s="5" t="s">
        <v>361</v>
      </c>
      <c r="AG626" s="5" t="s">
        <v>37</v>
      </c>
      <c r="AH626" s="5">
        <v>206155</v>
      </c>
      <c r="AI626" s="6">
        <v>45993</v>
      </c>
      <c r="AJ626" s="6">
        <v>46003</v>
      </c>
      <c r="AK626" s="1">
        <f t="shared" ref="AK626:AK627" si="292">0.02*C626</f>
        <v>10.805999999999999</v>
      </c>
      <c r="AL626" t="s">
        <v>673</v>
      </c>
      <c r="AM626">
        <f t="shared" ref="AM626:AM627" si="293">F626</f>
        <v>5.4</v>
      </c>
    </row>
    <row r="627" spans="1:39" x14ac:dyDescent="0.55000000000000004">
      <c r="A627">
        <v>3403</v>
      </c>
      <c r="B627">
        <v>1007973</v>
      </c>
      <c r="C627" s="1">
        <v>2173.48</v>
      </c>
      <c r="E627" s="1">
        <v>2173.48</v>
      </c>
      <c r="F627">
        <v>21.73</v>
      </c>
      <c r="G627" s="1">
        <v>2173.48</v>
      </c>
      <c r="H627" s="14">
        <f t="shared" si="290"/>
        <v>2151.75</v>
      </c>
      <c r="I627" s="14" t="b">
        <f t="shared" si="291"/>
        <v>0</v>
      </c>
      <c r="J627" s="2">
        <v>46003</v>
      </c>
      <c r="K627" s="5">
        <v>1007973</v>
      </c>
      <c r="L627" s="5">
        <v>3403</v>
      </c>
      <c r="M627" s="5">
        <v>0</v>
      </c>
      <c r="N627" s="5">
        <v>2173.48</v>
      </c>
      <c r="O627" s="7">
        <v>45994</v>
      </c>
      <c r="P627" s="5">
        <v>2173.48</v>
      </c>
      <c r="Q627" s="5">
        <v>0</v>
      </c>
      <c r="R627" s="5" t="s">
        <v>32</v>
      </c>
      <c r="S627" s="5" t="s">
        <v>33</v>
      </c>
      <c r="T627" s="5">
        <v>21.73</v>
      </c>
      <c r="U627" s="5">
        <v>2173.48</v>
      </c>
      <c r="V627" s="5" t="s">
        <v>34</v>
      </c>
      <c r="W627" s="5">
        <v>10</v>
      </c>
      <c r="X627" s="5" t="s">
        <v>358</v>
      </c>
      <c r="Y627" s="7">
        <v>46003</v>
      </c>
      <c r="Z627" s="7">
        <v>45994</v>
      </c>
      <c r="AA627" s="5" t="s">
        <v>32</v>
      </c>
      <c r="AB627" s="6">
        <v>46003</v>
      </c>
      <c r="AC627" s="7">
        <v>46003.572916666664</v>
      </c>
      <c r="AD627" s="5">
        <v>34031007973</v>
      </c>
      <c r="AE627" s="8">
        <v>45994</v>
      </c>
      <c r="AF627" s="5" t="s">
        <v>361</v>
      </c>
      <c r="AG627" s="5" t="s">
        <v>37</v>
      </c>
      <c r="AH627" s="5">
        <v>206223</v>
      </c>
      <c r="AI627" s="6">
        <v>45994</v>
      </c>
      <c r="AJ627" s="6">
        <v>46003</v>
      </c>
      <c r="AK627" s="1">
        <f t="shared" si="292"/>
        <v>43.4696</v>
      </c>
      <c r="AL627" t="s">
        <v>673</v>
      </c>
      <c r="AM627">
        <f t="shared" si="293"/>
        <v>21.73</v>
      </c>
    </row>
    <row r="628" spans="1:39" hidden="1" x14ac:dyDescent="0.55000000000000004">
      <c r="A628">
        <v>3403</v>
      </c>
      <c r="B628">
        <v>1007977</v>
      </c>
      <c r="C628">
        <v>686.4</v>
      </c>
      <c r="E628">
        <v>686.4</v>
      </c>
      <c r="F628">
        <v>6.86</v>
      </c>
      <c r="G628">
        <v>679.54</v>
      </c>
      <c r="H628"/>
      <c r="I628"/>
      <c r="J628" s="2">
        <v>46003</v>
      </c>
      <c r="K628" s="5">
        <v>1007977</v>
      </c>
      <c r="L628" s="5">
        <v>3403</v>
      </c>
      <c r="M628" s="5">
        <v>0</v>
      </c>
      <c r="N628" s="5">
        <v>686.4</v>
      </c>
      <c r="O628" s="7">
        <v>45994</v>
      </c>
      <c r="P628" s="5">
        <v>686.4</v>
      </c>
      <c r="Q628" s="5">
        <v>0</v>
      </c>
      <c r="R628" s="5" t="s">
        <v>32</v>
      </c>
      <c r="S628" s="5" t="s">
        <v>33</v>
      </c>
      <c r="T628" s="5">
        <v>6.86</v>
      </c>
      <c r="U628" s="5">
        <v>679.54</v>
      </c>
      <c r="V628" s="5" t="s">
        <v>34</v>
      </c>
      <c r="W628" s="5">
        <v>10</v>
      </c>
      <c r="X628" s="5" t="s">
        <v>358</v>
      </c>
      <c r="Y628" s="7">
        <v>46003</v>
      </c>
      <c r="Z628" s="7">
        <v>45994</v>
      </c>
      <c r="AA628" s="5" t="s">
        <v>32</v>
      </c>
      <c r="AB628" s="6">
        <v>46003</v>
      </c>
      <c r="AC628" s="7">
        <v>46003.572916666664</v>
      </c>
      <c r="AD628" s="5">
        <v>34031007977</v>
      </c>
      <c r="AE628" s="8">
        <v>45994</v>
      </c>
      <c r="AF628" s="5" t="s">
        <v>361</v>
      </c>
      <c r="AG628" s="5" t="s">
        <v>38</v>
      </c>
      <c r="AH628" s="5">
        <v>206224</v>
      </c>
      <c r="AI628" s="6">
        <v>45994</v>
      </c>
      <c r="AJ628" s="6">
        <v>46003</v>
      </c>
    </row>
    <row r="629" spans="1:39" x14ac:dyDescent="0.55000000000000004">
      <c r="A629">
        <v>3403</v>
      </c>
      <c r="B629">
        <v>1008055</v>
      </c>
      <c r="C629">
        <v>160.87</v>
      </c>
      <c r="E629">
        <v>160.87</v>
      </c>
      <c r="F629">
        <v>1.61</v>
      </c>
      <c r="G629">
        <v>160.87</v>
      </c>
      <c r="H629" s="14">
        <f>C629-D629-F629</f>
        <v>159.26</v>
      </c>
      <c r="I629" s="14" t="b">
        <f>G629=H629</f>
        <v>0</v>
      </c>
      <c r="J629" s="2">
        <v>46003</v>
      </c>
      <c r="K629" s="5">
        <v>1008055</v>
      </c>
      <c r="L629" s="5">
        <v>3403</v>
      </c>
      <c r="M629" s="5">
        <v>0</v>
      </c>
      <c r="N629" s="5">
        <v>160.87</v>
      </c>
      <c r="O629" s="7">
        <v>45994</v>
      </c>
      <c r="P629" s="5">
        <v>160.87</v>
      </c>
      <c r="Q629" s="5">
        <v>0</v>
      </c>
      <c r="R629" s="5" t="s">
        <v>32</v>
      </c>
      <c r="S629" s="5" t="s">
        <v>33</v>
      </c>
      <c r="T629" s="5">
        <v>1.61</v>
      </c>
      <c r="U629" s="5">
        <v>160.87</v>
      </c>
      <c r="V629" s="5" t="s">
        <v>34</v>
      </c>
      <c r="W629" s="5">
        <v>10</v>
      </c>
      <c r="X629" s="5" t="s">
        <v>358</v>
      </c>
      <c r="Y629" s="7">
        <v>46003</v>
      </c>
      <c r="Z629" s="7">
        <v>45994</v>
      </c>
      <c r="AA629" s="5" t="s">
        <v>32</v>
      </c>
      <c r="AB629" s="6">
        <v>46003</v>
      </c>
      <c r="AC629" s="7">
        <v>46003.572916666664</v>
      </c>
      <c r="AD629" s="5">
        <v>34031008055</v>
      </c>
      <c r="AE629" s="8">
        <v>45994</v>
      </c>
      <c r="AF629" s="5" t="s">
        <v>362</v>
      </c>
      <c r="AG629" s="5" t="s">
        <v>37</v>
      </c>
      <c r="AH629" s="5">
        <v>206501</v>
      </c>
      <c r="AI629" s="6">
        <v>45994</v>
      </c>
      <c r="AJ629" s="6">
        <v>46003</v>
      </c>
      <c r="AK629" s="1">
        <f t="shared" ref="AK629" si="294">0.02*C629</f>
        <v>3.2174</v>
      </c>
      <c r="AL629" t="s">
        <v>673</v>
      </c>
      <c r="AM629">
        <f>F629</f>
        <v>1.61</v>
      </c>
    </row>
    <row r="630" spans="1:39" hidden="1" x14ac:dyDescent="0.55000000000000004">
      <c r="A630">
        <v>3403</v>
      </c>
      <c r="B630">
        <v>1008149</v>
      </c>
      <c r="C630">
        <v>371.22</v>
      </c>
      <c r="E630">
        <v>371.22</v>
      </c>
      <c r="F630">
        <v>3.71</v>
      </c>
      <c r="G630">
        <v>367.51</v>
      </c>
      <c r="H630"/>
      <c r="I630"/>
      <c r="J630" s="2">
        <v>46003</v>
      </c>
      <c r="K630" s="5">
        <v>1008149</v>
      </c>
      <c r="L630" s="5">
        <v>3403</v>
      </c>
      <c r="M630" s="5">
        <v>0</v>
      </c>
      <c r="N630" s="5">
        <v>371.22</v>
      </c>
      <c r="O630" s="7">
        <v>45995</v>
      </c>
      <c r="P630" s="5">
        <v>371.22</v>
      </c>
      <c r="Q630" s="5">
        <v>0</v>
      </c>
      <c r="R630" s="5" t="s">
        <v>32</v>
      </c>
      <c r="S630" s="5" t="s">
        <v>33</v>
      </c>
      <c r="T630" s="5">
        <v>3.71</v>
      </c>
      <c r="U630" s="5">
        <v>367.51</v>
      </c>
      <c r="V630" s="5" t="s">
        <v>34</v>
      </c>
      <c r="W630" s="5">
        <v>10</v>
      </c>
      <c r="X630" s="5" t="s">
        <v>358</v>
      </c>
      <c r="Y630" s="7">
        <v>46003</v>
      </c>
      <c r="Z630" s="7">
        <v>45995</v>
      </c>
      <c r="AA630" s="5" t="s">
        <v>32</v>
      </c>
      <c r="AB630" s="6">
        <v>46003</v>
      </c>
      <c r="AC630" s="7">
        <v>46003.572916666664</v>
      </c>
      <c r="AD630" s="5">
        <v>34031008149</v>
      </c>
      <c r="AE630" s="8">
        <v>45995</v>
      </c>
      <c r="AF630" s="5" t="s">
        <v>363</v>
      </c>
      <c r="AG630" s="5" t="s">
        <v>38</v>
      </c>
      <c r="AH630" s="5">
        <v>206654</v>
      </c>
      <c r="AI630" s="6">
        <v>45995</v>
      </c>
      <c r="AJ630" s="6">
        <v>46003</v>
      </c>
    </row>
    <row r="631" spans="1:39" hidden="1" x14ac:dyDescent="0.55000000000000004">
      <c r="A631">
        <v>3403</v>
      </c>
      <c r="B631">
        <v>1008156</v>
      </c>
      <c r="C631">
        <v>92.39</v>
      </c>
      <c r="E631">
        <v>92.39</v>
      </c>
      <c r="F631">
        <v>0.92</v>
      </c>
      <c r="G631">
        <v>91.47</v>
      </c>
      <c r="H631"/>
      <c r="I631"/>
      <c r="J631" s="2">
        <v>46003</v>
      </c>
      <c r="K631" s="5">
        <v>1008156</v>
      </c>
      <c r="L631" s="5">
        <v>3403</v>
      </c>
      <c r="M631" s="5">
        <v>0</v>
      </c>
      <c r="N631" s="5">
        <v>92.39</v>
      </c>
      <c r="O631" s="7">
        <v>45995</v>
      </c>
      <c r="P631" s="5">
        <v>92.39</v>
      </c>
      <c r="Q631" s="5">
        <v>0</v>
      </c>
      <c r="R631" s="5" t="s">
        <v>32</v>
      </c>
      <c r="S631" s="5" t="s">
        <v>33</v>
      </c>
      <c r="T631" s="5">
        <v>0.92</v>
      </c>
      <c r="U631" s="5">
        <v>91.47</v>
      </c>
      <c r="V631" s="5" t="s">
        <v>34</v>
      </c>
      <c r="W631" s="5">
        <v>10</v>
      </c>
      <c r="X631" s="5" t="s">
        <v>358</v>
      </c>
      <c r="Y631" s="7">
        <v>46003</v>
      </c>
      <c r="Z631" s="7">
        <v>45995</v>
      </c>
      <c r="AA631" s="5" t="s">
        <v>32</v>
      </c>
      <c r="AB631" s="6">
        <v>46003</v>
      </c>
      <c r="AC631" s="7">
        <v>46003.572916666664</v>
      </c>
      <c r="AD631" s="5">
        <v>34031008156</v>
      </c>
      <c r="AE631" s="8">
        <v>45995</v>
      </c>
      <c r="AF631" s="5" t="s">
        <v>361</v>
      </c>
      <c r="AG631" s="5" t="s">
        <v>38</v>
      </c>
      <c r="AH631" s="5">
        <v>206655</v>
      </c>
      <c r="AI631" s="6">
        <v>45995</v>
      </c>
      <c r="AJ631" s="6">
        <v>46003</v>
      </c>
    </row>
    <row r="632" spans="1:39" x14ac:dyDescent="0.55000000000000004">
      <c r="A632">
        <v>3403</v>
      </c>
      <c r="B632">
        <v>1008220</v>
      </c>
      <c r="C632">
        <v>169.4</v>
      </c>
      <c r="E632">
        <v>169.4</v>
      </c>
      <c r="F632">
        <v>1.69</v>
      </c>
      <c r="G632">
        <v>169.4</v>
      </c>
      <c r="H632" s="14">
        <f>C632-D632-F632</f>
        <v>167.71</v>
      </c>
      <c r="I632" s="14" t="b">
        <f>G632=H632</f>
        <v>0</v>
      </c>
      <c r="J632" s="2">
        <v>46003</v>
      </c>
      <c r="K632" s="5">
        <v>1008220</v>
      </c>
      <c r="L632" s="5">
        <v>3403</v>
      </c>
      <c r="M632" s="5">
        <v>0</v>
      </c>
      <c r="N632" s="5">
        <v>169.4</v>
      </c>
      <c r="O632" s="7">
        <v>45995</v>
      </c>
      <c r="P632" s="5">
        <v>169.4</v>
      </c>
      <c r="Q632" s="5">
        <v>0</v>
      </c>
      <c r="R632" s="5" t="s">
        <v>32</v>
      </c>
      <c r="S632" s="5" t="s">
        <v>33</v>
      </c>
      <c r="T632" s="5">
        <v>1.69</v>
      </c>
      <c r="U632" s="5">
        <v>169.4</v>
      </c>
      <c r="V632" s="5" t="s">
        <v>34</v>
      </c>
      <c r="W632" s="5">
        <v>10</v>
      </c>
      <c r="X632" s="5" t="s">
        <v>358</v>
      </c>
      <c r="Y632" s="7">
        <v>46003</v>
      </c>
      <c r="Z632" s="7">
        <v>45995</v>
      </c>
      <c r="AA632" s="5" t="s">
        <v>32</v>
      </c>
      <c r="AB632" s="6">
        <v>46003</v>
      </c>
      <c r="AC632" s="7">
        <v>46003.572916666664</v>
      </c>
      <c r="AD632" s="5">
        <v>34031008220</v>
      </c>
      <c r="AE632" s="8">
        <v>45995</v>
      </c>
      <c r="AF632" s="5" t="s">
        <v>364</v>
      </c>
      <c r="AG632" s="5" t="s">
        <v>37</v>
      </c>
      <c r="AH632" s="5">
        <v>206569</v>
      </c>
      <c r="AI632" s="6">
        <v>45995</v>
      </c>
      <c r="AJ632" s="6">
        <v>46003</v>
      </c>
      <c r="AK632" s="1">
        <f t="shared" ref="AK632" si="295">0.02*C632</f>
        <v>3.3880000000000003</v>
      </c>
      <c r="AL632" t="s">
        <v>673</v>
      </c>
      <c r="AM632">
        <f>F632</f>
        <v>1.69</v>
      </c>
    </row>
    <row r="633" spans="1:39" hidden="1" x14ac:dyDescent="0.55000000000000004">
      <c r="A633">
        <v>3403</v>
      </c>
      <c r="B633">
        <v>1008237</v>
      </c>
      <c r="C633">
        <v>171.52</v>
      </c>
      <c r="E633">
        <v>171.52</v>
      </c>
      <c r="F633">
        <v>1.72</v>
      </c>
      <c r="G633">
        <v>169.8</v>
      </c>
      <c r="H633"/>
      <c r="I633"/>
      <c r="J633" s="2">
        <v>46003</v>
      </c>
      <c r="K633" s="5">
        <v>1008237</v>
      </c>
      <c r="L633" s="5">
        <v>3403</v>
      </c>
      <c r="M633" s="5">
        <v>0</v>
      </c>
      <c r="N633" s="5">
        <v>171.52</v>
      </c>
      <c r="O633" s="7">
        <v>45995</v>
      </c>
      <c r="P633" s="5">
        <v>171.52</v>
      </c>
      <c r="Q633" s="5">
        <v>0</v>
      </c>
      <c r="R633" s="5" t="s">
        <v>32</v>
      </c>
      <c r="S633" s="5" t="s">
        <v>33</v>
      </c>
      <c r="T633" s="5">
        <v>1.72</v>
      </c>
      <c r="U633" s="5">
        <v>169.8</v>
      </c>
      <c r="V633" s="5" t="s">
        <v>34</v>
      </c>
      <c r="W633" s="5">
        <v>10</v>
      </c>
      <c r="X633" s="5" t="s">
        <v>358</v>
      </c>
      <c r="Y633" s="7">
        <v>46003</v>
      </c>
      <c r="Z633" s="7">
        <v>45995</v>
      </c>
      <c r="AA633" s="5" t="s">
        <v>32</v>
      </c>
      <c r="AB633" s="6">
        <v>46003</v>
      </c>
      <c r="AC633" s="7">
        <v>46003.572916666664</v>
      </c>
      <c r="AD633" s="5">
        <v>34031008237</v>
      </c>
      <c r="AE633" s="8">
        <v>45995</v>
      </c>
      <c r="AF633" s="5" t="s">
        <v>362</v>
      </c>
      <c r="AG633" s="5" t="s">
        <v>38</v>
      </c>
      <c r="AH633" s="5">
        <v>206509</v>
      </c>
      <c r="AI633" s="6">
        <v>45995</v>
      </c>
      <c r="AJ633" s="6">
        <v>46003</v>
      </c>
    </row>
    <row r="634" spans="1:39" x14ac:dyDescent="0.55000000000000004">
      <c r="A634">
        <v>3403</v>
      </c>
      <c r="B634">
        <v>1008240</v>
      </c>
      <c r="C634" s="1">
        <v>1140.32</v>
      </c>
      <c r="E634" s="1">
        <v>1140.32</v>
      </c>
      <c r="F634">
        <v>11.4</v>
      </c>
      <c r="G634" s="1">
        <v>1140.32</v>
      </c>
      <c r="H634" s="14">
        <f>C634-D634-F634</f>
        <v>1128.9199999999998</v>
      </c>
      <c r="I634" s="14" t="b">
        <f>G634=H634</f>
        <v>0</v>
      </c>
      <c r="J634" s="2">
        <v>46003</v>
      </c>
      <c r="K634" s="5">
        <v>1008240</v>
      </c>
      <c r="L634" s="5">
        <v>3403</v>
      </c>
      <c r="M634" s="5">
        <v>0</v>
      </c>
      <c r="N634" s="5">
        <v>1140.32</v>
      </c>
      <c r="O634" s="7">
        <v>45995</v>
      </c>
      <c r="P634" s="5">
        <v>1140.32</v>
      </c>
      <c r="Q634" s="5">
        <v>0</v>
      </c>
      <c r="R634" s="5" t="s">
        <v>32</v>
      </c>
      <c r="S634" s="5" t="s">
        <v>33</v>
      </c>
      <c r="T634" s="5">
        <v>11.4</v>
      </c>
      <c r="U634" s="5">
        <v>1140.32</v>
      </c>
      <c r="V634" s="5" t="s">
        <v>34</v>
      </c>
      <c r="W634" s="5">
        <v>10</v>
      </c>
      <c r="X634" s="5" t="s">
        <v>358</v>
      </c>
      <c r="Y634" s="7">
        <v>46003</v>
      </c>
      <c r="Z634" s="7">
        <v>45995</v>
      </c>
      <c r="AA634" s="5" t="s">
        <v>32</v>
      </c>
      <c r="AB634" s="6">
        <v>46003</v>
      </c>
      <c r="AC634" s="7">
        <v>46003.572916666664</v>
      </c>
      <c r="AD634" s="5">
        <v>34031008240</v>
      </c>
      <c r="AE634" s="8">
        <v>45995</v>
      </c>
      <c r="AF634" s="5" t="s">
        <v>362</v>
      </c>
      <c r="AG634" s="5" t="s">
        <v>37</v>
      </c>
      <c r="AH634" s="5">
        <v>206508</v>
      </c>
      <c r="AI634" s="6">
        <v>45995</v>
      </c>
      <c r="AJ634" s="6">
        <v>46003</v>
      </c>
      <c r="AK634" s="1">
        <f t="shared" ref="AK634" si="296">0.02*C634</f>
        <v>22.8064</v>
      </c>
      <c r="AL634" t="s">
        <v>673</v>
      </c>
      <c r="AM634">
        <f>F634</f>
        <v>11.4</v>
      </c>
    </row>
    <row r="635" spans="1:39" hidden="1" x14ac:dyDescent="0.55000000000000004">
      <c r="A635">
        <v>3403</v>
      </c>
      <c r="B635">
        <v>1008293</v>
      </c>
      <c r="C635">
        <v>-50</v>
      </c>
      <c r="E635">
        <v>-50</v>
      </c>
      <c r="G635">
        <v>-50</v>
      </c>
      <c r="H635"/>
      <c r="I635"/>
      <c r="J635" s="2">
        <v>46003</v>
      </c>
      <c r="K635" s="5">
        <v>1008293</v>
      </c>
      <c r="L635" s="5">
        <v>3403</v>
      </c>
      <c r="M635" s="5">
        <v>0</v>
      </c>
      <c r="N635" s="5">
        <v>-50</v>
      </c>
      <c r="O635" s="7">
        <v>45995</v>
      </c>
      <c r="P635" s="5">
        <v>-50</v>
      </c>
      <c r="Q635" s="5">
        <v>0</v>
      </c>
      <c r="R635" s="5" t="s">
        <v>40</v>
      </c>
      <c r="S635" s="5" t="s">
        <v>33</v>
      </c>
      <c r="T635" s="5">
        <v>0</v>
      </c>
      <c r="U635" s="5">
        <v>-50</v>
      </c>
      <c r="V635" s="5" t="s">
        <v>34</v>
      </c>
      <c r="W635" s="5">
        <v>10</v>
      </c>
      <c r="X635" s="5" t="s">
        <v>358</v>
      </c>
      <c r="Y635" s="7">
        <v>46003</v>
      </c>
      <c r="Z635" s="7">
        <v>45995</v>
      </c>
      <c r="AA635" s="5" t="s">
        <v>32</v>
      </c>
      <c r="AB635" s="6">
        <v>46003</v>
      </c>
      <c r="AC635" s="7">
        <v>46003.572916666664</v>
      </c>
      <c r="AD635" s="5">
        <v>34031008293</v>
      </c>
      <c r="AE635" s="8">
        <v>45995</v>
      </c>
      <c r="AF635" s="5" t="s">
        <v>41</v>
      </c>
      <c r="AG635" s="5" t="s">
        <v>38</v>
      </c>
      <c r="AH635" s="5" t="s">
        <v>40</v>
      </c>
      <c r="AI635" s="6">
        <v>45995</v>
      </c>
      <c r="AJ635" s="6">
        <v>46003</v>
      </c>
    </row>
    <row r="636" spans="1:39" hidden="1" x14ac:dyDescent="0.55000000000000004">
      <c r="A636">
        <v>3403</v>
      </c>
      <c r="B636">
        <v>1008400</v>
      </c>
      <c r="C636" s="1">
        <v>1150.31</v>
      </c>
      <c r="E636" s="1">
        <v>1150.31</v>
      </c>
      <c r="F636">
        <v>11.5</v>
      </c>
      <c r="G636" s="1">
        <v>1138.81</v>
      </c>
      <c r="H636" s="1"/>
      <c r="I636" s="1"/>
      <c r="J636" s="2">
        <v>46003</v>
      </c>
      <c r="K636" s="5">
        <v>1008400</v>
      </c>
      <c r="L636" s="5">
        <v>3403</v>
      </c>
      <c r="M636" s="5">
        <v>0</v>
      </c>
      <c r="N636" s="5">
        <v>1150.31</v>
      </c>
      <c r="O636" s="7">
        <v>45996</v>
      </c>
      <c r="P636" s="5">
        <v>1150.31</v>
      </c>
      <c r="Q636" s="5">
        <v>0</v>
      </c>
      <c r="R636" s="5">
        <v>162436</v>
      </c>
      <c r="S636" s="5" t="s">
        <v>365</v>
      </c>
      <c r="T636" s="5">
        <v>11.5</v>
      </c>
      <c r="U636" s="5">
        <v>1138.81</v>
      </c>
      <c r="V636" s="5" t="s">
        <v>34</v>
      </c>
      <c r="W636" s="5">
        <v>10</v>
      </c>
      <c r="X636" s="5" t="s">
        <v>358</v>
      </c>
      <c r="Y636" s="7">
        <v>46003</v>
      </c>
      <c r="Z636" s="7">
        <v>45996</v>
      </c>
      <c r="AA636" s="5" t="s">
        <v>32</v>
      </c>
      <c r="AB636" s="6">
        <v>46003</v>
      </c>
      <c r="AC636" s="7">
        <v>46003.572916666664</v>
      </c>
      <c r="AD636" s="5">
        <v>34031008400</v>
      </c>
      <c r="AE636" s="8">
        <v>45996</v>
      </c>
      <c r="AF636" s="5" t="s">
        <v>366</v>
      </c>
      <c r="AG636" s="5" t="s">
        <v>38</v>
      </c>
      <c r="AH636" s="5">
        <v>162436</v>
      </c>
      <c r="AI636" s="6">
        <v>45996</v>
      </c>
      <c r="AJ636" s="6">
        <v>46003</v>
      </c>
    </row>
    <row r="637" spans="1:39" hidden="1" x14ac:dyDescent="0.55000000000000004">
      <c r="A637">
        <v>3403</v>
      </c>
      <c r="B637">
        <v>1008529</v>
      </c>
      <c r="C637">
        <v>74.22</v>
      </c>
      <c r="E637">
        <v>74.22</v>
      </c>
      <c r="F637">
        <v>0.74</v>
      </c>
      <c r="G637">
        <v>73.48</v>
      </c>
      <c r="H637"/>
      <c r="I637"/>
      <c r="J637" s="2">
        <v>46003</v>
      </c>
      <c r="K637" s="5">
        <v>1008529</v>
      </c>
      <c r="L637" s="5">
        <v>3403</v>
      </c>
      <c r="M637" s="5">
        <v>0</v>
      </c>
      <c r="N637" s="5">
        <v>74.22</v>
      </c>
      <c r="O637" s="7">
        <v>45996</v>
      </c>
      <c r="P637" s="5">
        <v>74.22</v>
      </c>
      <c r="Q637" s="5">
        <v>0</v>
      </c>
      <c r="R637" s="5" t="s">
        <v>32</v>
      </c>
      <c r="S637" s="5" t="s">
        <v>33</v>
      </c>
      <c r="T637" s="5">
        <v>0.74</v>
      </c>
      <c r="U637" s="5">
        <v>73.48</v>
      </c>
      <c r="V637" s="5" t="s">
        <v>34</v>
      </c>
      <c r="W637" s="5">
        <v>10</v>
      </c>
      <c r="X637" s="5" t="s">
        <v>358</v>
      </c>
      <c r="Y637" s="7">
        <v>46003</v>
      </c>
      <c r="Z637" s="7">
        <v>45996</v>
      </c>
      <c r="AA637" s="5" t="s">
        <v>32</v>
      </c>
      <c r="AB637" s="6">
        <v>46003</v>
      </c>
      <c r="AC637" s="7">
        <v>46003.572916666664</v>
      </c>
      <c r="AD637" s="5">
        <v>34031008529</v>
      </c>
      <c r="AE637" s="8">
        <v>45996</v>
      </c>
      <c r="AF637" s="5" t="s">
        <v>362</v>
      </c>
      <c r="AG637" s="5" t="s">
        <v>38</v>
      </c>
      <c r="AH637" s="5">
        <v>206807</v>
      </c>
      <c r="AI637" s="6">
        <v>45996</v>
      </c>
      <c r="AJ637" s="6">
        <v>46003</v>
      </c>
    </row>
    <row r="638" spans="1:39" hidden="1" x14ac:dyDescent="0.55000000000000004">
      <c r="A638">
        <v>3403</v>
      </c>
      <c r="B638">
        <v>1009004</v>
      </c>
      <c r="C638">
        <v>-688.5</v>
      </c>
      <c r="E638">
        <v>-688.5</v>
      </c>
      <c r="G638">
        <v>-688.5</v>
      </c>
      <c r="H638"/>
      <c r="I638"/>
      <c r="J638" s="2">
        <v>46003</v>
      </c>
      <c r="K638" s="5">
        <v>1009004</v>
      </c>
      <c r="L638" s="5">
        <v>3403</v>
      </c>
      <c r="M638" s="5">
        <v>0</v>
      </c>
      <c r="N638" s="5">
        <v>-688.5</v>
      </c>
      <c r="O638" s="7">
        <v>46000</v>
      </c>
      <c r="P638" s="5">
        <v>-688.5</v>
      </c>
      <c r="Q638" s="5">
        <v>0</v>
      </c>
      <c r="R638" s="5">
        <v>1009004</v>
      </c>
      <c r="S638" s="5" t="s">
        <v>33</v>
      </c>
      <c r="T638" s="5">
        <v>0</v>
      </c>
      <c r="U638" s="5">
        <v>-688.5</v>
      </c>
      <c r="V638" s="5" t="s">
        <v>34</v>
      </c>
      <c r="W638" s="5">
        <v>10</v>
      </c>
      <c r="X638" s="5" t="s">
        <v>358</v>
      </c>
      <c r="Y638" s="7">
        <v>46003</v>
      </c>
      <c r="Z638" s="7">
        <v>46000</v>
      </c>
      <c r="AA638" s="5" t="s">
        <v>32</v>
      </c>
      <c r="AB638" s="6">
        <v>46003</v>
      </c>
      <c r="AC638" s="7">
        <v>46003.572916666664</v>
      </c>
      <c r="AD638" s="5">
        <v>34031009004</v>
      </c>
      <c r="AE638" s="8">
        <v>46000</v>
      </c>
      <c r="AF638" s="5" t="s">
        <v>367</v>
      </c>
      <c r="AG638" s="5" t="s">
        <v>38</v>
      </c>
      <c r="AH638" s="5" t="s">
        <v>368</v>
      </c>
      <c r="AI638" s="6">
        <v>46000</v>
      </c>
      <c r="AJ638" s="6">
        <v>46003</v>
      </c>
    </row>
    <row r="639" spans="1:39" x14ac:dyDescent="0.55000000000000004">
      <c r="A639">
        <v>3410</v>
      </c>
      <c r="B639">
        <v>1007278</v>
      </c>
      <c r="C639">
        <v>100.92</v>
      </c>
      <c r="D639" s="4">
        <v>2.02</v>
      </c>
      <c r="E639">
        <v>98.9</v>
      </c>
      <c r="F639">
        <v>1.01</v>
      </c>
      <c r="G639">
        <v>97.89</v>
      </c>
      <c r="H639" s="14">
        <f t="shared" ref="H639:H640" si="297">C639-D639-F639</f>
        <v>97.89</v>
      </c>
      <c r="I639" s="14" t="b">
        <f t="shared" ref="I639:I640" si="298">G639=H639</f>
        <v>1</v>
      </c>
      <c r="J639" s="2">
        <v>46003</v>
      </c>
      <c r="K639" s="5">
        <v>1007278</v>
      </c>
      <c r="L639" s="5">
        <v>3410</v>
      </c>
      <c r="M639" s="5">
        <v>2.02</v>
      </c>
      <c r="N639" s="5">
        <v>100.92</v>
      </c>
      <c r="O639" s="7">
        <v>45992</v>
      </c>
      <c r="P639" s="5">
        <v>98.9</v>
      </c>
      <c r="Q639" s="5">
        <v>2.02</v>
      </c>
      <c r="R639" s="5" t="s">
        <v>32</v>
      </c>
      <c r="S639" s="5" t="s">
        <v>33</v>
      </c>
      <c r="T639" s="5">
        <v>1.01</v>
      </c>
      <c r="U639" s="5">
        <v>97.89</v>
      </c>
      <c r="V639" s="5" t="s">
        <v>34</v>
      </c>
      <c r="W639" s="5">
        <v>2</v>
      </c>
      <c r="X639" s="5">
        <v>2173276257753</v>
      </c>
      <c r="Y639" s="7">
        <v>46003</v>
      </c>
      <c r="Z639" s="7">
        <v>45992</v>
      </c>
      <c r="AB639" s="6">
        <v>46003</v>
      </c>
      <c r="AC639" s="7">
        <v>46002.670138888891</v>
      </c>
      <c r="AD639" s="5">
        <v>34101007278</v>
      </c>
      <c r="AE639" s="8">
        <v>45992</v>
      </c>
      <c r="AF639" s="5" t="s">
        <v>369</v>
      </c>
      <c r="AG639" s="5" t="s">
        <v>37</v>
      </c>
      <c r="AH639" s="5">
        <v>205817</v>
      </c>
      <c r="AI639" s="6">
        <v>45992</v>
      </c>
      <c r="AJ639" s="6">
        <v>46003</v>
      </c>
      <c r="AK639" s="1">
        <f t="shared" ref="AK639:AK640" si="299">0.02*C639</f>
        <v>2.0184000000000002</v>
      </c>
    </row>
    <row r="640" spans="1:39" x14ac:dyDescent="0.55000000000000004">
      <c r="A640">
        <v>3410</v>
      </c>
      <c r="B640">
        <v>1007286</v>
      </c>
      <c r="C640">
        <v>765.12</v>
      </c>
      <c r="D640" s="4">
        <v>15.3</v>
      </c>
      <c r="E640">
        <v>749.82</v>
      </c>
      <c r="F640">
        <v>7.65</v>
      </c>
      <c r="G640">
        <v>742.17</v>
      </c>
      <c r="H640" s="14">
        <f t="shared" si="297"/>
        <v>742.17000000000007</v>
      </c>
      <c r="I640" s="14" t="b">
        <f t="shared" si="298"/>
        <v>1</v>
      </c>
      <c r="J640" s="2">
        <v>46003</v>
      </c>
      <c r="K640" s="5">
        <v>1007286</v>
      </c>
      <c r="L640" s="5">
        <v>3410</v>
      </c>
      <c r="M640" s="5">
        <v>15.3</v>
      </c>
      <c r="N640" s="5">
        <v>765.12</v>
      </c>
      <c r="O640" s="7">
        <v>45992</v>
      </c>
      <c r="P640" s="5">
        <v>749.82</v>
      </c>
      <c r="Q640" s="5">
        <v>15.3</v>
      </c>
      <c r="R640" s="5" t="s">
        <v>32</v>
      </c>
      <c r="S640" s="5" t="s">
        <v>33</v>
      </c>
      <c r="T640" s="5">
        <v>7.65</v>
      </c>
      <c r="U640" s="5">
        <v>742.17</v>
      </c>
      <c r="V640" s="5" t="s">
        <v>34</v>
      </c>
      <c r="W640" s="5">
        <v>2</v>
      </c>
      <c r="X640" s="5">
        <v>2173276257753</v>
      </c>
      <c r="Y640" s="7">
        <v>46003</v>
      </c>
      <c r="Z640" s="7">
        <v>45992</v>
      </c>
      <c r="AB640" s="6">
        <v>46003</v>
      </c>
      <c r="AC640" s="7">
        <v>46002.670138888891</v>
      </c>
      <c r="AD640" s="5">
        <v>34101007286</v>
      </c>
      <c r="AE640" s="8">
        <v>45992</v>
      </c>
      <c r="AF640" s="5" t="s">
        <v>370</v>
      </c>
      <c r="AG640" s="5" t="s">
        <v>37</v>
      </c>
      <c r="AH640" s="5">
        <v>205816</v>
      </c>
      <c r="AI640" s="6">
        <v>45992</v>
      </c>
      <c r="AJ640" s="6">
        <v>46003</v>
      </c>
      <c r="AK640" s="1">
        <f t="shared" si="299"/>
        <v>15.3024</v>
      </c>
    </row>
    <row r="641" spans="1:37" hidden="1" x14ac:dyDescent="0.55000000000000004">
      <c r="A641">
        <v>3410</v>
      </c>
      <c r="B641">
        <v>1007718</v>
      </c>
      <c r="C641" s="1">
        <v>3478.42</v>
      </c>
      <c r="E641" s="1">
        <v>3478.42</v>
      </c>
      <c r="F641">
        <v>34.78</v>
      </c>
      <c r="G641" s="1">
        <v>3443.64</v>
      </c>
      <c r="H641" s="1"/>
      <c r="I641" s="1"/>
      <c r="J641" s="2">
        <v>46003</v>
      </c>
      <c r="K641" s="5">
        <v>1007718</v>
      </c>
      <c r="L641" s="5">
        <v>3410</v>
      </c>
      <c r="M641" s="5">
        <v>0</v>
      </c>
      <c r="N641" s="5">
        <v>3478.42</v>
      </c>
      <c r="O641" s="7">
        <v>45993</v>
      </c>
      <c r="P641" s="5">
        <v>3478.42</v>
      </c>
      <c r="Q641" s="5">
        <v>0</v>
      </c>
      <c r="R641" s="5" t="s">
        <v>32</v>
      </c>
      <c r="S641" s="5" t="s">
        <v>33</v>
      </c>
      <c r="T641" s="5">
        <v>34.78</v>
      </c>
      <c r="U641" s="5">
        <v>3443.64</v>
      </c>
      <c r="V641" s="5" t="s">
        <v>34</v>
      </c>
      <c r="W641" s="5">
        <v>2</v>
      </c>
      <c r="X641" s="5">
        <v>2173276257753</v>
      </c>
      <c r="Y641" s="7">
        <v>46003</v>
      </c>
      <c r="Z641" s="7">
        <v>45993</v>
      </c>
      <c r="AB641" s="6">
        <v>46003</v>
      </c>
      <c r="AC641" s="7">
        <v>46002.670138888891</v>
      </c>
      <c r="AD641" s="5">
        <v>34101007718</v>
      </c>
      <c r="AE641" s="8">
        <v>45993</v>
      </c>
      <c r="AF641" s="5" t="s">
        <v>371</v>
      </c>
      <c r="AG641" s="5" t="s">
        <v>38</v>
      </c>
      <c r="AH641" s="5">
        <v>206113</v>
      </c>
      <c r="AI641" s="6">
        <v>45993</v>
      </c>
      <c r="AJ641" s="6">
        <v>46003</v>
      </c>
    </row>
    <row r="642" spans="1:37" hidden="1" x14ac:dyDescent="0.55000000000000004">
      <c r="A642">
        <v>3410</v>
      </c>
      <c r="B642">
        <v>1007722</v>
      </c>
      <c r="C642">
        <v>222.66</v>
      </c>
      <c r="E642">
        <v>222.66</v>
      </c>
      <c r="F642">
        <v>2.23</v>
      </c>
      <c r="G642">
        <v>220.43</v>
      </c>
      <c r="H642"/>
      <c r="I642"/>
      <c r="J642" s="2">
        <v>46003</v>
      </c>
      <c r="K642" s="5">
        <v>1007722</v>
      </c>
      <c r="L642" s="5">
        <v>3410</v>
      </c>
      <c r="M642" s="5">
        <v>0</v>
      </c>
      <c r="N642" s="5">
        <v>222.66</v>
      </c>
      <c r="O642" s="7">
        <v>45993</v>
      </c>
      <c r="P642" s="5">
        <v>222.66</v>
      </c>
      <c r="Q642" s="5">
        <v>0</v>
      </c>
      <c r="R642" s="5" t="s">
        <v>32</v>
      </c>
      <c r="S642" s="5" t="s">
        <v>33</v>
      </c>
      <c r="T642" s="5">
        <v>2.23</v>
      </c>
      <c r="U642" s="5">
        <v>220.43</v>
      </c>
      <c r="V642" s="5" t="s">
        <v>34</v>
      </c>
      <c r="W642" s="5">
        <v>2</v>
      </c>
      <c r="X642" s="5">
        <v>2173276257753</v>
      </c>
      <c r="Y642" s="7">
        <v>46003</v>
      </c>
      <c r="Z642" s="7">
        <v>45993</v>
      </c>
      <c r="AB642" s="6">
        <v>46003</v>
      </c>
      <c r="AC642" s="7">
        <v>46002.670138888891</v>
      </c>
      <c r="AD642" s="5">
        <v>34101007722</v>
      </c>
      <c r="AE642" s="8">
        <v>45993</v>
      </c>
      <c r="AF642" s="5" t="s">
        <v>372</v>
      </c>
      <c r="AG642" s="5" t="s">
        <v>38</v>
      </c>
      <c r="AH642" s="5">
        <v>206114</v>
      </c>
      <c r="AI642" s="6">
        <v>45993</v>
      </c>
      <c r="AJ642" s="6">
        <v>46003</v>
      </c>
    </row>
    <row r="643" spans="1:37" x14ac:dyDescent="0.55000000000000004">
      <c r="A643">
        <v>3410</v>
      </c>
      <c r="B643">
        <v>1007942</v>
      </c>
      <c r="C643">
        <v>900.03</v>
      </c>
      <c r="D643" s="4">
        <v>18</v>
      </c>
      <c r="E643">
        <v>882.03</v>
      </c>
      <c r="F643">
        <v>9</v>
      </c>
      <c r="G643">
        <v>873.03</v>
      </c>
      <c r="H643" s="14">
        <f t="shared" ref="H643:H644" si="300">C643-D643-F643</f>
        <v>873.03</v>
      </c>
      <c r="I643" s="14" t="b">
        <f t="shared" ref="I643:I644" si="301">G643=H643</f>
        <v>1</v>
      </c>
      <c r="J643" s="2">
        <v>46003</v>
      </c>
      <c r="K643" s="5">
        <v>1007942</v>
      </c>
      <c r="L643" s="5">
        <v>3410</v>
      </c>
      <c r="M643" s="5">
        <v>18</v>
      </c>
      <c r="N643" s="5">
        <v>900.03</v>
      </c>
      <c r="O643" s="7">
        <v>45994</v>
      </c>
      <c r="P643" s="5">
        <v>882.03</v>
      </c>
      <c r="Q643" s="5">
        <v>18</v>
      </c>
      <c r="R643" s="5" t="s">
        <v>32</v>
      </c>
      <c r="S643" s="5" t="s">
        <v>33</v>
      </c>
      <c r="T643" s="5">
        <v>9</v>
      </c>
      <c r="U643" s="5">
        <v>873.03</v>
      </c>
      <c r="V643" s="5" t="s">
        <v>34</v>
      </c>
      <c r="W643" s="5">
        <v>2</v>
      </c>
      <c r="X643" s="5">
        <v>2173276257753</v>
      </c>
      <c r="Y643" s="7">
        <v>46003</v>
      </c>
      <c r="Z643" s="7">
        <v>45994</v>
      </c>
      <c r="AB643" s="6">
        <v>46003</v>
      </c>
      <c r="AC643" s="7">
        <v>46002.670138888891</v>
      </c>
      <c r="AD643" s="5">
        <v>34101007942</v>
      </c>
      <c r="AE643" s="8">
        <v>45994</v>
      </c>
      <c r="AF643" s="5" t="s">
        <v>373</v>
      </c>
      <c r="AG643" s="5" t="s">
        <v>37</v>
      </c>
      <c r="AH643" s="5">
        <v>206286</v>
      </c>
      <c r="AI643" s="6">
        <v>45994</v>
      </c>
      <c r="AJ643" s="6">
        <v>46003</v>
      </c>
      <c r="AK643" s="1">
        <f t="shared" ref="AK643:AK644" si="302">0.02*C643</f>
        <v>18.000599999999999</v>
      </c>
    </row>
    <row r="644" spans="1:37" x14ac:dyDescent="0.55000000000000004">
      <c r="A644">
        <v>3410</v>
      </c>
      <c r="B644">
        <v>1007944</v>
      </c>
      <c r="C644">
        <v>27.87</v>
      </c>
      <c r="D644" s="4">
        <v>0.56000000000000005</v>
      </c>
      <c r="E644">
        <v>27.31</v>
      </c>
      <c r="F644">
        <v>0.28000000000000003</v>
      </c>
      <c r="G644">
        <v>27.03</v>
      </c>
      <c r="H644" s="14">
        <f t="shared" si="300"/>
        <v>27.03</v>
      </c>
      <c r="I644" s="14" t="b">
        <f t="shared" si="301"/>
        <v>1</v>
      </c>
      <c r="J644" s="2">
        <v>46003</v>
      </c>
      <c r="K644" s="5">
        <v>1007944</v>
      </c>
      <c r="L644" s="5">
        <v>3410</v>
      </c>
      <c r="M644" s="5">
        <v>0.56000000000000005</v>
      </c>
      <c r="N644" s="5">
        <v>27.87</v>
      </c>
      <c r="O644" s="7">
        <v>45994</v>
      </c>
      <c r="P644" s="5">
        <v>27.31</v>
      </c>
      <c r="Q644" s="5">
        <v>0.56000000000000005</v>
      </c>
      <c r="R644" s="5" t="s">
        <v>32</v>
      </c>
      <c r="S644" s="5" t="s">
        <v>33</v>
      </c>
      <c r="T644" s="5">
        <v>0.28000000000000003</v>
      </c>
      <c r="U644" s="5">
        <v>27.03</v>
      </c>
      <c r="V644" s="5" t="s">
        <v>34</v>
      </c>
      <c r="W644" s="5">
        <v>2</v>
      </c>
      <c r="X644" s="5">
        <v>2173276257753</v>
      </c>
      <c r="Y644" s="7">
        <v>46003</v>
      </c>
      <c r="Z644" s="7">
        <v>45994</v>
      </c>
      <c r="AB644" s="6">
        <v>46003</v>
      </c>
      <c r="AC644" s="7">
        <v>46002.670138888891</v>
      </c>
      <c r="AD644" s="5">
        <v>34101007944</v>
      </c>
      <c r="AE644" s="8">
        <v>45994</v>
      </c>
      <c r="AF644" s="5" t="s">
        <v>374</v>
      </c>
      <c r="AG644" s="5" t="s">
        <v>37</v>
      </c>
      <c r="AH644" s="5">
        <v>206285</v>
      </c>
      <c r="AI644" s="6">
        <v>45994</v>
      </c>
      <c r="AJ644" s="6">
        <v>46003</v>
      </c>
      <c r="AK644" s="1">
        <f t="shared" si="302"/>
        <v>0.55740000000000001</v>
      </c>
    </row>
    <row r="645" spans="1:37" hidden="1" x14ac:dyDescent="0.55000000000000004">
      <c r="A645">
        <v>3410</v>
      </c>
      <c r="B645">
        <v>1007948</v>
      </c>
      <c r="C645">
        <v>976.74</v>
      </c>
      <c r="E645">
        <v>976.74</v>
      </c>
      <c r="F645">
        <v>9.77</v>
      </c>
      <c r="G645">
        <v>966.97</v>
      </c>
      <c r="H645"/>
      <c r="I645"/>
      <c r="J645" s="2">
        <v>46003</v>
      </c>
      <c r="K645" s="5">
        <v>1007948</v>
      </c>
      <c r="L645" s="5">
        <v>3410</v>
      </c>
      <c r="M645" s="5">
        <v>0</v>
      </c>
      <c r="N645" s="5">
        <v>976.74</v>
      </c>
      <c r="O645" s="7">
        <v>45994</v>
      </c>
      <c r="P645" s="5">
        <v>976.74</v>
      </c>
      <c r="Q645" s="5">
        <v>0</v>
      </c>
      <c r="R645" s="5" t="s">
        <v>32</v>
      </c>
      <c r="S645" s="5" t="s">
        <v>33</v>
      </c>
      <c r="T645" s="5">
        <v>9.77</v>
      </c>
      <c r="U645" s="5">
        <v>966.97</v>
      </c>
      <c r="V645" s="5" t="s">
        <v>34</v>
      </c>
      <c r="W645" s="5">
        <v>2</v>
      </c>
      <c r="X645" s="5">
        <v>2173276257753</v>
      </c>
      <c r="Y645" s="7">
        <v>46003</v>
      </c>
      <c r="Z645" s="7">
        <v>45994</v>
      </c>
      <c r="AB645" s="6">
        <v>46003</v>
      </c>
      <c r="AC645" s="7">
        <v>46002.670138888891</v>
      </c>
      <c r="AD645" s="5">
        <v>34101007948</v>
      </c>
      <c r="AE645" s="8">
        <v>45994</v>
      </c>
      <c r="AF645" s="5" t="s">
        <v>373</v>
      </c>
      <c r="AG645" s="5" t="s">
        <v>38</v>
      </c>
      <c r="AH645" s="5">
        <v>206287</v>
      </c>
      <c r="AI645" s="6">
        <v>45994</v>
      </c>
      <c r="AJ645" s="6">
        <v>46003</v>
      </c>
    </row>
    <row r="646" spans="1:37" x14ac:dyDescent="0.55000000000000004">
      <c r="A646">
        <v>3410</v>
      </c>
      <c r="B646">
        <v>1007968</v>
      </c>
      <c r="C646">
        <v>523.53</v>
      </c>
      <c r="D646" s="4">
        <v>10.47</v>
      </c>
      <c r="E646">
        <v>513.05999999999995</v>
      </c>
      <c r="F646">
        <v>5.24</v>
      </c>
      <c r="G646">
        <v>507.82</v>
      </c>
      <c r="H646" s="14">
        <f t="shared" ref="H646:H649" si="303">C646-D646-F646</f>
        <v>507.81999999999994</v>
      </c>
      <c r="I646" s="14" t="b">
        <f t="shared" ref="I646:I649" si="304">G646=H646</f>
        <v>1</v>
      </c>
      <c r="J646" s="2">
        <v>46003</v>
      </c>
      <c r="K646" s="5">
        <v>1007968</v>
      </c>
      <c r="L646" s="5">
        <v>3410</v>
      </c>
      <c r="M646" s="5">
        <v>10.47</v>
      </c>
      <c r="N646" s="5">
        <v>523.53</v>
      </c>
      <c r="O646" s="7">
        <v>45994</v>
      </c>
      <c r="P646" s="5">
        <v>513.05999999999995</v>
      </c>
      <c r="Q646" s="5">
        <v>10.47</v>
      </c>
      <c r="R646" s="5" t="s">
        <v>32</v>
      </c>
      <c r="S646" s="5" t="s">
        <v>33</v>
      </c>
      <c r="T646" s="5">
        <v>5.24</v>
      </c>
      <c r="U646" s="5">
        <v>507.82</v>
      </c>
      <c r="V646" s="5" t="s">
        <v>34</v>
      </c>
      <c r="W646" s="5">
        <v>2</v>
      </c>
      <c r="X646" s="5">
        <v>2173276257753</v>
      </c>
      <c r="Y646" s="7">
        <v>46003</v>
      </c>
      <c r="Z646" s="7">
        <v>45994</v>
      </c>
      <c r="AB646" s="6">
        <v>46003</v>
      </c>
      <c r="AC646" s="7">
        <v>46002.670138888891</v>
      </c>
      <c r="AD646" s="5">
        <v>34101007968</v>
      </c>
      <c r="AE646" s="8">
        <v>45994</v>
      </c>
      <c r="AF646" s="5" t="s">
        <v>373</v>
      </c>
      <c r="AG646" s="5" t="s">
        <v>37</v>
      </c>
      <c r="AH646" s="5">
        <v>206268</v>
      </c>
      <c r="AI646" s="6">
        <v>45994</v>
      </c>
      <c r="AJ646" s="6">
        <v>46003</v>
      </c>
      <c r="AK646" s="1">
        <f t="shared" ref="AK646:AK649" si="305">0.02*C646</f>
        <v>10.470599999999999</v>
      </c>
    </row>
    <row r="647" spans="1:37" x14ac:dyDescent="0.55000000000000004">
      <c r="A647">
        <v>3410</v>
      </c>
      <c r="B647">
        <v>1008026</v>
      </c>
      <c r="C647" s="1">
        <v>1345.86</v>
      </c>
      <c r="D647" s="4">
        <v>26.92</v>
      </c>
      <c r="E647" s="1">
        <v>1318.94</v>
      </c>
      <c r="F647">
        <v>13.46</v>
      </c>
      <c r="G647" s="1">
        <v>1305.48</v>
      </c>
      <c r="H647" s="14">
        <f t="shared" si="303"/>
        <v>1305.4799999999998</v>
      </c>
      <c r="I647" s="14" t="b">
        <f t="shared" si="304"/>
        <v>1</v>
      </c>
      <c r="J647" s="2">
        <v>46003</v>
      </c>
      <c r="K647" s="5">
        <v>1008026</v>
      </c>
      <c r="L647" s="5">
        <v>3410</v>
      </c>
      <c r="M647" s="5">
        <v>26.92</v>
      </c>
      <c r="N647" s="5">
        <v>1345.86</v>
      </c>
      <c r="O647" s="7">
        <v>45994</v>
      </c>
      <c r="P647" s="5">
        <v>1318.94</v>
      </c>
      <c r="Q647" s="5">
        <v>26.92</v>
      </c>
      <c r="R647" s="5" t="s">
        <v>32</v>
      </c>
      <c r="S647" s="5" t="s">
        <v>33</v>
      </c>
      <c r="T647" s="5">
        <v>13.46</v>
      </c>
      <c r="U647" s="5">
        <v>1305.48</v>
      </c>
      <c r="V647" s="5" t="s">
        <v>34</v>
      </c>
      <c r="W647" s="5">
        <v>2</v>
      </c>
      <c r="X647" s="5">
        <v>2173276257753</v>
      </c>
      <c r="Y647" s="7">
        <v>46003</v>
      </c>
      <c r="Z647" s="7">
        <v>45994</v>
      </c>
      <c r="AB647" s="6">
        <v>46003</v>
      </c>
      <c r="AC647" s="7">
        <v>46002.670138888891</v>
      </c>
      <c r="AD647" s="5">
        <v>34101008026</v>
      </c>
      <c r="AE647" s="8">
        <v>45994</v>
      </c>
      <c r="AF647" s="5" t="s">
        <v>375</v>
      </c>
      <c r="AG647" s="5" t="s">
        <v>37</v>
      </c>
      <c r="AH647" s="5">
        <v>206068</v>
      </c>
      <c r="AI647" s="6">
        <v>45994</v>
      </c>
      <c r="AJ647" s="6">
        <v>46003</v>
      </c>
      <c r="AK647" s="1">
        <f t="shared" si="305"/>
        <v>26.917199999999998</v>
      </c>
    </row>
    <row r="648" spans="1:37" x14ac:dyDescent="0.55000000000000004">
      <c r="A648">
        <v>3410</v>
      </c>
      <c r="B648">
        <v>1008086</v>
      </c>
      <c r="C648">
        <v>227.69</v>
      </c>
      <c r="D648" s="4">
        <v>4.55</v>
      </c>
      <c r="E648">
        <v>223.14</v>
      </c>
      <c r="F648">
        <v>2.2799999999999998</v>
      </c>
      <c r="G648">
        <v>220.86</v>
      </c>
      <c r="H648" s="14">
        <f t="shared" si="303"/>
        <v>220.85999999999999</v>
      </c>
      <c r="I648" s="14" t="b">
        <f t="shared" si="304"/>
        <v>1</v>
      </c>
      <c r="J648" s="2">
        <v>46003</v>
      </c>
      <c r="K648" s="5">
        <v>1008086</v>
      </c>
      <c r="L648" s="5">
        <v>3410</v>
      </c>
      <c r="M648" s="5">
        <v>4.55</v>
      </c>
      <c r="N648" s="5">
        <v>227.69</v>
      </c>
      <c r="O648" s="7">
        <v>45995</v>
      </c>
      <c r="P648" s="5">
        <v>223.14</v>
      </c>
      <c r="Q648" s="5">
        <v>4.55</v>
      </c>
      <c r="R648" s="5" t="s">
        <v>32</v>
      </c>
      <c r="S648" s="5" t="s">
        <v>33</v>
      </c>
      <c r="T648" s="5">
        <v>2.2799999999999998</v>
      </c>
      <c r="U648" s="5">
        <v>220.86</v>
      </c>
      <c r="V648" s="5" t="s">
        <v>34</v>
      </c>
      <c r="W648" s="5">
        <v>2</v>
      </c>
      <c r="X648" s="5">
        <v>2173276257753</v>
      </c>
      <c r="Y648" s="7">
        <v>46003</v>
      </c>
      <c r="Z648" s="7">
        <v>45995</v>
      </c>
      <c r="AB648" s="6">
        <v>46003</v>
      </c>
      <c r="AC648" s="7">
        <v>46002.670138888891</v>
      </c>
      <c r="AD648" s="5">
        <v>34101008086</v>
      </c>
      <c r="AE648" s="8">
        <v>45995</v>
      </c>
      <c r="AF648" s="5" t="s">
        <v>376</v>
      </c>
      <c r="AG648" s="5" t="s">
        <v>37</v>
      </c>
      <c r="AH648" s="5">
        <v>206406</v>
      </c>
      <c r="AI648" s="6">
        <v>45995</v>
      </c>
      <c r="AJ648" s="6">
        <v>46003</v>
      </c>
      <c r="AK648" s="1">
        <f t="shared" si="305"/>
        <v>4.5537999999999998</v>
      </c>
    </row>
    <row r="649" spans="1:37" x14ac:dyDescent="0.55000000000000004">
      <c r="A649">
        <v>3410</v>
      </c>
      <c r="B649">
        <v>1008092</v>
      </c>
      <c r="C649">
        <v>434.15</v>
      </c>
      <c r="D649" s="4">
        <v>8.68</v>
      </c>
      <c r="E649">
        <v>425.47</v>
      </c>
      <c r="F649">
        <v>4.34</v>
      </c>
      <c r="G649">
        <v>421.13</v>
      </c>
      <c r="H649" s="14">
        <f t="shared" si="303"/>
        <v>421.13</v>
      </c>
      <c r="I649" s="14" t="b">
        <f t="shared" si="304"/>
        <v>1</v>
      </c>
      <c r="J649" s="2">
        <v>46003</v>
      </c>
      <c r="K649" s="5">
        <v>1008092</v>
      </c>
      <c r="L649" s="5">
        <v>3410</v>
      </c>
      <c r="M649" s="5">
        <v>8.68</v>
      </c>
      <c r="N649" s="5">
        <v>434.15</v>
      </c>
      <c r="O649" s="7">
        <v>45995</v>
      </c>
      <c r="P649" s="5">
        <v>425.47</v>
      </c>
      <c r="Q649" s="5">
        <v>8.68</v>
      </c>
      <c r="R649" s="5" t="s">
        <v>32</v>
      </c>
      <c r="S649" s="5" t="s">
        <v>33</v>
      </c>
      <c r="T649" s="5">
        <v>4.34</v>
      </c>
      <c r="U649" s="5">
        <v>421.13</v>
      </c>
      <c r="V649" s="5" t="s">
        <v>34</v>
      </c>
      <c r="W649" s="5">
        <v>2</v>
      </c>
      <c r="X649" s="5">
        <v>2173276257753</v>
      </c>
      <c r="Y649" s="7">
        <v>46003</v>
      </c>
      <c r="Z649" s="7">
        <v>45995</v>
      </c>
      <c r="AB649" s="6">
        <v>46003</v>
      </c>
      <c r="AC649" s="7">
        <v>46002.670138888891</v>
      </c>
      <c r="AD649" s="5">
        <v>34101008092</v>
      </c>
      <c r="AE649" s="8">
        <v>45995</v>
      </c>
      <c r="AF649" s="5" t="s">
        <v>377</v>
      </c>
      <c r="AG649" s="5" t="s">
        <v>37</v>
      </c>
      <c r="AH649" s="5">
        <v>206407</v>
      </c>
      <c r="AI649" s="6">
        <v>45995</v>
      </c>
      <c r="AJ649" s="6">
        <v>46003</v>
      </c>
      <c r="AK649" s="1">
        <f t="shared" si="305"/>
        <v>8.6829999999999998</v>
      </c>
    </row>
    <row r="650" spans="1:37" hidden="1" x14ac:dyDescent="0.55000000000000004">
      <c r="A650">
        <v>3410</v>
      </c>
      <c r="B650">
        <v>1008155</v>
      </c>
      <c r="C650">
        <v>170.04</v>
      </c>
      <c r="E650">
        <v>170.04</v>
      </c>
      <c r="F650">
        <v>1.7</v>
      </c>
      <c r="G650">
        <v>168.34</v>
      </c>
      <c r="H650"/>
      <c r="I650"/>
      <c r="J650" s="2">
        <v>46003</v>
      </c>
      <c r="K650" s="5">
        <v>1008155</v>
      </c>
      <c r="L650" s="5">
        <v>3410</v>
      </c>
      <c r="M650" s="5">
        <v>0</v>
      </c>
      <c r="N650" s="5">
        <v>170.04</v>
      </c>
      <c r="O650" s="7">
        <v>45995</v>
      </c>
      <c r="P650" s="5">
        <v>170.04</v>
      </c>
      <c r="Q650" s="5">
        <v>0</v>
      </c>
      <c r="R650" s="5" t="s">
        <v>32</v>
      </c>
      <c r="S650" s="5" t="s">
        <v>33</v>
      </c>
      <c r="T650" s="5">
        <v>1.7</v>
      </c>
      <c r="U650" s="5">
        <v>168.34</v>
      </c>
      <c r="V650" s="5" t="s">
        <v>34</v>
      </c>
      <c r="W650" s="5">
        <v>2</v>
      </c>
      <c r="X650" s="5">
        <v>2173276257753</v>
      </c>
      <c r="Y650" s="7">
        <v>46003</v>
      </c>
      <c r="Z650" s="7">
        <v>45995</v>
      </c>
      <c r="AB650" s="6">
        <v>46003</v>
      </c>
      <c r="AC650" s="7">
        <v>46002.670138888891</v>
      </c>
      <c r="AD650" s="5">
        <v>34101008155</v>
      </c>
      <c r="AE650" s="8">
        <v>45995</v>
      </c>
      <c r="AF650" s="5" t="s">
        <v>373</v>
      </c>
      <c r="AG650" s="5" t="s">
        <v>38</v>
      </c>
      <c r="AH650" s="5">
        <v>206659</v>
      </c>
      <c r="AI650" s="6">
        <v>45995</v>
      </c>
      <c r="AJ650" s="6">
        <v>46003</v>
      </c>
    </row>
    <row r="651" spans="1:37" hidden="1" x14ac:dyDescent="0.55000000000000004">
      <c r="A651">
        <v>3410</v>
      </c>
      <c r="B651">
        <v>1008227</v>
      </c>
      <c r="C651" s="1">
        <v>7404.85</v>
      </c>
      <c r="E651" s="1">
        <v>7404.85</v>
      </c>
      <c r="F651">
        <v>74.05</v>
      </c>
      <c r="G651" s="1">
        <v>7330.8</v>
      </c>
      <c r="H651" s="1"/>
      <c r="I651" s="1"/>
      <c r="J651" s="2">
        <v>46003</v>
      </c>
      <c r="K651" s="5">
        <v>1008227</v>
      </c>
      <c r="L651" s="5">
        <v>3410</v>
      </c>
      <c r="M651" s="5">
        <v>0</v>
      </c>
      <c r="N651" s="5">
        <v>7404.85</v>
      </c>
      <c r="O651" s="7">
        <v>45995</v>
      </c>
      <c r="P651" s="5">
        <v>7404.85</v>
      </c>
      <c r="Q651" s="5">
        <v>0</v>
      </c>
      <c r="R651" s="5" t="s">
        <v>32</v>
      </c>
      <c r="S651" s="5" t="s">
        <v>33</v>
      </c>
      <c r="T651" s="5">
        <v>74.05</v>
      </c>
      <c r="U651" s="5">
        <v>7330.8</v>
      </c>
      <c r="V651" s="5" t="s">
        <v>34</v>
      </c>
      <c r="W651" s="5">
        <v>2</v>
      </c>
      <c r="X651" s="5">
        <v>2173276257753</v>
      </c>
      <c r="Y651" s="7">
        <v>46003</v>
      </c>
      <c r="Z651" s="7">
        <v>45995</v>
      </c>
      <c r="AB651" s="6">
        <v>46003</v>
      </c>
      <c r="AC651" s="7">
        <v>46002.670138888891</v>
      </c>
      <c r="AD651" s="5">
        <v>34101008227</v>
      </c>
      <c r="AE651" s="8">
        <v>45995</v>
      </c>
      <c r="AF651" s="5" t="s">
        <v>378</v>
      </c>
      <c r="AG651" s="5" t="s">
        <v>38</v>
      </c>
      <c r="AH651" s="5">
        <v>206529</v>
      </c>
      <c r="AI651" s="6">
        <v>45995</v>
      </c>
      <c r="AJ651" s="6">
        <v>46003</v>
      </c>
    </row>
    <row r="652" spans="1:37" x14ac:dyDescent="0.55000000000000004">
      <c r="A652">
        <v>3410</v>
      </c>
      <c r="B652">
        <v>1008314</v>
      </c>
      <c r="C652">
        <v>230.72</v>
      </c>
      <c r="D652" s="4">
        <v>2.31</v>
      </c>
      <c r="E652">
        <v>228.41</v>
      </c>
      <c r="F652">
        <v>2.31</v>
      </c>
      <c r="G652">
        <v>226.1</v>
      </c>
      <c r="H652" s="14">
        <f>C652-D652-F652</f>
        <v>226.1</v>
      </c>
      <c r="I652" s="14" t="b">
        <f>G652=H652</f>
        <v>1</v>
      </c>
      <c r="J652" s="2">
        <v>46003</v>
      </c>
      <c r="K652" s="5">
        <v>1008314</v>
      </c>
      <c r="L652" s="5">
        <v>3410</v>
      </c>
      <c r="M652" s="5">
        <v>2.31</v>
      </c>
      <c r="N652" s="5">
        <v>230.72</v>
      </c>
      <c r="O652" s="7">
        <v>45996</v>
      </c>
      <c r="P652" s="5">
        <v>228.41</v>
      </c>
      <c r="Q652" s="5">
        <v>2.31</v>
      </c>
      <c r="R652" s="5">
        <v>1067798</v>
      </c>
      <c r="S652" s="5" t="s">
        <v>152</v>
      </c>
      <c r="T652" s="5">
        <v>2.31</v>
      </c>
      <c r="U652" s="5">
        <v>226.1</v>
      </c>
      <c r="V652" s="5" t="s">
        <v>34</v>
      </c>
      <c r="W652" s="5">
        <v>2</v>
      </c>
      <c r="X652" s="5">
        <v>2173276257753</v>
      </c>
      <c r="Y652" s="7">
        <v>46003</v>
      </c>
      <c r="Z652" s="7">
        <v>45996</v>
      </c>
      <c r="AB652" s="6">
        <v>46003</v>
      </c>
      <c r="AC652" s="7">
        <v>46002.670138888891</v>
      </c>
      <c r="AD652" s="5">
        <v>34101008314</v>
      </c>
      <c r="AE652" s="8">
        <v>45996</v>
      </c>
      <c r="AF652" s="5">
        <v>21103904</v>
      </c>
      <c r="AG652" s="5" t="s">
        <v>154</v>
      </c>
      <c r="AH652" s="5">
        <v>1067798</v>
      </c>
      <c r="AI652" s="6">
        <v>45996</v>
      </c>
      <c r="AJ652" s="6">
        <v>46003</v>
      </c>
      <c r="AK652" s="1">
        <f>C652*0.01</f>
        <v>2.3071999999999999</v>
      </c>
    </row>
    <row r="653" spans="1:37" hidden="1" x14ac:dyDescent="0.55000000000000004">
      <c r="A653">
        <v>3410</v>
      </c>
      <c r="B653">
        <v>1008361</v>
      </c>
      <c r="C653">
        <v>-82.5</v>
      </c>
      <c r="E653">
        <v>-82.5</v>
      </c>
      <c r="G653">
        <v>-82.5</v>
      </c>
      <c r="H653"/>
      <c r="I653"/>
      <c r="J653" s="2">
        <v>46003</v>
      </c>
      <c r="K653" s="5">
        <v>1008361</v>
      </c>
      <c r="L653" s="5">
        <v>3410</v>
      </c>
      <c r="M653" s="5">
        <v>0</v>
      </c>
      <c r="N653" s="5">
        <v>-82.5</v>
      </c>
      <c r="O653" s="7">
        <v>45996</v>
      </c>
      <c r="P653" s="5">
        <v>-82.5</v>
      </c>
      <c r="Q653" s="5">
        <v>0</v>
      </c>
      <c r="R653" s="5" t="s">
        <v>379</v>
      </c>
      <c r="S653" s="5" t="s">
        <v>186</v>
      </c>
      <c r="T653" s="5">
        <v>0</v>
      </c>
      <c r="U653" s="5">
        <v>-82.5</v>
      </c>
      <c r="V653" s="5" t="s">
        <v>34</v>
      </c>
      <c r="W653" s="5">
        <v>2</v>
      </c>
      <c r="X653" s="5">
        <v>2173276257753</v>
      </c>
      <c r="Y653" s="7">
        <v>46003</v>
      </c>
      <c r="Z653" s="7">
        <v>45996</v>
      </c>
      <c r="AB653" s="6">
        <v>46003</v>
      </c>
      <c r="AC653" s="7">
        <v>46002.670138888891</v>
      </c>
      <c r="AD653" s="5">
        <v>34101008361</v>
      </c>
      <c r="AE653" s="8">
        <v>45996</v>
      </c>
      <c r="AF653" s="5" t="s">
        <v>380</v>
      </c>
      <c r="AG653" s="5" t="s">
        <v>38</v>
      </c>
      <c r="AH653" s="5" t="s">
        <v>379</v>
      </c>
      <c r="AI653" s="6">
        <v>45996</v>
      </c>
      <c r="AJ653" s="6">
        <v>46003</v>
      </c>
    </row>
    <row r="654" spans="1:37" hidden="1" x14ac:dyDescent="0.55000000000000004">
      <c r="A654">
        <v>3410</v>
      </c>
      <c r="B654">
        <v>1008375</v>
      </c>
      <c r="C654" s="1">
        <v>1207.8</v>
      </c>
      <c r="E654" s="1">
        <v>1207.8</v>
      </c>
      <c r="F654">
        <v>12.08</v>
      </c>
      <c r="G654" s="1">
        <v>1195.72</v>
      </c>
      <c r="H654" s="1"/>
      <c r="I654" s="1"/>
      <c r="J654" s="2">
        <v>46003</v>
      </c>
      <c r="K654" s="5">
        <v>1008375</v>
      </c>
      <c r="L654" s="5">
        <v>3410</v>
      </c>
      <c r="M654" s="5">
        <v>0</v>
      </c>
      <c r="N654" s="5">
        <v>1207.8</v>
      </c>
      <c r="O654" s="7">
        <v>45996</v>
      </c>
      <c r="P654" s="5">
        <v>1207.8</v>
      </c>
      <c r="Q654" s="5">
        <v>0</v>
      </c>
      <c r="R654" s="5" t="s">
        <v>381</v>
      </c>
      <c r="S654" s="5" t="s">
        <v>138</v>
      </c>
      <c r="T654" s="5">
        <v>12.08</v>
      </c>
      <c r="U654" s="5">
        <v>1195.72</v>
      </c>
      <c r="V654" s="5" t="s">
        <v>34</v>
      </c>
      <c r="W654" s="5">
        <v>2</v>
      </c>
      <c r="X654" s="5">
        <v>2173276257753</v>
      </c>
      <c r="Y654" s="7">
        <v>46003</v>
      </c>
      <c r="Z654" s="7">
        <v>45996</v>
      </c>
      <c r="AB654" s="6">
        <v>46003</v>
      </c>
      <c r="AC654" s="7">
        <v>46002.670138888891</v>
      </c>
      <c r="AD654" s="5">
        <v>34101008375</v>
      </c>
      <c r="AE654" s="8">
        <v>45996</v>
      </c>
      <c r="AF654" s="5" t="s">
        <v>32</v>
      </c>
      <c r="AG654" s="5" t="s">
        <v>38</v>
      </c>
      <c r="AH654" s="5" t="s">
        <v>381</v>
      </c>
      <c r="AI654" s="6">
        <v>45996</v>
      </c>
      <c r="AJ654" s="6">
        <v>46003</v>
      </c>
    </row>
    <row r="655" spans="1:37" hidden="1" x14ac:dyDescent="0.55000000000000004">
      <c r="A655">
        <v>3410</v>
      </c>
      <c r="B655">
        <v>1008384</v>
      </c>
      <c r="C655">
        <v>36.630000000000003</v>
      </c>
      <c r="E655">
        <v>36.630000000000003</v>
      </c>
      <c r="F655">
        <v>0.37</v>
      </c>
      <c r="G655">
        <v>36.26</v>
      </c>
      <c r="H655"/>
      <c r="I655"/>
      <c r="J655" s="2">
        <v>46003</v>
      </c>
      <c r="K655" s="5">
        <v>1008384</v>
      </c>
      <c r="L655" s="5">
        <v>3410</v>
      </c>
      <c r="M655" s="5">
        <v>0</v>
      </c>
      <c r="N655" s="5">
        <v>36.630000000000003</v>
      </c>
      <c r="O655" s="7">
        <v>45996</v>
      </c>
      <c r="P655" s="5">
        <v>36.630000000000003</v>
      </c>
      <c r="Q655" s="5">
        <v>0</v>
      </c>
      <c r="R655" s="5" t="s">
        <v>382</v>
      </c>
      <c r="S655" s="5" t="s">
        <v>138</v>
      </c>
      <c r="T655" s="5">
        <v>0.37</v>
      </c>
      <c r="U655" s="5">
        <v>36.26</v>
      </c>
      <c r="V655" s="5" t="s">
        <v>34</v>
      </c>
      <c r="W655" s="5">
        <v>2</v>
      </c>
      <c r="X655" s="5">
        <v>2173276257753</v>
      </c>
      <c r="Y655" s="7">
        <v>46003</v>
      </c>
      <c r="Z655" s="7">
        <v>45996</v>
      </c>
      <c r="AB655" s="6">
        <v>46003</v>
      </c>
      <c r="AC655" s="7">
        <v>46002.670138888891</v>
      </c>
      <c r="AD655" s="5">
        <v>34101008384</v>
      </c>
      <c r="AE655" s="8">
        <v>45996</v>
      </c>
      <c r="AF655" s="5" t="s">
        <v>32</v>
      </c>
      <c r="AG655" s="5" t="s">
        <v>38</v>
      </c>
      <c r="AH655" s="5" t="s">
        <v>382</v>
      </c>
      <c r="AI655" s="6">
        <v>45996</v>
      </c>
      <c r="AJ655" s="6">
        <v>46003</v>
      </c>
    </row>
    <row r="656" spans="1:37" x14ac:dyDescent="0.55000000000000004">
      <c r="A656">
        <v>3410</v>
      </c>
      <c r="B656">
        <v>1008428</v>
      </c>
      <c r="C656">
        <v>76.69</v>
      </c>
      <c r="D656" s="4">
        <v>1.53</v>
      </c>
      <c r="E656">
        <v>75.16</v>
      </c>
      <c r="F656">
        <v>0.77</v>
      </c>
      <c r="G656">
        <v>74.39</v>
      </c>
      <c r="H656" s="14">
        <f t="shared" ref="H656:H657" si="306">C656-D656-F656</f>
        <v>74.39</v>
      </c>
      <c r="I656" s="14" t="b">
        <f t="shared" ref="I656:I657" si="307">G656=H656</f>
        <v>1</v>
      </c>
      <c r="J656" s="2">
        <v>46003</v>
      </c>
      <c r="K656" s="5">
        <v>1008428</v>
      </c>
      <c r="L656" s="5">
        <v>3410</v>
      </c>
      <c r="M656" s="5">
        <v>1.53</v>
      </c>
      <c r="N656" s="5">
        <v>76.69</v>
      </c>
      <c r="O656" s="7">
        <v>45996</v>
      </c>
      <c r="P656" s="5">
        <v>75.16</v>
      </c>
      <c r="Q656" s="5">
        <v>1.53</v>
      </c>
      <c r="R656" s="5" t="s">
        <v>32</v>
      </c>
      <c r="S656" s="5" t="s">
        <v>33</v>
      </c>
      <c r="T656" s="5">
        <v>0.77</v>
      </c>
      <c r="U656" s="5">
        <v>74.39</v>
      </c>
      <c r="V656" s="5" t="s">
        <v>34</v>
      </c>
      <c r="W656" s="5">
        <v>2</v>
      </c>
      <c r="X656" s="5">
        <v>2173276257753</v>
      </c>
      <c r="Y656" s="7">
        <v>46003</v>
      </c>
      <c r="Z656" s="7">
        <v>45996</v>
      </c>
      <c r="AB656" s="6">
        <v>46003</v>
      </c>
      <c r="AC656" s="7">
        <v>46002.670138888891</v>
      </c>
      <c r="AD656" s="5">
        <v>34101008428</v>
      </c>
      <c r="AE656" s="8">
        <v>45996</v>
      </c>
      <c r="AF656" s="5" t="s">
        <v>383</v>
      </c>
      <c r="AG656" s="5" t="s">
        <v>37</v>
      </c>
      <c r="AH656" s="5">
        <v>206779</v>
      </c>
      <c r="AI656" s="6">
        <v>45996</v>
      </c>
      <c r="AJ656" s="6">
        <v>46003</v>
      </c>
      <c r="AK656" s="1">
        <f t="shared" ref="AK656:AK657" si="308">0.02*C656</f>
        <v>1.5338000000000001</v>
      </c>
    </row>
    <row r="657" spans="1:37" x14ac:dyDescent="0.55000000000000004">
      <c r="A657">
        <v>3410</v>
      </c>
      <c r="B657">
        <v>1008449</v>
      </c>
      <c r="C657">
        <v>597</v>
      </c>
      <c r="D657" s="4">
        <v>11.94</v>
      </c>
      <c r="E657">
        <v>585.05999999999995</v>
      </c>
      <c r="F657">
        <v>5.97</v>
      </c>
      <c r="G657">
        <v>579.09</v>
      </c>
      <c r="H657" s="14">
        <f t="shared" si="306"/>
        <v>579.08999999999992</v>
      </c>
      <c r="I657" s="14" t="b">
        <f t="shared" si="307"/>
        <v>1</v>
      </c>
      <c r="J657" s="2">
        <v>46003</v>
      </c>
      <c r="K657" s="5">
        <v>1008449</v>
      </c>
      <c r="L657" s="5">
        <v>3410</v>
      </c>
      <c r="M657" s="5">
        <v>11.94</v>
      </c>
      <c r="N657" s="5">
        <v>597</v>
      </c>
      <c r="O657" s="7">
        <v>45996</v>
      </c>
      <c r="P657" s="5">
        <v>585.05999999999995</v>
      </c>
      <c r="Q657" s="5">
        <v>11.94</v>
      </c>
      <c r="R657" s="5" t="s">
        <v>32</v>
      </c>
      <c r="S657" s="5" t="s">
        <v>33</v>
      </c>
      <c r="T657" s="5">
        <v>5.97</v>
      </c>
      <c r="U657" s="5">
        <v>579.09</v>
      </c>
      <c r="V657" s="5" t="s">
        <v>34</v>
      </c>
      <c r="W657" s="5">
        <v>2</v>
      </c>
      <c r="X657" s="5">
        <v>2173276257753</v>
      </c>
      <c r="Y657" s="7">
        <v>46003</v>
      </c>
      <c r="Z657" s="7">
        <v>45996</v>
      </c>
      <c r="AB657" s="6">
        <v>46003</v>
      </c>
      <c r="AC657" s="7">
        <v>46002.670138888891</v>
      </c>
      <c r="AD657" s="5">
        <v>34101008449</v>
      </c>
      <c r="AE657" s="8">
        <v>45996</v>
      </c>
      <c r="AF657" s="5" t="s">
        <v>384</v>
      </c>
      <c r="AG657" s="5" t="s">
        <v>37</v>
      </c>
      <c r="AH657" s="5">
        <v>206614</v>
      </c>
      <c r="AI657" s="6">
        <v>45996</v>
      </c>
      <c r="AJ657" s="6">
        <v>46003</v>
      </c>
      <c r="AK657" s="1">
        <f t="shared" si="308"/>
        <v>11.94</v>
      </c>
    </row>
    <row r="658" spans="1:37" hidden="1" x14ac:dyDescent="0.55000000000000004">
      <c r="A658">
        <v>3410</v>
      </c>
      <c r="B658">
        <v>1009043</v>
      </c>
      <c r="C658" s="1">
        <v>-1401.3</v>
      </c>
      <c r="E658" s="1">
        <v>-1401.3</v>
      </c>
      <c r="G658" s="1">
        <v>-1401.3</v>
      </c>
      <c r="H658" s="1"/>
      <c r="I658" s="1"/>
      <c r="J658" s="2">
        <v>46003</v>
      </c>
      <c r="K658" s="5">
        <v>1009043</v>
      </c>
      <c r="L658" s="5">
        <v>3410</v>
      </c>
      <c r="M658" s="5">
        <v>0</v>
      </c>
      <c r="N658" s="5">
        <v>-1401.3</v>
      </c>
      <c r="O658" s="7">
        <v>46000</v>
      </c>
      <c r="P658" s="5">
        <v>-1401.3</v>
      </c>
      <c r="Q658" s="5">
        <v>0</v>
      </c>
      <c r="R658" s="5">
        <v>1009043</v>
      </c>
      <c r="S658" s="5" t="s">
        <v>33</v>
      </c>
      <c r="T658" s="5">
        <v>0</v>
      </c>
      <c r="U658" s="5">
        <v>-1401.3</v>
      </c>
      <c r="V658" s="5" t="s">
        <v>34</v>
      </c>
      <c r="W658" s="5">
        <v>2</v>
      </c>
      <c r="X658" s="5">
        <v>2173276257753</v>
      </c>
      <c r="Y658" s="7">
        <v>46003</v>
      </c>
      <c r="Z658" s="7">
        <v>46000</v>
      </c>
      <c r="AB658" s="6">
        <v>46003</v>
      </c>
      <c r="AC658" s="7">
        <v>46002.670138888891</v>
      </c>
      <c r="AD658" s="5">
        <v>34101009043</v>
      </c>
      <c r="AE658" s="8">
        <v>46000</v>
      </c>
      <c r="AF658" s="5" t="s">
        <v>385</v>
      </c>
      <c r="AG658" s="5" t="s">
        <v>38</v>
      </c>
      <c r="AH658" s="5" t="s">
        <v>386</v>
      </c>
      <c r="AI658" s="6">
        <v>46000</v>
      </c>
      <c r="AJ658" s="6">
        <v>46003</v>
      </c>
    </row>
    <row r="659" spans="1:37" x14ac:dyDescent="0.55000000000000004">
      <c r="A659">
        <v>3424</v>
      </c>
      <c r="B659">
        <v>1007284</v>
      </c>
      <c r="C659">
        <v>33.18</v>
      </c>
      <c r="D659" s="4">
        <v>0.66</v>
      </c>
      <c r="E659">
        <v>32.520000000000003</v>
      </c>
      <c r="F659">
        <v>0.33</v>
      </c>
      <c r="G659">
        <v>32.19</v>
      </c>
      <c r="H659" s="14">
        <f>C659-D659-F659</f>
        <v>32.190000000000005</v>
      </c>
      <c r="I659" s="14" t="b">
        <f>G659=H659</f>
        <v>1</v>
      </c>
      <c r="J659" s="2">
        <v>46003</v>
      </c>
      <c r="K659" s="5">
        <v>1007284</v>
      </c>
      <c r="L659" s="5">
        <v>3424</v>
      </c>
      <c r="M659" s="5">
        <v>0.66</v>
      </c>
      <c r="N659" s="5">
        <v>33.18</v>
      </c>
      <c r="O659" s="7">
        <v>45992</v>
      </c>
      <c r="P659" s="5">
        <v>32.520000000000003</v>
      </c>
      <c r="Q659" s="5">
        <v>0.66</v>
      </c>
      <c r="R659" s="5" t="s">
        <v>32</v>
      </c>
      <c r="S659" s="5" t="s">
        <v>33</v>
      </c>
      <c r="T659" s="5">
        <v>0.33</v>
      </c>
      <c r="U659" s="5">
        <v>32.19</v>
      </c>
      <c r="V659" s="5" t="s">
        <v>34</v>
      </c>
      <c r="W659" s="5">
        <v>2</v>
      </c>
      <c r="X659" s="5">
        <v>3156998572096</v>
      </c>
      <c r="Y659" s="7">
        <v>46003</v>
      </c>
      <c r="Z659" s="7">
        <v>45992</v>
      </c>
      <c r="AB659" s="6">
        <v>46003</v>
      </c>
      <c r="AC659" s="7">
        <v>46002.393055555556</v>
      </c>
      <c r="AD659" s="5">
        <v>34241007284</v>
      </c>
      <c r="AE659" s="8">
        <v>45992</v>
      </c>
      <c r="AF659" s="5" t="s">
        <v>387</v>
      </c>
      <c r="AG659" s="5" t="s">
        <v>37</v>
      </c>
      <c r="AH659" s="5">
        <v>205818</v>
      </c>
      <c r="AI659" s="6">
        <v>45992</v>
      </c>
      <c r="AJ659" s="6">
        <v>46003</v>
      </c>
      <c r="AK659" s="1">
        <f t="shared" ref="AK659" si="309">0.02*C659</f>
        <v>0.66359999999999997</v>
      </c>
    </row>
    <row r="660" spans="1:37" hidden="1" x14ac:dyDescent="0.55000000000000004">
      <c r="A660">
        <v>3424</v>
      </c>
      <c r="B660">
        <v>1007644</v>
      </c>
      <c r="C660" s="1">
        <v>3990</v>
      </c>
      <c r="E660" s="1">
        <v>3990</v>
      </c>
      <c r="F660">
        <v>39.9</v>
      </c>
      <c r="G660" s="1">
        <v>3950.1</v>
      </c>
      <c r="H660" s="1"/>
      <c r="I660" s="1"/>
      <c r="J660" s="2">
        <v>46003</v>
      </c>
      <c r="K660" s="5">
        <v>1007644</v>
      </c>
      <c r="L660" s="5">
        <v>3424</v>
      </c>
      <c r="M660" s="5">
        <v>0</v>
      </c>
      <c r="N660" s="5">
        <v>3990</v>
      </c>
      <c r="O660" s="7">
        <v>45993</v>
      </c>
      <c r="P660" s="5">
        <v>3990</v>
      </c>
      <c r="Q660" s="5">
        <v>0</v>
      </c>
      <c r="R660" s="5" t="s">
        <v>32</v>
      </c>
      <c r="S660" s="5" t="s">
        <v>33</v>
      </c>
      <c r="T660" s="5">
        <v>39.9</v>
      </c>
      <c r="U660" s="5">
        <v>3950.1</v>
      </c>
      <c r="V660" s="5" t="s">
        <v>34</v>
      </c>
      <c r="W660" s="5">
        <v>2</v>
      </c>
      <c r="X660" s="5">
        <v>3156998572096</v>
      </c>
      <c r="Y660" s="7">
        <v>46003</v>
      </c>
      <c r="Z660" s="7">
        <v>45993</v>
      </c>
      <c r="AB660" s="6">
        <v>46003</v>
      </c>
      <c r="AC660" s="7">
        <v>46002.393055555556</v>
      </c>
      <c r="AD660" s="5">
        <v>34241007644</v>
      </c>
      <c r="AE660" s="8">
        <v>45993</v>
      </c>
      <c r="AF660" s="5" t="s">
        <v>32</v>
      </c>
      <c r="AG660" s="5" t="s">
        <v>35</v>
      </c>
      <c r="AH660" s="5" t="s">
        <v>32</v>
      </c>
      <c r="AI660" s="6">
        <v>45993</v>
      </c>
      <c r="AJ660" s="6">
        <v>46003</v>
      </c>
    </row>
    <row r="661" spans="1:37" hidden="1" x14ac:dyDescent="0.55000000000000004">
      <c r="A661">
        <v>3424</v>
      </c>
      <c r="B661">
        <v>1008950</v>
      </c>
      <c r="C661">
        <v>-40.5</v>
      </c>
      <c r="E661">
        <v>-40.5</v>
      </c>
      <c r="G661">
        <v>-40.5</v>
      </c>
      <c r="H661"/>
      <c r="I661"/>
      <c r="J661" s="2">
        <v>46003</v>
      </c>
      <c r="K661" s="5">
        <v>1008950</v>
      </c>
      <c r="L661" s="5">
        <v>3424</v>
      </c>
      <c r="M661" s="5">
        <v>0</v>
      </c>
      <c r="N661" s="5">
        <v>-40.5</v>
      </c>
      <c r="O661" s="7">
        <v>46000</v>
      </c>
      <c r="P661" s="5">
        <v>-40.5</v>
      </c>
      <c r="Q661" s="5">
        <v>0</v>
      </c>
      <c r="R661" s="5">
        <v>1008950</v>
      </c>
      <c r="S661" s="5" t="s">
        <v>33</v>
      </c>
      <c r="T661" s="5">
        <v>0</v>
      </c>
      <c r="U661" s="5">
        <v>-40.5</v>
      </c>
      <c r="V661" s="5" t="s">
        <v>34</v>
      </c>
      <c r="W661" s="5">
        <v>2</v>
      </c>
      <c r="X661" s="5">
        <v>3156998572096</v>
      </c>
      <c r="Y661" s="7">
        <v>46003</v>
      </c>
      <c r="Z661" s="7">
        <v>46000</v>
      </c>
      <c r="AB661" s="6">
        <v>46003</v>
      </c>
      <c r="AC661" s="7">
        <v>46002.393055555556</v>
      </c>
      <c r="AD661" s="5">
        <v>34241008950</v>
      </c>
      <c r="AE661" s="8">
        <v>46000</v>
      </c>
      <c r="AF661" s="5" t="s">
        <v>388</v>
      </c>
      <c r="AG661" s="5" t="s">
        <v>38</v>
      </c>
      <c r="AH661" s="5" t="s">
        <v>389</v>
      </c>
      <c r="AI661" s="6">
        <v>46000</v>
      </c>
      <c r="AJ661" s="6">
        <v>46003</v>
      </c>
    </row>
    <row r="662" spans="1:37" hidden="1" x14ac:dyDescent="0.55000000000000004">
      <c r="A662">
        <v>3424</v>
      </c>
      <c r="B662">
        <v>1009029</v>
      </c>
      <c r="C662">
        <v>-40.5</v>
      </c>
      <c r="E662">
        <v>-40.5</v>
      </c>
      <c r="G662">
        <v>-40.5</v>
      </c>
      <c r="H662"/>
      <c r="I662"/>
      <c r="J662" s="2">
        <v>46003</v>
      </c>
      <c r="K662" s="5">
        <v>1009029</v>
      </c>
      <c r="L662" s="5">
        <v>3424</v>
      </c>
      <c r="M662" s="5">
        <v>0</v>
      </c>
      <c r="N662" s="5">
        <v>-40.5</v>
      </c>
      <c r="O662" s="7">
        <v>46000</v>
      </c>
      <c r="P662" s="5">
        <v>-40.5</v>
      </c>
      <c r="Q662" s="5">
        <v>0</v>
      </c>
      <c r="R662" s="5">
        <v>1009029</v>
      </c>
      <c r="S662" s="5" t="s">
        <v>33</v>
      </c>
      <c r="T662" s="5">
        <v>0</v>
      </c>
      <c r="U662" s="5">
        <v>-40.5</v>
      </c>
      <c r="V662" s="5" t="s">
        <v>34</v>
      </c>
      <c r="W662" s="5">
        <v>2</v>
      </c>
      <c r="X662" s="5">
        <v>3156998572096</v>
      </c>
      <c r="Y662" s="7">
        <v>46003</v>
      </c>
      <c r="Z662" s="7">
        <v>46000</v>
      </c>
      <c r="AB662" s="6">
        <v>46003</v>
      </c>
      <c r="AC662" s="7">
        <v>46002.393055555556</v>
      </c>
      <c r="AD662" s="5">
        <v>34241009029</v>
      </c>
      <c r="AE662" s="8">
        <v>46000</v>
      </c>
      <c r="AF662" s="5">
        <v>112025</v>
      </c>
      <c r="AG662" s="5" t="s">
        <v>38</v>
      </c>
      <c r="AH662" s="5" t="s">
        <v>390</v>
      </c>
      <c r="AI662" s="6">
        <v>46000</v>
      </c>
      <c r="AJ662" s="6">
        <v>46003</v>
      </c>
    </row>
    <row r="663" spans="1:37" x14ac:dyDescent="0.55000000000000004">
      <c r="A663">
        <v>3431</v>
      </c>
      <c r="B663">
        <v>1007306</v>
      </c>
      <c r="C663">
        <v>85.65</v>
      </c>
      <c r="D663" s="4">
        <v>1.71</v>
      </c>
      <c r="E663">
        <v>83.94</v>
      </c>
      <c r="F663">
        <v>0.86</v>
      </c>
      <c r="G663">
        <v>83.08</v>
      </c>
      <c r="H663" s="14">
        <f t="shared" ref="H663:H665" si="310">C663-D663-F663</f>
        <v>83.080000000000013</v>
      </c>
      <c r="I663" s="14" t="b">
        <f t="shared" ref="I663:I665" si="311">G663=H663</f>
        <v>1</v>
      </c>
      <c r="J663" s="2">
        <v>46003</v>
      </c>
      <c r="K663" s="5">
        <v>1007306</v>
      </c>
      <c r="L663" s="5">
        <v>3431</v>
      </c>
      <c r="M663" s="5">
        <v>1.71</v>
      </c>
      <c r="N663" s="5">
        <v>85.65</v>
      </c>
      <c r="O663" s="7">
        <v>45992</v>
      </c>
      <c r="P663" s="5">
        <v>83.94</v>
      </c>
      <c r="Q663" s="5">
        <v>1.71</v>
      </c>
      <c r="R663" s="5" t="s">
        <v>32</v>
      </c>
      <c r="S663" s="5" t="s">
        <v>33</v>
      </c>
      <c r="T663" s="5">
        <v>0.86</v>
      </c>
      <c r="U663" s="5">
        <v>83.08</v>
      </c>
      <c r="V663" s="5" t="s">
        <v>34</v>
      </c>
      <c r="W663" s="5">
        <v>2</v>
      </c>
      <c r="X663" s="5">
        <v>5228842238606</v>
      </c>
      <c r="Y663" s="7">
        <v>46003</v>
      </c>
      <c r="Z663" s="7">
        <v>45992</v>
      </c>
      <c r="AB663" s="6">
        <v>46003</v>
      </c>
      <c r="AC663" s="7">
        <v>46000.448611111111</v>
      </c>
      <c r="AD663" s="5">
        <v>34311007306</v>
      </c>
      <c r="AE663" s="8">
        <v>45992</v>
      </c>
      <c r="AF663" s="5">
        <v>511206</v>
      </c>
      <c r="AG663" s="5" t="s">
        <v>37</v>
      </c>
      <c r="AH663" s="5">
        <v>205856</v>
      </c>
      <c r="AI663" s="6">
        <v>45992</v>
      </c>
      <c r="AJ663" s="6">
        <v>46003</v>
      </c>
      <c r="AK663" s="1">
        <f t="shared" ref="AK663:AK665" si="312">0.02*C663</f>
        <v>1.7130000000000001</v>
      </c>
    </row>
    <row r="664" spans="1:37" x14ac:dyDescent="0.55000000000000004">
      <c r="A664">
        <v>3431</v>
      </c>
      <c r="B664">
        <v>1007386</v>
      </c>
      <c r="C664">
        <v>145.31</v>
      </c>
      <c r="D664" s="4">
        <v>2.91</v>
      </c>
      <c r="E664">
        <v>142.4</v>
      </c>
      <c r="F664">
        <v>1.45</v>
      </c>
      <c r="G664">
        <v>140.94999999999999</v>
      </c>
      <c r="H664" s="14">
        <f t="shared" si="310"/>
        <v>140.95000000000002</v>
      </c>
      <c r="I664" s="14" t="b">
        <f t="shared" si="311"/>
        <v>1</v>
      </c>
      <c r="J664" s="2">
        <v>46003</v>
      </c>
      <c r="K664" s="5">
        <v>1007386</v>
      </c>
      <c r="L664" s="5">
        <v>3431</v>
      </c>
      <c r="M664" s="5">
        <v>2.91</v>
      </c>
      <c r="N664" s="5">
        <v>145.31</v>
      </c>
      <c r="O664" s="7">
        <v>45992</v>
      </c>
      <c r="P664" s="5">
        <v>142.4</v>
      </c>
      <c r="Q664" s="5">
        <v>2.91</v>
      </c>
      <c r="R664" s="5" t="s">
        <v>32</v>
      </c>
      <c r="S664" s="5" t="s">
        <v>33</v>
      </c>
      <c r="T664" s="5">
        <v>1.45</v>
      </c>
      <c r="U664" s="5">
        <v>140.94999999999999</v>
      </c>
      <c r="V664" s="5" t="s">
        <v>34</v>
      </c>
      <c r="W664" s="5">
        <v>2</v>
      </c>
      <c r="X664" s="5">
        <v>5228842238606</v>
      </c>
      <c r="Y664" s="7">
        <v>46003</v>
      </c>
      <c r="Z664" s="7">
        <v>45992</v>
      </c>
      <c r="AB664" s="6">
        <v>46003</v>
      </c>
      <c r="AC664" s="7">
        <v>46000.448611111111</v>
      </c>
      <c r="AD664" s="5">
        <v>34311007386</v>
      </c>
      <c r="AE664" s="8">
        <v>45992</v>
      </c>
      <c r="AF664" s="5" t="s">
        <v>391</v>
      </c>
      <c r="AG664" s="5" t="s">
        <v>37</v>
      </c>
      <c r="AH664" s="5">
        <v>205978</v>
      </c>
      <c r="AI664" s="6">
        <v>45992</v>
      </c>
      <c r="AJ664" s="6">
        <v>46003</v>
      </c>
      <c r="AK664" s="1">
        <f t="shared" si="312"/>
        <v>2.9062000000000001</v>
      </c>
    </row>
    <row r="665" spans="1:37" x14ac:dyDescent="0.55000000000000004">
      <c r="A665">
        <v>3431</v>
      </c>
      <c r="B665">
        <v>1007494</v>
      </c>
      <c r="C665">
        <v>27.28</v>
      </c>
      <c r="D665" s="4">
        <v>0.55000000000000004</v>
      </c>
      <c r="E665">
        <v>26.73</v>
      </c>
      <c r="F665">
        <v>0.27</v>
      </c>
      <c r="G665">
        <v>26.46</v>
      </c>
      <c r="H665" s="14">
        <f t="shared" si="310"/>
        <v>26.46</v>
      </c>
      <c r="I665" s="14" t="b">
        <f t="shared" si="311"/>
        <v>1</v>
      </c>
      <c r="J665" s="2">
        <v>46003</v>
      </c>
      <c r="K665" s="5">
        <v>1007494</v>
      </c>
      <c r="L665" s="5">
        <v>3431</v>
      </c>
      <c r="M665" s="5">
        <v>0.55000000000000004</v>
      </c>
      <c r="N665" s="5">
        <v>27.28</v>
      </c>
      <c r="O665" s="7">
        <v>45992</v>
      </c>
      <c r="P665" s="5">
        <v>26.73</v>
      </c>
      <c r="Q665" s="5">
        <v>0.55000000000000004</v>
      </c>
      <c r="R665" s="5" t="s">
        <v>32</v>
      </c>
      <c r="S665" s="5" t="s">
        <v>33</v>
      </c>
      <c r="T665" s="5">
        <v>0.27</v>
      </c>
      <c r="U665" s="5">
        <v>26.46</v>
      </c>
      <c r="V665" s="5" t="s">
        <v>34</v>
      </c>
      <c r="W665" s="5">
        <v>2</v>
      </c>
      <c r="X665" s="5">
        <v>5228842238606</v>
      </c>
      <c r="Y665" s="7">
        <v>46003</v>
      </c>
      <c r="Z665" s="7">
        <v>45992</v>
      </c>
      <c r="AB665" s="6">
        <v>46003</v>
      </c>
      <c r="AC665" s="7">
        <v>46000.448611111111</v>
      </c>
      <c r="AD665" s="5">
        <v>34311007494</v>
      </c>
      <c r="AE665" s="8">
        <v>45992</v>
      </c>
      <c r="AF665" s="5">
        <v>511121</v>
      </c>
      <c r="AG665" s="5" t="s">
        <v>37</v>
      </c>
      <c r="AH665" s="5">
        <v>206018</v>
      </c>
      <c r="AI665" s="6">
        <v>45992</v>
      </c>
      <c r="AJ665" s="6">
        <v>46003</v>
      </c>
      <c r="AK665" s="1">
        <f t="shared" si="312"/>
        <v>0.54560000000000008</v>
      </c>
    </row>
    <row r="666" spans="1:37" hidden="1" x14ac:dyDescent="0.55000000000000004">
      <c r="A666">
        <v>3431</v>
      </c>
      <c r="B666">
        <v>1007504</v>
      </c>
      <c r="C666" s="1">
        <v>3990</v>
      </c>
      <c r="E666" s="1">
        <v>3990</v>
      </c>
      <c r="F666">
        <v>39.9</v>
      </c>
      <c r="G666" s="1">
        <v>3950.1</v>
      </c>
      <c r="H666" s="1"/>
      <c r="I666" s="1"/>
      <c r="J666" s="2">
        <v>46003</v>
      </c>
      <c r="K666" s="5">
        <v>1007504</v>
      </c>
      <c r="L666" s="5">
        <v>3431</v>
      </c>
      <c r="M666" s="5">
        <v>0</v>
      </c>
      <c r="N666" s="5">
        <v>3990</v>
      </c>
      <c r="O666" s="7">
        <v>45993</v>
      </c>
      <c r="P666" s="5">
        <v>3990</v>
      </c>
      <c r="Q666" s="5">
        <v>0</v>
      </c>
      <c r="R666" s="5" t="s">
        <v>32</v>
      </c>
      <c r="S666" s="5" t="s">
        <v>33</v>
      </c>
      <c r="T666" s="5">
        <v>39.9</v>
      </c>
      <c r="U666" s="5">
        <v>3950.1</v>
      </c>
      <c r="V666" s="5" t="s">
        <v>34</v>
      </c>
      <c r="W666" s="5">
        <v>2</v>
      </c>
      <c r="X666" s="5">
        <v>5228842238606</v>
      </c>
      <c r="Y666" s="7">
        <v>46003</v>
      </c>
      <c r="Z666" s="7">
        <v>45993</v>
      </c>
      <c r="AB666" s="6">
        <v>46003</v>
      </c>
      <c r="AC666" s="7">
        <v>46000.448611111111</v>
      </c>
      <c r="AD666" s="5">
        <v>34311007504</v>
      </c>
      <c r="AE666" s="8">
        <v>45993</v>
      </c>
      <c r="AF666" s="5" t="s">
        <v>32</v>
      </c>
      <c r="AG666" s="5" t="s">
        <v>35</v>
      </c>
      <c r="AH666" s="5" t="s">
        <v>32</v>
      </c>
      <c r="AI666" s="6">
        <v>45993</v>
      </c>
      <c r="AJ666" s="6">
        <v>46003</v>
      </c>
    </row>
    <row r="667" spans="1:37" x14ac:dyDescent="0.55000000000000004">
      <c r="A667">
        <v>3431</v>
      </c>
      <c r="B667">
        <v>1007838</v>
      </c>
      <c r="C667">
        <v>711.76</v>
      </c>
      <c r="D667" s="4">
        <v>14.24</v>
      </c>
      <c r="E667">
        <v>697.52</v>
      </c>
      <c r="F667">
        <v>7.12</v>
      </c>
      <c r="G667">
        <v>690.4</v>
      </c>
      <c r="H667" s="14">
        <f>C667-D667-F667</f>
        <v>690.4</v>
      </c>
      <c r="I667" s="14" t="b">
        <f>G667=H667</f>
        <v>1</v>
      </c>
      <c r="J667" s="2">
        <v>46003</v>
      </c>
      <c r="K667" s="5">
        <v>1007838</v>
      </c>
      <c r="L667" s="5">
        <v>3431</v>
      </c>
      <c r="M667" s="5">
        <v>14.24</v>
      </c>
      <c r="N667" s="5">
        <v>711.76</v>
      </c>
      <c r="O667" s="7">
        <v>45993</v>
      </c>
      <c r="P667" s="5">
        <v>697.52</v>
      </c>
      <c r="Q667" s="5">
        <v>14.24</v>
      </c>
      <c r="R667" s="5" t="s">
        <v>32</v>
      </c>
      <c r="S667" s="5" t="s">
        <v>33</v>
      </c>
      <c r="T667" s="5">
        <v>7.12</v>
      </c>
      <c r="U667" s="5">
        <v>690.4</v>
      </c>
      <c r="V667" s="5" t="s">
        <v>34</v>
      </c>
      <c r="W667" s="5">
        <v>2</v>
      </c>
      <c r="X667" s="5">
        <v>5228842238606</v>
      </c>
      <c r="Y667" s="7">
        <v>46003</v>
      </c>
      <c r="Z667" s="7">
        <v>45993</v>
      </c>
      <c r="AB667" s="6">
        <v>46003</v>
      </c>
      <c r="AC667" s="7">
        <v>46000.448611111111</v>
      </c>
      <c r="AD667" s="5">
        <v>34311007838</v>
      </c>
      <c r="AE667" s="8">
        <v>45993</v>
      </c>
      <c r="AF667" s="5">
        <v>511309</v>
      </c>
      <c r="AG667" s="5" t="s">
        <v>37</v>
      </c>
      <c r="AH667" s="5">
        <v>206164</v>
      </c>
      <c r="AI667" s="6">
        <v>45993</v>
      </c>
      <c r="AJ667" s="6">
        <v>46003</v>
      </c>
      <c r="AK667" s="1">
        <f t="shared" ref="AK667" si="313">0.02*C667</f>
        <v>14.235200000000001</v>
      </c>
    </row>
    <row r="668" spans="1:37" hidden="1" x14ac:dyDescent="0.55000000000000004">
      <c r="A668">
        <v>3431</v>
      </c>
      <c r="B668">
        <v>1007886</v>
      </c>
      <c r="C668">
        <v>547.36</v>
      </c>
      <c r="E668">
        <v>547.36</v>
      </c>
      <c r="F668">
        <v>5.47</v>
      </c>
      <c r="G668">
        <v>541.89</v>
      </c>
      <c r="H668"/>
      <c r="I668"/>
      <c r="J668" s="2">
        <v>46003</v>
      </c>
      <c r="K668" s="5">
        <v>1007886</v>
      </c>
      <c r="L668" s="5">
        <v>3431</v>
      </c>
      <c r="M668" s="5">
        <v>0</v>
      </c>
      <c r="N668" s="5">
        <v>547.36</v>
      </c>
      <c r="O668" s="7">
        <v>45994</v>
      </c>
      <c r="P668" s="5">
        <v>547.36</v>
      </c>
      <c r="Q668" s="5">
        <v>0</v>
      </c>
      <c r="R668" s="5" t="s">
        <v>32</v>
      </c>
      <c r="S668" s="5" t="s">
        <v>33</v>
      </c>
      <c r="T668" s="5">
        <v>5.47</v>
      </c>
      <c r="U668" s="5">
        <v>541.89</v>
      </c>
      <c r="V668" s="5" t="s">
        <v>34</v>
      </c>
      <c r="W668" s="5">
        <v>2</v>
      </c>
      <c r="X668" s="5">
        <v>5228842238606</v>
      </c>
      <c r="Y668" s="7">
        <v>46003</v>
      </c>
      <c r="Z668" s="7">
        <v>45994</v>
      </c>
      <c r="AB668" s="6">
        <v>46003</v>
      </c>
      <c r="AC668" s="7">
        <v>46000.448611111111</v>
      </c>
      <c r="AD668" s="5">
        <v>34311007886</v>
      </c>
      <c r="AE668" s="8">
        <v>45994</v>
      </c>
      <c r="AF668" s="5">
        <v>511262</v>
      </c>
      <c r="AG668" s="5" t="s">
        <v>38</v>
      </c>
      <c r="AH668" s="5">
        <v>206471</v>
      </c>
      <c r="AI668" s="6">
        <v>45994</v>
      </c>
      <c r="AJ668" s="6">
        <v>46003</v>
      </c>
    </row>
    <row r="669" spans="1:37" hidden="1" x14ac:dyDescent="0.55000000000000004">
      <c r="A669">
        <v>3431</v>
      </c>
      <c r="B669">
        <v>1007893</v>
      </c>
      <c r="C669">
        <v>971.96</v>
      </c>
      <c r="E669">
        <v>971.96</v>
      </c>
      <c r="F669">
        <v>9.7200000000000006</v>
      </c>
      <c r="G669">
        <v>962.24</v>
      </c>
      <c r="H669"/>
      <c r="I669"/>
      <c r="J669" s="2">
        <v>46003</v>
      </c>
      <c r="K669" s="5">
        <v>1007893</v>
      </c>
      <c r="L669" s="5">
        <v>3431</v>
      </c>
      <c r="M669" s="5">
        <v>0</v>
      </c>
      <c r="N669" s="5">
        <v>971.96</v>
      </c>
      <c r="O669" s="7">
        <v>45994</v>
      </c>
      <c r="P669" s="5">
        <v>971.96</v>
      </c>
      <c r="Q669" s="5">
        <v>0</v>
      </c>
      <c r="R669" s="5" t="s">
        <v>32</v>
      </c>
      <c r="S669" s="5" t="s">
        <v>33</v>
      </c>
      <c r="T669" s="5">
        <v>9.7200000000000006</v>
      </c>
      <c r="U669" s="5">
        <v>962.24</v>
      </c>
      <c r="V669" s="5" t="s">
        <v>34</v>
      </c>
      <c r="W669" s="5">
        <v>2</v>
      </c>
      <c r="X669" s="5">
        <v>5228842238606</v>
      </c>
      <c r="Y669" s="7">
        <v>46003</v>
      </c>
      <c r="Z669" s="7">
        <v>45994</v>
      </c>
      <c r="AB669" s="6">
        <v>46003</v>
      </c>
      <c r="AC669" s="7">
        <v>46000.448611111111</v>
      </c>
      <c r="AD669" s="5">
        <v>34311007893</v>
      </c>
      <c r="AE669" s="8">
        <v>45994</v>
      </c>
      <c r="AF669" s="5">
        <v>511206</v>
      </c>
      <c r="AG669" s="5" t="s">
        <v>38</v>
      </c>
      <c r="AH669" s="5">
        <v>206470</v>
      </c>
      <c r="AI669" s="6">
        <v>45994</v>
      </c>
      <c r="AJ669" s="6">
        <v>46003</v>
      </c>
    </row>
    <row r="670" spans="1:37" x14ac:dyDescent="0.55000000000000004">
      <c r="A670">
        <v>3431</v>
      </c>
      <c r="B670">
        <v>1007982</v>
      </c>
      <c r="C670">
        <v>699.66</v>
      </c>
      <c r="D670" s="4">
        <v>13.99</v>
      </c>
      <c r="E670">
        <v>685.67</v>
      </c>
      <c r="F670">
        <v>7</v>
      </c>
      <c r="G670">
        <v>678.67</v>
      </c>
      <c r="H670" s="14">
        <f>C670-D670-F670</f>
        <v>678.67</v>
      </c>
      <c r="I670" s="14" t="b">
        <f>G670=H670</f>
        <v>1</v>
      </c>
      <c r="J670" s="2">
        <v>46003</v>
      </c>
      <c r="K670" s="5">
        <v>1007982</v>
      </c>
      <c r="L670" s="5">
        <v>3431</v>
      </c>
      <c r="M670" s="5">
        <v>13.99</v>
      </c>
      <c r="N670" s="5">
        <v>699.66</v>
      </c>
      <c r="O670" s="7">
        <v>45994</v>
      </c>
      <c r="P670" s="5">
        <v>685.67</v>
      </c>
      <c r="Q670" s="5">
        <v>13.99</v>
      </c>
      <c r="R670" s="5" t="s">
        <v>32</v>
      </c>
      <c r="S670" s="5" t="s">
        <v>33</v>
      </c>
      <c r="T670" s="5">
        <v>7</v>
      </c>
      <c r="U670" s="5">
        <v>678.67</v>
      </c>
      <c r="V670" s="5" t="s">
        <v>34</v>
      </c>
      <c r="W670" s="5">
        <v>2</v>
      </c>
      <c r="X670" s="5">
        <v>5228842238606</v>
      </c>
      <c r="Y670" s="7">
        <v>46003</v>
      </c>
      <c r="Z670" s="7">
        <v>45994</v>
      </c>
      <c r="AB670" s="6">
        <v>46003</v>
      </c>
      <c r="AC670" s="7">
        <v>46000.448611111111</v>
      </c>
      <c r="AD670" s="5">
        <v>34311007982</v>
      </c>
      <c r="AE670" s="8">
        <v>45994</v>
      </c>
      <c r="AF670" s="5">
        <v>511309</v>
      </c>
      <c r="AG670" s="5" t="s">
        <v>37</v>
      </c>
      <c r="AH670" s="5">
        <v>206251</v>
      </c>
      <c r="AI670" s="6">
        <v>45994</v>
      </c>
      <c r="AJ670" s="6">
        <v>46003</v>
      </c>
      <c r="AK670" s="1">
        <f t="shared" ref="AK670" si="314">0.02*C670</f>
        <v>13.9932</v>
      </c>
    </row>
    <row r="671" spans="1:37" hidden="1" x14ac:dyDescent="0.55000000000000004">
      <c r="A671">
        <v>3431</v>
      </c>
      <c r="B671">
        <v>1007987</v>
      </c>
      <c r="C671">
        <v>94.53</v>
      </c>
      <c r="E671">
        <v>94.53</v>
      </c>
      <c r="F671">
        <v>0.95</v>
      </c>
      <c r="G671">
        <v>93.58</v>
      </c>
      <c r="H671"/>
      <c r="I671"/>
      <c r="J671" s="2">
        <v>46003</v>
      </c>
      <c r="K671" s="5">
        <v>1007987</v>
      </c>
      <c r="L671" s="5">
        <v>3431</v>
      </c>
      <c r="M671" s="5">
        <v>0</v>
      </c>
      <c r="N671" s="5">
        <v>94.53</v>
      </c>
      <c r="O671" s="7">
        <v>45994</v>
      </c>
      <c r="P671" s="5">
        <v>94.53</v>
      </c>
      <c r="Q671" s="5">
        <v>0</v>
      </c>
      <c r="R671" s="5" t="s">
        <v>32</v>
      </c>
      <c r="S671" s="5" t="s">
        <v>33</v>
      </c>
      <c r="T671" s="5">
        <v>0.95</v>
      </c>
      <c r="U671" s="5">
        <v>93.58</v>
      </c>
      <c r="V671" s="5" t="s">
        <v>34</v>
      </c>
      <c r="W671" s="5">
        <v>2</v>
      </c>
      <c r="X671" s="5">
        <v>5228842238606</v>
      </c>
      <c r="Y671" s="7">
        <v>46003</v>
      </c>
      <c r="Z671" s="7">
        <v>45994</v>
      </c>
      <c r="AB671" s="6">
        <v>46003</v>
      </c>
      <c r="AC671" s="7">
        <v>46000.448611111111</v>
      </c>
      <c r="AD671" s="5">
        <v>34311007987</v>
      </c>
      <c r="AE671" s="8">
        <v>45994</v>
      </c>
      <c r="AF671" s="5">
        <v>511309</v>
      </c>
      <c r="AG671" s="5" t="s">
        <v>38</v>
      </c>
      <c r="AH671" s="5">
        <v>206252</v>
      </c>
      <c r="AI671" s="6">
        <v>45994</v>
      </c>
      <c r="AJ671" s="6">
        <v>46003</v>
      </c>
    </row>
    <row r="672" spans="1:37" x14ac:dyDescent="0.55000000000000004">
      <c r="A672">
        <v>3431</v>
      </c>
      <c r="B672">
        <v>1007998</v>
      </c>
      <c r="C672">
        <v>257.87</v>
      </c>
      <c r="D672" s="4">
        <v>5.16</v>
      </c>
      <c r="E672">
        <v>252.71</v>
      </c>
      <c r="F672">
        <v>2.58</v>
      </c>
      <c r="G672">
        <v>250.13</v>
      </c>
      <c r="H672" s="14">
        <f t="shared" ref="H672:H674" si="315">C672-D672-F672</f>
        <v>250.13</v>
      </c>
      <c r="I672" s="14" t="b">
        <f t="shared" ref="I672:I674" si="316">G672=H672</f>
        <v>1</v>
      </c>
      <c r="J672" s="2">
        <v>46003</v>
      </c>
      <c r="K672" s="5">
        <v>1007998</v>
      </c>
      <c r="L672" s="5">
        <v>3431</v>
      </c>
      <c r="M672" s="5">
        <v>5.16</v>
      </c>
      <c r="N672" s="5">
        <v>257.87</v>
      </c>
      <c r="O672" s="7">
        <v>45994</v>
      </c>
      <c r="P672" s="5">
        <v>252.71</v>
      </c>
      <c r="Q672" s="5">
        <v>5.16</v>
      </c>
      <c r="R672" s="5" t="s">
        <v>32</v>
      </c>
      <c r="S672" s="5" t="s">
        <v>33</v>
      </c>
      <c r="T672" s="5">
        <v>2.58</v>
      </c>
      <c r="U672" s="5">
        <v>250.13</v>
      </c>
      <c r="V672" s="5" t="s">
        <v>34</v>
      </c>
      <c r="W672" s="5">
        <v>2</v>
      </c>
      <c r="X672" s="5">
        <v>5228842238606</v>
      </c>
      <c r="Y672" s="7">
        <v>46003</v>
      </c>
      <c r="Z672" s="7">
        <v>45994</v>
      </c>
      <c r="AB672" s="6">
        <v>46003</v>
      </c>
      <c r="AC672" s="7">
        <v>46000.448611111111</v>
      </c>
      <c r="AD672" s="5">
        <v>34311007998</v>
      </c>
      <c r="AE672" s="8">
        <v>45994</v>
      </c>
      <c r="AF672" s="5">
        <v>512021</v>
      </c>
      <c r="AG672" s="5" t="s">
        <v>37</v>
      </c>
      <c r="AH672" s="5">
        <v>206296</v>
      </c>
      <c r="AI672" s="6">
        <v>45994</v>
      </c>
      <c r="AJ672" s="6">
        <v>46003</v>
      </c>
      <c r="AK672" s="1">
        <f t="shared" ref="AK672:AK674" si="317">0.02*C672</f>
        <v>5.1574</v>
      </c>
    </row>
    <row r="673" spans="1:37" x14ac:dyDescent="0.55000000000000004">
      <c r="A673">
        <v>3431</v>
      </c>
      <c r="B673">
        <v>1008046</v>
      </c>
      <c r="C673">
        <v>41.5</v>
      </c>
      <c r="D673" s="4">
        <v>0.83</v>
      </c>
      <c r="E673">
        <v>40.67</v>
      </c>
      <c r="F673">
        <v>0.42</v>
      </c>
      <c r="G673">
        <v>40.25</v>
      </c>
      <c r="H673" s="14">
        <f t="shared" si="315"/>
        <v>40.25</v>
      </c>
      <c r="I673" s="14" t="b">
        <f t="shared" si="316"/>
        <v>1</v>
      </c>
      <c r="J673" s="2">
        <v>46003</v>
      </c>
      <c r="K673" s="5">
        <v>1008046</v>
      </c>
      <c r="L673" s="5">
        <v>3431</v>
      </c>
      <c r="M673" s="5">
        <v>0.83</v>
      </c>
      <c r="N673" s="5">
        <v>41.5</v>
      </c>
      <c r="O673" s="7">
        <v>45994</v>
      </c>
      <c r="P673" s="5">
        <v>40.67</v>
      </c>
      <c r="Q673" s="5">
        <v>0.83</v>
      </c>
      <c r="R673" s="5" t="s">
        <v>32</v>
      </c>
      <c r="S673" s="5" t="s">
        <v>33</v>
      </c>
      <c r="T673" s="5">
        <v>0.42</v>
      </c>
      <c r="U673" s="5">
        <v>40.25</v>
      </c>
      <c r="V673" s="5" t="s">
        <v>34</v>
      </c>
      <c r="W673" s="5">
        <v>2</v>
      </c>
      <c r="X673" s="5">
        <v>5228842238606</v>
      </c>
      <c r="Y673" s="7">
        <v>46003</v>
      </c>
      <c r="Z673" s="7">
        <v>45994</v>
      </c>
      <c r="AB673" s="6">
        <v>46003</v>
      </c>
      <c r="AC673" s="7">
        <v>46000.448611111111</v>
      </c>
      <c r="AD673" s="5">
        <v>34311008046</v>
      </c>
      <c r="AE673" s="8">
        <v>45994</v>
      </c>
      <c r="AF673" s="5">
        <v>511262</v>
      </c>
      <c r="AG673" s="5" t="s">
        <v>37</v>
      </c>
      <c r="AH673" s="5">
        <v>206073</v>
      </c>
      <c r="AI673" s="6">
        <v>45994</v>
      </c>
      <c r="AJ673" s="6">
        <v>46003</v>
      </c>
      <c r="AK673" s="1">
        <f t="shared" si="317"/>
        <v>0.83000000000000007</v>
      </c>
    </row>
    <row r="674" spans="1:37" x14ac:dyDescent="0.55000000000000004">
      <c r="A674">
        <v>3431</v>
      </c>
      <c r="B674">
        <v>1008082</v>
      </c>
      <c r="C674" s="1">
        <v>1842</v>
      </c>
      <c r="D674" s="4">
        <v>36.840000000000003</v>
      </c>
      <c r="E674" s="1">
        <v>1805.16</v>
      </c>
      <c r="F674">
        <v>18.420000000000002</v>
      </c>
      <c r="G674" s="1">
        <v>1786.74</v>
      </c>
      <c r="H674" s="14">
        <f t="shared" si="315"/>
        <v>1786.74</v>
      </c>
      <c r="I674" s="14" t="b">
        <f t="shared" si="316"/>
        <v>1</v>
      </c>
      <c r="J674" s="2">
        <v>46003</v>
      </c>
      <c r="K674" s="5">
        <v>1008082</v>
      </c>
      <c r="L674" s="5">
        <v>3431</v>
      </c>
      <c r="M674" s="5">
        <v>36.840000000000003</v>
      </c>
      <c r="N674" s="5">
        <v>1842</v>
      </c>
      <c r="O674" s="7">
        <v>45995</v>
      </c>
      <c r="P674" s="5">
        <v>1805.16</v>
      </c>
      <c r="Q674" s="5">
        <v>36.840000000000003</v>
      </c>
      <c r="R674" s="5" t="s">
        <v>32</v>
      </c>
      <c r="S674" s="5" t="s">
        <v>33</v>
      </c>
      <c r="T674" s="5">
        <v>18.420000000000002</v>
      </c>
      <c r="U674" s="5">
        <v>1786.74</v>
      </c>
      <c r="V674" s="5" t="s">
        <v>34</v>
      </c>
      <c r="W674" s="5">
        <v>2</v>
      </c>
      <c r="X674" s="5">
        <v>5228842238606</v>
      </c>
      <c r="Y674" s="7">
        <v>46003</v>
      </c>
      <c r="Z674" s="7">
        <v>45995</v>
      </c>
      <c r="AB674" s="6">
        <v>46003</v>
      </c>
      <c r="AC674" s="7">
        <v>46000.448611111111</v>
      </c>
      <c r="AD674" s="5">
        <v>34311008082</v>
      </c>
      <c r="AE674" s="8">
        <v>45995</v>
      </c>
      <c r="AF674" s="5">
        <v>512028</v>
      </c>
      <c r="AG674" s="5" t="s">
        <v>37</v>
      </c>
      <c r="AH674" s="5">
        <v>206494</v>
      </c>
      <c r="AI674" s="6">
        <v>45995</v>
      </c>
      <c r="AJ674" s="6">
        <v>46003</v>
      </c>
      <c r="AK674" s="1">
        <f t="shared" si="317"/>
        <v>36.840000000000003</v>
      </c>
    </row>
    <row r="675" spans="1:37" hidden="1" x14ac:dyDescent="0.55000000000000004">
      <c r="A675">
        <v>3431</v>
      </c>
      <c r="B675">
        <v>1008208</v>
      </c>
      <c r="C675">
        <v>228.42</v>
      </c>
      <c r="E675">
        <v>228.42</v>
      </c>
      <c r="F675">
        <v>2.2799999999999998</v>
      </c>
      <c r="G675">
        <v>226.14</v>
      </c>
      <c r="H675"/>
      <c r="I675"/>
      <c r="J675" s="2">
        <v>46003</v>
      </c>
      <c r="K675" s="5">
        <v>1008208</v>
      </c>
      <c r="L675" s="5">
        <v>3431</v>
      </c>
      <c r="M675" s="5">
        <v>0</v>
      </c>
      <c r="N675" s="5">
        <v>228.42</v>
      </c>
      <c r="O675" s="7">
        <v>45995</v>
      </c>
      <c r="P675" s="5">
        <v>228.42</v>
      </c>
      <c r="Q675" s="5">
        <v>0</v>
      </c>
      <c r="R675" s="5" t="s">
        <v>32</v>
      </c>
      <c r="S675" s="5" t="s">
        <v>33</v>
      </c>
      <c r="T675" s="5">
        <v>2.2799999999999998</v>
      </c>
      <c r="U675" s="5">
        <v>226.14</v>
      </c>
      <c r="V675" s="5" t="s">
        <v>34</v>
      </c>
      <c r="W675" s="5">
        <v>2</v>
      </c>
      <c r="X675" s="5">
        <v>5228842238606</v>
      </c>
      <c r="Y675" s="7">
        <v>46003</v>
      </c>
      <c r="Z675" s="7">
        <v>45995</v>
      </c>
      <c r="AB675" s="6">
        <v>46003</v>
      </c>
      <c r="AC675" s="7">
        <v>46000.448611111111</v>
      </c>
      <c r="AD675" s="5">
        <v>34311008208</v>
      </c>
      <c r="AE675" s="8">
        <v>45995</v>
      </c>
      <c r="AF675" s="5">
        <v>511309</v>
      </c>
      <c r="AG675" s="5" t="s">
        <v>38</v>
      </c>
      <c r="AH675" s="5">
        <v>206665</v>
      </c>
      <c r="AI675" s="6">
        <v>45995</v>
      </c>
      <c r="AJ675" s="6">
        <v>46003</v>
      </c>
    </row>
    <row r="676" spans="1:37" hidden="1" x14ac:dyDescent="0.55000000000000004">
      <c r="A676">
        <v>3431</v>
      </c>
      <c r="B676">
        <v>1008294</v>
      </c>
      <c r="C676">
        <v>-50</v>
      </c>
      <c r="E676">
        <v>-50</v>
      </c>
      <c r="G676">
        <v>-50</v>
      </c>
      <c r="H676"/>
      <c r="I676"/>
      <c r="J676" s="2">
        <v>46003</v>
      </c>
      <c r="K676" s="5">
        <v>1008294</v>
      </c>
      <c r="L676" s="5">
        <v>3431</v>
      </c>
      <c r="M676" s="5">
        <v>0</v>
      </c>
      <c r="N676" s="5">
        <v>-50</v>
      </c>
      <c r="O676" s="7">
        <v>45995</v>
      </c>
      <c r="P676" s="5">
        <v>-50</v>
      </c>
      <c r="Q676" s="5">
        <v>0</v>
      </c>
      <c r="R676" s="5" t="s">
        <v>40</v>
      </c>
      <c r="S676" s="5" t="s">
        <v>33</v>
      </c>
      <c r="T676" s="5">
        <v>0</v>
      </c>
      <c r="U676" s="5">
        <v>-50</v>
      </c>
      <c r="V676" s="5" t="s">
        <v>34</v>
      </c>
      <c r="W676" s="5">
        <v>2</v>
      </c>
      <c r="X676" s="5">
        <v>5228842238606</v>
      </c>
      <c r="Y676" s="7">
        <v>46003</v>
      </c>
      <c r="Z676" s="7">
        <v>45995</v>
      </c>
      <c r="AB676" s="6">
        <v>46003</v>
      </c>
      <c r="AC676" s="7">
        <v>46000.448611111111</v>
      </c>
      <c r="AD676" s="5">
        <v>34311008294</v>
      </c>
      <c r="AE676" s="8">
        <v>45995</v>
      </c>
      <c r="AF676" s="5" t="s">
        <v>41</v>
      </c>
      <c r="AG676" s="5" t="s">
        <v>38</v>
      </c>
      <c r="AH676" s="5" t="s">
        <v>40</v>
      </c>
      <c r="AI676" s="6">
        <v>45995</v>
      </c>
      <c r="AJ676" s="6">
        <v>46003</v>
      </c>
    </row>
    <row r="677" spans="1:37" x14ac:dyDescent="0.55000000000000004">
      <c r="A677">
        <v>3431</v>
      </c>
      <c r="B677">
        <v>1008319</v>
      </c>
      <c r="C677" s="1">
        <v>1384.36</v>
      </c>
      <c r="D677" s="4">
        <v>13.84</v>
      </c>
      <c r="E677" s="1">
        <v>1370.52</v>
      </c>
      <c r="F677">
        <v>13.84</v>
      </c>
      <c r="G677" s="1">
        <v>1356.68</v>
      </c>
      <c r="H677" s="14">
        <f t="shared" ref="H677:H680" si="318">C677-D677-F677</f>
        <v>1356.68</v>
      </c>
      <c r="I677" s="14" t="b">
        <f t="shared" ref="I677:I680" si="319">G677=H677</f>
        <v>1</v>
      </c>
      <c r="J677" s="2">
        <v>46003</v>
      </c>
      <c r="K677" s="5">
        <v>1008319</v>
      </c>
      <c r="L677" s="5">
        <v>3431</v>
      </c>
      <c r="M677" s="5">
        <v>13.84</v>
      </c>
      <c r="N677" s="5">
        <v>1384.36</v>
      </c>
      <c r="O677" s="7">
        <v>45996</v>
      </c>
      <c r="P677" s="5">
        <v>1370.52</v>
      </c>
      <c r="Q677" s="5">
        <v>13.84</v>
      </c>
      <c r="R677" s="5">
        <v>1068218</v>
      </c>
      <c r="S677" s="5" t="s">
        <v>152</v>
      </c>
      <c r="T677" s="5">
        <v>13.84</v>
      </c>
      <c r="U677" s="5">
        <v>1356.68</v>
      </c>
      <c r="V677" s="5" t="s">
        <v>34</v>
      </c>
      <c r="W677" s="5">
        <v>2</v>
      </c>
      <c r="X677" s="5">
        <v>5228842238606</v>
      </c>
      <c r="Y677" s="7">
        <v>46003</v>
      </c>
      <c r="Z677" s="7">
        <v>45996</v>
      </c>
      <c r="AB677" s="6">
        <v>46003</v>
      </c>
      <c r="AC677" s="7">
        <v>46000.448611111111</v>
      </c>
      <c r="AD677" s="5">
        <v>34311008319</v>
      </c>
      <c r="AE677" s="8">
        <v>45996</v>
      </c>
      <c r="AF677" s="5">
        <v>511243</v>
      </c>
      <c r="AG677" s="5" t="s">
        <v>154</v>
      </c>
      <c r="AH677" s="5">
        <v>1068218</v>
      </c>
      <c r="AI677" s="6">
        <v>45996</v>
      </c>
      <c r="AJ677" s="6">
        <v>46003</v>
      </c>
      <c r="AK677" s="1">
        <f>C677*0.01</f>
        <v>13.843599999999999</v>
      </c>
    </row>
    <row r="678" spans="1:37" x14ac:dyDescent="0.55000000000000004">
      <c r="A678">
        <v>3431</v>
      </c>
      <c r="B678">
        <v>1008476</v>
      </c>
      <c r="C678">
        <v>398</v>
      </c>
      <c r="D678" s="4">
        <v>7.96</v>
      </c>
      <c r="E678">
        <v>390.04</v>
      </c>
      <c r="F678">
        <v>3.98</v>
      </c>
      <c r="G678">
        <v>386.06</v>
      </c>
      <c r="H678" s="14">
        <f t="shared" si="318"/>
        <v>386.06</v>
      </c>
      <c r="I678" s="14" t="b">
        <f t="shared" si="319"/>
        <v>1</v>
      </c>
      <c r="J678" s="2">
        <v>46003</v>
      </c>
      <c r="K678" s="5">
        <v>1008476</v>
      </c>
      <c r="L678" s="5">
        <v>3431</v>
      </c>
      <c r="M678" s="5">
        <v>7.96</v>
      </c>
      <c r="N678" s="5">
        <v>398</v>
      </c>
      <c r="O678" s="7">
        <v>45996</v>
      </c>
      <c r="P678" s="5">
        <v>390.04</v>
      </c>
      <c r="Q678" s="5">
        <v>7.96</v>
      </c>
      <c r="R678" s="5" t="s">
        <v>32</v>
      </c>
      <c r="S678" s="5" t="s">
        <v>33</v>
      </c>
      <c r="T678" s="5">
        <v>3.98</v>
      </c>
      <c r="U678" s="5">
        <v>386.06</v>
      </c>
      <c r="V678" s="5" t="s">
        <v>34</v>
      </c>
      <c r="W678" s="5">
        <v>2</v>
      </c>
      <c r="X678" s="5">
        <v>5228842238606</v>
      </c>
      <c r="Y678" s="7">
        <v>46003</v>
      </c>
      <c r="Z678" s="7">
        <v>45996</v>
      </c>
      <c r="AB678" s="6">
        <v>46003</v>
      </c>
      <c r="AC678" s="7">
        <v>46000.448611111111</v>
      </c>
      <c r="AD678" s="5">
        <v>34311008476</v>
      </c>
      <c r="AE678" s="8">
        <v>45996</v>
      </c>
      <c r="AF678" s="5">
        <v>510226</v>
      </c>
      <c r="AG678" s="5" t="s">
        <v>37</v>
      </c>
      <c r="AH678" s="5">
        <v>206627</v>
      </c>
      <c r="AI678" s="6">
        <v>45996</v>
      </c>
      <c r="AJ678" s="6">
        <v>46003</v>
      </c>
      <c r="AK678" s="1">
        <f t="shared" ref="AK678:AK680" si="320">0.02*C678</f>
        <v>7.96</v>
      </c>
    </row>
    <row r="679" spans="1:37" x14ac:dyDescent="0.55000000000000004">
      <c r="A679">
        <v>3431</v>
      </c>
      <c r="B679">
        <v>1008482</v>
      </c>
      <c r="C679" s="1">
        <v>2348.73</v>
      </c>
      <c r="D679" s="4">
        <v>46.97</v>
      </c>
      <c r="E679" s="1">
        <v>2301.7600000000002</v>
      </c>
      <c r="F679">
        <v>23.49</v>
      </c>
      <c r="G679" s="1">
        <v>2278.27</v>
      </c>
      <c r="H679" s="14">
        <f t="shared" si="318"/>
        <v>2278.2700000000004</v>
      </c>
      <c r="I679" s="14" t="b">
        <f t="shared" si="319"/>
        <v>1</v>
      </c>
      <c r="J679" s="2">
        <v>46003</v>
      </c>
      <c r="K679" s="5">
        <v>1008482</v>
      </c>
      <c r="L679" s="5">
        <v>3431</v>
      </c>
      <c r="M679" s="5">
        <v>46.97</v>
      </c>
      <c r="N679" s="5">
        <v>2348.73</v>
      </c>
      <c r="O679" s="7">
        <v>45996</v>
      </c>
      <c r="P679" s="5">
        <v>2301.7600000000002</v>
      </c>
      <c r="Q679" s="5">
        <v>46.97</v>
      </c>
      <c r="R679" s="5" t="s">
        <v>32</v>
      </c>
      <c r="S679" s="5" t="s">
        <v>33</v>
      </c>
      <c r="T679" s="5">
        <v>23.49</v>
      </c>
      <c r="U679" s="5">
        <v>2278.27</v>
      </c>
      <c r="V679" s="5" t="s">
        <v>34</v>
      </c>
      <c r="W679" s="5">
        <v>2</v>
      </c>
      <c r="X679" s="5">
        <v>5228842238606</v>
      </c>
      <c r="Y679" s="7">
        <v>46003</v>
      </c>
      <c r="Z679" s="7">
        <v>45996</v>
      </c>
      <c r="AB679" s="6">
        <v>46003</v>
      </c>
      <c r="AC679" s="7">
        <v>46000.448611111111</v>
      </c>
      <c r="AD679" s="5">
        <v>34311008482</v>
      </c>
      <c r="AE679" s="8">
        <v>45996</v>
      </c>
      <c r="AF679" s="5">
        <v>512041</v>
      </c>
      <c r="AG679" s="5" t="s">
        <v>37</v>
      </c>
      <c r="AH679" s="5">
        <v>206745</v>
      </c>
      <c r="AI679" s="6">
        <v>45996</v>
      </c>
      <c r="AJ679" s="6">
        <v>46003</v>
      </c>
      <c r="AK679" s="1">
        <f t="shared" si="320"/>
        <v>46.974600000000002</v>
      </c>
    </row>
    <row r="680" spans="1:37" x14ac:dyDescent="0.55000000000000004">
      <c r="A680">
        <v>3431</v>
      </c>
      <c r="B680">
        <v>1008525</v>
      </c>
      <c r="C680" s="1">
        <v>1339.74</v>
      </c>
      <c r="D680" s="4">
        <v>26.79</v>
      </c>
      <c r="E680" s="1">
        <v>1312.95</v>
      </c>
      <c r="F680">
        <v>13.4</v>
      </c>
      <c r="G680" s="1">
        <v>1299.55</v>
      </c>
      <c r="H680" s="14">
        <f t="shared" si="318"/>
        <v>1299.55</v>
      </c>
      <c r="I680" s="14" t="b">
        <f t="shared" si="319"/>
        <v>1</v>
      </c>
      <c r="J680" s="2">
        <v>46003</v>
      </c>
      <c r="K680" s="5">
        <v>1008525</v>
      </c>
      <c r="L680" s="5">
        <v>3431</v>
      </c>
      <c r="M680" s="5">
        <v>26.79</v>
      </c>
      <c r="N680" s="5">
        <v>1339.74</v>
      </c>
      <c r="O680" s="7">
        <v>45996</v>
      </c>
      <c r="P680" s="5">
        <v>1312.95</v>
      </c>
      <c r="Q680" s="5">
        <v>26.79</v>
      </c>
      <c r="R680" s="5" t="s">
        <v>32</v>
      </c>
      <c r="S680" s="5" t="s">
        <v>33</v>
      </c>
      <c r="T680" s="5">
        <v>13.4</v>
      </c>
      <c r="U680" s="5">
        <v>1299.55</v>
      </c>
      <c r="V680" s="5" t="s">
        <v>34</v>
      </c>
      <c r="W680" s="5">
        <v>2</v>
      </c>
      <c r="X680" s="5">
        <v>5228842238606</v>
      </c>
      <c r="Y680" s="7">
        <v>46003</v>
      </c>
      <c r="Z680" s="7">
        <v>45996</v>
      </c>
      <c r="AB680" s="6">
        <v>46003</v>
      </c>
      <c r="AC680" s="7">
        <v>46000.448611111111</v>
      </c>
      <c r="AD680" s="5">
        <v>34311008525</v>
      </c>
      <c r="AE680" s="8">
        <v>45996</v>
      </c>
      <c r="AF680" s="5">
        <v>512052</v>
      </c>
      <c r="AG680" s="5" t="s">
        <v>37</v>
      </c>
      <c r="AH680" s="5">
        <v>206887</v>
      </c>
      <c r="AI680" s="6">
        <v>45996</v>
      </c>
      <c r="AJ680" s="6">
        <v>46003</v>
      </c>
      <c r="AK680" s="1">
        <f t="shared" si="320"/>
        <v>26.794800000000002</v>
      </c>
    </row>
    <row r="681" spans="1:37" hidden="1" x14ac:dyDescent="0.55000000000000004">
      <c r="A681">
        <v>3431</v>
      </c>
      <c r="B681">
        <v>1008566</v>
      </c>
      <c r="C681">
        <v>-228.42</v>
      </c>
      <c r="E681">
        <v>-228.42</v>
      </c>
      <c r="G681">
        <v>-228.42</v>
      </c>
      <c r="H681"/>
      <c r="I681"/>
      <c r="J681" s="2">
        <v>46003</v>
      </c>
      <c r="K681" s="5">
        <v>1008566</v>
      </c>
      <c r="L681" s="5">
        <v>3431</v>
      </c>
      <c r="M681" s="5">
        <v>0</v>
      </c>
      <c r="N681" s="5">
        <v>-228.42</v>
      </c>
      <c r="O681" s="7">
        <v>45997</v>
      </c>
      <c r="P681" s="5">
        <v>-228.42</v>
      </c>
      <c r="Q681" s="5">
        <v>0</v>
      </c>
      <c r="R681" s="5">
        <v>1008566</v>
      </c>
      <c r="S681" s="5" t="s">
        <v>33</v>
      </c>
      <c r="T681" s="5">
        <v>0</v>
      </c>
      <c r="U681" s="5">
        <v>-228.42</v>
      </c>
      <c r="V681" s="5" t="s">
        <v>34</v>
      </c>
      <c r="W681" s="5">
        <v>2</v>
      </c>
      <c r="X681" s="5">
        <v>5228842238606</v>
      </c>
      <c r="Y681" s="7">
        <v>46003</v>
      </c>
      <c r="Z681" s="7">
        <v>45997</v>
      </c>
      <c r="AB681" s="6">
        <v>46003</v>
      </c>
      <c r="AC681" s="7">
        <v>46000.448611111111</v>
      </c>
      <c r="AD681" s="5">
        <v>34311008566</v>
      </c>
      <c r="AE681" s="8">
        <v>45997</v>
      </c>
      <c r="AF681" s="5" t="s">
        <v>32</v>
      </c>
      <c r="AG681" s="5" t="s">
        <v>38</v>
      </c>
      <c r="AH681" s="5" t="s">
        <v>32</v>
      </c>
      <c r="AI681" s="6">
        <v>45997</v>
      </c>
      <c r="AJ681" s="6">
        <v>46003</v>
      </c>
    </row>
    <row r="682" spans="1:37" hidden="1" x14ac:dyDescent="0.55000000000000004">
      <c r="A682">
        <v>3431</v>
      </c>
      <c r="B682">
        <v>1008567</v>
      </c>
      <c r="C682">
        <v>-28.48</v>
      </c>
      <c r="E682">
        <v>-28.48</v>
      </c>
      <c r="G682">
        <v>-28.48</v>
      </c>
      <c r="H682"/>
      <c r="I682"/>
      <c r="J682" s="2">
        <v>46003</v>
      </c>
      <c r="K682" s="5">
        <v>1008567</v>
      </c>
      <c r="L682" s="5">
        <v>3431</v>
      </c>
      <c r="M682" s="5">
        <v>0</v>
      </c>
      <c r="N682" s="5">
        <v>-28.48</v>
      </c>
      <c r="O682" s="7">
        <v>45997</v>
      </c>
      <c r="P682" s="5">
        <v>-28.48</v>
      </c>
      <c r="Q682" s="5">
        <v>0</v>
      </c>
      <c r="R682" s="5">
        <v>1008567</v>
      </c>
      <c r="S682" s="5" t="s">
        <v>33</v>
      </c>
      <c r="T682" s="5">
        <v>0</v>
      </c>
      <c r="U682" s="5">
        <v>-28.48</v>
      </c>
      <c r="V682" s="5" t="s">
        <v>34</v>
      </c>
      <c r="W682" s="5">
        <v>2</v>
      </c>
      <c r="X682" s="5">
        <v>5228842238606</v>
      </c>
      <c r="Y682" s="7">
        <v>46003</v>
      </c>
      <c r="Z682" s="7">
        <v>45997</v>
      </c>
      <c r="AB682" s="6">
        <v>46003</v>
      </c>
      <c r="AC682" s="7">
        <v>46000.448611111111</v>
      </c>
      <c r="AD682" s="5">
        <v>34311008567</v>
      </c>
      <c r="AE682" s="8">
        <v>45997</v>
      </c>
      <c r="AF682" s="5" t="s">
        <v>32</v>
      </c>
      <c r="AG682" s="5" t="s">
        <v>38</v>
      </c>
      <c r="AH682" s="5" t="s">
        <v>32</v>
      </c>
      <c r="AI682" s="6">
        <v>45997</v>
      </c>
      <c r="AJ682" s="6">
        <v>46003</v>
      </c>
    </row>
    <row r="683" spans="1:37" hidden="1" x14ac:dyDescent="0.55000000000000004">
      <c r="A683">
        <v>3438</v>
      </c>
      <c r="B683">
        <v>1007534</v>
      </c>
      <c r="C683">
        <v>350</v>
      </c>
      <c r="E683">
        <v>350</v>
      </c>
      <c r="F683">
        <v>3.5</v>
      </c>
      <c r="G683">
        <v>346.5</v>
      </c>
      <c r="H683"/>
      <c r="I683"/>
      <c r="J683" s="2">
        <v>46003</v>
      </c>
      <c r="K683" s="5">
        <v>1007534</v>
      </c>
      <c r="L683" s="5">
        <v>3438</v>
      </c>
      <c r="M683" s="5">
        <v>0</v>
      </c>
      <c r="N683" s="5">
        <v>350</v>
      </c>
      <c r="O683" s="7">
        <v>45993</v>
      </c>
      <c r="P683" s="5">
        <v>350</v>
      </c>
      <c r="Q683" s="5">
        <v>0</v>
      </c>
      <c r="R683" s="5" t="s">
        <v>32</v>
      </c>
      <c r="S683" s="5" t="s">
        <v>33</v>
      </c>
      <c r="T683" s="5">
        <v>3.5</v>
      </c>
      <c r="U683" s="5">
        <v>346.5</v>
      </c>
      <c r="V683" s="5" t="s">
        <v>34</v>
      </c>
      <c r="W683" s="5">
        <v>2</v>
      </c>
      <c r="X683" s="5">
        <v>3217977155410</v>
      </c>
      <c r="Y683" s="7">
        <v>46003</v>
      </c>
      <c r="Z683" s="7">
        <v>45993</v>
      </c>
      <c r="AB683" s="6">
        <v>46003</v>
      </c>
      <c r="AC683" s="7">
        <v>46002.431944444441</v>
      </c>
      <c r="AD683" s="5">
        <v>34381007534</v>
      </c>
      <c r="AE683" s="8">
        <v>45993</v>
      </c>
      <c r="AF683" s="5" t="s">
        <v>32</v>
      </c>
      <c r="AG683" s="5" t="s">
        <v>82</v>
      </c>
      <c r="AH683" s="5" t="s">
        <v>32</v>
      </c>
      <c r="AI683" s="6">
        <v>45993</v>
      </c>
      <c r="AJ683" s="6">
        <v>46003</v>
      </c>
    </row>
    <row r="684" spans="1:37" hidden="1" x14ac:dyDescent="0.55000000000000004">
      <c r="A684">
        <v>3438</v>
      </c>
      <c r="B684">
        <v>1008357</v>
      </c>
      <c r="C684" s="1">
        <v>2209.66</v>
      </c>
      <c r="E684" s="1">
        <v>2209.66</v>
      </c>
      <c r="F684">
        <v>22.1</v>
      </c>
      <c r="G684" s="1">
        <v>2187.56</v>
      </c>
      <c r="H684" s="1"/>
      <c r="I684" s="1"/>
      <c r="J684" s="2">
        <v>46003</v>
      </c>
      <c r="K684" s="5">
        <v>1008357</v>
      </c>
      <c r="L684" s="5">
        <v>3438</v>
      </c>
      <c r="M684" s="5">
        <v>0</v>
      </c>
      <c r="N684" s="5">
        <v>2209.66</v>
      </c>
      <c r="O684" s="7">
        <v>45996</v>
      </c>
      <c r="P684" s="5">
        <v>2209.66</v>
      </c>
      <c r="Q684" s="5">
        <v>0</v>
      </c>
      <c r="R684" s="5">
        <v>834861</v>
      </c>
      <c r="S684" s="5" t="s">
        <v>73</v>
      </c>
      <c r="T684" s="5">
        <v>22.1</v>
      </c>
      <c r="U684" s="5">
        <v>2187.56</v>
      </c>
      <c r="V684" s="5" t="s">
        <v>34</v>
      </c>
      <c r="W684" s="5">
        <v>2</v>
      </c>
      <c r="X684" s="5">
        <v>3217977155410</v>
      </c>
      <c r="Y684" s="7">
        <v>46003</v>
      </c>
      <c r="Z684" s="7">
        <v>45996</v>
      </c>
      <c r="AB684" s="6">
        <v>46003</v>
      </c>
      <c r="AC684" s="7">
        <v>46002.431944444441</v>
      </c>
      <c r="AD684" s="5">
        <v>34381008357</v>
      </c>
      <c r="AE684" s="8">
        <v>45996</v>
      </c>
      <c r="AF684" s="5" t="s">
        <v>32</v>
      </c>
      <c r="AG684" s="5" t="s">
        <v>38</v>
      </c>
      <c r="AH684" s="5">
        <v>834861</v>
      </c>
      <c r="AI684" s="6">
        <v>45996</v>
      </c>
      <c r="AJ684" s="6">
        <v>46003</v>
      </c>
    </row>
    <row r="685" spans="1:37" hidden="1" x14ac:dyDescent="0.55000000000000004">
      <c r="A685">
        <v>3438</v>
      </c>
      <c r="B685">
        <v>1008358</v>
      </c>
      <c r="C685">
        <v>86.7</v>
      </c>
      <c r="E685">
        <v>86.7</v>
      </c>
      <c r="F685">
        <v>0.87</v>
      </c>
      <c r="G685">
        <v>85.83</v>
      </c>
      <c r="H685"/>
      <c r="I685"/>
      <c r="J685" s="2">
        <v>46003</v>
      </c>
      <c r="K685" s="5">
        <v>1008358</v>
      </c>
      <c r="L685" s="5">
        <v>3438</v>
      </c>
      <c r="M685" s="5">
        <v>0</v>
      </c>
      <c r="N685" s="5">
        <v>86.7</v>
      </c>
      <c r="O685" s="7">
        <v>45996</v>
      </c>
      <c r="P685" s="5">
        <v>86.7</v>
      </c>
      <c r="Q685" s="5">
        <v>0</v>
      </c>
      <c r="R685" s="5">
        <v>834870</v>
      </c>
      <c r="S685" s="5" t="s">
        <v>73</v>
      </c>
      <c r="T685" s="5">
        <v>0.87</v>
      </c>
      <c r="U685" s="5">
        <v>85.83</v>
      </c>
      <c r="V685" s="5" t="s">
        <v>34</v>
      </c>
      <c r="W685" s="5">
        <v>2</v>
      </c>
      <c r="X685" s="5">
        <v>3217977155410</v>
      </c>
      <c r="Y685" s="7">
        <v>46003</v>
      </c>
      <c r="Z685" s="7">
        <v>45996</v>
      </c>
      <c r="AB685" s="6">
        <v>46003</v>
      </c>
      <c r="AC685" s="7">
        <v>46002.431944444441</v>
      </c>
      <c r="AD685" s="5">
        <v>34381008358</v>
      </c>
      <c r="AE685" s="8">
        <v>45996</v>
      </c>
      <c r="AF685" s="5" t="s">
        <v>32</v>
      </c>
      <c r="AG685" s="5" t="s">
        <v>38</v>
      </c>
      <c r="AH685" s="5">
        <v>834870</v>
      </c>
      <c r="AI685" s="6">
        <v>45996</v>
      </c>
      <c r="AJ685" s="6">
        <v>46003</v>
      </c>
    </row>
    <row r="686" spans="1:37" hidden="1" x14ac:dyDescent="0.55000000000000004">
      <c r="A686">
        <v>3445</v>
      </c>
      <c r="B686">
        <v>1007569</v>
      </c>
      <c r="C686" s="1">
        <v>3990</v>
      </c>
      <c r="E686" s="1">
        <v>3990</v>
      </c>
      <c r="F686">
        <v>39.9</v>
      </c>
      <c r="G686" s="1">
        <v>3950.1</v>
      </c>
      <c r="H686" s="1"/>
      <c r="I686" s="1"/>
      <c r="J686" s="2">
        <v>46003</v>
      </c>
      <c r="K686" s="5">
        <v>1007569</v>
      </c>
      <c r="L686" s="5">
        <v>3445</v>
      </c>
      <c r="M686" s="5">
        <v>0</v>
      </c>
      <c r="N686" s="5">
        <v>3990</v>
      </c>
      <c r="O686" s="7">
        <v>45993</v>
      </c>
      <c r="P686" s="5">
        <v>3990</v>
      </c>
      <c r="Q686" s="5">
        <v>0</v>
      </c>
      <c r="R686" s="5" t="s">
        <v>32</v>
      </c>
      <c r="S686" s="5" t="s">
        <v>33</v>
      </c>
      <c r="T686" s="5">
        <v>39.9</v>
      </c>
      <c r="U686" s="5">
        <v>3950.1</v>
      </c>
      <c r="V686" s="5" t="s">
        <v>34</v>
      </c>
      <c r="W686" s="5">
        <v>2</v>
      </c>
      <c r="X686" s="5">
        <v>7105816235028</v>
      </c>
      <c r="Y686" s="7">
        <v>46003</v>
      </c>
      <c r="Z686" s="7">
        <v>45993</v>
      </c>
      <c r="AB686" s="6">
        <v>46003</v>
      </c>
      <c r="AC686" s="7">
        <v>46001.598611111112</v>
      </c>
      <c r="AD686" s="5">
        <v>34451007569</v>
      </c>
      <c r="AE686" s="8">
        <v>45993</v>
      </c>
      <c r="AF686" s="5" t="s">
        <v>32</v>
      </c>
      <c r="AG686" s="5" t="s">
        <v>35</v>
      </c>
      <c r="AH686" s="5" t="s">
        <v>32</v>
      </c>
      <c r="AI686" s="6">
        <v>45993</v>
      </c>
      <c r="AJ686" s="6">
        <v>46003</v>
      </c>
    </row>
    <row r="687" spans="1:37" x14ac:dyDescent="0.55000000000000004">
      <c r="A687">
        <v>3445</v>
      </c>
      <c r="B687">
        <v>1007950</v>
      </c>
      <c r="C687">
        <v>69.11</v>
      </c>
      <c r="D687" s="4">
        <v>1.38</v>
      </c>
      <c r="E687">
        <v>67.73</v>
      </c>
      <c r="F687">
        <v>0.69</v>
      </c>
      <c r="G687">
        <v>67.040000000000006</v>
      </c>
      <c r="H687" s="14">
        <f t="shared" ref="H687:H689" si="321">C687-D687-F687</f>
        <v>67.040000000000006</v>
      </c>
      <c r="I687" s="14" t="b">
        <f t="shared" ref="I687:I689" si="322">G687=H687</f>
        <v>1</v>
      </c>
      <c r="J687" s="2">
        <v>46003</v>
      </c>
      <c r="K687" s="5">
        <v>1007950</v>
      </c>
      <c r="L687" s="5">
        <v>3445</v>
      </c>
      <c r="M687" s="5">
        <v>1.38</v>
      </c>
      <c r="N687" s="5">
        <v>69.11</v>
      </c>
      <c r="O687" s="7">
        <v>45994</v>
      </c>
      <c r="P687" s="5">
        <v>67.73</v>
      </c>
      <c r="Q687" s="5">
        <v>1.38</v>
      </c>
      <c r="R687" s="5" t="s">
        <v>32</v>
      </c>
      <c r="S687" s="5" t="s">
        <v>33</v>
      </c>
      <c r="T687" s="5">
        <v>0.69</v>
      </c>
      <c r="U687" s="5">
        <v>67.040000000000006</v>
      </c>
      <c r="V687" s="5" t="s">
        <v>34</v>
      </c>
      <c r="W687" s="5">
        <v>2</v>
      </c>
      <c r="X687" s="5">
        <v>7105816235028</v>
      </c>
      <c r="Y687" s="7">
        <v>46003</v>
      </c>
      <c r="Z687" s="7">
        <v>45994</v>
      </c>
      <c r="AB687" s="6">
        <v>46003</v>
      </c>
      <c r="AC687" s="7">
        <v>46001.598611111112</v>
      </c>
      <c r="AD687" s="5">
        <v>34451007950</v>
      </c>
      <c r="AE687" s="8">
        <v>45994</v>
      </c>
      <c r="AF687" s="5">
        <v>22090</v>
      </c>
      <c r="AG687" s="5" t="s">
        <v>37</v>
      </c>
      <c r="AH687" s="5">
        <v>206362</v>
      </c>
      <c r="AI687" s="6">
        <v>45994</v>
      </c>
      <c r="AJ687" s="6">
        <v>46003</v>
      </c>
      <c r="AK687" s="1">
        <f t="shared" ref="AK687:AK689" si="323">0.02*C687</f>
        <v>1.3822000000000001</v>
      </c>
    </row>
    <row r="688" spans="1:37" x14ac:dyDescent="0.55000000000000004">
      <c r="A688">
        <v>3452</v>
      </c>
      <c r="B688">
        <v>1007397</v>
      </c>
      <c r="C688" s="1">
        <v>1332.46</v>
      </c>
      <c r="D688" s="4">
        <v>26.65</v>
      </c>
      <c r="E688" s="1">
        <v>1305.81</v>
      </c>
      <c r="F688">
        <v>13.32</v>
      </c>
      <c r="G688" s="1">
        <v>1292.49</v>
      </c>
      <c r="H688" s="14">
        <f t="shared" si="321"/>
        <v>1292.49</v>
      </c>
      <c r="I688" s="14" t="b">
        <f t="shared" si="322"/>
        <v>1</v>
      </c>
      <c r="J688" s="2">
        <v>46003</v>
      </c>
      <c r="K688" s="5">
        <v>1007397</v>
      </c>
      <c r="L688" s="5">
        <v>3452</v>
      </c>
      <c r="M688" s="5">
        <v>26.65</v>
      </c>
      <c r="N688" s="5">
        <v>1332.46</v>
      </c>
      <c r="O688" s="7">
        <v>45992</v>
      </c>
      <c r="P688" s="5">
        <v>1305.81</v>
      </c>
      <c r="Q688" s="5">
        <v>26.65</v>
      </c>
      <c r="R688" s="5" t="s">
        <v>32</v>
      </c>
      <c r="S688" s="5" t="s">
        <v>33</v>
      </c>
      <c r="T688" s="5">
        <v>13.32</v>
      </c>
      <c r="U688" s="5">
        <v>1292.49</v>
      </c>
      <c r="V688" s="5" t="s">
        <v>34</v>
      </c>
      <c r="W688" s="5">
        <v>2</v>
      </c>
      <c r="X688" s="5">
        <v>6557212570580</v>
      </c>
      <c r="Y688" s="7">
        <v>46003</v>
      </c>
      <c r="Z688" s="7">
        <v>45992</v>
      </c>
      <c r="AB688" s="6">
        <v>46003</v>
      </c>
      <c r="AC688" s="7">
        <v>46000.760416666664</v>
      </c>
      <c r="AD688" s="5">
        <v>34521007397</v>
      </c>
      <c r="AE688" s="8">
        <v>45992</v>
      </c>
      <c r="AF688" s="5">
        <v>180382</v>
      </c>
      <c r="AG688" s="5" t="s">
        <v>37</v>
      </c>
      <c r="AH688" s="5">
        <v>205995</v>
      </c>
      <c r="AI688" s="6">
        <v>45992</v>
      </c>
      <c r="AJ688" s="6">
        <v>46003</v>
      </c>
      <c r="AK688" s="1">
        <f t="shared" si="323"/>
        <v>26.6492</v>
      </c>
    </row>
    <row r="689" spans="1:37" x14ac:dyDescent="0.55000000000000004">
      <c r="A689">
        <v>3452</v>
      </c>
      <c r="B689">
        <v>1007418</v>
      </c>
      <c r="C689">
        <v>802.42</v>
      </c>
      <c r="D689" s="4">
        <v>16.05</v>
      </c>
      <c r="E689">
        <v>786.37</v>
      </c>
      <c r="F689">
        <v>8.02</v>
      </c>
      <c r="G689">
        <v>778.35</v>
      </c>
      <c r="H689" s="14">
        <f t="shared" si="321"/>
        <v>778.35</v>
      </c>
      <c r="I689" s="14" t="b">
        <f t="shared" si="322"/>
        <v>1</v>
      </c>
      <c r="J689" s="2">
        <v>46003</v>
      </c>
      <c r="K689" s="5">
        <v>1007418</v>
      </c>
      <c r="L689" s="5">
        <v>3452</v>
      </c>
      <c r="M689" s="5">
        <v>16.05</v>
      </c>
      <c r="N689" s="5">
        <v>802.42</v>
      </c>
      <c r="O689" s="7">
        <v>45992</v>
      </c>
      <c r="P689" s="5">
        <v>786.37</v>
      </c>
      <c r="Q689" s="5">
        <v>16.05</v>
      </c>
      <c r="R689" s="5" t="s">
        <v>32</v>
      </c>
      <c r="S689" s="5" t="s">
        <v>33</v>
      </c>
      <c r="T689" s="5">
        <v>8.02</v>
      </c>
      <c r="U689" s="5">
        <v>778.35</v>
      </c>
      <c r="V689" s="5" t="s">
        <v>34</v>
      </c>
      <c r="W689" s="5">
        <v>2</v>
      </c>
      <c r="X689" s="5">
        <v>6557212570580</v>
      </c>
      <c r="Y689" s="7">
        <v>46003</v>
      </c>
      <c r="Z689" s="7">
        <v>45992</v>
      </c>
      <c r="AB689" s="6">
        <v>46003</v>
      </c>
      <c r="AC689" s="7">
        <v>46000.760416666664</v>
      </c>
      <c r="AD689" s="5">
        <v>34521007418</v>
      </c>
      <c r="AE689" s="8">
        <v>45992</v>
      </c>
      <c r="AF689" s="5">
        <v>180072</v>
      </c>
      <c r="AG689" s="5" t="s">
        <v>37</v>
      </c>
      <c r="AH689" s="5">
        <v>205950</v>
      </c>
      <c r="AI689" s="6">
        <v>45992</v>
      </c>
      <c r="AJ689" s="6">
        <v>46003</v>
      </c>
      <c r="AK689" s="1">
        <f t="shared" si="323"/>
        <v>16.048400000000001</v>
      </c>
    </row>
    <row r="690" spans="1:37" hidden="1" x14ac:dyDescent="0.55000000000000004">
      <c r="A690">
        <v>3452</v>
      </c>
      <c r="B690">
        <v>1007601</v>
      </c>
      <c r="C690" s="1">
        <v>3990</v>
      </c>
      <c r="E690" s="1">
        <v>3990</v>
      </c>
      <c r="F690">
        <v>39.9</v>
      </c>
      <c r="G690" s="1">
        <v>3950.1</v>
      </c>
      <c r="H690" s="1"/>
      <c r="I690" s="1"/>
      <c r="J690" s="2">
        <v>46003</v>
      </c>
      <c r="K690" s="5">
        <v>1007601</v>
      </c>
      <c r="L690" s="5">
        <v>3452</v>
      </c>
      <c r="M690" s="5">
        <v>0</v>
      </c>
      <c r="N690" s="5">
        <v>3990</v>
      </c>
      <c r="O690" s="7">
        <v>45993</v>
      </c>
      <c r="P690" s="5">
        <v>3990</v>
      </c>
      <c r="Q690" s="5">
        <v>0</v>
      </c>
      <c r="R690" s="5" t="s">
        <v>32</v>
      </c>
      <c r="S690" s="5" t="s">
        <v>33</v>
      </c>
      <c r="T690" s="5">
        <v>39.9</v>
      </c>
      <c r="U690" s="5">
        <v>3950.1</v>
      </c>
      <c r="V690" s="5" t="s">
        <v>34</v>
      </c>
      <c r="W690" s="5">
        <v>2</v>
      </c>
      <c r="X690" s="5">
        <v>6557212570580</v>
      </c>
      <c r="Y690" s="7">
        <v>46003</v>
      </c>
      <c r="Z690" s="7">
        <v>45993</v>
      </c>
      <c r="AB690" s="6">
        <v>46003</v>
      </c>
      <c r="AC690" s="7">
        <v>46000.760416666664</v>
      </c>
      <c r="AD690" s="5">
        <v>34521007601</v>
      </c>
      <c r="AE690" s="8">
        <v>45993</v>
      </c>
      <c r="AF690" s="5" t="s">
        <v>32</v>
      </c>
      <c r="AG690" s="5" t="s">
        <v>35</v>
      </c>
      <c r="AH690" s="5" t="s">
        <v>32</v>
      </c>
      <c r="AI690" s="6">
        <v>45993</v>
      </c>
      <c r="AJ690" s="6">
        <v>46003</v>
      </c>
    </row>
    <row r="691" spans="1:37" hidden="1" x14ac:dyDescent="0.55000000000000004">
      <c r="A691">
        <v>3452</v>
      </c>
      <c r="B691">
        <v>1007669</v>
      </c>
      <c r="C691">
        <v>950</v>
      </c>
      <c r="E691">
        <v>950</v>
      </c>
      <c r="F691">
        <v>9.5</v>
      </c>
      <c r="G691">
        <v>940.5</v>
      </c>
      <c r="H691"/>
      <c r="I691"/>
      <c r="J691" s="2">
        <v>46003</v>
      </c>
      <c r="K691" s="5">
        <v>1007669</v>
      </c>
      <c r="L691" s="5">
        <v>3452</v>
      </c>
      <c r="M691" s="5">
        <v>0</v>
      </c>
      <c r="N691" s="5">
        <v>950</v>
      </c>
      <c r="O691" s="7">
        <v>45993</v>
      </c>
      <c r="P691" s="5">
        <v>950</v>
      </c>
      <c r="Q691" s="5">
        <v>0</v>
      </c>
      <c r="R691" s="5" t="s">
        <v>392</v>
      </c>
      <c r="S691" s="5" t="s">
        <v>33</v>
      </c>
      <c r="T691" s="5">
        <v>9.5</v>
      </c>
      <c r="U691" s="5">
        <v>940.5</v>
      </c>
      <c r="V691" s="5" t="s">
        <v>34</v>
      </c>
      <c r="W691" s="5">
        <v>2</v>
      </c>
      <c r="X691" s="5">
        <v>6557212570580</v>
      </c>
      <c r="Y691" s="7">
        <v>46003</v>
      </c>
      <c r="Z691" s="7">
        <v>45993</v>
      </c>
      <c r="AB691" s="6">
        <v>46003</v>
      </c>
      <c r="AC691" s="7">
        <v>46000.760416666664</v>
      </c>
      <c r="AD691" s="5">
        <v>34521007669</v>
      </c>
      <c r="AE691" s="8">
        <v>45993</v>
      </c>
      <c r="AF691" s="5" t="s">
        <v>41</v>
      </c>
      <c r="AG691" s="5" t="s">
        <v>38</v>
      </c>
      <c r="AH691" s="5" t="s">
        <v>392</v>
      </c>
      <c r="AI691" s="6">
        <v>45993</v>
      </c>
      <c r="AJ691" s="6">
        <v>46003</v>
      </c>
    </row>
    <row r="692" spans="1:37" hidden="1" x14ac:dyDescent="0.55000000000000004">
      <c r="A692">
        <v>3452</v>
      </c>
      <c r="B692">
        <v>1007670</v>
      </c>
      <c r="C692" s="1">
        <v>1375</v>
      </c>
      <c r="E692" s="1">
        <v>1375</v>
      </c>
      <c r="F692">
        <v>13.75</v>
      </c>
      <c r="G692" s="1">
        <v>1361.25</v>
      </c>
      <c r="H692" s="1"/>
      <c r="I692" s="1"/>
      <c r="J692" s="2">
        <v>46003</v>
      </c>
      <c r="K692" s="5">
        <v>1007670</v>
      </c>
      <c r="L692" s="5">
        <v>3452</v>
      </c>
      <c r="M692" s="5">
        <v>0</v>
      </c>
      <c r="N692" s="5">
        <v>1375</v>
      </c>
      <c r="O692" s="7">
        <v>45993</v>
      </c>
      <c r="P692" s="5">
        <v>1375</v>
      </c>
      <c r="Q692" s="5">
        <v>0</v>
      </c>
      <c r="R692" s="5" t="s">
        <v>393</v>
      </c>
      <c r="S692" s="5" t="s">
        <v>33</v>
      </c>
      <c r="T692" s="5">
        <v>13.75</v>
      </c>
      <c r="U692" s="5">
        <v>1361.25</v>
      </c>
      <c r="V692" s="5" t="s">
        <v>34</v>
      </c>
      <c r="W692" s="5">
        <v>2</v>
      </c>
      <c r="X692" s="5">
        <v>6557212570580</v>
      </c>
      <c r="Y692" s="7">
        <v>46003</v>
      </c>
      <c r="Z692" s="7">
        <v>45993</v>
      </c>
      <c r="AB692" s="6">
        <v>46003</v>
      </c>
      <c r="AC692" s="7">
        <v>46000.760416666664</v>
      </c>
      <c r="AD692" s="5">
        <v>34521007670</v>
      </c>
      <c r="AE692" s="8">
        <v>45993</v>
      </c>
      <c r="AF692" s="5" t="s">
        <v>41</v>
      </c>
      <c r="AG692" s="5" t="s">
        <v>38</v>
      </c>
      <c r="AH692" s="5" t="s">
        <v>393</v>
      </c>
      <c r="AI692" s="6">
        <v>45993</v>
      </c>
      <c r="AJ692" s="6">
        <v>46003</v>
      </c>
    </row>
    <row r="693" spans="1:37" hidden="1" x14ac:dyDescent="0.55000000000000004">
      <c r="A693">
        <v>3452</v>
      </c>
      <c r="B693">
        <v>1007671</v>
      </c>
      <c r="C693" s="1">
        <v>1375</v>
      </c>
      <c r="E693" s="1">
        <v>1375</v>
      </c>
      <c r="F693">
        <v>13.75</v>
      </c>
      <c r="G693" s="1">
        <v>1361.25</v>
      </c>
      <c r="H693" s="1"/>
      <c r="I693" s="1"/>
      <c r="J693" s="2">
        <v>46003</v>
      </c>
      <c r="K693" s="5">
        <v>1007671</v>
      </c>
      <c r="L693" s="5">
        <v>3452</v>
      </c>
      <c r="M693" s="5">
        <v>0</v>
      </c>
      <c r="N693" s="5">
        <v>1375</v>
      </c>
      <c r="O693" s="7">
        <v>45993</v>
      </c>
      <c r="P693" s="5">
        <v>1375</v>
      </c>
      <c r="Q693" s="5">
        <v>0</v>
      </c>
      <c r="R693" s="5" t="s">
        <v>394</v>
      </c>
      <c r="S693" s="5" t="s">
        <v>33</v>
      </c>
      <c r="T693" s="5">
        <v>13.75</v>
      </c>
      <c r="U693" s="5">
        <v>1361.25</v>
      </c>
      <c r="V693" s="5" t="s">
        <v>34</v>
      </c>
      <c r="W693" s="5">
        <v>2</v>
      </c>
      <c r="X693" s="5">
        <v>6557212570580</v>
      </c>
      <c r="Y693" s="7">
        <v>46003</v>
      </c>
      <c r="Z693" s="7">
        <v>45993</v>
      </c>
      <c r="AB693" s="6">
        <v>46003</v>
      </c>
      <c r="AC693" s="7">
        <v>46000.760416666664</v>
      </c>
      <c r="AD693" s="5">
        <v>34521007671</v>
      </c>
      <c r="AE693" s="8">
        <v>45993</v>
      </c>
      <c r="AF693" s="5" t="s">
        <v>41</v>
      </c>
      <c r="AG693" s="5" t="s">
        <v>38</v>
      </c>
      <c r="AH693" s="5" t="s">
        <v>394</v>
      </c>
      <c r="AI693" s="6">
        <v>45993</v>
      </c>
      <c r="AJ693" s="6">
        <v>46003</v>
      </c>
    </row>
    <row r="694" spans="1:37" x14ac:dyDescent="0.55000000000000004">
      <c r="A694">
        <v>3452</v>
      </c>
      <c r="B694">
        <v>1007689</v>
      </c>
      <c r="C694" s="1">
        <v>3821.81</v>
      </c>
      <c r="D694" s="4">
        <v>76.44</v>
      </c>
      <c r="E694" s="1">
        <v>3745.37</v>
      </c>
      <c r="F694">
        <v>38.22</v>
      </c>
      <c r="G694" s="1">
        <v>3707.15</v>
      </c>
      <c r="H694" s="14">
        <f t="shared" ref="H694:H695" si="324">C694-D694-F694</f>
        <v>3707.15</v>
      </c>
      <c r="I694" s="14" t="b">
        <f t="shared" ref="I694:I695" si="325">G694=H694</f>
        <v>1</v>
      </c>
      <c r="J694" s="2">
        <v>46003</v>
      </c>
      <c r="K694" s="5">
        <v>1007689</v>
      </c>
      <c r="L694" s="5">
        <v>3452</v>
      </c>
      <c r="M694" s="5">
        <v>76.44</v>
      </c>
      <c r="N694" s="5">
        <v>3821.81</v>
      </c>
      <c r="O694" s="7">
        <v>45993</v>
      </c>
      <c r="P694" s="5">
        <v>3745.37</v>
      </c>
      <c r="Q694" s="5">
        <v>76.44</v>
      </c>
      <c r="R694" s="5" t="s">
        <v>32</v>
      </c>
      <c r="S694" s="5" t="s">
        <v>33</v>
      </c>
      <c r="T694" s="5">
        <v>38.22</v>
      </c>
      <c r="U694" s="5">
        <v>3707.15</v>
      </c>
      <c r="V694" s="5" t="s">
        <v>34</v>
      </c>
      <c r="W694" s="5">
        <v>2</v>
      </c>
      <c r="X694" s="5">
        <v>6557212570580</v>
      </c>
      <c r="Y694" s="7">
        <v>46003</v>
      </c>
      <c r="Z694" s="7">
        <v>45993</v>
      </c>
      <c r="AB694" s="6">
        <v>46003</v>
      </c>
      <c r="AC694" s="7">
        <v>46000.760416666664</v>
      </c>
      <c r="AD694" s="5">
        <v>34521007689</v>
      </c>
      <c r="AE694" s="8">
        <v>45993</v>
      </c>
      <c r="AF694" s="5" t="s">
        <v>395</v>
      </c>
      <c r="AG694" s="5" t="s">
        <v>37</v>
      </c>
      <c r="AH694" s="5">
        <v>206185</v>
      </c>
      <c r="AI694" s="6">
        <v>45993</v>
      </c>
      <c r="AJ694" s="6">
        <v>46003</v>
      </c>
      <c r="AK694" s="1">
        <f t="shared" ref="AK694:AK695" si="326">0.02*C694</f>
        <v>76.436199999999999</v>
      </c>
    </row>
    <row r="695" spans="1:37" x14ac:dyDescent="0.55000000000000004">
      <c r="A695">
        <v>3452</v>
      </c>
      <c r="B695">
        <v>1007690</v>
      </c>
      <c r="C695" s="1">
        <v>1719.2</v>
      </c>
      <c r="D695" s="4">
        <v>34.380000000000003</v>
      </c>
      <c r="E695" s="1">
        <v>1684.82</v>
      </c>
      <c r="F695">
        <v>17.190000000000001</v>
      </c>
      <c r="G695" s="1">
        <v>1667.63</v>
      </c>
      <c r="H695" s="14">
        <f t="shared" si="324"/>
        <v>1667.6299999999999</v>
      </c>
      <c r="I695" s="14" t="b">
        <f t="shared" si="325"/>
        <v>1</v>
      </c>
      <c r="J695" s="2">
        <v>46003</v>
      </c>
      <c r="K695" s="5">
        <v>1007690</v>
      </c>
      <c r="L695" s="5">
        <v>3452</v>
      </c>
      <c r="M695" s="5">
        <v>34.380000000000003</v>
      </c>
      <c r="N695" s="5">
        <v>1719.2</v>
      </c>
      <c r="O695" s="7">
        <v>45993</v>
      </c>
      <c r="P695" s="5">
        <v>1684.82</v>
      </c>
      <c r="Q695" s="5">
        <v>34.380000000000003</v>
      </c>
      <c r="R695" s="5" t="s">
        <v>32</v>
      </c>
      <c r="S695" s="5" t="s">
        <v>33</v>
      </c>
      <c r="T695" s="5">
        <v>17.190000000000001</v>
      </c>
      <c r="U695" s="5">
        <v>1667.63</v>
      </c>
      <c r="V695" s="5" t="s">
        <v>34</v>
      </c>
      <c r="W695" s="5">
        <v>2</v>
      </c>
      <c r="X695" s="5">
        <v>6557212570580</v>
      </c>
      <c r="Y695" s="7">
        <v>46003</v>
      </c>
      <c r="Z695" s="7">
        <v>45993</v>
      </c>
      <c r="AB695" s="6">
        <v>46003</v>
      </c>
      <c r="AC695" s="7">
        <v>46000.760416666664</v>
      </c>
      <c r="AD695" s="5">
        <v>34521007690</v>
      </c>
      <c r="AE695" s="8">
        <v>45993</v>
      </c>
      <c r="AF695" s="5" t="s">
        <v>396</v>
      </c>
      <c r="AG695" s="5" t="s">
        <v>37</v>
      </c>
      <c r="AH695" s="5">
        <v>206184</v>
      </c>
      <c r="AI695" s="6">
        <v>45993</v>
      </c>
      <c r="AJ695" s="6">
        <v>46003</v>
      </c>
      <c r="AK695" s="1">
        <f t="shared" si="326"/>
        <v>34.384</v>
      </c>
    </row>
    <row r="696" spans="1:37" hidden="1" x14ac:dyDescent="0.55000000000000004">
      <c r="A696">
        <v>3452</v>
      </c>
      <c r="B696">
        <v>1007805</v>
      </c>
      <c r="C696" s="1">
        <v>6956.84</v>
      </c>
      <c r="E696" s="1">
        <v>6956.84</v>
      </c>
      <c r="F696">
        <v>69.569999999999993</v>
      </c>
      <c r="G696" s="1">
        <v>6887.27</v>
      </c>
      <c r="H696" s="1"/>
      <c r="I696" s="1"/>
      <c r="J696" s="2">
        <v>46003</v>
      </c>
      <c r="K696" s="5">
        <v>1007805</v>
      </c>
      <c r="L696" s="5">
        <v>3452</v>
      </c>
      <c r="M696" s="5">
        <v>0</v>
      </c>
      <c r="N696" s="5">
        <v>6956.84</v>
      </c>
      <c r="O696" s="7">
        <v>45993</v>
      </c>
      <c r="P696" s="5">
        <v>6956.84</v>
      </c>
      <c r="Q696" s="5">
        <v>0</v>
      </c>
      <c r="R696" s="5" t="s">
        <v>32</v>
      </c>
      <c r="S696" s="5" t="s">
        <v>33</v>
      </c>
      <c r="T696" s="5">
        <v>69.569999999999993</v>
      </c>
      <c r="U696" s="5">
        <v>6887.27</v>
      </c>
      <c r="V696" s="5" t="s">
        <v>34</v>
      </c>
      <c r="W696" s="5">
        <v>2</v>
      </c>
      <c r="X696" s="5">
        <v>6557212570580</v>
      </c>
      <c r="Y696" s="7">
        <v>46003</v>
      </c>
      <c r="Z696" s="7">
        <v>45993</v>
      </c>
      <c r="AB696" s="6">
        <v>46003</v>
      </c>
      <c r="AC696" s="7">
        <v>46000.760416666664</v>
      </c>
      <c r="AD696" s="5">
        <v>34521007805</v>
      </c>
      <c r="AE696" s="8">
        <v>45993</v>
      </c>
      <c r="AF696" s="5">
        <v>179856</v>
      </c>
      <c r="AG696" s="5" t="s">
        <v>38</v>
      </c>
      <c r="AH696" s="5">
        <v>206080</v>
      </c>
      <c r="AI696" s="6">
        <v>45993</v>
      </c>
      <c r="AJ696" s="6">
        <v>46003</v>
      </c>
    </row>
    <row r="697" spans="1:37" x14ac:dyDescent="0.55000000000000004">
      <c r="A697">
        <v>3452</v>
      </c>
      <c r="B697">
        <v>1007851</v>
      </c>
      <c r="C697">
        <v>63.6</v>
      </c>
      <c r="D697" s="4">
        <v>1.27</v>
      </c>
      <c r="E697">
        <v>62.33</v>
      </c>
      <c r="F697">
        <v>0.64</v>
      </c>
      <c r="G697">
        <v>61.69</v>
      </c>
      <c r="H697" s="14">
        <f t="shared" ref="H697:H699" si="327">C697-D697-F697</f>
        <v>61.69</v>
      </c>
      <c r="I697" s="14" t="b">
        <f t="shared" ref="I697:I699" si="328">G697=H697</f>
        <v>1</v>
      </c>
      <c r="J697" s="2">
        <v>46003</v>
      </c>
      <c r="K697" s="5">
        <v>1007851</v>
      </c>
      <c r="L697" s="5">
        <v>3452</v>
      </c>
      <c r="M697" s="5">
        <v>1.27</v>
      </c>
      <c r="N697" s="5">
        <v>63.6</v>
      </c>
      <c r="O697" s="7">
        <v>45993</v>
      </c>
      <c r="P697" s="5">
        <v>62.33</v>
      </c>
      <c r="Q697" s="5">
        <v>1.27</v>
      </c>
      <c r="R697" s="5" t="s">
        <v>32</v>
      </c>
      <c r="S697" s="5" t="s">
        <v>33</v>
      </c>
      <c r="T697" s="5">
        <v>0.64</v>
      </c>
      <c r="U697" s="5">
        <v>61.69</v>
      </c>
      <c r="V697" s="5" t="s">
        <v>34</v>
      </c>
      <c r="W697" s="5">
        <v>2</v>
      </c>
      <c r="X697" s="5">
        <v>6557212570580</v>
      </c>
      <c r="Y697" s="7">
        <v>46003</v>
      </c>
      <c r="Z697" s="7">
        <v>45993</v>
      </c>
      <c r="AB697" s="6">
        <v>46003</v>
      </c>
      <c r="AC697" s="7">
        <v>46000.760416666664</v>
      </c>
      <c r="AD697" s="5">
        <v>34521007851</v>
      </c>
      <c r="AE697" s="8">
        <v>45993</v>
      </c>
      <c r="AF697" s="5" t="s">
        <v>395</v>
      </c>
      <c r="AG697" s="5" t="s">
        <v>37</v>
      </c>
      <c r="AH697" s="5">
        <v>206143</v>
      </c>
      <c r="AI697" s="6">
        <v>45993</v>
      </c>
      <c r="AJ697" s="6">
        <v>46003</v>
      </c>
      <c r="AK697" s="1">
        <f t="shared" ref="AK697:AK699" si="329">0.02*C697</f>
        <v>1.272</v>
      </c>
    </row>
    <row r="698" spans="1:37" x14ac:dyDescent="0.55000000000000004">
      <c r="A698">
        <v>3452</v>
      </c>
      <c r="B698">
        <v>1008036</v>
      </c>
      <c r="C698">
        <v>504.7</v>
      </c>
      <c r="D698" s="4">
        <v>10.09</v>
      </c>
      <c r="E698">
        <v>494.61</v>
      </c>
      <c r="F698">
        <v>5.05</v>
      </c>
      <c r="G698">
        <v>489.56</v>
      </c>
      <c r="H698" s="14">
        <f t="shared" si="327"/>
        <v>489.56</v>
      </c>
      <c r="I698" s="14" t="b">
        <f t="shared" si="328"/>
        <v>1</v>
      </c>
      <c r="J698" s="2">
        <v>46003</v>
      </c>
      <c r="K698" s="5">
        <v>1008036</v>
      </c>
      <c r="L698" s="5">
        <v>3452</v>
      </c>
      <c r="M698" s="5">
        <v>10.09</v>
      </c>
      <c r="N698" s="5">
        <v>504.7</v>
      </c>
      <c r="O698" s="7">
        <v>45994</v>
      </c>
      <c r="P698" s="5">
        <v>494.61</v>
      </c>
      <c r="Q698" s="5">
        <v>10.09</v>
      </c>
      <c r="R698" s="5" t="s">
        <v>32</v>
      </c>
      <c r="S698" s="5" t="s">
        <v>33</v>
      </c>
      <c r="T698" s="5">
        <v>5.05</v>
      </c>
      <c r="U698" s="5">
        <v>489.56</v>
      </c>
      <c r="V698" s="5" t="s">
        <v>34</v>
      </c>
      <c r="W698" s="5">
        <v>2</v>
      </c>
      <c r="X698" s="5">
        <v>6557212570580</v>
      </c>
      <c r="Y698" s="7">
        <v>46003</v>
      </c>
      <c r="Z698" s="7">
        <v>45994</v>
      </c>
      <c r="AB698" s="6">
        <v>46003</v>
      </c>
      <c r="AC698" s="7">
        <v>46000.760416666664</v>
      </c>
      <c r="AD698" s="5">
        <v>34521008036</v>
      </c>
      <c r="AE698" s="8">
        <v>45994</v>
      </c>
      <c r="AF698" s="5" t="s">
        <v>397</v>
      </c>
      <c r="AG698" s="5" t="s">
        <v>37</v>
      </c>
      <c r="AH698" s="5">
        <v>206052</v>
      </c>
      <c r="AI698" s="6">
        <v>45994</v>
      </c>
      <c r="AJ698" s="6">
        <v>46003</v>
      </c>
      <c r="AK698" s="1">
        <f t="shared" si="329"/>
        <v>10.093999999999999</v>
      </c>
    </row>
    <row r="699" spans="1:37" x14ac:dyDescent="0.55000000000000004">
      <c r="A699">
        <v>3452</v>
      </c>
      <c r="B699">
        <v>1008040</v>
      </c>
      <c r="C699">
        <v>124.5</v>
      </c>
      <c r="D699" s="4">
        <v>2.4900000000000002</v>
      </c>
      <c r="E699">
        <v>122.01</v>
      </c>
      <c r="F699">
        <v>1.25</v>
      </c>
      <c r="G699">
        <v>120.76</v>
      </c>
      <c r="H699" s="14">
        <f t="shared" si="327"/>
        <v>120.76</v>
      </c>
      <c r="I699" s="14" t="b">
        <f t="shared" si="328"/>
        <v>1</v>
      </c>
      <c r="J699" s="2">
        <v>46003</v>
      </c>
      <c r="K699" s="5">
        <v>1008040</v>
      </c>
      <c r="L699" s="5">
        <v>3452</v>
      </c>
      <c r="M699" s="5">
        <v>2.4900000000000002</v>
      </c>
      <c r="N699" s="5">
        <v>124.5</v>
      </c>
      <c r="O699" s="7">
        <v>45994</v>
      </c>
      <c r="P699" s="5">
        <v>122.01</v>
      </c>
      <c r="Q699" s="5">
        <v>2.4900000000000002</v>
      </c>
      <c r="R699" s="5" t="s">
        <v>32</v>
      </c>
      <c r="S699" s="5" t="s">
        <v>33</v>
      </c>
      <c r="T699" s="5">
        <v>1.25</v>
      </c>
      <c r="U699" s="5">
        <v>120.76</v>
      </c>
      <c r="V699" s="5" t="s">
        <v>34</v>
      </c>
      <c r="W699" s="5">
        <v>2</v>
      </c>
      <c r="X699" s="5">
        <v>6557212570580</v>
      </c>
      <c r="Y699" s="7">
        <v>46003</v>
      </c>
      <c r="Z699" s="7">
        <v>45994</v>
      </c>
      <c r="AB699" s="6">
        <v>46003</v>
      </c>
      <c r="AC699" s="7">
        <v>46000.760416666664</v>
      </c>
      <c r="AD699" s="5">
        <v>34521008040</v>
      </c>
      <c r="AE699" s="8">
        <v>45994</v>
      </c>
      <c r="AF699" s="5" t="s">
        <v>398</v>
      </c>
      <c r="AG699" s="5" t="s">
        <v>37</v>
      </c>
      <c r="AH699" s="5">
        <v>206053</v>
      </c>
      <c r="AI699" s="6">
        <v>45994</v>
      </c>
      <c r="AJ699" s="6">
        <v>46003</v>
      </c>
      <c r="AK699" s="1">
        <f t="shared" si="329"/>
        <v>2.4900000000000002</v>
      </c>
    </row>
    <row r="700" spans="1:37" hidden="1" x14ac:dyDescent="0.55000000000000004">
      <c r="A700">
        <v>3452</v>
      </c>
      <c r="B700">
        <v>1008065</v>
      </c>
      <c r="C700">
        <v>-390</v>
      </c>
      <c r="E700">
        <v>-390</v>
      </c>
      <c r="G700">
        <v>-390</v>
      </c>
      <c r="H700"/>
      <c r="I700"/>
      <c r="J700" s="2">
        <v>46003</v>
      </c>
      <c r="K700" s="5">
        <v>1008065</v>
      </c>
      <c r="L700" s="5">
        <v>3452</v>
      </c>
      <c r="M700" s="5">
        <v>0</v>
      </c>
      <c r="N700" s="5">
        <v>-390</v>
      </c>
      <c r="O700" s="7">
        <v>45995</v>
      </c>
      <c r="P700" s="5">
        <v>-390</v>
      </c>
      <c r="Q700" s="5">
        <v>0</v>
      </c>
      <c r="R700" s="5" t="s">
        <v>399</v>
      </c>
      <c r="S700" s="5" t="s">
        <v>33</v>
      </c>
      <c r="T700" s="5">
        <v>0</v>
      </c>
      <c r="U700" s="5">
        <v>-390</v>
      </c>
      <c r="V700" s="5" t="s">
        <v>34</v>
      </c>
      <c r="W700" s="5">
        <v>2</v>
      </c>
      <c r="X700" s="5">
        <v>6557212570580</v>
      </c>
      <c r="Y700" s="7">
        <v>46003</v>
      </c>
      <c r="Z700" s="7">
        <v>45995</v>
      </c>
      <c r="AB700" s="6">
        <v>46003</v>
      </c>
      <c r="AC700" s="7">
        <v>46000.760416666664</v>
      </c>
      <c r="AD700" s="5">
        <v>34521008065</v>
      </c>
      <c r="AE700" s="8">
        <v>45995</v>
      </c>
      <c r="AF700" s="5" t="s">
        <v>41</v>
      </c>
      <c r="AG700" s="5" t="s">
        <v>38</v>
      </c>
      <c r="AH700" s="5" t="s">
        <v>399</v>
      </c>
      <c r="AI700" s="6">
        <v>45995</v>
      </c>
      <c r="AJ700" s="6">
        <v>46003</v>
      </c>
    </row>
    <row r="701" spans="1:37" hidden="1" x14ac:dyDescent="0.55000000000000004">
      <c r="A701">
        <v>3452</v>
      </c>
      <c r="B701">
        <v>1008292</v>
      </c>
      <c r="C701">
        <v>-50</v>
      </c>
      <c r="E701">
        <v>-50</v>
      </c>
      <c r="G701">
        <v>-50</v>
      </c>
      <c r="H701"/>
      <c r="I701"/>
      <c r="J701" s="2">
        <v>46003</v>
      </c>
      <c r="K701" s="5">
        <v>1008292</v>
      </c>
      <c r="L701" s="5">
        <v>3452</v>
      </c>
      <c r="M701" s="5">
        <v>0</v>
      </c>
      <c r="N701" s="5">
        <v>-50</v>
      </c>
      <c r="O701" s="7">
        <v>45995</v>
      </c>
      <c r="P701" s="5">
        <v>-50</v>
      </c>
      <c r="Q701" s="5">
        <v>0</v>
      </c>
      <c r="R701" s="5" t="s">
        <v>40</v>
      </c>
      <c r="S701" s="5" t="s">
        <v>33</v>
      </c>
      <c r="T701" s="5">
        <v>0</v>
      </c>
      <c r="U701" s="5">
        <v>-50</v>
      </c>
      <c r="V701" s="5" t="s">
        <v>34</v>
      </c>
      <c r="W701" s="5">
        <v>2</v>
      </c>
      <c r="X701" s="5">
        <v>6557212570580</v>
      </c>
      <c r="Y701" s="7">
        <v>46003</v>
      </c>
      <c r="Z701" s="7">
        <v>45995</v>
      </c>
      <c r="AB701" s="6">
        <v>46003</v>
      </c>
      <c r="AC701" s="7">
        <v>46000.760416666664</v>
      </c>
      <c r="AD701" s="5">
        <v>34521008292</v>
      </c>
      <c r="AE701" s="8">
        <v>45995</v>
      </c>
      <c r="AF701" s="5" t="s">
        <v>41</v>
      </c>
      <c r="AG701" s="5" t="s">
        <v>38</v>
      </c>
      <c r="AH701" s="5" t="s">
        <v>40</v>
      </c>
      <c r="AI701" s="6">
        <v>45995</v>
      </c>
      <c r="AJ701" s="6">
        <v>46003</v>
      </c>
    </row>
    <row r="702" spans="1:37" x14ac:dyDescent="0.55000000000000004">
      <c r="A702">
        <v>3452</v>
      </c>
      <c r="B702">
        <v>1008546</v>
      </c>
      <c r="C702" s="1">
        <v>1393</v>
      </c>
      <c r="D702" s="4">
        <v>27.86</v>
      </c>
      <c r="E702" s="1">
        <v>1365.14</v>
      </c>
      <c r="F702">
        <v>13.93</v>
      </c>
      <c r="G702" s="1">
        <v>1351.21</v>
      </c>
      <c r="H702" s="14">
        <f t="shared" ref="H702:H704" si="330">C702-D702-F702</f>
        <v>1351.21</v>
      </c>
      <c r="I702" s="14" t="b">
        <f t="shared" ref="I702:I704" si="331">G702=H702</f>
        <v>1</v>
      </c>
      <c r="J702" s="2">
        <v>46003</v>
      </c>
      <c r="K702" s="5">
        <v>1008546</v>
      </c>
      <c r="L702" s="5">
        <v>3452</v>
      </c>
      <c r="M702" s="5">
        <v>27.86</v>
      </c>
      <c r="N702" s="5">
        <v>1393</v>
      </c>
      <c r="O702" s="7">
        <v>45996</v>
      </c>
      <c r="P702" s="5">
        <v>1365.14</v>
      </c>
      <c r="Q702" s="5">
        <v>27.86</v>
      </c>
      <c r="R702" s="5" t="s">
        <v>32</v>
      </c>
      <c r="S702" s="5" t="s">
        <v>33</v>
      </c>
      <c r="T702" s="5">
        <v>13.93</v>
      </c>
      <c r="U702" s="5">
        <v>1351.21</v>
      </c>
      <c r="V702" s="5" t="s">
        <v>34</v>
      </c>
      <c r="W702" s="5">
        <v>2</v>
      </c>
      <c r="X702" s="5">
        <v>6557212570580</v>
      </c>
      <c r="Y702" s="7">
        <v>46003</v>
      </c>
      <c r="Z702" s="7">
        <v>45996</v>
      </c>
      <c r="AB702" s="6">
        <v>46003</v>
      </c>
      <c r="AC702" s="7">
        <v>46000.760416666664</v>
      </c>
      <c r="AD702" s="5">
        <v>34521008546</v>
      </c>
      <c r="AE702" s="8">
        <v>45996</v>
      </c>
      <c r="AF702" s="5">
        <v>180105</v>
      </c>
      <c r="AG702" s="5" t="s">
        <v>37</v>
      </c>
      <c r="AH702" s="5">
        <v>206588</v>
      </c>
      <c r="AI702" s="6">
        <v>45996</v>
      </c>
      <c r="AJ702" s="6">
        <v>46003</v>
      </c>
      <c r="AK702" s="1">
        <f t="shared" ref="AK702:AK704" si="332">0.02*C702</f>
        <v>27.86</v>
      </c>
    </row>
    <row r="703" spans="1:37" x14ac:dyDescent="0.55000000000000004">
      <c r="A703">
        <v>3452</v>
      </c>
      <c r="B703">
        <v>1008552</v>
      </c>
      <c r="C703">
        <v>43.86</v>
      </c>
      <c r="D703" s="4">
        <v>0.88</v>
      </c>
      <c r="E703">
        <v>42.98</v>
      </c>
      <c r="F703">
        <v>0.44</v>
      </c>
      <c r="G703">
        <v>42.54</v>
      </c>
      <c r="H703" s="14">
        <f t="shared" si="330"/>
        <v>42.54</v>
      </c>
      <c r="I703" s="14" t="b">
        <f t="shared" si="331"/>
        <v>1</v>
      </c>
      <c r="J703" s="2">
        <v>46003</v>
      </c>
      <c r="K703" s="5">
        <v>1008552</v>
      </c>
      <c r="L703" s="5">
        <v>3452</v>
      </c>
      <c r="M703" s="5">
        <v>0.88</v>
      </c>
      <c r="N703" s="5">
        <v>43.86</v>
      </c>
      <c r="O703" s="7">
        <v>45996</v>
      </c>
      <c r="P703" s="5">
        <v>42.98</v>
      </c>
      <c r="Q703" s="5">
        <v>0.88</v>
      </c>
      <c r="R703" s="5" t="s">
        <v>32</v>
      </c>
      <c r="S703" s="5" t="s">
        <v>33</v>
      </c>
      <c r="T703" s="5">
        <v>0.44</v>
      </c>
      <c r="U703" s="5">
        <v>42.54</v>
      </c>
      <c r="V703" s="5" t="s">
        <v>34</v>
      </c>
      <c r="W703" s="5">
        <v>2</v>
      </c>
      <c r="X703" s="5">
        <v>6557212570580</v>
      </c>
      <c r="Y703" s="7">
        <v>46003</v>
      </c>
      <c r="Z703" s="7">
        <v>45996</v>
      </c>
      <c r="AB703" s="6">
        <v>46003</v>
      </c>
      <c r="AC703" s="7">
        <v>46000.760416666664</v>
      </c>
      <c r="AD703" s="5">
        <v>34521008552</v>
      </c>
      <c r="AE703" s="8">
        <v>45996</v>
      </c>
      <c r="AF703" s="5" t="s">
        <v>395</v>
      </c>
      <c r="AG703" s="5" t="s">
        <v>37</v>
      </c>
      <c r="AH703" s="5">
        <v>206589</v>
      </c>
      <c r="AI703" s="6">
        <v>45996</v>
      </c>
      <c r="AJ703" s="6">
        <v>46003</v>
      </c>
      <c r="AK703" s="1">
        <f t="shared" si="332"/>
        <v>0.87719999999999998</v>
      </c>
    </row>
    <row r="704" spans="1:37" x14ac:dyDescent="0.55000000000000004">
      <c r="A704">
        <v>3452</v>
      </c>
      <c r="B704">
        <v>1008554</v>
      </c>
      <c r="C704" s="1">
        <v>1101.1600000000001</v>
      </c>
      <c r="D704" s="4">
        <v>22.02</v>
      </c>
      <c r="E704" s="1">
        <v>1079.1400000000001</v>
      </c>
      <c r="F704">
        <v>11.01</v>
      </c>
      <c r="G704" s="1">
        <v>1068.1300000000001</v>
      </c>
      <c r="H704" s="14">
        <f t="shared" si="330"/>
        <v>1068.1300000000001</v>
      </c>
      <c r="I704" s="14" t="b">
        <f t="shared" si="331"/>
        <v>1</v>
      </c>
      <c r="J704" s="2">
        <v>46003</v>
      </c>
      <c r="K704" s="5">
        <v>1008554</v>
      </c>
      <c r="L704" s="5">
        <v>3452</v>
      </c>
      <c r="M704" s="5">
        <v>22.02</v>
      </c>
      <c r="N704" s="5">
        <v>1101.1600000000001</v>
      </c>
      <c r="O704" s="7">
        <v>45996</v>
      </c>
      <c r="P704" s="5">
        <v>1079.1400000000001</v>
      </c>
      <c r="Q704" s="5">
        <v>22.02</v>
      </c>
      <c r="R704" s="5" t="s">
        <v>32</v>
      </c>
      <c r="S704" s="5" t="s">
        <v>33</v>
      </c>
      <c r="T704" s="5">
        <v>11.01</v>
      </c>
      <c r="U704" s="5">
        <v>1068.1300000000001</v>
      </c>
      <c r="V704" s="5" t="s">
        <v>34</v>
      </c>
      <c r="W704" s="5">
        <v>2</v>
      </c>
      <c r="X704" s="5">
        <v>6557212570580</v>
      </c>
      <c r="Y704" s="7">
        <v>46003</v>
      </c>
      <c r="Z704" s="7">
        <v>45996</v>
      </c>
      <c r="AB704" s="6">
        <v>46003</v>
      </c>
      <c r="AC704" s="7">
        <v>46000.760416666664</v>
      </c>
      <c r="AD704" s="5">
        <v>34521008554</v>
      </c>
      <c r="AE704" s="8">
        <v>45996</v>
      </c>
      <c r="AF704" s="5">
        <v>179000</v>
      </c>
      <c r="AG704" s="5" t="s">
        <v>37</v>
      </c>
      <c r="AH704" s="5">
        <v>206587</v>
      </c>
      <c r="AI704" s="6">
        <v>45996</v>
      </c>
      <c r="AJ704" s="6">
        <v>46003</v>
      </c>
      <c r="AK704" s="1">
        <f t="shared" si="332"/>
        <v>22.023200000000003</v>
      </c>
    </row>
    <row r="705" spans="1:39" hidden="1" x14ac:dyDescent="0.55000000000000004">
      <c r="A705">
        <v>3452</v>
      </c>
      <c r="B705">
        <v>1009005</v>
      </c>
      <c r="C705">
        <v>-769.5</v>
      </c>
      <c r="E705">
        <v>-769.5</v>
      </c>
      <c r="G705">
        <v>-769.5</v>
      </c>
      <c r="H705"/>
      <c r="I705"/>
      <c r="J705" s="2">
        <v>46003</v>
      </c>
      <c r="K705" s="5">
        <v>1009005</v>
      </c>
      <c r="L705" s="5">
        <v>3452</v>
      </c>
      <c r="M705" s="5">
        <v>0</v>
      </c>
      <c r="N705" s="5">
        <v>-769.5</v>
      </c>
      <c r="O705" s="7">
        <v>46000</v>
      </c>
      <c r="P705" s="5">
        <v>-769.5</v>
      </c>
      <c r="Q705" s="5">
        <v>0</v>
      </c>
      <c r="R705" s="5">
        <v>1009005</v>
      </c>
      <c r="S705" s="5" t="s">
        <v>33</v>
      </c>
      <c r="T705" s="5">
        <v>0</v>
      </c>
      <c r="U705" s="5">
        <v>-769.5</v>
      </c>
      <c r="V705" s="5" t="s">
        <v>34</v>
      </c>
      <c r="W705" s="5">
        <v>2</v>
      </c>
      <c r="X705" s="5">
        <v>6557212570580</v>
      </c>
      <c r="Y705" s="7">
        <v>46003</v>
      </c>
      <c r="Z705" s="7">
        <v>46000</v>
      </c>
      <c r="AB705" s="6">
        <v>46003</v>
      </c>
      <c r="AC705" s="7">
        <v>46000.760416666664</v>
      </c>
      <c r="AD705" s="5">
        <v>34521009005</v>
      </c>
      <c r="AE705" s="8">
        <v>46000</v>
      </c>
      <c r="AF705" s="5" t="s">
        <v>400</v>
      </c>
      <c r="AG705" s="5" t="s">
        <v>38</v>
      </c>
      <c r="AH705" s="5" t="s">
        <v>401</v>
      </c>
      <c r="AI705" s="6">
        <v>46000</v>
      </c>
      <c r="AJ705" s="6">
        <v>46003</v>
      </c>
    </row>
    <row r="706" spans="1:39" hidden="1" x14ac:dyDescent="0.55000000000000004">
      <c r="A706">
        <v>3452</v>
      </c>
      <c r="B706">
        <v>1009006</v>
      </c>
      <c r="C706">
        <v>-364.5</v>
      </c>
      <c r="E706">
        <v>-364.5</v>
      </c>
      <c r="G706">
        <v>-364.5</v>
      </c>
      <c r="H706"/>
      <c r="I706"/>
      <c r="J706" s="2">
        <v>46003</v>
      </c>
      <c r="K706" s="5">
        <v>1009006</v>
      </c>
      <c r="L706" s="5">
        <v>3452</v>
      </c>
      <c r="M706" s="5">
        <v>0</v>
      </c>
      <c r="N706" s="5">
        <v>-364.5</v>
      </c>
      <c r="O706" s="7">
        <v>46000</v>
      </c>
      <c r="P706" s="5">
        <v>-364.5</v>
      </c>
      <c r="Q706" s="5">
        <v>0</v>
      </c>
      <c r="R706" s="5">
        <v>1009006</v>
      </c>
      <c r="S706" s="5" t="s">
        <v>33</v>
      </c>
      <c r="T706" s="5">
        <v>0</v>
      </c>
      <c r="U706" s="5">
        <v>-364.5</v>
      </c>
      <c r="V706" s="5" t="s">
        <v>34</v>
      </c>
      <c r="W706" s="5">
        <v>2</v>
      </c>
      <c r="X706" s="5">
        <v>6557212570580</v>
      </c>
      <c r="Y706" s="7">
        <v>46003</v>
      </c>
      <c r="Z706" s="7">
        <v>46000</v>
      </c>
      <c r="AB706" s="6">
        <v>46003</v>
      </c>
      <c r="AC706" s="7">
        <v>46000.760416666664</v>
      </c>
      <c r="AD706" s="5">
        <v>34521009006</v>
      </c>
      <c r="AE706" s="8">
        <v>46000</v>
      </c>
      <c r="AF706" s="5" t="s">
        <v>402</v>
      </c>
      <c r="AG706" s="5" t="s">
        <v>38</v>
      </c>
      <c r="AH706" s="5" t="s">
        <v>403</v>
      </c>
      <c r="AI706" s="6">
        <v>46000</v>
      </c>
      <c r="AJ706" s="6">
        <v>46003</v>
      </c>
    </row>
    <row r="707" spans="1:39" x14ac:dyDescent="0.55000000000000004">
      <c r="A707">
        <v>3459</v>
      </c>
      <c r="B707">
        <v>1007298</v>
      </c>
      <c r="C707">
        <v>33.18</v>
      </c>
      <c r="E707">
        <v>33.18</v>
      </c>
      <c r="F707">
        <v>0.33</v>
      </c>
      <c r="G707">
        <v>33.18</v>
      </c>
      <c r="H707" s="14">
        <f t="shared" ref="H707:H710" si="333">C707-D707-F707</f>
        <v>32.85</v>
      </c>
      <c r="I707" s="14" t="b">
        <f t="shared" ref="I707:I710" si="334">G707=H707</f>
        <v>0</v>
      </c>
      <c r="J707" s="2">
        <v>46003</v>
      </c>
      <c r="K707" s="5">
        <v>1007298</v>
      </c>
      <c r="L707" s="5">
        <v>3459</v>
      </c>
      <c r="M707" s="5">
        <v>0</v>
      </c>
      <c r="N707" s="5">
        <v>33.18</v>
      </c>
      <c r="O707" s="7">
        <v>45992</v>
      </c>
      <c r="P707" s="5">
        <v>33.18</v>
      </c>
      <c r="Q707" s="5">
        <v>0</v>
      </c>
      <c r="R707" s="5" t="s">
        <v>32</v>
      </c>
      <c r="S707" s="5" t="s">
        <v>33</v>
      </c>
      <c r="T707" s="5">
        <v>0.33</v>
      </c>
      <c r="U707" s="5">
        <v>33.18</v>
      </c>
      <c r="V707" s="5" t="s">
        <v>34</v>
      </c>
      <c r="W707" s="5">
        <v>10</v>
      </c>
      <c r="X707" s="5" t="s">
        <v>404</v>
      </c>
      <c r="Y707" s="7">
        <v>46003</v>
      </c>
      <c r="Z707" s="7">
        <v>45992</v>
      </c>
      <c r="AA707" s="5" t="s">
        <v>32</v>
      </c>
      <c r="AB707" s="6">
        <v>46003</v>
      </c>
      <c r="AC707" s="7">
        <v>46003.572916666664</v>
      </c>
      <c r="AD707" s="5">
        <v>34591007298</v>
      </c>
      <c r="AE707" s="8">
        <v>45992</v>
      </c>
      <c r="AF707" s="5" t="s">
        <v>405</v>
      </c>
      <c r="AG707" s="5" t="s">
        <v>37</v>
      </c>
      <c r="AH707" s="5">
        <v>205857</v>
      </c>
      <c r="AI707" s="6">
        <v>45992</v>
      </c>
      <c r="AJ707" s="6">
        <v>46003</v>
      </c>
      <c r="AK707" s="1">
        <f t="shared" ref="AK707:AK710" si="335">0.02*C707</f>
        <v>0.66359999999999997</v>
      </c>
      <c r="AL707" t="s">
        <v>673</v>
      </c>
      <c r="AM707">
        <f t="shared" ref="AM707:AM710" si="336">F707</f>
        <v>0.33</v>
      </c>
    </row>
    <row r="708" spans="1:39" x14ac:dyDescent="0.55000000000000004">
      <c r="A708">
        <v>3459</v>
      </c>
      <c r="B708">
        <v>1007303</v>
      </c>
      <c r="C708">
        <v>41.14</v>
      </c>
      <c r="E708">
        <v>41.14</v>
      </c>
      <c r="F708">
        <v>0.41</v>
      </c>
      <c r="G708">
        <v>41.14</v>
      </c>
      <c r="H708" s="14">
        <f t="shared" si="333"/>
        <v>40.730000000000004</v>
      </c>
      <c r="I708" s="14" t="b">
        <f t="shared" si="334"/>
        <v>0</v>
      </c>
      <c r="J708" s="2">
        <v>46003</v>
      </c>
      <c r="K708" s="5">
        <v>1007303</v>
      </c>
      <c r="L708" s="5">
        <v>3459</v>
      </c>
      <c r="M708" s="5">
        <v>0</v>
      </c>
      <c r="N708" s="5">
        <v>41.14</v>
      </c>
      <c r="O708" s="7">
        <v>45992</v>
      </c>
      <c r="P708" s="5">
        <v>41.14</v>
      </c>
      <c r="Q708" s="5">
        <v>0</v>
      </c>
      <c r="R708" s="5" t="s">
        <v>32</v>
      </c>
      <c r="S708" s="5" t="s">
        <v>33</v>
      </c>
      <c r="T708" s="5">
        <v>0.41</v>
      </c>
      <c r="U708" s="5">
        <v>41.14</v>
      </c>
      <c r="V708" s="5" t="s">
        <v>34</v>
      </c>
      <c r="W708" s="5">
        <v>10</v>
      </c>
      <c r="X708" s="5" t="s">
        <v>404</v>
      </c>
      <c r="Y708" s="7">
        <v>46003</v>
      </c>
      <c r="Z708" s="7">
        <v>45992</v>
      </c>
      <c r="AA708" s="5" t="s">
        <v>32</v>
      </c>
      <c r="AB708" s="6">
        <v>46003</v>
      </c>
      <c r="AC708" s="7">
        <v>46003.572916666664</v>
      </c>
      <c r="AD708" s="5">
        <v>34591007303</v>
      </c>
      <c r="AE708" s="8">
        <v>45992</v>
      </c>
      <c r="AF708" s="5" t="s">
        <v>406</v>
      </c>
      <c r="AG708" s="5" t="s">
        <v>37</v>
      </c>
      <c r="AH708" s="5">
        <v>205858</v>
      </c>
      <c r="AI708" s="6">
        <v>45992</v>
      </c>
      <c r="AJ708" s="6">
        <v>46003</v>
      </c>
      <c r="AK708" s="1">
        <f t="shared" si="335"/>
        <v>0.82279999999999998</v>
      </c>
      <c r="AL708" t="s">
        <v>673</v>
      </c>
      <c r="AM708">
        <f t="shared" si="336"/>
        <v>0.41</v>
      </c>
    </row>
    <row r="709" spans="1:39" x14ac:dyDescent="0.55000000000000004">
      <c r="A709">
        <v>3459</v>
      </c>
      <c r="B709">
        <v>1007314</v>
      </c>
      <c r="C709">
        <v>74.680000000000007</v>
      </c>
      <c r="E709">
        <v>74.680000000000007</v>
      </c>
      <c r="F709">
        <v>0.75</v>
      </c>
      <c r="G709">
        <v>74.680000000000007</v>
      </c>
      <c r="H709" s="14">
        <f t="shared" si="333"/>
        <v>73.930000000000007</v>
      </c>
      <c r="I709" s="14" t="b">
        <f t="shared" si="334"/>
        <v>0</v>
      </c>
      <c r="J709" s="2">
        <v>46003</v>
      </c>
      <c r="K709" s="5">
        <v>1007314</v>
      </c>
      <c r="L709" s="5">
        <v>3459</v>
      </c>
      <c r="M709" s="5">
        <v>0</v>
      </c>
      <c r="N709" s="5">
        <v>74.680000000000007</v>
      </c>
      <c r="O709" s="7">
        <v>45992</v>
      </c>
      <c r="P709" s="5">
        <v>74.680000000000007</v>
      </c>
      <c r="Q709" s="5">
        <v>0</v>
      </c>
      <c r="R709" s="5" t="s">
        <v>32</v>
      </c>
      <c r="S709" s="5" t="s">
        <v>33</v>
      </c>
      <c r="T709" s="5">
        <v>0.75</v>
      </c>
      <c r="U709" s="5">
        <v>74.680000000000007</v>
      </c>
      <c r="V709" s="5" t="s">
        <v>34</v>
      </c>
      <c r="W709" s="5">
        <v>10</v>
      </c>
      <c r="X709" s="5" t="s">
        <v>404</v>
      </c>
      <c r="Y709" s="7">
        <v>46003</v>
      </c>
      <c r="Z709" s="7">
        <v>45992</v>
      </c>
      <c r="AA709" s="5" t="s">
        <v>32</v>
      </c>
      <c r="AB709" s="6">
        <v>46003</v>
      </c>
      <c r="AC709" s="7">
        <v>46003.572916666664</v>
      </c>
      <c r="AD709" s="5">
        <v>34591007314</v>
      </c>
      <c r="AE709" s="8">
        <v>45992</v>
      </c>
      <c r="AF709" s="5" t="s">
        <v>407</v>
      </c>
      <c r="AG709" s="5" t="s">
        <v>37</v>
      </c>
      <c r="AH709" s="5">
        <v>205875</v>
      </c>
      <c r="AI709" s="6">
        <v>45992</v>
      </c>
      <c r="AJ709" s="6">
        <v>46003</v>
      </c>
      <c r="AK709" s="1">
        <f t="shared" si="335"/>
        <v>1.4936000000000003</v>
      </c>
      <c r="AL709" t="s">
        <v>673</v>
      </c>
      <c r="AM709">
        <f t="shared" si="336"/>
        <v>0.75</v>
      </c>
    </row>
    <row r="710" spans="1:39" x14ac:dyDescent="0.55000000000000004">
      <c r="A710">
        <v>3459</v>
      </c>
      <c r="B710">
        <v>1007359</v>
      </c>
      <c r="C710">
        <v>156.66</v>
      </c>
      <c r="E710">
        <v>156.66</v>
      </c>
      <c r="F710">
        <v>1.57</v>
      </c>
      <c r="G710">
        <v>156.66</v>
      </c>
      <c r="H710" s="14">
        <f t="shared" si="333"/>
        <v>155.09</v>
      </c>
      <c r="I710" s="14" t="b">
        <f t="shared" si="334"/>
        <v>0</v>
      </c>
      <c r="J710" s="2">
        <v>46003</v>
      </c>
      <c r="K710" s="5">
        <v>1007359</v>
      </c>
      <c r="L710" s="5">
        <v>3459</v>
      </c>
      <c r="M710" s="5">
        <v>0</v>
      </c>
      <c r="N710" s="5">
        <v>156.66</v>
      </c>
      <c r="O710" s="7">
        <v>45992</v>
      </c>
      <c r="P710" s="5">
        <v>156.66</v>
      </c>
      <c r="Q710" s="5">
        <v>0</v>
      </c>
      <c r="R710" s="5" t="s">
        <v>32</v>
      </c>
      <c r="S710" s="5" t="s">
        <v>33</v>
      </c>
      <c r="T710" s="5">
        <v>1.57</v>
      </c>
      <c r="U710" s="5">
        <v>156.66</v>
      </c>
      <c r="V710" s="5" t="s">
        <v>34</v>
      </c>
      <c r="W710" s="5">
        <v>10</v>
      </c>
      <c r="X710" s="5" t="s">
        <v>404</v>
      </c>
      <c r="Y710" s="7">
        <v>46003</v>
      </c>
      <c r="Z710" s="7">
        <v>45992</v>
      </c>
      <c r="AA710" s="5" t="s">
        <v>32</v>
      </c>
      <c r="AB710" s="6">
        <v>46003</v>
      </c>
      <c r="AC710" s="7">
        <v>46003.572916666664</v>
      </c>
      <c r="AD710" s="5">
        <v>34591007359</v>
      </c>
      <c r="AE710" s="8">
        <v>45992</v>
      </c>
      <c r="AF710" s="5" t="s">
        <v>407</v>
      </c>
      <c r="AG710" s="5" t="s">
        <v>37</v>
      </c>
      <c r="AH710" s="5">
        <v>205885</v>
      </c>
      <c r="AI710" s="6">
        <v>45992</v>
      </c>
      <c r="AJ710" s="6">
        <v>46003</v>
      </c>
      <c r="AK710" s="1">
        <f t="shared" si="335"/>
        <v>3.1332</v>
      </c>
      <c r="AL710" t="s">
        <v>673</v>
      </c>
      <c r="AM710">
        <f t="shared" si="336"/>
        <v>1.57</v>
      </c>
    </row>
    <row r="711" spans="1:39" hidden="1" x14ac:dyDescent="0.55000000000000004">
      <c r="A711">
        <v>3459</v>
      </c>
      <c r="B711">
        <v>1007634</v>
      </c>
      <c r="C711" s="1">
        <v>3990</v>
      </c>
      <c r="E711" s="1">
        <v>3990</v>
      </c>
      <c r="F711">
        <v>39.9</v>
      </c>
      <c r="G711" s="1">
        <v>3950.1</v>
      </c>
      <c r="H711" s="1"/>
      <c r="I711" s="1"/>
      <c r="J711" s="2">
        <v>46003</v>
      </c>
      <c r="K711" s="5">
        <v>1007634</v>
      </c>
      <c r="L711" s="5">
        <v>3459</v>
      </c>
      <c r="M711" s="5">
        <v>0</v>
      </c>
      <c r="N711" s="5">
        <v>3990</v>
      </c>
      <c r="O711" s="7">
        <v>45993</v>
      </c>
      <c r="P711" s="5">
        <v>3990</v>
      </c>
      <c r="Q711" s="5">
        <v>0</v>
      </c>
      <c r="R711" s="5" t="s">
        <v>32</v>
      </c>
      <c r="S711" s="5" t="s">
        <v>33</v>
      </c>
      <c r="T711" s="5">
        <v>39.9</v>
      </c>
      <c r="U711" s="5">
        <v>3950.1</v>
      </c>
      <c r="V711" s="5" t="s">
        <v>34</v>
      </c>
      <c r="W711" s="5">
        <v>10</v>
      </c>
      <c r="X711" s="5" t="s">
        <v>404</v>
      </c>
      <c r="Y711" s="7">
        <v>46003</v>
      </c>
      <c r="Z711" s="7">
        <v>45993</v>
      </c>
      <c r="AA711" s="5" t="s">
        <v>32</v>
      </c>
      <c r="AB711" s="6">
        <v>46003</v>
      </c>
      <c r="AC711" s="7">
        <v>46003.572916666664</v>
      </c>
      <c r="AD711" s="5">
        <v>34591007634</v>
      </c>
      <c r="AE711" s="8">
        <v>45993</v>
      </c>
      <c r="AF711" s="5" t="s">
        <v>32</v>
      </c>
      <c r="AG711" s="5" t="s">
        <v>35</v>
      </c>
      <c r="AH711" s="5" t="s">
        <v>32</v>
      </c>
      <c r="AI711" s="6">
        <v>45993</v>
      </c>
      <c r="AJ711" s="6">
        <v>46003</v>
      </c>
    </row>
    <row r="712" spans="1:39" x14ac:dyDescent="0.55000000000000004">
      <c r="A712">
        <v>3459</v>
      </c>
      <c r="B712">
        <v>1007833</v>
      </c>
      <c r="C712">
        <v>250.68</v>
      </c>
      <c r="E712">
        <v>250.68</v>
      </c>
      <c r="F712">
        <v>2.5099999999999998</v>
      </c>
      <c r="G712">
        <v>250.68</v>
      </c>
      <c r="H712" s="14">
        <f>C712-D712-F712</f>
        <v>248.17000000000002</v>
      </c>
      <c r="I712" s="14" t="b">
        <f>G712=H712</f>
        <v>0</v>
      </c>
      <c r="J712" s="2">
        <v>46003</v>
      </c>
      <c r="K712" s="5">
        <v>1007833</v>
      </c>
      <c r="L712" s="5">
        <v>3459</v>
      </c>
      <c r="M712" s="5">
        <v>0</v>
      </c>
      <c r="N712" s="5">
        <v>250.68</v>
      </c>
      <c r="O712" s="7">
        <v>45993</v>
      </c>
      <c r="P712" s="5">
        <v>250.68</v>
      </c>
      <c r="Q712" s="5">
        <v>0</v>
      </c>
      <c r="R712" s="5" t="s">
        <v>32</v>
      </c>
      <c r="S712" s="5" t="s">
        <v>33</v>
      </c>
      <c r="T712" s="5">
        <v>2.5099999999999998</v>
      </c>
      <c r="U712" s="5">
        <v>250.68</v>
      </c>
      <c r="V712" s="5" t="s">
        <v>34</v>
      </c>
      <c r="W712" s="5">
        <v>10</v>
      </c>
      <c r="X712" s="5" t="s">
        <v>404</v>
      </c>
      <c r="Y712" s="7">
        <v>46003</v>
      </c>
      <c r="Z712" s="7">
        <v>45993</v>
      </c>
      <c r="AA712" s="5" t="s">
        <v>32</v>
      </c>
      <c r="AB712" s="6">
        <v>46003</v>
      </c>
      <c r="AC712" s="7">
        <v>46003.572916666664</v>
      </c>
      <c r="AD712" s="5">
        <v>34591007833</v>
      </c>
      <c r="AE712" s="8">
        <v>45993</v>
      </c>
      <c r="AF712" s="5" t="s">
        <v>408</v>
      </c>
      <c r="AG712" s="5" t="s">
        <v>37</v>
      </c>
      <c r="AH712" s="5">
        <v>206165</v>
      </c>
      <c r="AI712" s="6">
        <v>45993</v>
      </c>
      <c r="AJ712" s="6">
        <v>46003</v>
      </c>
      <c r="AK712" s="1">
        <f t="shared" ref="AK712" si="337">0.02*C712</f>
        <v>5.0136000000000003</v>
      </c>
      <c r="AL712" t="s">
        <v>673</v>
      </c>
      <c r="AM712">
        <f>F712</f>
        <v>2.5099999999999998</v>
      </c>
    </row>
    <row r="713" spans="1:39" hidden="1" x14ac:dyDescent="0.55000000000000004">
      <c r="A713">
        <v>3459</v>
      </c>
      <c r="B713">
        <v>1007890</v>
      </c>
      <c r="C713">
        <v>299.68</v>
      </c>
      <c r="E713">
        <v>299.68</v>
      </c>
      <c r="F713">
        <v>3</v>
      </c>
      <c r="G713">
        <v>296.68</v>
      </c>
      <c r="H713"/>
      <c r="I713"/>
      <c r="J713" s="2">
        <v>46003</v>
      </c>
      <c r="K713" s="5">
        <v>1007890</v>
      </c>
      <c r="L713" s="5">
        <v>3459</v>
      </c>
      <c r="M713" s="5">
        <v>0</v>
      </c>
      <c r="N713" s="5">
        <v>299.68</v>
      </c>
      <c r="O713" s="7">
        <v>45994</v>
      </c>
      <c r="P713" s="5">
        <v>299.68</v>
      </c>
      <c r="Q713" s="5">
        <v>0</v>
      </c>
      <c r="R713" s="5" t="s">
        <v>32</v>
      </c>
      <c r="S713" s="5" t="s">
        <v>33</v>
      </c>
      <c r="T713" s="5">
        <v>3</v>
      </c>
      <c r="U713" s="5">
        <v>296.68</v>
      </c>
      <c r="V713" s="5" t="s">
        <v>34</v>
      </c>
      <c r="W713" s="5">
        <v>10</v>
      </c>
      <c r="X713" s="5" t="s">
        <v>404</v>
      </c>
      <c r="Y713" s="7">
        <v>46003</v>
      </c>
      <c r="Z713" s="7">
        <v>45994</v>
      </c>
      <c r="AA713" s="5" t="s">
        <v>32</v>
      </c>
      <c r="AB713" s="6">
        <v>46003</v>
      </c>
      <c r="AC713" s="7">
        <v>46003.572916666664</v>
      </c>
      <c r="AD713" s="5">
        <v>34591007890</v>
      </c>
      <c r="AE713" s="8">
        <v>45994</v>
      </c>
      <c r="AF713" s="5" t="s">
        <v>409</v>
      </c>
      <c r="AG713" s="5" t="s">
        <v>38</v>
      </c>
      <c r="AH713" s="5">
        <v>206472</v>
      </c>
      <c r="AI713" s="6">
        <v>45994</v>
      </c>
      <c r="AJ713" s="6">
        <v>46003</v>
      </c>
    </row>
    <row r="714" spans="1:39" x14ac:dyDescent="0.55000000000000004">
      <c r="A714">
        <v>3459</v>
      </c>
      <c r="B714">
        <v>1007979</v>
      </c>
      <c r="C714">
        <v>568.1</v>
      </c>
      <c r="E714">
        <v>568.1</v>
      </c>
      <c r="F714">
        <v>5.68</v>
      </c>
      <c r="G714">
        <v>568.1</v>
      </c>
      <c r="H714" s="14">
        <f>C714-D714-F714</f>
        <v>562.42000000000007</v>
      </c>
      <c r="I714" s="14" t="b">
        <f>G714=H714</f>
        <v>0</v>
      </c>
      <c r="J714" s="2">
        <v>46003</v>
      </c>
      <c r="K714" s="5">
        <v>1007979</v>
      </c>
      <c r="L714" s="5">
        <v>3459</v>
      </c>
      <c r="M714" s="5">
        <v>0</v>
      </c>
      <c r="N714" s="5">
        <v>568.1</v>
      </c>
      <c r="O714" s="7">
        <v>45994</v>
      </c>
      <c r="P714" s="5">
        <v>568.1</v>
      </c>
      <c r="Q714" s="5">
        <v>0</v>
      </c>
      <c r="R714" s="5" t="s">
        <v>32</v>
      </c>
      <c r="S714" s="5" t="s">
        <v>33</v>
      </c>
      <c r="T714" s="5">
        <v>5.68</v>
      </c>
      <c r="U714" s="5">
        <v>568.1</v>
      </c>
      <c r="V714" s="5" t="s">
        <v>34</v>
      </c>
      <c r="W714" s="5">
        <v>10</v>
      </c>
      <c r="X714" s="5" t="s">
        <v>404</v>
      </c>
      <c r="Y714" s="7">
        <v>46003</v>
      </c>
      <c r="Z714" s="7">
        <v>45994</v>
      </c>
      <c r="AA714" s="5" t="s">
        <v>32</v>
      </c>
      <c r="AB714" s="6">
        <v>46003</v>
      </c>
      <c r="AC714" s="7">
        <v>46003.572916666664</v>
      </c>
      <c r="AD714" s="5">
        <v>34591007979</v>
      </c>
      <c r="AE714" s="8">
        <v>45994</v>
      </c>
      <c r="AF714" s="5" t="s">
        <v>410</v>
      </c>
      <c r="AG714" s="5" t="s">
        <v>37</v>
      </c>
      <c r="AH714" s="5">
        <v>206253</v>
      </c>
      <c r="AI714" s="6">
        <v>45994</v>
      </c>
      <c r="AJ714" s="6">
        <v>46003</v>
      </c>
      <c r="AK714" s="1">
        <f t="shared" ref="AK714" si="338">0.02*C714</f>
        <v>11.362</v>
      </c>
      <c r="AL714" t="s">
        <v>673</v>
      </c>
      <c r="AM714">
        <f>F714</f>
        <v>5.68</v>
      </c>
    </row>
    <row r="715" spans="1:39" hidden="1" x14ac:dyDescent="0.55000000000000004">
      <c r="A715">
        <v>3459</v>
      </c>
      <c r="B715">
        <v>1007980</v>
      </c>
      <c r="C715">
        <v>77.75</v>
      </c>
      <c r="E715">
        <v>77.75</v>
      </c>
      <c r="F715">
        <v>0.78</v>
      </c>
      <c r="G715">
        <v>76.97</v>
      </c>
      <c r="H715"/>
      <c r="I715"/>
      <c r="J715" s="2">
        <v>46003</v>
      </c>
      <c r="K715" s="5">
        <v>1007980</v>
      </c>
      <c r="L715" s="5">
        <v>3459</v>
      </c>
      <c r="M715" s="5">
        <v>0</v>
      </c>
      <c r="N715" s="5">
        <v>77.75</v>
      </c>
      <c r="O715" s="7">
        <v>45994</v>
      </c>
      <c r="P715" s="5">
        <v>77.75</v>
      </c>
      <c r="Q715" s="5">
        <v>0</v>
      </c>
      <c r="R715" s="5" t="s">
        <v>32</v>
      </c>
      <c r="S715" s="5" t="s">
        <v>33</v>
      </c>
      <c r="T715" s="5">
        <v>0.78</v>
      </c>
      <c r="U715" s="5">
        <v>76.97</v>
      </c>
      <c r="V715" s="5" t="s">
        <v>34</v>
      </c>
      <c r="W715" s="5">
        <v>10</v>
      </c>
      <c r="X715" s="5" t="s">
        <v>404</v>
      </c>
      <c r="Y715" s="7">
        <v>46003</v>
      </c>
      <c r="Z715" s="7">
        <v>45994</v>
      </c>
      <c r="AA715" s="5" t="s">
        <v>32</v>
      </c>
      <c r="AB715" s="6">
        <v>46003</v>
      </c>
      <c r="AC715" s="7">
        <v>46003.572916666664</v>
      </c>
      <c r="AD715" s="5">
        <v>34591007980</v>
      </c>
      <c r="AE715" s="8">
        <v>45994</v>
      </c>
      <c r="AF715" s="5" t="s">
        <v>408</v>
      </c>
      <c r="AG715" s="5" t="s">
        <v>38</v>
      </c>
      <c r="AH715" s="5">
        <v>206255</v>
      </c>
      <c r="AI715" s="6">
        <v>45994</v>
      </c>
      <c r="AJ715" s="6">
        <v>46003</v>
      </c>
    </row>
    <row r="716" spans="1:39" x14ac:dyDescent="0.55000000000000004">
      <c r="A716">
        <v>3459</v>
      </c>
      <c r="B716">
        <v>1007985</v>
      </c>
      <c r="C716" s="1">
        <v>3614.27</v>
      </c>
      <c r="E716" s="1">
        <v>3614.27</v>
      </c>
      <c r="F716">
        <v>36.14</v>
      </c>
      <c r="G716" s="1">
        <v>3614.27</v>
      </c>
      <c r="H716" s="14">
        <f t="shared" ref="H716:H717" si="339">C716-D716-F716</f>
        <v>3578.13</v>
      </c>
      <c r="I716" s="14" t="b">
        <f t="shared" ref="I716:I717" si="340">G716=H716</f>
        <v>0</v>
      </c>
      <c r="J716" s="2">
        <v>46003</v>
      </c>
      <c r="K716" s="5">
        <v>1007985</v>
      </c>
      <c r="L716" s="5">
        <v>3459</v>
      </c>
      <c r="M716" s="5">
        <v>0</v>
      </c>
      <c r="N716" s="5">
        <v>3614.27</v>
      </c>
      <c r="O716" s="7">
        <v>45994</v>
      </c>
      <c r="P716" s="5">
        <v>3614.27</v>
      </c>
      <c r="Q716" s="5">
        <v>0</v>
      </c>
      <c r="R716" s="5" t="s">
        <v>32</v>
      </c>
      <c r="S716" s="5" t="s">
        <v>33</v>
      </c>
      <c r="T716" s="5">
        <v>36.14</v>
      </c>
      <c r="U716" s="5">
        <v>3614.27</v>
      </c>
      <c r="V716" s="5" t="s">
        <v>34</v>
      </c>
      <c r="W716" s="5">
        <v>10</v>
      </c>
      <c r="X716" s="5" t="s">
        <v>404</v>
      </c>
      <c r="Y716" s="7">
        <v>46003</v>
      </c>
      <c r="Z716" s="7">
        <v>45994</v>
      </c>
      <c r="AA716" s="5" t="s">
        <v>32</v>
      </c>
      <c r="AB716" s="6">
        <v>46003</v>
      </c>
      <c r="AC716" s="7">
        <v>46003.572916666664</v>
      </c>
      <c r="AD716" s="5">
        <v>34591007985</v>
      </c>
      <c r="AE716" s="8">
        <v>45994</v>
      </c>
      <c r="AF716" s="5" t="s">
        <v>408</v>
      </c>
      <c r="AG716" s="5" t="s">
        <v>37</v>
      </c>
      <c r="AH716" s="5">
        <v>206254</v>
      </c>
      <c r="AI716" s="6">
        <v>45994</v>
      </c>
      <c r="AJ716" s="6">
        <v>46003</v>
      </c>
      <c r="AK716" s="1">
        <f t="shared" ref="AK716:AK717" si="341">0.02*C716</f>
        <v>72.285399999999996</v>
      </c>
      <c r="AL716" t="s">
        <v>673</v>
      </c>
      <c r="AM716">
        <f t="shared" ref="AM716:AM717" si="342">F716</f>
        <v>36.14</v>
      </c>
    </row>
    <row r="717" spans="1:39" x14ac:dyDescent="0.55000000000000004">
      <c r="A717">
        <v>3459</v>
      </c>
      <c r="B717">
        <v>1008068</v>
      </c>
      <c r="C717">
        <v>144.9</v>
      </c>
      <c r="E717">
        <v>144.9</v>
      </c>
      <c r="F717">
        <v>1.45</v>
      </c>
      <c r="G717">
        <v>144.9</v>
      </c>
      <c r="H717" s="14">
        <f t="shared" si="339"/>
        <v>143.45000000000002</v>
      </c>
      <c r="I717" s="14" t="b">
        <f t="shared" si="340"/>
        <v>0</v>
      </c>
      <c r="J717" s="2">
        <v>46003</v>
      </c>
      <c r="K717" s="5">
        <v>1008068</v>
      </c>
      <c r="L717" s="5">
        <v>3459</v>
      </c>
      <c r="M717" s="5">
        <v>0</v>
      </c>
      <c r="N717" s="5">
        <v>144.9</v>
      </c>
      <c r="O717" s="7">
        <v>45995</v>
      </c>
      <c r="P717" s="5">
        <v>144.9</v>
      </c>
      <c r="Q717" s="5">
        <v>0</v>
      </c>
      <c r="R717" s="5" t="s">
        <v>32</v>
      </c>
      <c r="S717" s="5" t="s">
        <v>33</v>
      </c>
      <c r="T717" s="5">
        <v>1.45</v>
      </c>
      <c r="U717" s="5">
        <v>144.9</v>
      </c>
      <c r="V717" s="5" t="s">
        <v>34</v>
      </c>
      <c r="W717" s="5">
        <v>10</v>
      </c>
      <c r="X717" s="5" t="s">
        <v>404</v>
      </c>
      <c r="Y717" s="7">
        <v>46003</v>
      </c>
      <c r="Z717" s="7">
        <v>45995</v>
      </c>
      <c r="AA717" s="5" t="s">
        <v>32</v>
      </c>
      <c r="AB717" s="6">
        <v>46003</v>
      </c>
      <c r="AC717" s="7">
        <v>46003.572916666664</v>
      </c>
      <c r="AD717" s="5">
        <v>34591008068</v>
      </c>
      <c r="AE717" s="8">
        <v>45995</v>
      </c>
      <c r="AF717" s="5" t="s">
        <v>411</v>
      </c>
      <c r="AG717" s="5" t="s">
        <v>37</v>
      </c>
      <c r="AH717" s="5">
        <v>206418</v>
      </c>
      <c r="AI717" s="6">
        <v>45995</v>
      </c>
      <c r="AJ717" s="6">
        <v>46003</v>
      </c>
      <c r="AK717" s="1">
        <f t="shared" si="341"/>
        <v>2.8980000000000001</v>
      </c>
      <c r="AL717" t="s">
        <v>673</v>
      </c>
      <c r="AM717">
        <f t="shared" si="342"/>
        <v>1.45</v>
      </c>
    </row>
    <row r="718" spans="1:39" hidden="1" x14ac:dyDescent="0.55000000000000004">
      <c r="A718">
        <v>3459</v>
      </c>
      <c r="B718">
        <v>1008383</v>
      </c>
      <c r="C718">
        <v>-500</v>
      </c>
      <c r="E718">
        <v>-500</v>
      </c>
      <c r="G718">
        <v>-500</v>
      </c>
      <c r="H718"/>
      <c r="I718"/>
      <c r="J718" s="2">
        <v>46003</v>
      </c>
      <c r="K718" s="5">
        <v>1008383</v>
      </c>
      <c r="L718" s="5">
        <v>3459</v>
      </c>
      <c r="M718" s="5">
        <v>0</v>
      </c>
      <c r="N718" s="5">
        <v>-500</v>
      </c>
      <c r="O718" s="7">
        <v>45996</v>
      </c>
      <c r="P718" s="5">
        <v>-500</v>
      </c>
      <c r="Q718" s="5">
        <v>0</v>
      </c>
      <c r="R718" s="5" t="s">
        <v>412</v>
      </c>
      <c r="S718" s="5" t="s">
        <v>138</v>
      </c>
      <c r="T718" s="5">
        <v>0</v>
      </c>
      <c r="U718" s="5">
        <v>-500</v>
      </c>
      <c r="V718" s="5" t="s">
        <v>34</v>
      </c>
      <c r="W718" s="5">
        <v>10</v>
      </c>
      <c r="X718" s="5" t="s">
        <v>404</v>
      </c>
      <c r="Y718" s="7">
        <v>46003</v>
      </c>
      <c r="Z718" s="7">
        <v>45996</v>
      </c>
      <c r="AA718" s="5" t="s">
        <v>32</v>
      </c>
      <c r="AB718" s="6">
        <v>46003</v>
      </c>
      <c r="AC718" s="7">
        <v>46003.572916666664</v>
      </c>
      <c r="AD718" s="5">
        <v>34591008383</v>
      </c>
      <c r="AE718" s="8">
        <v>45996</v>
      </c>
      <c r="AF718" s="5" t="s">
        <v>32</v>
      </c>
      <c r="AG718" s="5" t="s">
        <v>38</v>
      </c>
      <c r="AH718" s="5" t="s">
        <v>412</v>
      </c>
      <c r="AI718" s="6">
        <v>45996</v>
      </c>
      <c r="AJ718" s="6">
        <v>46003</v>
      </c>
    </row>
    <row r="719" spans="1:39" x14ac:dyDescent="0.55000000000000004">
      <c r="A719">
        <v>3459</v>
      </c>
      <c r="B719">
        <v>1008477</v>
      </c>
      <c r="C719">
        <v>550.58000000000004</v>
      </c>
      <c r="E719">
        <v>550.58000000000004</v>
      </c>
      <c r="F719">
        <v>5.51</v>
      </c>
      <c r="G719">
        <v>550.58000000000004</v>
      </c>
      <c r="H719" s="14">
        <f>C719-D719-F719</f>
        <v>545.07000000000005</v>
      </c>
      <c r="I719" s="14" t="b">
        <f>G719=H719</f>
        <v>0</v>
      </c>
      <c r="J719" s="2">
        <v>46003</v>
      </c>
      <c r="K719" s="5">
        <v>1008477</v>
      </c>
      <c r="L719" s="5">
        <v>3459</v>
      </c>
      <c r="M719" s="5">
        <v>0</v>
      </c>
      <c r="N719" s="5">
        <v>550.58000000000004</v>
      </c>
      <c r="O719" s="7">
        <v>45996</v>
      </c>
      <c r="P719" s="5">
        <v>550.58000000000004</v>
      </c>
      <c r="Q719" s="5">
        <v>0</v>
      </c>
      <c r="R719" s="5" t="s">
        <v>32</v>
      </c>
      <c r="S719" s="5" t="s">
        <v>33</v>
      </c>
      <c r="T719" s="5">
        <v>5.51</v>
      </c>
      <c r="U719" s="5">
        <v>550.58000000000004</v>
      </c>
      <c r="V719" s="5" t="s">
        <v>34</v>
      </c>
      <c r="W719" s="5">
        <v>10</v>
      </c>
      <c r="X719" s="5" t="s">
        <v>404</v>
      </c>
      <c r="Y719" s="7">
        <v>46003</v>
      </c>
      <c r="Z719" s="7">
        <v>45996</v>
      </c>
      <c r="AA719" s="5" t="s">
        <v>32</v>
      </c>
      <c r="AB719" s="6">
        <v>46003</v>
      </c>
      <c r="AC719" s="7">
        <v>46003.572916666664</v>
      </c>
      <c r="AD719" s="5">
        <v>34591008477</v>
      </c>
      <c r="AE719" s="8">
        <v>45996</v>
      </c>
      <c r="AF719" s="5" t="s">
        <v>413</v>
      </c>
      <c r="AG719" s="5" t="s">
        <v>37</v>
      </c>
      <c r="AH719" s="5">
        <v>206629</v>
      </c>
      <c r="AI719" s="6">
        <v>45996</v>
      </c>
      <c r="AJ719" s="6">
        <v>46003</v>
      </c>
      <c r="AK719" s="1">
        <f t="shared" ref="AK719" si="343">0.02*C719</f>
        <v>11.011600000000001</v>
      </c>
      <c r="AL719" t="s">
        <v>673</v>
      </c>
      <c r="AM719">
        <f>F719</f>
        <v>5.51</v>
      </c>
    </row>
    <row r="720" spans="1:39" hidden="1" x14ac:dyDescent="0.55000000000000004">
      <c r="A720">
        <v>3459</v>
      </c>
      <c r="B720">
        <v>1008574</v>
      </c>
      <c r="C720" s="1">
        <v>-2850</v>
      </c>
      <c r="E720" s="1">
        <v>-2850</v>
      </c>
      <c r="G720" s="1">
        <v>-2850</v>
      </c>
      <c r="H720" s="1"/>
      <c r="I720" s="1"/>
      <c r="J720" s="2">
        <v>46003</v>
      </c>
      <c r="K720" s="5">
        <v>1008574</v>
      </c>
      <c r="L720" s="5">
        <v>3459</v>
      </c>
      <c r="M720" s="5">
        <v>0</v>
      </c>
      <c r="N720" s="5">
        <v>-2850</v>
      </c>
      <c r="O720" s="7">
        <v>45999</v>
      </c>
      <c r="P720" s="5">
        <v>-2850</v>
      </c>
      <c r="Q720" s="5">
        <v>0</v>
      </c>
      <c r="R720" s="5">
        <v>1008574</v>
      </c>
      <c r="S720" s="5" t="s">
        <v>33</v>
      </c>
      <c r="T720" s="5">
        <v>0</v>
      </c>
      <c r="U720" s="5">
        <v>-2850</v>
      </c>
      <c r="V720" s="5" t="s">
        <v>34</v>
      </c>
      <c r="W720" s="5">
        <v>10</v>
      </c>
      <c r="X720" s="5" t="s">
        <v>404</v>
      </c>
      <c r="Y720" s="7">
        <v>46003</v>
      </c>
      <c r="Z720" s="7">
        <v>45999</v>
      </c>
      <c r="AA720" s="5" t="s">
        <v>32</v>
      </c>
      <c r="AB720" s="6">
        <v>46003</v>
      </c>
      <c r="AC720" s="7">
        <v>46003.572916666664</v>
      </c>
      <c r="AD720" s="5">
        <v>34591008574</v>
      </c>
      <c r="AE720" s="8">
        <v>45999</v>
      </c>
      <c r="AF720" s="5" t="s">
        <v>41</v>
      </c>
      <c r="AG720" s="5" t="s">
        <v>38</v>
      </c>
      <c r="AH720" s="5" t="s">
        <v>414</v>
      </c>
      <c r="AI720" s="6">
        <v>45999</v>
      </c>
      <c r="AJ720" s="6">
        <v>46003</v>
      </c>
    </row>
    <row r="721" spans="1:37" hidden="1" x14ac:dyDescent="0.55000000000000004">
      <c r="A721">
        <v>3508</v>
      </c>
      <c r="B721">
        <v>1001833</v>
      </c>
      <c r="C721">
        <v>350</v>
      </c>
      <c r="E721">
        <v>350</v>
      </c>
      <c r="G721">
        <v>350</v>
      </c>
      <c r="H721"/>
      <c r="I721"/>
      <c r="J721" s="2">
        <v>46003</v>
      </c>
      <c r="K721" s="5">
        <v>1001833</v>
      </c>
      <c r="L721" s="5">
        <v>3508</v>
      </c>
      <c r="M721" s="5">
        <v>0</v>
      </c>
      <c r="N721" s="5">
        <v>350</v>
      </c>
      <c r="O721" s="7">
        <v>45964</v>
      </c>
      <c r="P721" s="5">
        <v>350</v>
      </c>
      <c r="Q721" s="5">
        <v>0</v>
      </c>
      <c r="R721" s="5" t="s">
        <v>32</v>
      </c>
      <c r="S721" s="5" t="s">
        <v>33</v>
      </c>
      <c r="T721" s="5">
        <v>0</v>
      </c>
      <c r="U721" s="5">
        <v>350</v>
      </c>
      <c r="V721" s="5" t="s">
        <v>34</v>
      </c>
      <c r="W721" s="5">
        <v>2</v>
      </c>
      <c r="X721" s="5">
        <v>752520419433</v>
      </c>
      <c r="Y721" s="7">
        <v>46003</v>
      </c>
      <c r="Z721" s="7">
        <v>45964</v>
      </c>
      <c r="AB721" s="6">
        <v>46003</v>
      </c>
      <c r="AC721" s="7">
        <v>45999.49722222222</v>
      </c>
      <c r="AD721" s="5">
        <v>35081001833</v>
      </c>
      <c r="AE721" s="8">
        <v>45964</v>
      </c>
      <c r="AF721" s="5" t="s">
        <v>32</v>
      </c>
      <c r="AG721" s="5" t="s">
        <v>82</v>
      </c>
      <c r="AH721" s="5" t="s">
        <v>32</v>
      </c>
      <c r="AI721" s="6">
        <v>45964</v>
      </c>
      <c r="AJ721" s="6">
        <v>46003</v>
      </c>
    </row>
    <row r="722" spans="1:37" x14ac:dyDescent="0.55000000000000004">
      <c r="A722">
        <v>3529</v>
      </c>
      <c r="B722">
        <v>1007221</v>
      </c>
      <c r="C722">
        <v>24.12</v>
      </c>
      <c r="D722" s="4">
        <v>0.48</v>
      </c>
      <c r="E722">
        <v>23.64</v>
      </c>
      <c r="F722">
        <v>0.24</v>
      </c>
      <c r="G722">
        <v>23.4</v>
      </c>
      <c r="H722" s="14">
        <f t="shared" ref="H722:H725" si="344">C722-D722-F722</f>
        <v>23.400000000000002</v>
      </c>
      <c r="I722" s="14" t="b">
        <f t="shared" ref="I722:I725" si="345">G722=H722</f>
        <v>1</v>
      </c>
      <c r="J722" s="2">
        <v>46003</v>
      </c>
      <c r="K722" s="5">
        <v>1007221</v>
      </c>
      <c r="L722" s="5">
        <v>3529</v>
      </c>
      <c r="M722" s="5">
        <v>0.48</v>
      </c>
      <c r="N722" s="5">
        <v>24.12</v>
      </c>
      <c r="O722" s="7">
        <v>45992</v>
      </c>
      <c r="P722" s="5">
        <v>23.64</v>
      </c>
      <c r="Q722" s="5">
        <v>0.48</v>
      </c>
      <c r="R722" s="5" t="s">
        <v>32</v>
      </c>
      <c r="S722" s="5" t="s">
        <v>33</v>
      </c>
      <c r="T722" s="5">
        <v>0.24</v>
      </c>
      <c r="U722" s="5">
        <v>23.4</v>
      </c>
      <c r="V722" s="5" t="s">
        <v>34</v>
      </c>
      <c r="W722" s="5">
        <v>2</v>
      </c>
      <c r="X722" s="5">
        <v>8403823193994</v>
      </c>
      <c r="Y722" s="7">
        <v>46003</v>
      </c>
      <c r="Z722" s="7">
        <v>45992</v>
      </c>
      <c r="AB722" s="6">
        <v>46003</v>
      </c>
      <c r="AC722" s="7">
        <v>46002.705555555556</v>
      </c>
      <c r="AD722" s="5">
        <v>35291007221</v>
      </c>
      <c r="AE722" s="8">
        <v>45992</v>
      </c>
      <c r="AF722" s="5">
        <v>47569</v>
      </c>
      <c r="AG722" s="5" t="s">
        <v>37</v>
      </c>
      <c r="AH722" s="5">
        <v>205713</v>
      </c>
      <c r="AI722" s="6">
        <v>45992</v>
      </c>
      <c r="AJ722" s="6">
        <v>46003</v>
      </c>
      <c r="AK722" s="1">
        <f t="shared" ref="AK722:AK725" si="346">0.02*C722</f>
        <v>0.48240000000000005</v>
      </c>
    </row>
    <row r="723" spans="1:37" x14ac:dyDescent="0.55000000000000004">
      <c r="A723">
        <v>3529</v>
      </c>
      <c r="B723">
        <v>1007226</v>
      </c>
      <c r="C723">
        <v>24.12</v>
      </c>
      <c r="D723" s="4">
        <v>0.48</v>
      </c>
      <c r="E723">
        <v>23.64</v>
      </c>
      <c r="F723">
        <v>0.24</v>
      </c>
      <c r="G723">
        <v>23.4</v>
      </c>
      <c r="H723" s="14">
        <f t="shared" si="344"/>
        <v>23.400000000000002</v>
      </c>
      <c r="I723" s="14" t="b">
        <f t="shared" si="345"/>
        <v>1</v>
      </c>
      <c r="J723" s="2">
        <v>46003</v>
      </c>
      <c r="K723" s="5">
        <v>1007226</v>
      </c>
      <c r="L723" s="5">
        <v>3529</v>
      </c>
      <c r="M723" s="5">
        <v>0.48</v>
      </c>
      <c r="N723" s="5">
        <v>24.12</v>
      </c>
      <c r="O723" s="7">
        <v>45992</v>
      </c>
      <c r="P723" s="5">
        <v>23.64</v>
      </c>
      <c r="Q723" s="5">
        <v>0.48</v>
      </c>
      <c r="R723" s="5" t="s">
        <v>32</v>
      </c>
      <c r="S723" s="5" t="s">
        <v>33</v>
      </c>
      <c r="T723" s="5">
        <v>0.24</v>
      </c>
      <c r="U723" s="5">
        <v>23.4</v>
      </c>
      <c r="V723" s="5" t="s">
        <v>34</v>
      </c>
      <c r="W723" s="5">
        <v>2</v>
      </c>
      <c r="X723" s="5">
        <v>8403823193994</v>
      </c>
      <c r="Y723" s="7">
        <v>46003</v>
      </c>
      <c r="Z723" s="7">
        <v>45992</v>
      </c>
      <c r="AB723" s="6">
        <v>46003</v>
      </c>
      <c r="AC723" s="7">
        <v>46002.705555555556</v>
      </c>
      <c r="AD723" s="5">
        <v>35291007226</v>
      </c>
      <c r="AE723" s="8">
        <v>45992</v>
      </c>
      <c r="AF723" s="5">
        <v>47576</v>
      </c>
      <c r="AG723" s="5" t="s">
        <v>37</v>
      </c>
      <c r="AH723" s="5">
        <v>205714</v>
      </c>
      <c r="AI723" s="6">
        <v>45992</v>
      </c>
      <c r="AJ723" s="6">
        <v>46003</v>
      </c>
      <c r="AK723" s="1">
        <f t="shared" si="346"/>
        <v>0.48240000000000005</v>
      </c>
    </row>
    <row r="724" spans="1:37" x14ac:dyDescent="0.55000000000000004">
      <c r="A724">
        <v>3529</v>
      </c>
      <c r="B724">
        <v>1007402</v>
      </c>
      <c r="C724">
        <v>41.26</v>
      </c>
      <c r="D724" s="4">
        <v>0.83</v>
      </c>
      <c r="E724">
        <v>40.43</v>
      </c>
      <c r="F724">
        <v>0.41</v>
      </c>
      <c r="G724">
        <v>40.020000000000003</v>
      </c>
      <c r="H724" s="14">
        <f t="shared" si="344"/>
        <v>40.020000000000003</v>
      </c>
      <c r="I724" s="14" t="b">
        <f t="shared" si="345"/>
        <v>1</v>
      </c>
      <c r="J724" s="2">
        <v>46003</v>
      </c>
      <c r="K724" s="5">
        <v>1007402</v>
      </c>
      <c r="L724" s="5">
        <v>3529</v>
      </c>
      <c r="M724" s="5">
        <v>0.83</v>
      </c>
      <c r="N724" s="5">
        <v>41.26</v>
      </c>
      <c r="O724" s="7">
        <v>45992</v>
      </c>
      <c r="P724" s="5">
        <v>40.43</v>
      </c>
      <c r="Q724" s="5">
        <v>0.83</v>
      </c>
      <c r="R724" s="5" t="s">
        <v>32</v>
      </c>
      <c r="S724" s="5" t="s">
        <v>33</v>
      </c>
      <c r="T724" s="5">
        <v>0.41</v>
      </c>
      <c r="U724" s="5">
        <v>40.020000000000003</v>
      </c>
      <c r="V724" s="5" t="s">
        <v>34</v>
      </c>
      <c r="W724" s="5">
        <v>2</v>
      </c>
      <c r="X724" s="5">
        <v>8403823193994</v>
      </c>
      <c r="Y724" s="7">
        <v>46003</v>
      </c>
      <c r="Z724" s="7">
        <v>45992</v>
      </c>
      <c r="AB724" s="6">
        <v>46003</v>
      </c>
      <c r="AC724" s="7">
        <v>46002.705555555556</v>
      </c>
      <c r="AD724" s="5">
        <v>35291007402</v>
      </c>
      <c r="AE724" s="8">
        <v>45992</v>
      </c>
      <c r="AF724" s="5">
        <v>47586</v>
      </c>
      <c r="AG724" s="5" t="s">
        <v>37</v>
      </c>
      <c r="AH724" s="5">
        <v>205996</v>
      </c>
      <c r="AI724" s="6">
        <v>45992</v>
      </c>
      <c r="AJ724" s="6">
        <v>46003</v>
      </c>
      <c r="AK724" s="1">
        <f t="shared" si="346"/>
        <v>0.82519999999999993</v>
      </c>
    </row>
    <row r="725" spans="1:37" x14ac:dyDescent="0.55000000000000004">
      <c r="A725">
        <v>3529</v>
      </c>
      <c r="B725">
        <v>1007415</v>
      </c>
      <c r="C725">
        <v>127.73</v>
      </c>
      <c r="D725" s="4">
        <v>2.5499999999999998</v>
      </c>
      <c r="E725">
        <v>125.18</v>
      </c>
      <c r="F725">
        <v>1.28</v>
      </c>
      <c r="G725">
        <v>123.9</v>
      </c>
      <c r="H725" s="14">
        <f t="shared" si="344"/>
        <v>123.9</v>
      </c>
      <c r="I725" s="14" t="b">
        <f t="shared" si="345"/>
        <v>1</v>
      </c>
      <c r="J725" s="2">
        <v>46003</v>
      </c>
      <c r="K725" s="5">
        <v>1007415</v>
      </c>
      <c r="L725" s="5">
        <v>3529</v>
      </c>
      <c r="M725" s="5">
        <v>2.5499999999999998</v>
      </c>
      <c r="N725" s="5">
        <v>127.73</v>
      </c>
      <c r="O725" s="7">
        <v>45992</v>
      </c>
      <c r="P725" s="5">
        <v>125.18</v>
      </c>
      <c r="Q725" s="5">
        <v>2.5499999999999998</v>
      </c>
      <c r="R725" s="5" t="s">
        <v>32</v>
      </c>
      <c r="S725" s="5" t="s">
        <v>33</v>
      </c>
      <c r="T725" s="5">
        <v>1.28</v>
      </c>
      <c r="U725" s="5">
        <v>123.9</v>
      </c>
      <c r="V725" s="5" t="s">
        <v>34</v>
      </c>
      <c r="W725" s="5">
        <v>2</v>
      </c>
      <c r="X725" s="5">
        <v>8403823193994</v>
      </c>
      <c r="Y725" s="7">
        <v>46003</v>
      </c>
      <c r="Z725" s="7">
        <v>45992</v>
      </c>
      <c r="AB725" s="6">
        <v>46003</v>
      </c>
      <c r="AC725" s="7">
        <v>46002.705555555556</v>
      </c>
      <c r="AD725" s="5">
        <v>35291007415</v>
      </c>
      <c r="AE725" s="8">
        <v>45992</v>
      </c>
      <c r="AF725" s="5">
        <v>47551</v>
      </c>
      <c r="AG725" s="5" t="s">
        <v>37</v>
      </c>
      <c r="AH725" s="5">
        <v>205951</v>
      </c>
      <c r="AI725" s="6">
        <v>45992</v>
      </c>
      <c r="AJ725" s="6">
        <v>46003</v>
      </c>
      <c r="AK725" s="1">
        <f t="shared" si="346"/>
        <v>2.5546000000000002</v>
      </c>
    </row>
    <row r="726" spans="1:37" hidden="1" x14ac:dyDescent="0.55000000000000004">
      <c r="A726">
        <v>3529</v>
      </c>
      <c r="B726">
        <v>1007615</v>
      </c>
      <c r="C726">
        <v>350</v>
      </c>
      <c r="E726">
        <v>350</v>
      </c>
      <c r="F726">
        <v>3.5</v>
      </c>
      <c r="G726">
        <v>346.5</v>
      </c>
      <c r="H726"/>
      <c r="I726"/>
      <c r="J726" s="2">
        <v>46003</v>
      </c>
      <c r="K726" s="5">
        <v>1007615</v>
      </c>
      <c r="L726" s="5">
        <v>3529</v>
      </c>
      <c r="M726" s="5">
        <v>0</v>
      </c>
      <c r="N726" s="5">
        <v>350</v>
      </c>
      <c r="O726" s="7">
        <v>45993</v>
      </c>
      <c r="P726" s="5">
        <v>350</v>
      </c>
      <c r="Q726" s="5">
        <v>0</v>
      </c>
      <c r="R726" s="5" t="s">
        <v>32</v>
      </c>
      <c r="S726" s="5" t="s">
        <v>33</v>
      </c>
      <c r="T726" s="5">
        <v>3.5</v>
      </c>
      <c r="U726" s="5">
        <v>346.5</v>
      </c>
      <c r="V726" s="5" t="s">
        <v>34</v>
      </c>
      <c r="W726" s="5">
        <v>2</v>
      </c>
      <c r="X726" s="5">
        <v>8403823193994</v>
      </c>
      <c r="Y726" s="7">
        <v>46003</v>
      </c>
      <c r="Z726" s="7">
        <v>45993</v>
      </c>
      <c r="AB726" s="6">
        <v>46003</v>
      </c>
      <c r="AC726" s="7">
        <v>46002.705555555556</v>
      </c>
      <c r="AD726" s="5">
        <v>35291007615</v>
      </c>
      <c r="AE726" s="8">
        <v>45993</v>
      </c>
      <c r="AF726" s="5" t="s">
        <v>32</v>
      </c>
      <c r="AG726" s="5" t="s">
        <v>82</v>
      </c>
      <c r="AH726" s="5" t="s">
        <v>32</v>
      </c>
      <c r="AI726" s="6">
        <v>45993</v>
      </c>
      <c r="AJ726" s="6">
        <v>46003</v>
      </c>
    </row>
    <row r="727" spans="1:37" hidden="1" x14ac:dyDescent="0.55000000000000004">
      <c r="A727">
        <v>3529</v>
      </c>
      <c r="B727">
        <v>1007925</v>
      </c>
      <c r="C727">
        <v>283.45999999999998</v>
      </c>
      <c r="E727">
        <v>283.45999999999998</v>
      </c>
      <c r="F727">
        <v>2.83</v>
      </c>
      <c r="G727">
        <v>280.63</v>
      </c>
      <c r="H727"/>
      <c r="I727"/>
      <c r="J727" s="2">
        <v>46003</v>
      </c>
      <c r="K727" s="5">
        <v>1007925</v>
      </c>
      <c r="L727" s="5">
        <v>3529</v>
      </c>
      <c r="M727" s="5">
        <v>0</v>
      </c>
      <c r="N727" s="5">
        <v>283.45999999999998</v>
      </c>
      <c r="O727" s="7">
        <v>45994</v>
      </c>
      <c r="P727" s="5">
        <v>283.45999999999998</v>
      </c>
      <c r="Q727" s="5">
        <v>0</v>
      </c>
      <c r="R727" s="5" t="s">
        <v>32</v>
      </c>
      <c r="S727" s="5" t="s">
        <v>33</v>
      </c>
      <c r="T727" s="5">
        <v>2.83</v>
      </c>
      <c r="U727" s="5">
        <v>280.63</v>
      </c>
      <c r="V727" s="5" t="s">
        <v>34</v>
      </c>
      <c r="W727" s="5">
        <v>2</v>
      </c>
      <c r="X727" s="5">
        <v>8403823193994</v>
      </c>
      <c r="Y727" s="7">
        <v>46003</v>
      </c>
      <c r="Z727" s="7">
        <v>45994</v>
      </c>
      <c r="AB727" s="6">
        <v>46003</v>
      </c>
      <c r="AC727" s="7">
        <v>46002.705555555556</v>
      </c>
      <c r="AD727" s="5">
        <v>35291007925</v>
      </c>
      <c r="AE727" s="8">
        <v>45994</v>
      </c>
      <c r="AF727" s="5">
        <v>47576</v>
      </c>
      <c r="AG727" s="5" t="s">
        <v>38</v>
      </c>
      <c r="AH727" s="5">
        <v>206426</v>
      </c>
      <c r="AI727" s="6">
        <v>45994</v>
      </c>
      <c r="AJ727" s="6">
        <v>46003</v>
      </c>
    </row>
    <row r="728" spans="1:37" x14ac:dyDescent="0.55000000000000004">
      <c r="A728">
        <v>3529</v>
      </c>
      <c r="B728">
        <v>1008136</v>
      </c>
      <c r="C728">
        <v>420.42</v>
      </c>
      <c r="D728" s="4">
        <v>8.41</v>
      </c>
      <c r="E728">
        <v>412.01</v>
      </c>
      <c r="F728">
        <v>4.2</v>
      </c>
      <c r="G728">
        <v>407.81</v>
      </c>
      <c r="H728" s="14">
        <f t="shared" ref="H728:H729" si="347">C728-D728-F728</f>
        <v>407.81</v>
      </c>
      <c r="I728" s="14" t="b">
        <f t="shared" ref="I728:I729" si="348">G728=H728</f>
        <v>1</v>
      </c>
      <c r="J728" s="2">
        <v>46003</v>
      </c>
      <c r="K728" s="5">
        <v>1008136</v>
      </c>
      <c r="L728" s="5">
        <v>3529</v>
      </c>
      <c r="M728" s="5">
        <v>8.41</v>
      </c>
      <c r="N728" s="5">
        <v>420.42</v>
      </c>
      <c r="O728" s="7">
        <v>45995</v>
      </c>
      <c r="P728" s="5">
        <v>412.01</v>
      </c>
      <c r="Q728" s="5">
        <v>8.41</v>
      </c>
      <c r="R728" s="5" t="s">
        <v>32</v>
      </c>
      <c r="S728" s="5" t="s">
        <v>33</v>
      </c>
      <c r="T728" s="5">
        <v>4.2</v>
      </c>
      <c r="U728" s="5">
        <v>407.81</v>
      </c>
      <c r="V728" s="5" t="s">
        <v>34</v>
      </c>
      <c r="W728" s="5">
        <v>2</v>
      </c>
      <c r="X728" s="5">
        <v>8403823193994</v>
      </c>
      <c r="Y728" s="7">
        <v>46003</v>
      </c>
      <c r="Z728" s="7">
        <v>45995</v>
      </c>
      <c r="AB728" s="6">
        <v>46003</v>
      </c>
      <c r="AC728" s="7">
        <v>46002.705555555556</v>
      </c>
      <c r="AD728" s="5">
        <v>35291008136</v>
      </c>
      <c r="AE728" s="8">
        <v>45995</v>
      </c>
      <c r="AF728" s="5">
        <v>47609</v>
      </c>
      <c r="AG728" s="5" t="s">
        <v>37</v>
      </c>
      <c r="AH728" s="5">
        <v>206671</v>
      </c>
      <c r="AI728" s="6">
        <v>45995</v>
      </c>
      <c r="AJ728" s="6">
        <v>46003</v>
      </c>
      <c r="AK728" s="1">
        <f t="shared" ref="AK728:AK729" si="349">0.02*C728</f>
        <v>8.4084000000000003</v>
      </c>
    </row>
    <row r="729" spans="1:37" x14ac:dyDescent="0.55000000000000004">
      <c r="A729">
        <v>3529</v>
      </c>
      <c r="B729">
        <v>1008177</v>
      </c>
      <c r="C729">
        <v>512.99</v>
      </c>
      <c r="D729" s="4">
        <v>10.26</v>
      </c>
      <c r="E729">
        <v>502.73</v>
      </c>
      <c r="F729">
        <v>5.13</v>
      </c>
      <c r="G729">
        <v>497.6</v>
      </c>
      <c r="H729" s="14">
        <f t="shared" si="347"/>
        <v>497.6</v>
      </c>
      <c r="I729" s="14" t="b">
        <f t="shared" si="348"/>
        <v>1</v>
      </c>
      <c r="J729" s="2">
        <v>46003</v>
      </c>
      <c r="K729" s="5">
        <v>1008177</v>
      </c>
      <c r="L729" s="5">
        <v>3529</v>
      </c>
      <c r="M729" s="5">
        <v>10.26</v>
      </c>
      <c r="N729" s="5">
        <v>512.99</v>
      </c>
      <c r="O729" s="7">
        <v>45995</v>
      </c>
      <c r="P729" s="5">
        <v>502.73</v>
      </c>
      <c r="Q729" s="5">
        <v>10.26</v>
      </c>
      <c r="R729" s="5" t="s">
        <v>32</v>
      </c>
      <c r="S729" s="5" t="s">
        <v>33</v>
      </c>
      <c r="T729" s="5">
        <v>5.13</v>
      </c>
      <c r="U729" s="5">
        <v>497.6</v>
      </c>
      <c r="V729" s="5" t="s">
        <v>34</v>
      </c>
      <c r="W729" s="5">
        <v>2</v>
      </c>
      <c r="X729" s="5">
        <v>8403823193994</v>
      </c>
      <c r="Y729" s="7">
        <v>46003</v>
      </c>
      <c r="Z729" s="7">
        <v>45995</v>
      </c>
      <c r="AB729" s="6">
        <v>46003</v>
      </c>
      <c r="AC729" s="7">
        <v>46002.705555555556</v>
      </c>
      <c r="AD729" s="5">
        <v>35291008177</v>
      </c>
      <c r="AE729" s="8">
        <v>45995</v>
      </c>
      <c r="AF729" s="5">
        <v>47609</v>
      </c>
      <c r="AG729" s="5" t="s">
        <v>37</v>
      </c>
      <c r="AH729" s="5">
        <v>206684</v>
      </c>
      <c r="AI729" s="6">
        <v>45995</v>
      </c>
      <c r="AJ729" s="6">
        <v>46003</v>
      </c>
      <c r="AK729" s="1">
        <f t="shared" si="349"/>
        <v>10.2598</v>
      </c>
    </row>
    <row r="730" spans="1:37" hidden="1" x14ac:dyDescent="0.55000000000000004">
      <c r="A730">
        <v>3529</v>
      </c>
      <c r="B730">
        <v>1008180</v>
      </c>
      <c r="C730" s="1">
        <v>1190.77</v>
      </c>
      <c r="E730" s="1">
        <v>1190.77</v>
      </c>
      <c r="F730">
        <v>11.91</v>
      </c>
      <c r="G730" s="1">
        <v>1178.8599999999999</v>
      </c>
      <c r="H730" s="1"/>
      <c r="I730" s="1"/>
      <c r="J730" s="2">
        <v>46003</v>
      </c>
      <c r="K730" s="5">
        <v>1008180</v>
      </c>
      <c r="L730" s="5">
        <v>3529</v>
      </c>
      <c r="M730" s="5">
        <v>0</v>
      </c>
      <c r="N730" s="5">
        <v>1190.77</v>
      </c>
      <c r="O730" s="7">
        <v>45995</v>
      </c>
      <c r="P730" s="5">
        <v>1190.77</v>
      </c>
      <c r="Q730" s="5">
        <v>0</v>
      </c>
      <c r="R730" s="5" t="s">
        <v>32</v>
      </c>
      <c r="S730" s="5" t="s">
        <v>33</v>
      </c>
      <c r="T730" s="5">
        <v>11.91</v>
      </c>
      <c r="U730" s="5">
        <v>1178.8599999999999</v>
      </c>
      <c r="V730" s="5" t="s">
        <v>34</v>
      </c>
      <c r="W730" s="5">
        <v>2</v>
      </c>
      <c r="X730" s="5">
        <v>8403823193994</v>
      </c>
      <c r="Y730" s="7">
        <v>46003</v>
      </c>
      <c r="Z730" s="7">
        <v>45995</v>
      </c>
      <c r="AB730" s="6">
        <v>46003</v>
      </c>
      <c r="AC730" s="7">
        <v>46002.705555555556</v>
      </c>
      <c r="AD730" s="5">
        <v>35291008180</v>
      </c>
      <c r="AE730" s="8">
        <v>45995</v>
      </c>
      <c r="AF730" s="5">
        <v>47609</v>
      </c>
      <c r="AG730" s="5" t="s">
        <v>38</v>
      </c>
      <c r="AH730" s="5">
        <v>206685</v>
      </c>
      <c r="AI730" s="6">
        <v>45995</v>
      </c>
      <c r="AJ730" s="6">
        <v>46003</v>
      </c>
    </row>
    <row r="731" spans="1:37" hidden="1" x14ac:dyDescent="0.55000000000000004">
      <c r="A731">
        <v>3529</v>
      </c>
      <c r="B731">
        <v>1008351</v>
      </c>
      <c r="C731" s="1">
        <v>1222.3399999999999</v>
      </c>
      <c r="E731" s="1">
        <v>1222.3399999999999</v>
      </c>
      <c r="F731">
        <v>12.22</v>
      </c>
      <c r="G731" s="1">
        <v>1210.1199999999999</v>
      </c>
      <c r="H731" s="1"/>
      <c r="I731" s="1"/>
      <c r="J731" s="2">
        <v>46003</v>
      </c>
      <c r="K731" s="5">
        <v>1008351</v>
      </c>
      <c r="L731" s="5">
        <v>3529</v>
      </c>
      <c r="M731" s="5">
        <v>0</v>
      </c>
      <c r="N731" s="5">
        <v>1222.3399999999999</v>
      </c>
      <c r="O731" s="7">
        <v>45996</v>
      </c>
      <c r="P731" s="5">
        <v>1222.3399999999999</v>
      </c>
      <c r="Q731" s="5">
        <v>0</v>
      </c>
      <c r="R731" s="5" t="s">
        <v>415</v>
      </c>
      <c r="S731" s="5" t="s">
        <v>43</v>
      </c>
      <c r="T731" s="5">
        <v>12.22</v>
      </c>
      <c r="U731" s="5">
        <v>1210.1199999999999</v>
      </c>
      <c r="V731" s="5" t="s">
        <v>34</v>
      </c>
      <c r="W731" s="5">
        <v>2</v>
      </c>
      <c r="X731" s="5">
        <v>8403823193994</v>
      </c>
      <c r="Y731" s="7">
        <v>46003</v>
      </c>
      <c r="Z731" s="7">
        <v>45996</v>
      </c>
      <c r="AB731" s="6">
        <v>46003</v>
      </c>
      <c r="AC731" s="7">
        <v>46002.705555555556</v>
      </c>
      <c r="AD731" s="5">
        <v>35291008351</v>
      </c>
      <c r="AE731" s="8">
        <v>45996</v>
      </c>
      <c r="AF731" s="5">
        <v>8292</v>
      </c>
      <c r="AG731" s="5" t="s">
        <v>38</v>
      </c>
      <c r="AH731" s="5" t="s">
        <v>415</v>
      </c>
      <c r="AI731" s="6">
        <v>45996</v>
      </c>
      <c r="AJ731" s="6">
        <v>46003</v>
      </c>
    </row>
    <row r="732" spans="1:37" hidden="1" x14ac:dyDescent="0.55000000000000004">
      <c r="A732">
        <v>3529</v>
      </c>
      <c r="B732">
        <v>1008942</v>
      </c>
      <c r="C732">
        <v>-116.22</v>
      </c>
      <c r="E732">
        <v>-116.22</v>
      </c>
      <c r="G732">
        <v>-116.22</v>
      </c>
      <c r="H732"/>
      <c r="I732"/>
      <c r="J732" s="2">
        <v>46003</v>
      </c>
      <c r="K732" s="5">
        <v>1008942</v>
      </c>
      <c r="L732" s="5">
        <v>3529</v>
      </c>
      <c r="M732" s="5">
        <v>0</v>
      </c>
      <c r="N732" s="5">
        <v>-116.22</v>
      </c>
      <c r="O732" s="7">
        <v>46000</v>
      </c>
      <c r="P732" s="5">
        <v>-116.22</v>
      </c>
      <c r="Q732" s="5">
        <v>0</v>
      </c>
      <c r="R732" s="5">
        <v>1008942</v>
      </c>
      <c r="S732" s="5" t="s">
        <v>33</v>
      </c>
      <c r="T732" s="5">
        <v>0</v>
      </c>
      <c r="U732" s="5">
        <v>-116.22</v>
      </c>
      <c r="V732" s="5" t="s">
        <v>34</v>
      </c>
      <c r="W732" s="5">
        <v>2</v>
      </c>
      <c r="X732" s="5">
        <v>8403823193994</v>
      </c>
      <c r="Y732" s="7">
        <v>46003</v>
      </c>
      <c r="Z732" s="7">
        <v>46000</v>
      </c>
      <c r="AB732" s="6">
        <v>46003</v>
      </c>
      <c r="AC732" s="7">
        <v>46002.705555555556</v>
      </c>
      <c r="AD732" s="5">
        <v>35291008942</v>
      </c>
      <c r="AE732" s="8">
        <v>46000</v>
      </c>
      <c r="AF732" s="5">
        <v>142090</v>
      </c>
      <c r="AG732" s="5" t="s">
        <v>38</v>
      </c>
      <c r="AH732" s="5">
        <v>53537</v>
      </c>
      <c r="AI732" s="6">
        <v>46000</v>
      </c>
      <c r="AJ732" s="6">
        <v>46003</v>
      </c>
    </row>
    <row r="733" spans="1:37" hidden="1" x14ac:dyDescent="0.55000000000000004">
      <c r="A733">
        <v>3529</v>
      </c>
      <c r="B733">
        <v>1009039</v>
      </c>
      <c r="C733">
        <v>-648</v>
      </c>
      <c r="E733">
        <v>-648</v>
      </c>
      <c r="G733">
        <v>-648</v>
      </c>
      <c r="H733"/>
      <c r="I733"/>
      <c r="J733" s="2">
        <v>46003</v>
      </c>
      <c r="K733" s="5">
        <v>1009039</v>
      </c>
      <c r="L733" s="5">
        <v>3529</v>
      </c>
      <c r="M733" s="5">
        <v>0</v>
      </c>
      <c r="N733" s="5">
        <v>-648</v>
      </c>
      <c r="O733" s="7">
        <v>46000</v>
      </c>
      <c r="P733" s="5">
        <v>-648</v>
      </c>
      <c r="Q733" s="5">
        <v>0</v>
      </c>
      <c r="R733" s="5">
        <v>1009039</v>
      </c>
      <c r="S733" s="5" t="s">
        <v>33</v>
      </c>
      <c r="T733" s="5">
        <v>0</v>
      </c>
      <c r="U733" s="5">
        <v>-648</v>
      </c>
      <c r="V733" s="5" t="s">
        <v>34</v>
      </c>
      <c r="W733" s="5">
        <v>2</v>
      </c>
      <c r="X733" s="5">
        <v>8403823193994</v>
      </c>
      <c r="Y733" s="7">
        <v>46003</v>
      </c>
      <c r="Z733" s="7">
        <v>46000</v>
      </c>
      <c r="AB733" s="6">
        <v>46003</v>
      </c>
      <c r="AC733" s="7">
        <v>46002.705555555556</v>
      </c>
      <c r="AD733" s="5">
        <v>35291009039</v>
      </c>
      <c r="AE733" s="8">
        <v>46000</v>
      </c>
      <c r="AF733" s="5">
        <v>13331</v>
      </c>
      <c r="AG733" s="5" t="s">
        <v>38</v>
      </c>
      <c r="AH733" s="5" t="s">
        <v>416</v>
      </c>
      <c r="AI733" s="6">
        <v>46000</v>
      </c>
      <c r="AJ733" s="6">
        <v>46003</v>
      </c>
    </row>
    <row r="734" spans="1:37" x14ac:dyDescent="0.55000000000000004">
      <c r="A734">
        <v>3543</v>
      </c>
      <c r="B734">
        <v>1007367</v>
      </c>
      <c r="C734">
        <v>165.9</v>
      </c>
      <c r="D734" s="4">
        <v>3.32</v>
      </c>
      <c r="E734">
        <v>162.58000000000001</v>
      </c>
      <c r="F734">
        <v>1.66</v>
      </c>
      <c r="G734">
        <v>160.91999999999999</v>
      </c>
      <c r="H734" s="14">
        <f>C734-D734-F734</f>
        <v>160.92000000000002</v>
      </c>
      <c r="I734" s="14" t="b">
        <f>G734=H734</f>
        <v>1</v>
      </c>
      <c r="J734" s="2">
        <v>46003</v>
      </c>
      <c r="K734" s="5">
        <v>1007367</v>
      </c>
      <c r="L734" s="5">
        <v>3543</v>
      </c>
      <c r="M734" s="5">
        <v>3.32</v>
      </c>
      <c r="N734" s="5">
        <v>165.9</v>
      </c>
      <c r="O734" s="7">
        <v>45992</v>
      </c>
      <c r="P734" s="5">
        <v>162.58000000000001</v>
      </c>
      <c r="Q734" s="5">
        <v>3.32</v>
      </c>
      <c r="R734" s="5" t="s">
        <v>32</v>
      </c>
      <c r="S734" s="5" t="s">
        <v>33</v>
      </c>
      <c r="T734" s="5">
        <v>1.66</v>
      </c>
      <c r="U734" s="5">
        <v>160.91999999999999</v>
      </c>
      <c r="V734" s="5" t="s">
        <v>34</v>
      </c>
      <c r="W734" s="5">
        <v>2</v>
      </c>
      <c r="X734" s="5">
        <v>3526452430609</v>
      </c>
      <c r="Y734" s="7">
        <v>46003</v>
      </c>
      <c r="Z734" s="7">
        <v>45992</v>
      </c>
      <c r="AB734" s="6">
        <v>46003</v>
      </c>
      <c r="AC734" s="7">
        <v>46002.418749999997</v>
      </c>
      <c r="AD734" s="5">
        <v>35431007367</v>
      </c>
      <c r="AE734" s="8">
        <v>45992</v>
      </c>
      <c r="AF734" s="9">
        <v>45916</v>
      </c>
      <c r="AG734" s="5" t="s">
        <v>37</v>
      </c>
      <c r="AH734" s="5">
        <v>205842</v>
      </c>
      <c r="AI734" s="6">
        <v>45992</v>
      </c>
      <c r="AJ734" s="6">
        <v>46003</v>
      </c>
      <c r="AK734" s="1">
        <f t="shared" ref="AK734" si="350">0.02*C734</f>
        <v>3.3180000000000001</v>
      </c>
    </row>
    <row r="735" spans="1:37" hidden="1" x14ac:dyDescent="0.55000000000000004">
      <c r="A735">
        <v>3543</v>
      </c>
      <c r="B735">
        <v>1007511</v>
      </c>
      <c r="C735" s="1">
        <v>3990</v>
      </c>
      <c r="E735" s="1">
        <v>3990</v>
      </c>
      <c r="F735">
        <v>39.9</v>
      </c>
      <c r="G735" s="1">
        <v>3950.1</v>
      </c>
      <c r="H735" s="1"/>
      <c r="I735" s="1"/>
      <c r="J735" s="2">
        <v>46003</v>
      </c>
      <c r="K735" s="5">
        <v>1007511</v>
      </c>
      <c r="L735" s="5">
        <v>3543</v>
      </c>
      <c r="M735" s="5">
        <v>0</v>
      </c>
      <c r="N735" s="5">
        <v>3990</v>
      </c>
      <c r="O735" s="7">
        <v>45993</v>
      </c>
      <c r="P735" s="5">
        <v>3990</v>
      </c>
      <c r="Q735" s="5">
        <v>0</v>
      </c>
      <c r="R735" s="5" t="s">
        <v>32</v>
      </c>
      <c r="S735" s="5" t="s">
        <v>33</v>
      </c>
      <c r="T735" s="5">
        <v>39.9</v>
      </c>
      <c r="U735" s="5">
        <v>3950.1</v>
      </c>
      <c r="V735" s="5" t="s">
        <v>34</v>
      </c>
      <c r="W735" s="5">
        <v>2</v>
      </c>
      <c r="X735" s="5">
        <v>3526452430609</v>
      </c>
      <c r="Y735" s="7">
        <v>46003</v>
      </c>
      <c r="Z735" s="7">
        <v>45993</v>
      </c>
      <c r="AB735" s="6">
        <v>46003</v>
      </c>
      <c r="AC735" s="7">
        <v>46002.418749999997</v>
      </c>
      <c r="AD735" s="5">
        <v>35431007511</v>
      </c>
      <c r="AE735" s="8">
        <v>45993</v>
      </c>
      <c r="AF735" s="5" t="s">
        <v>32</v>
      </c>
      <c r="AG735" s="5" t="s">
        <v>35</v>
      </c>
      <c r="AH735" s="5" t="s">
        <v>32</v>
      </c>
      <c r="AI735" s="6">
        <v>45993</v>
      </c>
      <c r="AJ735" s="6">
        <v>46003</v>
      </c>
    </row>
    <row r="736" spans="1:37" x14ac:dyDescent="0.55000000000000004">
      <c r="A736">
        <v>3543</v>
      </c>
      <c r="B736">
        <v>1007918</v>
      </c>
      <c r="C736">
        <v>766.24</v>
      </c>
      <c r="D736" s="4">
        <v>15.32</v>
      </c>
      <c r="E736">
        <v>750.92</v>
      </c>
      <c r="F736">
        <v>7.66</v>
      </c>
      <c r="G736">
        <v>743.26</v>
      </c>
      <c r="H736" s="14">
        <f t="shared" ref="H736:H739" si="351">C736-D736-F736</f>
        <v>743.26</v>
      </c>
      <c r="I736" s="14" t="b">
        <f t="shared" ref="I736:I739" si="352">G736=H736</f>
        <v>1</v>
      </c>
      <c r="J736" s="2">
        <v>46003</v>
      </c>
      <c r="K736" s="5">
        <v>1007918</v>
      </c>
      <c r="L736" s="5">
        <v>3543</v>
      </c>
      <c r="M736" s="5">
        <v>15.32</v>
      </c>
      <c r="N736" s="5">
        <v>766.24</v>
      </c>
      <c r="O736" s="7">
        <v>45994</v>
      </c>
      <c r="P736" s="5">
        <v>750.92</v>
      </c>
      <c r="Q736" s="5">
        <v>15.32</v>
      </c>
      <c r="R736" s="5" t="s">
        <v>32</v>
      </c>
      <c r="S736" s="5" t="s">
        <v>33</v>
      </c>
      <c r="T736" s="5">
        <v>7.66</v>
      </c>
      <c r="U736" s="5">
        <v>743.26</v>
      </c>
      <c r="V736" s="5" t="s">
        <v>34</v>
      </c>
      <c r="W736" s="5">
        <v>2</v>
      </c>
      <c r="X736" s="5">
        <v>3526452430609</v>
      </c>
      <c r="Y736" s="7">
        <v>46003</v>
      </c>
      <c r="Z736" s="7">
        <v>45994</v>
      </c>
      <c r="AB736" s="6">
        <v>46003</v>
      </c>
      <c r="AC736" s="7">
        <v>46002.418749999997</v>
      </c>
      <c r="AD736" s="5">
        <v>35431007918</v>
      </c>
      <c r="AE736" s="8">
        <v>45994</v>
      </c>
      <c r="AF736" s="9">
        <v>45993</v>
      </c>
      <c r="AG736" s="5" t="s">
        <v>37</v>
      </c>
      <c r="AH736" s="5">
        <v>206481</v>
      </c>
      <c r="AI736" s="6">
        <v>45994</v>
      </c>
      <c r="AJ736" s="6">
        <v>46003</v>
      </c>
      <c r="AK736" s="1">
        <f t="shared" ref="AK736:AK739" si="353">0.02*C736</f>
        <v>15.3248</v>
      </c>
    </row>
    <row r="737" spans="1:37" x14ac:dyDescent="0.55000000000000004">
      <c r="A737">
        <v>3543</v>
      </c>
      <c r="B737">
        <v>1008003</v>
      </c>
      <c r="C737">
        <v>298.17</v>
      </c>
      <c r="D737" s="4">
        <v>5.96</v>
      </c>
      <c r="E737">
        <v>292.20999999999998</v>
      </c>
      <c r="F737">
        <v>2.98</v>
      </c>
      <c r="G737">
        <v>289.23</v>
      </c>
      <c r="H737" s="14">
        <f t="shared" si="351"/>
        <v>289.23</v>
      </c>
      <c r="I737" s="14" t="b">
        <f t="shared" si="352"/>
        <v>1</v>
      </c>
      <c r="J737" s="2">
        <v>46003</v>
      </c>
      <c r="K737" s="5">
        <v>1008003</v>
      </c>
      <c r="L737" s="5">
        <v>3543</v>
      </c>
      <c r="M737" s="5">
        <v>5.96</v>
      </c>
      <c r="N737" s="5">
        <v>298.17</v>
      </c>
      <c r="O737" s="7">
        <v>45994</v>
      </c>
      <c r="P737" s="5">
        <v>292.20999999999998</v>
      </c>
      <c r="Q737" s="5">
        <v>5.96</v>
      </c>
      <c r="R737" s="5" t="s">
        <v>32</v>
      </c>
      <c r="S737" s="5" t="s">
        <v>33</v>
      </c>
      <c r="T737" s="5">
        <v>2.98</v>
      </c>
      <c r="U737" s="5">
        <v>289.23</v>
      </c>
      <c r="V737" s="5" t="s">
        <v>34</v>
      </c>
      <c r="W737" s="5">
        <v>2</v>
      </c>
      <c r="X737" s="5">
        <v>3526452430609</v>
      </c>
      <c r="Y737" s="7">
        <v>46003</v>
      </c>
      <c r="Z737" s="7">
        <v>45994</v>
      </c>
      <c r="AB737" s="6">
        <v>46003</v>
      </c>
      <c r="AC737" s="7">
        <v>46002.418749999997</v>
      </c>
      <c r="AD737" s="5">
        <v>35431008003</v>
      </c>
      <c r="AE737" s="8">
        <v>45994</v>
      </c>
      <c r="AF737" s="9">
        <v>45992</v>
      </c>
      <c r="AG737" s="5" t="s">
        <v>37</v>
      </c>
      <c r="AH737" s="5">
        <v>206239</v>
      </c>
      <c r="AI737" s="6">
        <v>45994</v>
      </c>
      <c r="AJ737" s="6">
        <v>46003</v>
      </c>
      <c r="AK737" s="1">
        <f t="shared" si="353"/>
        <v>5.9634</v>
      </c>
    </row>
    <row r="738" spans="1:37" x14ac:dyDescent="0.55000000000000004">
      <c r="A738">
        <v>3550</v>
      </c>
      <c r="B738">
        <v>1007263</v>
      </c>
      <c r="C738">
        <v>165.9</v>
      </c>
      <c r="D738" s="4">
        <v>3.32</v>
      </c>
      <c r="E738">
        <v>162.58000000000001</v>
      </c>
      <c r="F738">
        <v>1.66</v>
      </c>
      <c r="G738">
        <v>160.91999999999999</v>
      </c>
      <c r="H738" s="14">
        <f t="shared" si="351"/>
        <v>160.92000000000002</v>
      </c>
      <c r="I738" s="14" t="b">
        <f t="shared" si="352"/>
        <v>1</v>
      </c>
      <c r="J738" s="2">
        <v>46003</v>
      </c>
      <c r="K738" s="5">
        <v>1007263</v>
      </c>
      <c r="L738" s="5">
        <v>3550</v>
      </c>
      <c r="M738" s="5">
        <v>3.32</v>
      </c>
      <c r="N738" s="5">
        <v>165.9</v>
      </c>
      <c r="O738" s="7">
        <v>45992</v>
      </c>
      <c r="P738" s="5">
        <v>162.58000000000001</v>
      </c>
      <c r="Q738" s="5">
        <v>3.32</v>
      </c>
      <c r="R738" s="5" t="s">
        <v>32</v>
      </c>
      <c r="S738" s="5" t="s">
        <v>33</v>
      </c>
      <c r="T738" s="5">
        <v>1.66</v>
      </c>
      <c r="U738" s="5">
        <v>160.91999999999999</v>
      </c>
      <c r="V738" s="5" t="s">
        <v>34</v>
      </c>
      <c r="W738" s="5">
        <v>2</v>
      </c>
      <c r="X738" s="5">
        <v>1429461150137</v>
      </c>
      <c r="Y738" s="7">
        <v>46003</v>
      </c>
      <c r="Z738" s="7">
        <v>45992</v>
      </c>
      <c r="AB738" s="6">
        <v>46003</v>
      </c>
      <c r="AC738" s="7">
        <v>46000.504861111112</v>
      </c>
      <c r="AD738" s="5">
        <v>35501007263</v>
      </c>
      <c r="AE738" s="8">
        <v>45992</v>
      </c>
      <c r="AF738" s="5">
        <v>43854</v>
      </c>
      <c r="AG738" s="5" t="s">
        <v>37</v>
      </c>
      <c r="AH738" s="5">
        <v>205767</v>
      </c>
      <c r="AI738" s="6">
        <v>45992</v>
      </c>
      <c r="AJ738" s="6">
        <v>46003</v>
      </c>
      <c r="AK738" s="1">
        <f t="shared" si="353"/>
        <v>3.3180000000000001</v>
      </c>
    </row>
    <row r="739" spans="1:37" x14ac:dyDescent="0.55000000000000004">
      <c r="A739">
        <v>3550</v>
      </c>
      <c r="B739">
        <v>1007462</v>
      </c>
      <c r="C739">
        <v>532.20000000000005</v>
      </c>
      <c r="D739" s="4">
        <v>10.64</v>
      </c>
      <c r="E739">
        <v>521.55999999999995</v>
      </c>
      <c r="F739">
        <v>5.32</v>
      </c>
      <c r="G739">
        <v>516.24</v>
      </c>
      <c r="H739" s="14">
        <f t="shared" si="351"/>
        <v>516.24</v>
      </c>
      <c r="I739" s="14" t="b">
        <f t="shared" si="352"/>
        <v>1</v>
      </c>
      <c r="J739" s="2">
        <v>46003</v>
      </c>
      <c r="K739" s="5">
        <v>1007462</v>
      </c>
      <c r="L739" s="5">
        <v>3550</v>
      </c>
      <c r="M739" s="5">
        <v>10.64</v>
      </c>
      <c r="N739" s="5">
        <v>532.20000000000005</v>
      </c>
      <c r="O739" s="7">
        <v>45992</v>
      </c>
      <c r="P739" s="5">
        <v>521.55999999999995</v>
      </c>
      <c r="Q739" s="5">
        <v>10.64</v>
      </c>
      <c r="R739" s="5" t="s">
        <v>32</v>
      </c>
      <c r="S739" s="5" t="s">
        <v>33</v>
      </c>
      <c r="T739" s="5">
        <v>5.32</v>
      </c>
      <c r="U739" s="5">
        <v>516.24</v>
      </c>
      <c r="V739" s="5" t="s">
        <v>34</v>
      </c>
      <c r="W739" s="5">
        <v>2</v>
      </c>
      <c r="X739" s="5">
        <v>1429461150137</v>
      </c>
      <c r="Y739" s="7">
        <v>46003</v>
      </c>
      <c r="Z739" s="7">
        <v>45992</v>
      </c>
      <c r="AB739" s="6">
        <v>46003</v>
      </c>
      <c r="AC739" s="7">
        <v>46000.504861111112</v>
      </c>
      <c r="AD739" s="5">
        <v>35501007462</v>
      </c>
      <c r="AE739" s="8">
        <v>45992</v>
      </c>
      <c r="AF739" s="5">
        <v>43993</v>
      </c>
      <c r="AG739" s="5" t="s">
        <v>37</v>
      </c>
      <c r="AH739" s="5">
        <v>205960</v>
      </c>
      <c r="AI739" s="6">
        <v>45992</v>
      </c>
      <c r="AJ739" s="6">
        <v>46003</v>
      </c>
      <c r="AK739" s="1">
        <f t="shared" si="353"/>
        <v>10.644000000000002</v>
      </c>
    </row>
    <row r="740" spans="1:37" hidden="1" x14ac:dyDescent="0.55000000000000004">
      <c r="A740">
        <v>3550</v>
      </c>
      <c r="B740">
        <v>1007539</v>
      </c>
      <c r="C740" s="1">
        <v>3990</v>
      </c>
      <c r="E740" s="1">
        <v>3990</v>
      </c>
      <c r="F740">
        <v>39.9</v>
      </c>
      <c r="G740" s="1">
        <v>3950.1</v>
      </c>
      <c r="H740" s="1"/>
      <c r="I740" s="1"/>
      <c r="J740" s="2">
        <v>46003</v>
      </c>
      <c r="K740" s="5">
        <v>1007539</v>
      </c>
      <c r="L740" s="5">
        <v>3550</v>
      </c>
      <c r="M740" s="5">
        <v>0</v>
      </c>
      <c r="N740" s="5">
        <v>3990</v>
      </c>
      <c r="O740" s="7">
        <v>45993</v>
      </c>
      <c r="P740" s="5">
        <v>3990</v>
      </c>
      <c r="Q740" s="5">
        <v>0</v>
      </c>
      <c r="R740" s="5" t="s">
        <v>32</v>
      </c>
      <c r="S740" s="5" t="s">
        <v>33</v>
      </c>
      <c r="T740" s="5">
        <v>39.9</v>
      </c>
      <c r="U740" s="5">
        <v>3950.1</v>
      </c>
      <c r="V740" s="5" t="s">
        <v>34</v>
      </c>
      <c r="W740" s="5">
        <v>2</v>
      </c>
      <c r="X740" s="5">
        <v>1429461150137</v>
      </c>
      <c r="Y740" s="7">
        <v>46003</v>
      </c>
      <c r="Z740" s="7">
        <v>45993</v>
      </c>
      <c r="AB740" s="6">
        <v>46003</v>
      </c>
      <c r="AC740" s="7">
        <v>46000.504861111112</v>
      </c>
      <c r="AD740" s="5">
        <v>35501007539</v>
      </c>
      <c r="AE740" s="8">
        <v>45993</v>
      </c>
      <c r="AF740" s="5" t="s">
        <v>32</v>
      </c>
      <c r="AG740" s="5" t="s">
        <v>35</v>
      </c>
      <c r="AH740" s="5" t="s">
        <v>32</v>
      </c>
      <c r="AI740" s="6">
        <v>45993</v>
      </c>
      <c r="AJ740" s="6">
        <v>46003</v>
      </c>
    </row>
    <row r="741" spans="1:37" x14ac:dyDescent="0.55000000000000004">
      <c r="A741">
        <v>3550</v>
      </c>
      <c r="B741">
        <v>1007749</v>
      </c>
      <c r="C741">
        <v>685.17</v>
      </c>
      <c r="D741" s="4">
        <v>13.7</v>
      </c>
      <c r="E741">
        <v>671.47</v>
      </c>
      <c r="F741">
        <v>6.85</v>
      </c>
      <c r="G741">
        <v>664.62</v>
      </c>
      <c r="H741" s="14">
        <f>C741-D741-F741</f>
        <v>664.61999999999989</v>
      </c>
      <c r="I741" s="14" t="b">
        <f>G741=H741</f>
        <v>1</v>
      </c>
      <c r="J741" s="2">
        <v>46003</v>
      </c>
      <c r="K741" s="5">
        <v>1007749</v>
      </c>
      <c r="L741" s="5">
        <v>3550</v>
      </c>
      <c r="M741" s="5">
        <v>13.7</v>
      </c>
      <c r="N741" s="5">
        <v>685.17</v>
      </c>
      <c r="O741" s="7">
        <v>45993</v>
      </c>
      <c r="P741" s="5">
        <v>671.47</v>
      </c>
      <c r="Q741" s="5">
        <v>13.7</v>
      </c>
      <c r="R741" s="5" t="s">
        <v>32</v>
      </c>
      <c r="S741" s="5" t="s">
        <v>33</v>
      </c>
      <c r="T741" s="5">
        <v>6.85</v>
      </c>
      <c r="U741" s="5">
        <v>664.62</v>
      </c>
      <c r="V741" s="5" t="s">
        <v>34</v>
      </c>
      <c r="W741" s="5">
        <v>2</v>
      </c>
      <c r="X741" s="5">
        <v>1429461150137</v>
      </c>
      <c r="Y741" s="7">
        <v>46003</v>
      </c>
      <c r="Z741" s="7">
        <v>45993</v>
      </c>
      <c r="AB741" s="6">
        <v>46003</v>
      </c>
      <c r="AC741" s="7">
        <v>46000.504861111112</v>
      </c>
      <c r="AD741" s="5">
        <v>35501007749</v>
      </c>
      <c r="AE741" s="8">
        <v>45993</v>
      </c>
      <c r="AF741" s="5">
        <v>44025</v>
      </c>
      <c r="AG741" s="5" t="s">
        <v>37</v>
      </c>
      <c r="AH741" s="5">
        <v>206207</v>
      </c>
      <c r="AI741" s="6">
        <v>45993</v>
      </c>
      <c r="AJ741" s="6">
        <v>46003</v>
      </c>
      <c r="AK741" s="1">
        <f t="shared" ref="AK741" si="354">0.02*C741</f>
        <v>13.7034</v>
      </c>
    </row>
    <row r="742" spans="1:37" hidden="1" x14ac:dyDescent="0.55000000000000004">
      <c r="A742">
        <v>3550</v>
      </c>
      <c r="B742">
        <v>1007753</v>
      </c>
      <c r="C742">
        <v>644.95000000000005</v>
      </c>
      <c r="E742">
        <v>644.95000000000005</v>
      </c>
      <c r="F742">
        <v>6.45</v>
      </c>
      <c r="G742">
        <v>638.5</v>
      </c>
      <c r="H742"/>
      <c r="I742"/>
      <c r="J742" s="2">
        <v>46003</v>
      </c>
      <c r="K742" s="5">
        <v>1007753</v>
      </c>
      <c r="L742" s="5">
        <v>3550</v>
      </c>
      <c r="M742" s="5">
        <v>0</v>
      </c>
      <c r="N742" s="5">
        <v>644.95000000000005</v>
      </c>
      <c r="O742" s="7">
        <v>45993</v>
      </c>
      <c r="P742" s="5">
        <v>644.95000000000005</v>
      </c>
      <c r="Q742" s="5">
        <v>0</v>
      </c>
      <c r="R742" s="5" t="s">
        <v>32</v>
      </c>
      <c r="S742" s="5" t="s">
        <v>33</v>
      </c>
      <c r="T742" s="5">
        <v>6.45</v>
      </c>
      <c r="U742" s="5">
        <v>638.5</v>
      </c>
      <c r="V742" s="5" t="s">
        <v>34</v>
      </c>
      <c r="W742" s="5">
        <v>2</v>
      </c>
      <c r="X742" s="5">
        <v>1429461150137</v>
      </c>
      <c r="Y742" s="7">
        <v>46003</v>
      </c>
      <c r="Z742" s="7">
        <v>45993</v>
      </c>
      <c r="AB742" s="6">
        <v>46003</v>
      </c>
      <c r="AC742" s="7">
        <v>46000.504861111112</v>
      </c>
      <c r="AD742" s="5">
        <v>35501007753</v>
      </c>
      <c r="AE742" s="8">
        <v>45993</v>
      </c>
      <c r="AF742" s="5">
        <v>44025</v>
      </c>
      <c r="AG742" s="5" t="s">
        <v>38</v>
      </c>
      <c r="AH742" s="5">
        <v>206208</v>
      </c>
      <c r="AI742" s="6">
        <v>45993</v>
      </c>
      <c r="AJ742" s="6">
        <v>46003</v>
      </c>
    </row>
    <row r="743" spans="1:37" x14ac:dyDescent="0.55000000000000004">
      <c r="A743">
        <v>3550</v>
      </c>
      <c r="B743">
        <v>1007852</v>
      </c>
      <c r="C743" s="1">
        <v>1179.7</v>
      </c>
      <c r="D743" s="4">
        <v>23.59</v>
      </c>
      <c r="E743" s="1">
        <v>1156.1099999999999</v>
      </c>
      <c r="F743">
        <v>11.8</v>
      </c>
      <c r="G743" s="1">
        <v>1144.31</v>
      </c>
      <c r="H743" s="14">
        <f>C743-D743-F743</f>
        <v>1144.3100000000002</v>
      </c>
      <c r="I743" s="14" t="b">
        <f>G743=H743</f>
        <v>1</v>
      </c>
      <c r="J743" s="2">
        <v>46003</v>
      </c>
      <c r="K743" s="5">
        <v>1007852</v>
      </c>
      <c r="L743" s="5">
        <v>3550</v>
      </c>
      <c r="M743" s="5">
        <v>23.59</v>
      </c>
      <c r="N743" s="5">
        <v>1179.7</v>
      </c>
      <c r="O743" s="7">
        <v>45993</v>
      </c>
      <c r="P743" s="5">
        <v>1156.1099999999999</v>
      </c>
      <c r="Q743" s="5">
        <v>23.59</v>
      </c>
      <c r="R743" s="5" t="s">
        <v>32</v>
      </c>
      <c r="S743" s="5" t="s">
        <v>33</v>
      </c>
      <c r="T743" s="5">
        <v>11.8</v>
      </c>
      <c r="U743" s="5">
        <v>1144.31</v>
      </c>
      <c r="V743" s="5" t="s">
        <v>34</v>
      </c>
      <c r="W743" s="5">
        <v>2</v>
      </c>
      <c r="X743" s="5">
        <v>1429461150137</v>
      </c>
      <c r="Y743" s="7">
        <v>46003</v>
      </c>
      <c r="Z743" s="7">
        <v>45993</v>
      </c>
      <c r="AB743" s="6">
        <v>46003</v>
      </c>
      <c r="AC743" s="7">
        <v>46000.504861111112</v>
      </c>
      <c r="AD743" s="5">
        <v>35501007852</v>
      </c>
      <c r="AE743" s="8">
        <v>45993</v>
      </c>
      <c r="AF743" s="5">
        <v>44025</v>
      </c>
      <c r="AG743" s="5" t="s">
        <v>37</v>
      </c>
      <c r="AH743" s="5">
        <v>206147</v>
      </c>
      <c r="AI743" s="6">
        <v>45993</v>
      </c>
      <c r="AJ743" s="6">
        <v>46003</v>
      </c>
      <c r="AK743" s="1">
        <f t="shared" ref="AK743" si="355">0.02*C743</f>
        <v>23.594000000000001</v>
      </c>
    </row>
    <row r="744" spans="1:37" hidden="1" x14ac:dyDescent="0.55000000000000004">
      <c r="A744">
        <v>3550</v>
      </c>
      <c r="B744">
        <v>1007878</v>
      </c>
      <c r="C744">
        <v>427.2</v>
      </c>
      <c r="E744">
        <v>427.2</v>
      </c>
      <c r="F744">
        <v>4.2699999999999996</v>
      </c>
      <c r="G744">
        <v>422.93</v>
      </c>
      <c r="H744"/>
      <c r="I744"/>
      <c r="J744" s="2">
        <v>46003</v>
      </c>
      <c r="K744" s="5">
        <v>1007878</v>
      </c>
      <c r="L744" s="5">
        <v>3550</v>
      </c>
      <c r="M744" s="5">
        <v>0</v>
      </c>
      <c r="N744" s="5">
        <v>427.2</v>
      </c>
      <c r="O744" s="7">
        <v>45994</v>
      </c>
      <c r="P744" s="5">
        <v>427.2</v>
      </c>
      <c r="Q744" s="5">
        <v>0</v>
      </c>
      <c r="R744" s="5" t="s">
        <v>32</v>
      </c>
      <c r="S744" s="5" t="s">
        <v>33</v>
      </c>
      <c r="T744" s="5">
        <v>4.2699999999999996</v>
      </c>
      <c r="U744" s="5">
        <v>422.93</v>
      </c>
      <c r="V744" s="5" t="s">
        <v>34</v>
      </c>
      <c r="W744" s="5">
        <v>2</v>
      </c>
      <c r="X744" s="5">
        <v>1429461150137</v>
      </c>
      <c r="Y744" s="7">
        <v>46003</v>
      </c>
      <c r="Z744" s="7">
        <v>45994</v>
      </c>
      <c r="AB744" s="6">
        <v>46003</v>
      </c>
      <c r="AC744" s="7">
        <v>46000.504861111112</v>
      </c>
      <c r="AD744" s="5">
        <v>35501007878</v>
      </c>
      <c r="AE744" s="8">
        <v>45994</v>
      </c>
      <c r="AF744" s="5">
        <v>44024</v>
      </c>
      <c r="AG744" s="5" t="s">
        <v>38</v>
      </c>
      <c r="AH744" s="5">
        <v>206438</v>
      </c>
      <c r="AI744" s="6">
        <v>45994</v>
      </c>
      <c r="AJ744" s="6">
        <v>46003</v>
      </c>
    </row>
    <row r="745" spans="1:37" hidden="1" x14ac:dyDescent="0.55000000000000004">
      <c r="A745">
        <v>3550</v>
      </c>
      <c r="B745">
        <v>1007880</v>
      </c>
      <c r="C745">
        <v>566.96</v>
      </c>
      <c r="E745">
        <v>566.96</v>
      </c>
      <c r="F745">
        <v>5.67</v>
      </c>
      <c r="G745">
        <v>561.29</v>
      </c>
      <c r="H745"/>
      <c r="I745"/>
      <c r="J745" s="2">
        <v>46003</v>
      </c>
      <c r="K745" s="5">
        <v>1007880</v>
      </c>
      <c r="L745" s="5">
        <v>3550</v>
      </c>
      <c r="M745" s="5">
        <v>0</v>
      </c>
      <c r="N745" s="5">
        <v>566.96</v>
      </c>
      <c r="O745" s="7">
        <v>45994</v>
      </c>
      <c r="P745" s="5">
        <v>566.96</v>
      </c>
      <c r="Q745" s="5">
        <v>0</v>
      </c>
      <c r="R745" s="5" t="s">
        <v>32</v>
      </c>
      <c r="S745" s="5" t="s">
        <v>33</v>
      </c>
      <c r="T745" s="5">
        <v>5.67</v>
      </c>
      <c r="U745" s="5">
        <v>561.29</v>
      </c>
      <c r="V745" s="5" t="s">
        <v>34</v>
      </c>
      <c r="W745" s="5">
        <v>2</v>
      </c>
      <c r="X745" s="5">
        <v>1429461150137</v>
      </c>
      <c r="Y745" s="7">
        <v>46003</v>
      </c>
      <c r="Z745" s="7">
        <v>45994</v>
      </c>
      <c r="AB745" s="6">
        <v>46003</v>
      </c>
      <c r="AC745" s="7">
        <v>46000.504861111112</v>
      </c>
      <c r="AD745" s="5">
        <v>35501007880</v>
      </c>
      <c r="AE745" s="8">
        <v>45994</v>
      </c>
      <c r="AF745" s="5">
        <v>43629</v>
      </c>
      <c r="AG745" s="5" t="s">
        <v>38</v>
      </c>
      <c r="AH745" s="5">
        <v>206437</v>
      </c>
      <c r="AI745" s="6">
        <v>45994</v>
      </c>
      <c r="AJ745" s="6">
        <v>46003</v>
      </c>
    </row>
    <row r="746" spans="1:37" hidden="1" x14ac:dyDescent="0.55000000000000004">
      <c r="A746">
        <v>3550</v>
      </c>
      <c r="B746">
        <v>1008185</v>
      </c>
      <c r="C746">
        <v>371.22</v>
      </c>
      <c r="E746">
        <v>371.22</v>
      </c>
      <c r="F746">
        <v>3.71</v>
      </c>
      <c r="G746">
        <v>367.51</v>
      </c>
      <c r="H746"/>
      <c r="I746"/>
      <c r="J746" s="2">
        <v>46003</v>
      </c>
      <c r="K746" s="5">
        <v>1008185</v>
      </c>
      <c r="L746" s="5">
        <v>3550</v>
      </c>
      <c r="M746" s="5">
        <v>0</v>
      </c>
      <c r="N746" s="5">
        <v>371.22</v>
      </c>
      <c r="O746" s="7">
        <v>45995</v>
      </c>
      <c r="P746" s="5">
        <v>371.22</v>
      </c>
      <c r="Q746" s="5">
        <v>0</v>
      </c>
      <c r="R746" s="5" t="s">
        <v>32</v>
      </c>
      <c r="S746" s="5" t="s">
        <v>33</v>
      </c>
      <c r="T746" s="5">
        <v>3.71</v>
      </c>
      <c r="U746" s="5">
        <v>367.51</v>
      </c>
      <c r="V746" s="5" t="s">
        <v>34</v>
      </c>
      <c r="W746" s="5">
        <v>2</v>
      </c>
      <c r="X746" s="5">
        <v>1429461150137</v>
      </c>
      <c r="Y746" s="7">
        <v>46003</v>
      </c>
      <c r="Z746" s="7">
        <v>45995</v>
      </c>
      <c r="AB746" s="6">
        <v>46003</v>
      </c>
      <c r="AC746" s="7">
        <v>46000.504861111112</v>
      </c>
      <c r="AD746" s="5">
        <v>35501008185</v>
      </c>
      <c r="AE746" s="8">
        <v>45995</v>
      </c>
      <c r="AF746" s="5">
        <v>44024</v>
      </c>
      <c r="AG746" s="5" t="s">
        <v>38</v>
      </c>
      <c r="AH746" s="5">
        <v>206648</v>
      </c>
      <c r="AI746" s="6">
        <v>45995</v>
      </c>
      <c r="AJ746" s="6">
        <v>46003</v>
      </c>
    </row>
    <row r="747" spans="1:37" hidden="1" x14ac:dyDescent="0.55000000000000004">
      <c r="A747">
        <v>3550</v>
      </c>
      <c r="B747">
        <v>1008192</v>
      </c>
      <c r="C747">
        <v>148.44</v>
      </c>
      <c r="E747">
        <v>148.44</v>
      </c>
      <c r="F747">
        <v>1.48</v>
      </c>
      <c r="G747">
        <v>146.96</v>
      </c>
      <c r="H747"/>
      <c r="I747"/>
      <c r="J747" s="2">
        <v>46003</v>
      </c>
      <c r="K747" s="5">
        <v>1008192</v>
      </c>
      <c r="L747" s="5">
        <v>3550</v>
      </c>
      <c r="M747" s="5">
        <v>0</v>
      </c>
      <c r="N747" s="5">
        <v>148.44</v>
      </c>
      <c r="O747" s="7">
        <v>45995</v>
      </c>
      <c r="P747" s="5">
        <v>148.44</v>
      </c>
      <c r="Q747" s="5">
        <v>0</v>
      </c>
      <c r="R747" s="5" t="s">
        <v>32</v>
      </c>
      <c r="S747" s="5" t="s">
        <v>33</v>
      </c>
      <c r="T747" s="5">
        <v>1.48</v>
      </c>
      <c r="U747" s="5">
        <v>146.96</v>
      </c>
      <c r="V747" s="5" t="s">
        <v>34</v>
      </c>
      <c r="W747" s="5">
        <v>2</v>
      </c>
      <c r="X747" s="5">
        <v>1429461150137</v>
      </c>
      <c r="Y747" s="7">
        <v>46003</v>
      </c>
      <c r="Z747" s="7">
        <v>45995</v>
      </c>
      <c r="AB747" s="6">
        <v>46003</v>
      </c>
      <c r="AC747" s="7">
        <v>46000.504861111112</v>
      </c>
      <c r="AD747" s="5">
        <v>35501008192</v>
      </c>
      <c r="AE747" s="8">
        <v>45995</v>
      </c>
      <c r="AF747" s="5">
        <v>44025</v>
      </c>
      <c r="AG747" s="5" t="s">
        <v>38</v>
      </c>
      <c r="AH747" s="5">
        <v>206649</v>
      </c>
      <c r="AI747" s="6">
        <v>45995</v>
      </c>
      <c r="AJ747" s="6">
        <v>46003</v>
      </c>
    </row>
    <row r="748" spans="1:37" x14ac:dyDescent="0.55000000000000004">
      <c r="A748">
        <v>3550</v>
      </c>
      <c r="B748">
        <v>1008402</v>
      </c>
      <c r="C748" s="1">
        <v>2215.2199999999998</v>
      </c>
      <c r="D748" s="4">
        <v>44.3</v>
      </c>
      <c r="E748" s="1">
        <v>2170.92</v>
      </c>
      <c r="F748">
        <v>22.15</v>
      </c>
      <c r="G748" s="1">
        <v>2148.77</v>
      </c>
      <c r="H748" s="14">
        <f t="shared" ref="H748:H749" si="356">C748-D748-F748</f>
        <v>2148.7699999999995</v>
      </c>
      <c r="I748" s="14" t="b">
        <f t="shared" ref="I748:I749" si="357">G748=H748</f>
        <v>1</v>
      </c>
      <c r="J748" s="2">
        <v>46003</v>
      </c>
      <c r="K748" s="5">
        <v>1008402</v>
      </c>
      <c r="L748" s="5">
        <v>3550</v>
      </c>
      <c r="M748" s="5">
        <v>44.3</v>
      </c>
      <c r="N748" s="5">
        <v>2215.2199999999998</v>
      </c>
      <c r="O748" s="7">
        <v>45996</v>
      </c>
      <c r="P748" s="5">
        <v>2170.92</v>
      </c>
      <c r="Q748" s="5">
        <v>44.3</v>
      </c>
      <c r="R748" s="5" t="s">
        <v>32</v>
      </c>
      <c r="S748" s="5" t="s">
        <v>33</v>
      </c>
      <c r="T748" s="5">
        <v>22.15</v>
      </c>
      <c r="U748" s="5">
        <v>2148.77</v>
      </c>
      <c r="V748" s="5" t="s">
        <v>34</v>
      </c>
      <c r="W748" s="5">
        <v>2</v>
      </c>
      <c r="X748" s="5">
        <v>1429461150137</v>
      </c>
      <c r="Y748" s="7">
        <v>46003</v>
      </c>
      <c r="Z748" s="7">
        <v>45996</v>
      </c>
      <c r="AB748" s="6">
        <v>46003</v>
      </c>
      <c r="AC748" s="7">
        <v>46000.504861111112</v>
      </c>
      <c r="AD748" s="5">
        <v>35501008402</v>
      </c>
      <c r="AE748" s="8">
        <v>45996</v>
      </c>
      <c r="AF748" s="5">
        <v>44037</v>
      </c>
      <c r="AG748" s="5" t="s">
        <v>37</v>
      </c>
      <c r="AH748" s="5">
        <v>206900</v>
      </c>
      <c r="AI748" s="6">
        <v>45996</v>
      </c>
      <c r="AJ748" s="6">
        <v>46003</v>
      </c>
      <c r="AK748" s="1">
        <f t="shared" ref="AK748:AK749" si="358">0.02*C748</f>
        <v>44.304399999999994</v>
      </c>
    </row>
    <row r="749" spans="1:37" x14ac:dyDescent="0.55000000000000004">
      <c r="A749">
        <v>3550</v>
      </c>
      <c r="B749">
        <v>1008498</v>
      </c>
      <c r="C749" s="1">
        <v>1875.78</v>
      </c>
      <c r="D749" s="4">
        <v>37.520000000000003</v>
      </c>
      <c r="E749" s="1">
        <v>1838.26</v>
      </c>
      <c r="F749">
        <v>18.760000000000002</v>
      </c>
      <c r="G749" s="1">
        <v>1819.5</v>
      </c>
      <c r="H749" s="14">
        <f t="shared" si="356"/>
        <v>1819.5</v>
      </c>
      <c r="I749" s="14" t="b">
        <f t="shared" si="357"/>
        <v>1</v>
      </c>
      <c r="J749" s="2">
        <v>46003</v>
      </c>
      <c r="K749" s="5">
        <v>1008498</v>
      </c>
      <c r="L749" s="5">
        <v>3550</v>
      </c>
      <c r="M749" s="5">
        <v>37.520000000000003</v>
      </c>
      <c r="N749" s="5">
        <v>1875.78</v>
      </c>
      <c r="O749" s="7">
        <v>45996</v>
      </c>
      <c r="P749" s="5">
        <v>1838.26</v>
      </c>
      <c r="Q749" s="5">
        <v>37.520000000000003</v>
      </c>
      <c r="R749" s="5" t="s">
        <v>32</v>
      </c>
      <c r="S749" s="5" t="s">
        <v>33</v>
      </c>
      <c r="T749" s="5">
        <v>18.760000000000002</v>
      </c>
      <c r="U749" s="5">
        <v>1819.5</v>
      </c>
      <c r="V749" s="5" t="s">
        <v>34</v>
      </c>
      <c r="W749" s="5">
        <v>2</v>
      </c>
      <c r="X749" s="5">
        <v>1429461150137</v>
      </c>
      <c r="Y749" s="7">
        <v>46003</v>
      </c>
      <c r="Z749" s="7">
        <v>45996</v>
      </c>
      <c r="AB749" s="6">
        <v>46003</v>
      </c>
      <c r="AC749" s="7">
        <v>46000.504861111112</v>
      </c>
      <c r="AD749" s="5">
        <v>35501008498</v>
      </c>
      <c r="AE749" s="8">
        <v>45996</v>
      </c>
      <c r="AF749" s="5">
        <v>44036</v>
      </c>
      <c r="AG749" s="5" t="s">
        <v>37</v>
      </c>
      <c r="AH749" s="5">
        <v>206899</v>
      </c>
      <c r="AI749" s="6">
        <v>45996</v>
      </c>
      <c r="AJ749" s="6">
        <v>46003</v>
      </c>
      <c r="AK749" s="1">
        <f t="shared" si="358"/>
        <v>37.515599999999999</v>
      </c>
    </row>
    <row r="750" spans="1:37" hidden="1" x14ac:dyDescent="0.55000000000000004">
      <c r="A750">
        <v>3550</v>
      </c>
      <c r="B750">
        <v>1008531</v>
      </c>
      <c r="C750" s="1">
        <v>2003.92</v>
      </c>
      <c r="E750" s="1">
        <v>2003.92</v>
      </c>
      <c r="F750">
        <v>20.04</v>
      </c>
      <c r="G750" s="1">
        <v>1983.88</v>
      </c>
      <c r="H750" s="1"/>
      <c r="I750" s="1"/>
      <c r="J750" s="2">
        <v>46003</v>
      </c>
      <c r="K750" s="5">
        <v>1008531</v>
      </c>
      <c r="L750" s="5">
        <v>3550</v>
      </c>
      <c r="M750" s="5">
        <v>0</v>
      </c>
      <c r="N750" s="5">
        <v>2003.92</v>
      </c>
      <c r="O750" s="7">
        <v>45996</v>
      </c>
      <c r="P750" s="5">
        <v>2003.92</v>
      </c>
      <c r="Q750" s="5">
        <v>0</v>
      </c>
      <c r="R750" s="5" t="s">
        <v>32</v>
      </c>
      <c r="S750" s="5" t="s">
        <v>33</v>
      </c>
      <c r="T750" s="5">
        <v>20.04</v>
      </c>
      <c r="U750" s="5">
        <v>1983.88</v>
      </c>
      <c r="V750" s="5" t="s">
        <v>34</v>
      </c>
      <c r="W750" s="5">
        <v>2</v>
      </c>
      <c r="X750" s="5">
        <v>1429461150137</v>
      </c>
      <c r="Y750" s="7">
        <v>46003</v>
      </c>
      <c r="Z750" s="7">
        <v>45996</v>
      </c>
      <c r="AB750" s="6">
        <v>46003</v>
      </c>
      <c r="AC750" s="7">
        <v>46000.504861111112</v>
      </c>
      <c r="AD750" s="5">
        <v>35501008531</v>
      </c>
      <c r="AE750" s="8">
        <v>45996</v>
      </c>
      <c r="AF750" s="5">
        <v>44029</v>
      </c>
      <c r="AG750" s="5" t="s">
        <v>38</v>
      </c>
      <c r="AH750" s="5">
        <v>206806</v>
      </c>
      <c r="AI750" s="6">
        <v>45996</v>
      </c>
      <c r="AJ750" s="6">
        <v>46003</v>
      </c>
    </row>
    <row r="751" spans="1:37" x14ac:dyDescent="0.55000000000000004">
      <c r="A751">
        <v>3564</v>
      </c>
      <c r="B751">
        <v>1007394</v>
      </c>
      <c r="C751">
        <v>272.8</v>
      </c>
      <c r="D751" s="4">
        <v>5.46</v>
      </c>
      <c r="E751">
        <v>267.33999999999997</v>
      </c>
      <c r="F751">
        <v>2.73</v>
      </c>
      <c r="G751">
        <v>264.61</v>
      </c>
      <c r="H751" s="14">
        <f>C751-D751-F751</f>
        <v>264.61</v>
      </c>
      <c r="I751" s="14" t="b">
        <f>G751=H751</f>
        <v>1</v>
      </c>
      <c r="J751" s="2">
        <v>46003</v>
      </c>
      <c r="K751" s="5">
        <v>1007394</v>
      </c>
      <c r="L751" s="5">
        <v>3564</v>
      </c>
      <c r="M751" s="5">
        <v>5.46</v>
      </c>
      <c r="N751" s="5">
        <v>272.8</v>
      </c>
      <c r="O751" s="7">
        <v>45992</v>
      </c>
      <c r="P751" s="5">
        <v>267.33999999999997</v>
      </c>
      <c r="Q751" s="5">
        <v>5.46</v>
      </c>
      <c r="R751" s="5" t="s">
        <v>32</v>
      </c>
      <c r="S751" s="5" t="s">
        <v>33</v>
      </c>
      <c r="T751" s="5">
        <v>2.73</v>
      </c>
      <c r="U751" s="5">
        <v>264.61</v>
      </c>
      <c r="V751" s="5" t="s">
        <v>34</v>
      </c>
      <c r="W751" s="5">
        <v>2</v>
      </c>
      <c r="X751" s="5">
        <v>3526136767226</v>
      </c>
      <c r="Y751" s="7">
        <v>46003</v>
      </c>
      <c r="Z751" s="7">
        <v>45992</v>
      </c>
      <c r="AB751" s="6">
        <v>46003</v>
      </c>
      <c r="AC751" s="7">
        <v>46002.563194444447</v>
      </c>
      <c r="AD751" s="5">
        <v>35641007394</v>
      </c>
      <c r="AE751" s="8">
        <v>45992</v>
      </c>
      <c r="AF751" s="5">
        <v>17540</v>
      </c>
      <c r="AG751" s="5" t="s">
        <v>37</v>
      </c>
      <c r="AH751" s="5">
        <v>205997</v>
      </c>
      <c r="AI751" s="6">
        <v>45992</v>
      </c>
      <c r="AJ751" s="6">
        <v>46003</v>
      </c>
      <c r="AK751" s="1">
        <f t="shared" ref="AK751" si="359">0.02*C751</f>
        <v>5.4560000000000004</v>
      </c>
    </row>
    <row r="752" spans="1:37" hidden="1" x14ac:dyDescent="0.55000000000000004">
      <c r="A752">
        <v>3564</v>
      </c>
      <c r="B752">
        <v>1007607</v>
      </c>
      <c r="C752" s="1">
        <v>3990</v>
      </c>
      <c r="E752" s="1">
        <v>3990</v>
      </c>
      <c r="F752">
        <v>39.9</v>
      </c>
      <c r="G752" s="1">
        <v>3950.1</v>
      </c>
      <c r="H752" s="1"/>
      <c r="I752" s="1"/>
      <c r="J752" s="2">
        <v>46003</v>
      </c>
      <c r="K752" s="5">
        <v>1007607</v>
      </c>
      <c r="L752" s="5">
        <v>3564</v>
      </c>
      <c r="M752" s="5">
        <v>0</v>
      </c>
      <c r="N752" s="5">
        <v>3990</v>
      </c>
      <c r="O752" s="7">
        <v>45993</v>
      </c>
      <c r="P752" s="5">
        <v>3990</v>
      </c>
      <c r="Q752" s="5">
        <v>0</v>
      </c>
      <c r="R752" s="5" t="s">
        <v>32</v>
      </c>
      <c r="S752" s="5" t="s">
        <v>33</v>
      </c>
      <c r="T752" s="5">
        <v>39.9</v>
      </c>
      <c r="U752" s="5">
        <v>3950.1</v>
      </c>
      <c r="V752" s="5" t="s">
        <v>34</v>
      </c>
      <c r="W752" s="5">
        <v>2</v>
      </c>
      <c r="X752" s="5">
        <v>3526136767226</v>
      </c>
      <c r="Y752" s="7">
        <v>46003</v>
      </c>
      <c r="Z752" s="7">
        <v>45993</v>
      </c>
      <c r="AB752" s="6">
        <v>46003</v>
      </c>
      <c r="AC752" s="7">
        <v>46002.563194444447</v>
      </c>
      <c r="AD752" s="5">
        <v>35641007607</v>
      </c>
      <c r="AE752" s="8">
        <v>45993</v>
      </c>
      <c r="AF752" s="5" t="s">
        <v>32</v>
      </c>
      <c r="AG752" s="5" t="s">
        <v>35</v>
      </c>
      <c r="AH752" s="5" t="s">
        <v>32</v>
      </c>
      <c r="AI752" s="6">
        <v>45993</v>
      </c>
      <c r="AJ752" s="6">
        <v>46003</v>
      </c>
    </row>
    <row r="753" spans="1:38" hidden="1" x14ac:dyDescent="0.55000000000000004">
      <c r="A753">
        <v>3564</v>
      </c>
      <c r="B753">
        <v>1007802</v>
      </c>
      <c r="C753" s="1">
        <v>1739.21</v>
      </c>
      <c r="E753" s="1">
        <v>1739.21</v>
      </c>
      <c r="F753">
        <v>17.39</v>
      </c>
      <c r="G753" s="1">
        <v>1721.82</v>
      </c>
      <c r="H753" s="1"/>
      <c r="I753" s="1"/>
      <c r="J753" s="2">
        <v>46003</v>
      </c>
      <c r="K753" s="5">
        <v>1007802</v>
      </c>
      <c r="L753" s="5">
        <v>3564</v>
      </c>
      <c r="M753" s="5">
        <v>0</v>
      </c>
      <c r="N753" s="5">
        <v>1739.21</v>
      </c>
      <c r="O753" s="7">
        <v>45993</v>
      </c>
      <c r="P753" s="5">
        <v>1739.21</v>
      </c>
      <c r="Q753" s="5">
        <v>0</v>
      </c>
      <c r="R753" s="5" t="s">
        <v>32</v>
      </c>
      <c r="S753" s="5" t="s">
        <v>33</v>
      </c>
      <c r="T753" s="5">
        <v>17.39</v>
      </c>
      <c r="U753" s="5">
        <v>1721.82</v>
      </c>
      <c r="V753" s="5" t="s">
        <v>34</v>
      </c>
      <c r="W753" s="5">
        <v>2</v>
      </c>
      <c r="X753" s="5">
        <v>3526136767226</v>
      </c>
      <c r="Y753" s="7">
        <v>46003</v>
      </c>
      <c r="Z753" s="7">
        <v>45993</v>
      </c>
      <c r="AB753" s="6">
        <v>46003</v>
      </c>
      <c r="AC753" s="7">
        <v>46002.563194444447</v>
      </c>
      <c r="AD753" s="5">
        <v>35641007802</v>
      </c>
      <c r="AE753" s="8">
        <v>45993</v>
      </c>
      <c r="AF753" s="5">
        <v>17567</v>
      </c>
      <c r="AG753" s="5" t="s">
        <v>38</v>
      </c>
      <c r="AH753" s="5">
        <v>206082</v>
      </c>
      <c r="AI753" s="6">
        <v>45993</v>
      </c>
      <c r="AJ753" s="6">
        <v>46003</v>
      </c>
    </row>
    <row r="754" spans="1:38" hidden="1" x14ac:dyDescent="0.55000000000000004">
      <c r="A754">
        <v>3564</v>
      </c>
      <c r="B754">
        <v>1007809</v>
      </c>
      <c r="C754">
        <v>828.19</v>
      </c>
      <c r="E754">
        <v>828.19</v>
      </c>
      <c r="F754">
        <v>8.2799999999999994</v>
      </c>
      <c r="G754">
        <v>819.91</v>
      </c>
      <c r="H754"/>
      <c r="I754"/>
      <c r="J754" s="2">
        <v>46003</v>
      </c>
      <c r="K754" s="5">
        <v>1007809</v>
      </c>
      <c r="L754" s="5">
        <v>3564</v>
      </c>
      <c r="M754" s="5">
        <v>0</v>
      </c>
      <c r="N754" s="5">
        <v>828.19</v>
      </c>
      <c r="O754" s="7">
        <v>45993</v>
      </c>
      <c r="P754" s="5">
        <v>828.19</v>
      </c>
      <c r="Q754" s="5">
        <v>0</v>
      </c>
      <c r="R754" s="5" t="s">
        <v>32</v>
      </c>
      <c r="S754" s="5" t="s">
        <v>33</v>
      </c>
      <c r="T754" s="5">
        <v>8.2799999999999994</v>
      </c>
      <c r="U754" s="5">
        <v>819.91</v>
      </c>
      <c r="V754" s="5" t="s">
        <v>34</v>
      </c>
      <c r="W754" s="5">
        <v>2</v>
      </c>
      <c r="X754" s="5">
        <v>3526136767226</v>
      </c>
      <c r="Y754" s="7">
        <v>46003</v>
      </c>
      <c r="Z754" s="7">
        <v>45993</v>
      </c>
      <c r="AB754" s="6">
        <v>46003</v>
      </c>
      <c r="AC754" s="7">
        <v>46002.563194444447</v>
      </c>
      <c r="AD754" s="5">
        <v>35641007809</v>
      </c>
      <c r="AE754" s="8">
        <v>45993</v>
      </c>
      <c r="AF754" s="5" t="s">
        <v>417</v>
      </c>
      <c r="AG754" s="5" t="s">
        <v>38</v>
      </c>
      <c r="AH754" s="5">
        <v>206081</v>
      </c>
      <c r="AI754" s="6">
        <v>45993</v>
      </c>
      <c r="AJ754" s="6">
        <v>46003</v>
      </c>
    </row>
    <row r="755" spans="1:38" x14ac:dyDescent="0.55000000000000004">
      <c r="A755">
        <v>3564</v>
      </c>
      <c r="B755">
        <v>1007894</v>
      </c>
      <c r="C755" s="1">
        <v>1127.52</v>
      </c>
      <c r="D755" s="4">
        <v>22.55</v>
      </c>
      <c r="E755" s="1">
        <v>1104.97</v>
      </c>
      <c r="F755">
        <v>11.28</v>
      </c>
      <c r="G755" s="1">
        <v>1093.69</v>
      </c>
      <c r="H755" s="14">
        <f t="shared" ref="H755:H756" si="360">C755-D755-F755</f>
        <v>1093.69</v>
      </c>
      <c r="I755" s="14" t="b">
        <f t="shared" ref="I755:I756" si="361">G755=H755</f>
        <v>1</v>
      </c>
      <c r="J755" s="2">
        <v>46003</v>
      </c>
      <c r="K755" s="5">
        <v>1007894</v>
      </c>
      <c r="L755" s="5">
        <v>3564</v>
      </c>
      <c r="M755" s="5">
        <v>22.55</v>
      </c>
      <c r="N755" s="5">
        <v>1127.52</v>
      </c>
      <c r="O755" s="7">
        <v>45994</v>
      </c>
      <c r="P755" s="5">
        <v>1104.97</v>
      </c>
      <c r="Q755" s="5">
        <v>22.55</v>
      </c>
      <c r="R755" s="5" t="s">
        <v>32</v>
      </c>
      <c r="S755" s="5" t="s">
        <v>33</v>
      </c>
      <c r="T755" s="5">
        <v>11.28</v>
      </c>
      <c r="U755" s="5">
        <v>1093.69</v>
      </c>
      <c r="V755" s="5" t="s">
        <v>34</v>
      </c>
      <c r="W755" s="5">
        <v>2</v>
      </c>
      <c r="X755" s="5">
        <v>3526136767226</v>
      </c>
      <c r="Y755" s="7">
        <v>46003</v>
      </c>
      <c r="Z755" s="7">
        <v>45994</v>
      </c>
      <c r="AB755" s="6">
        <v>46003</v>
      </c>
      <c r="AC755" s="7">
        <v>46002.563194444447</v>
      </c>
      <c r="AD755" s="5">
        <v>35641007894</v>
      </c>
      <c r="AE755" s="8">
        <v>45994</v>
      </c>
      <c r="AF755" s="5">
        <v>17559</v>
      </c>
      <c r="AG755" s="5" t="s">
        <v>37</v>
      </c>
      <c r="AH755" s="5">
        <v>206499</v>
      </c>
      <c r="AI755" s="6">
        <v>45994</v>
      </c>
      <c r="AJ755" s="6">
        <v>46003</v>
      </c>
      <c r="AK755" s="1">
        <f t="shared" ref="AK755:AK756" si="362">0.02*C755</f>
        <v>22.5504</v>
      </c>
    </row>
    <row r="756" spans="1:38" x14ac:dyDescent="0.55000000000000004">
      <c r="A756">
        <v>3564</v>
      </c>
      <c r="B756">
        <v>1008034</v>
      </c>
      <c r="C756" s="1">
        <v>1345.86</v>
      </c>
      <c r="D756" s="4">
        <v>26.92</v>
      </c>
      <c r="E756" s="1">
        <v>1318.94</v>
      </c>
      <c r="F756">
        <v>13.46</v>
      </c>
      <c r="G756" s="1">
        <v>1305.48</v>
      </c>
      <c r="H756" s="14">
        <f t="shared" si="360"/>
        <v>1305.4799999999998</v>
      </c>
      <c r="I756" s="14" t="b">
        <f t="shared" si="361"/>
        <v>1</v>
      </c>
      <c r="J756" s="2">
        <v>46003</v>
      </c>
      <c r="K756" s="5">
        <v>1008034</v>
      </c>
      <c r="L756" s="5">
        <v>3564</v>
      </c>
      <c r="M756" s="5">
        <v>26.92</v>
      </c>
      <c r="N756" s="5">
        <v>1345.86</v>
      </c>
      <c r="O756" s="7">
        <v>45994</v>
      </c>
      <c r="P756" s="5">
        <v>1318.94</v>
      </c>
      <c r="Q756" s="5">
        <v>26.92</v>
      </c>
      <c r="R756" s="5" t="s">
        <v>32</v>
      </c>
      <c r="S756" s="5" t="s">
        <v>33</v>
      </c>
      <c r="T756" s="5">
        <v>13.46</v>
      </c>
      <c r="U756" s="5">
        <v>1305.48</v>
      </c>
      <c r="V756" s="5" t="s">
        <v>34</v>
      </c>
      <c r="W756" s="5">
        <v>2</v>
      </c>
      <c r="X756" s="5">
        <v>3526136767226</v>
      </c>
      <c r="Y756" s="7">
        <v>46003</v>
      </c>
      <c r="Z756" s="7">
        <v>45994</v>
      </c>
      <c r="AB756" s="6">
        <v>46003</v>
      </c>
      <c r="AC756" s="7">
        <v>46002.563194444447</v>
      </c>
      <c r="AD756" s="5">
        <v>35641008034</v>
      </c>
      <c r="AE756" s="8">
        <v>45994</v>
      </c>
      <c r="AF756" s="5">
        <v>17540</v>
      </c>
      <c r="AG756" s="5" t="s">
        <v>37</v>
      </c>
      <c r="AH756" s="5">
        <v>206054</v>
      </c>
      <c r="AI756" s="6">
        <v>45994</v>
      </c>
      <c r="AJ756" s="6">
        <v>46003</v>
      </c>
      <c r="AK756" s="1">
        <f t="shared" si="362"/>
        <v>26.917199999999998</v>
      </c>
    </row>
    <row r="757" spans="1:38" hidden="1" x14ac:dyDescent="0.55000000000000004">
      <c r="A757">
        <v>3564</v>
      </c>
      <c r="B757">
        <v>1008236</v>
      </c>
      <c r="C757">
        <v>799.9</v>
      </c>
      <c r="E757">
        <v>799.9</v>
      </c>
      <c r="F757">
        <v>8</v>
      </c>
      <c r="G757">
        <v>791.9</v>
      </c>
      <c r="H757"/>
      <c r="I757"/>
      <c r="J757" s="2">
        <v>46003</v>
      </c>
      <c r="K757" s="5">
        <v>1008236</v>
      </c>
      <c r="L757" s="5">
        <v>3564</v>
      </c>
      <c r="M757" s="5">
        <v>0</v>
      </c>
      <c r="N757" s="5">
        <v>799.9</v>
      </c>
      <c r="O757" s="7">
        <v>45995</v>
      </c>
      <c r="P757" s="5">
        <v>799.9</v>
      </c>
      <c r="Q757" s="5">
        <v>0</v>
      </c>
      <c r="R757" s="5" t="s">
        <v>32</v>
      </c>
      <c r="S757" s="5" t="s">
        <v>33</v>
      </c>
      <c r="T757" s="5">
        <v>8</v>
      </c>
      <c r="U757" s="5">
        <v>791.9</v>
      </c>
      <c r="V757" s="5" t="s">
        <v>34</v>
      </c>
      <c r="W757" s="5">
        <v>2</v>
      </c>
      <c r="X757" s="5">
        <v>3526136767226</v>
      </c>
      <c r="Y757" s="7">
        <v>46003</v>
      </c>
      <c r="Z757" s="7">
        <v>45995</v>
      </c>
      <c r="AB757" s="6">
        <v>46003</v>
      </c>
      <c r="AC757" s="7">
        <v>46002.563194444447</v>
      </c>
      <c r="AD757" s="5">
        <v>35641008236</v>
      </c>
      <c r="AE757" s="8">
        <v>45995</v>
      </c>
      <c r="AF757" s="5">
        <v>17559</v>
      </c>
      <c r="AG757" s="5" t="s">
        <v>38</v>
      </c>
      <c r="AH757" s="5">
        <v>206505</v>
      </c>
      <c r="AI757" s="6">
        <v>45995</v>
      </c>
      <c r="AJ757" s="6">
        <v>46003</v>
      </c>
    </row>
    <row r="758" spans="1:38" x14ac:dyDescent="0.55000000000000004">
      <c r="A758">
        <v>3571</v>
      </c>
      <c r="B758">
        <v>1007828</v>
      </c>
      <c r="C758">
        <v>134.97</v>
      </c>
      <c r="E758">
        <v>134.97</v>
      </c>
      <c r="F758">
        <v>1.35</v>
      </c>
      <c r="G758">
        <v>133.62</v>
      </c>
      <c r="H758" s="14">
        <f t="shared" ref="H758:H761" si="363">C758-D758-F758</f>
        <v>133.62</v>
      </c>
      <c r="I758" s="14" t="b">
        <f t="shared" ref="I758:I761" si="364">G758=H758</f>
        <v>1</v>
      </c>
      <c r="J758" s="2">
        <v>46003</v>
      </c>
      <c r="K758" s="5">
        <v>1007828</v>
      </c>
      <c r="L758" s="5">
        <v>3571</v>
      </c>
      <c r="M758" s="5">
        <v>0</v>
      </c>
      <c r="N758" s="5">
        <v>134.97</v>
      </c>
      <c r="O758" s="7">
        <v>45993</v>
      </c>
      <c r="P758" s="5">
        <v>134.97</v>
      </c>
      <c r="Q758" s="5">
        <v>0</v>
      </c>
      <c r="R758" s="5" t="s">
        <v>32</v>
      </c>
      <c r="S758" s="5" t="s">
        <v>33</v>
      </c>
      <c r="T758" s="5">
        <v>1.35</v>
      </c>
      <c r="U758" s="5">
        <v>133.62</v>
      </c>
      <c r="V758" s="5" t="s">
        <v>34</v>
      </c>
      <c r="W758" s="5">
        <v>2</v>
      </c>
      <c r="X758" s="5">
        <v>4913749881737</v>
      </c>
      <c r="Y758" s="7">
        <v>46003</v>
      </c>
      <c r="Z758" s="7">
        <v>45993</v>
      </c>
      <c r="AB758" s="6">
        <v>46003</v>
      </c>
      <c r="AC758" s="7">
        <v>46003.380555555559</v>
      </c>
      <c r="AD758" s="5">
        <v>35711007828</v>
      </c>
      <c r="AE758" s="8">
        <v>45993</v>
      </c>
      <c r="AF758" s="5" t="s">
        <v>418</v>
      </c>
      <c r="AG758" s="5" t="s">
        <v>37</v>
      </c>
      <c r="AH758" s="5">
        <v>206036</v>
      </c>
      <c r="AI758" s="6">
        <v>45993</v>
      </c>
      <c r="AJ758" s="6">
        <v>46003</v>
      </c>
      <c r="AK758" s="1">
        <f t="shared" ref="AK758:AK761" si="365">0.02*C758</f>
        <v>2.6994000000000002</v>
      </c>
      <c r="AL758" t="s">
        <v>673</v>
      </c>
    </row>
    <row r="759" spans="1:38" x14ac:dyDescent="0.55000000000000004">
      <c r="A759">
        <v>3571</v>
      </c>
      <c r="B759">
        <v>1008135</v>
      </c>
      <c r="C759" s="1">
        <v>1133.27</v>
      </c>
      <c r="E759" s="1">
        <v>1133.27</v>
      </c>
      <c r="F759">
        <v>11.33</v>
      </c>
      <c r="G759" s="1">
        <v>1121.94</v>
      </c>
      <c r="H759" s="14">
        <f t="shared" si="363"/>
        <v>1121.94</v>
      </c>
      <c r="I759" s="14" t="b">
        <f t="shared" si="364"/>
        <v>1</v>
      </c>
      <c r="J759" s="2">
        <v>46003</v>
      </c>
      <c r="K759" s="5">
        <v>1008135</v>
      </c>
      <c r="L759" s="5">
        <v>3571</v>
      </c>
      <c r="M759" s="5">
        <v>0</v>
      </c>
      <c r="N759" s="5">
        <v>1133.27</v>
      </c>
      <c r="O759" s="7">
        <v>45995</v>
      </c>
      <c r="P759" s="5">
        <v>1133.27</v>
      </c>
      <c r="Q759" s="5">
        <v>0</v>
      </c>
      <c r="R759" s="5" t="s">
        <v>32</v>
      </c>
      <c r="S759" s="5" t="s">
        <v>33</v>
      </c>
      <c r="T759" s="5">
        <v>11.33</v>
      </c>
      <c r="U759" s="5">
        <v>1121.94</v>
      </c>
      <c r="V759" s="5" t="s">
        <v>34</v>
      </c>
      <c r="W759" s="5">
        <v>2</v>
      </c>
      <c r="X759" s="5">
        <v>4913749881737</v>
      </c>
      <c r="Y759" s="7">
        <v>46003</v>
      </c>
      <c r="Z759" s="7">
        <v>45995</v>
      </c>
      <c r="AB759" s="6">
        <v>46003</v>
      </c>
      <c r="AC759" s="7">
        <v>46003.380555555559</v>
      </c>
      <c r="AD759" s="5">
        <v>35711008135</v>
      </c>
      <c r="AE759" s="8">
        <v>45995</v>
      </c>
      <c r="AF759" s="5" t="s">
        <v>419</v>
      </c>
      <c r="AG759" s="5" t="s">
        <v>37</v>
      </c>
      <c r="AH759" s="5">
        <v>206679</v>
      </c>
      <c r="AI759" s="6">
        <v>45995</v>
      </c>
      <c r="AJ759" s="6">
        <v>46003</v>
      </c>
      <c r="AK759" s="1">
        <f t="shared" si="365"/>
        <v>22.665400000000002</v>
      </c>
      <c r="AL759" t="s">
        <v>673</v>
      </c>
    </row>
    <row r="760" spans="1:38" x14ac:dyDescent="0.55000000000000004">
      <c r="A760">
        <v>3571</v>
      </c>
      <c r="B760">
        <v>1008247</v>
      </c>
      <c r="C760">
        <v>92.29</v>
      </c>
      <c r="E760">
        <v>92.29</v>
      </c>
      <c r="F760">
        <v>0.92</v>
      </c>
      <c r="G760">
        <v>91.37</v>
      </c>
      <c r="H760" s="14">
        <f t="shared" si="363"/>
        <v>91.37</v>
      </c>
      <c r="I760" s="14" t="b">
        <f t="shared" si="364"/>
        <v>1</v>
      </c>
      <c r="J760" s="2">
        <v>46003</v>
      </c>
      <c r="K760" s="5">
        <v>1008247</v>
      </c>
      <c r="L760" s="5">
        <v>3571</v>
      </c>
      <c r="M760" s="5">
        <v>0</v>
      </c>
      <c r="N760" s="5">
        <v>92.29</v>
      </c>
      <c r="O760" s="7">
        <v>45995</v>
      </c>
      <c r="P760" s="5">
        <v>92.29</v>
      </c>
      <c r="Q760" s="5">
        <v>0</v>
      </c>
      <c r="R760" s="5" t="s">
        <v>32</v>
      </c>
      <c r="S760" s="5" t="s">
        <v>33</v>
      </c>
      <c r="T760" s="5">
        <v>0.92</v>
      </c>
      <c r="U760" s="5">
        <v>91.37</v>
      </c>
      <c r="V760" s="5" t="s">
        <v>34</v>
      </c>
      <c r="W760" s="5">
        <v>2</v>
      </c>
      <c r="X760" s="5">
        <v>4913749881737</v>
      </c>
      <c r="Y760" s="7">
        <v>46003</v>
      </c>
      <c r="Z760" s="7">
        <v>45995</v>
      </c>
      <c r="AB760" s="6">
        <v>46003</v>
      </c>
      <c r="AC760" s="7">
        <v>46003.380555555559</v>
      </c>
      <c r="AD760" s="5">
        <v>35711008247</v>
      </c>
      <c r="AE760" s="8">
        <v>45995</v>
      </c>
      <c r="AF760" s="5" t="s">
        <v>420</v>
      </c>
      <c r="AG760" s="5" t="s">
        <v>37</v>
      </c>
      <c r="AH760" s="5">
        <v>206574</v>
      </c>
      <c r="AI760" s="6">
        <v>45995</v>
      </c>
      <c r="AJ760" s="6">
        <v>46003</v>
      </c>
      <c r="AK760" s="1">
        <f t="shared" si="365"/>
        <v>1.8458000000000001</v>
      </c>
      <c r="AL760" t="s">
        <v>673</v>
      </c>
    </row>
    <row r="761" spans="1:38" x14ac:dyDescent="0.55000000000000004">
      <c r="A761">
        <v>3571</v>
      </c>
      <c r="B761">
        <v>1008250</v>
      </c>
      <c r="C761">
        <v>727.16</v>
      </c>
      <c r="E761">
        <v>727.16</v>
      </c>
      <c r="F761">
        <v>7.27</v>
      </c>
      <c r="G761">
        <v>719.89</v>
      </c>
      <c r="H761" s="14">
        <f t="shared" si="363"/>
        <v>719.89</v>
      </c>
      <c r="I761" s="14" t="b">
        <f t="shared" si="364"/>
        <v>1</v>
      </c>
      <c r="J761" s="2">
        <v>46003</v>
      </c>
      <c r="K761" s="5">
        <v>1008250</v>
      </c>
      <c r="L761" s="5">
        <v>3571</v>
      </c>
      <c r="M761" s="5">
        <v>0</v>
      </c>
      <c r="N761" s="5">
        <v>727.16</v>
      </c>
      <c r="O761" s="7">
        <v>45995</v>
      </c>
      <c r="P761" s="5">
        <v>727.16</v>
      </c>
      <c r="Q761" s="5">
        <v>0</v>
      </c>
      <c r="R761" s="5" t="s">
        <v>32</v>
      </c>
      <c r="S761" s="5" t="s">
        <v>33</v>
      </c>
      <c r="T761" s="5">
        <v>7.27</v>
      </c>
      <c r="U761" s="5">
        <v>719.89</v>
      </c>
      <c r="V761" s="5" t="s">
        <v>34</v>
      </c>
      <c r="W761" s="5">
        <v>2</v>
      </c>
      <c r="X761" s="5">
        <v>4913749881737</v>
      </c>
      <c r="Y761" s="7">
        <v>46003</v>
      </c>
      <c r="Z761" s="7">
        <v>45995</v>
      </c>
      <c r="AB761" s="6">
        <v>46003</v>
      </c>
      <c r="AC761" s="7">
        <v>46003.380555555559</v>
      </c>
      <c r="AD761" s="5">
        <v>35711008250</v>
      </c>
      <c r="AE761" s="8">
        <v>45995</v>
      </c>
      <c r="AF761" s="5" t="s">
        <v>421</v>
      </c>
      <c r="AG761" s="5" t="s">
        <v>37</v>
      </c>
      <c r="AH761" s="5">
        <v>206573</v>
      </c>
      <c r="AI761" s="6">
        <v>45995</v>
      </c>
      <c r="AJ761" s="6">
        <v>46003</v>
      </c>
      <c r="AK761" s="1">
        <f t="shared" si="365"/>
        <v>14.543199999999999</v>
      </c>
      <c r="AL761" t="s">
        <v>673</v>
      </c>
    </row>
    <row r="762" spans="1:38" hidden="1" x14ac:dyDescent="0.55000000000000004">
      <c r="A762">
        <v>3571</v>
      </c>
      <c r="B762">
        <v>1009355</v>
      </c>
      <c r="C762">
        <v>-190.87</v>
      </c>
      <c r="E762">
        <v>-190.87</v>
      </c>
      <c r="G762">
        <v>-190.87</v>
      </c>
      <c r="H762"/>
      <c r="I762"/>
      <c r="J762" s="2">
        <v>46003</v>
      </c>
      <c r="K762" s="5">
        <v>1009355</v>
      </c>
      <c r="L762" s="5">
        <v>3571</v>
      </c>
      <c r="M762" s="5">
        <v>0</v>
      </c>
      <c r="N762" s="5">
        <v>-190.87</v>
      </c>
      <c r="O762" s="7">
        <v>46001</v>
      </c>
      <c r="P762" s="5">
        <v>-190.87</v>
      </c>
      <c r="Q762" s="5">
        <v>0</v>
      </c>
      <c r="R762" s="5">
        <v>1009355</v>
      </c>
      <c r="S762" s="5" t="s">
        <v>33</v>
      </c>
      <c r="T762" s="5">
        <v>0</v>
      </c>
      <c r="U762" s="5">
        <v>-190.87</v>
      </c>
      <c r="V762" s="5" t="s">
        <v>34</v>
      </c>
      <c r="W762" s="5">
        <v>2</v>
      </c>
      <c r="X762" s="5">
        <v>4913749881737</v>
      </c>
      <c r="Y762" s="7">
        <v>46003</v>
      </c>
      <c r="Z762" s="7">
        <v>46001</v>
      </c>
      <c r="AB762" s="6">
        <v>46003</v>
      </c>
      <c r="AC762" s="7">
        <v>46003.380555555559</v>
      </c>
      <c r="AD762" s="5">
        <v>35711009355</v>
      </c>
      <c r="AE762" s="8">
        <v>46001</v>
      </c>
      <c r="AF762" s="5" t="s">
        <v>41</v>
      </c>
      <c r="AG762" s="5" t="s">
        <v>38</v>
      </c>
      <c r="AH762" s="5" t="s">
        <v>40</v>
      </c>
      <c r="AI762" s="6">
        <v>46001</v>
      </c>
      <c r="AJ762" s="6">
        <v>46003</v>
      </c>
    </row>
    <row r="763" spans="1:38" x14ac:dyDescent="0.55000000000000004">
      <c r="A763">
        <v>3578</v>
      </c>
      <c r="B763">
        <v>1007280</v>
      </c>
      <c r="C763">
        <v>66.36</v>
      </c>
      <c r="D763" s="4">
        <v>1.33</v>
      </c>
      <c r="E763">
        <v>65.03</v>
      </c>
      <c r="F763">
        <v>0.66</v>
      </c>
      <c r="G763">
        <v>64.37</v>
      </c>
      <c r="H763" s="14">
        <f t="shared" ref="H763:H765" si="366">C763-D763-F763</f>
        <v>64.37</v>
      </c>
      <c r="I763" s="14" t="b">
        <f t="shared" ref="I763:I765" si="367">G763=H763</f>
        <v>1</v>
      </c>
      <c r="J763" s="2">
        <v>46003</v>
      </c>
      <c r="K763" s="5">
        <v>1007280</v>
      </c>
      <c r="L763" s="5">
        <v>3578</v>
      </c>
      <c r="M763" s="5">
        <v>1.33</v>
      </c>
      <c r="N763" s="5">
        <v>66.36</v>
      </c>
      <c r="O763" s="7">
        <v>45992</v>
      </c>
      <c r="P763" s="5">
        <v>65.03</v>
      </c>
      <c r="Q763" s="5">
        <v>1.33</v>
      </c>
      <c r="R763" s="5" t="s">
        <v>32</v>
      </c>
      <c r="S763" s="5" t="s">
        <v>33</v>
      </c>
      <c r="T763" s="5">
        <v>0.66</v>
      </c>
      <c r="U763" s="5">
        <v>64.37</v>
      </c>
      <c r="V763" s="5" t="s">
        <v>34</v>
      </c>
      <c r="W763" s="5">
        <v>2</v>
      </c>
      <c r="X763" s="5">
        <v>5302428888767</v>
      </c>
      <c r="Y763" s="7">
        <v>46003</v>
      </c>
      <c r="Z763" s="7">
        <v>45992</v>
      </c>
      <c r="AB763" s="6">
        <v>46003</v>
      </c>
      <c r="AC763" s="7">
        <v>46002.456250000003</v>
      </c>
      <c r="AD763" s="5">
        <v>35781007280</v>
      </c>
      <c r="AE763" s="8">
        <v>45992</v>
      </c>
      <c r="AF763" s="5">
        <v>152756</v>
      </c>
      <c r="AG763" s="5" t="s">
        <v>37</v>
      </c>
      <c r="AH763" s="5">
        <v>205819</v>
      </c>
      <c r="AI763" s="6">
        <v>45992</v>
      </c>
      <c r="AJ763" s="6">
        <v>46003</v>
      </c>
      <c r="AK763" s="1">
        <f t="shared" ref="AK763:AK765" si="368">0.02*C763</f>
        <v>1.3271999999999999</v>
      </c>
    </row>
    <row r="764" spans="1:38" x14ac:dyDescent="0.55000000000000004">
      <c r="A764">
        <v>3578</v>
      </c>
      <c r="B764">
        <v>1007327</v>
      </c>
      <c r="C764">
        <v>99.54</v>
      </c>
      <c r="D764" s="4">
        <v>1.99</v>
      </c>
      <c r="E764">
        <v>97.55</v>
      </c>
      <c r="F764">
        <v>1</v>
      </c>
      <c r="G764">
        <v>96.55</v>
      </c>
      <c r="H764" s="14">
        <f t="shared" si="366"/>
        <v>96.550000000000011</v>
      </c>
      <c r="I764" s="14" t="b">
        <f t="shared" si="367"/>
        <v>1</v>
      </c>
      <c r="J764" s="2">
        <v>46003</v>
      </c>
      <c r="K764" s="5">
        <v>1007327</v>
      </c>
      <c r="L764" s="5">
        <v>3578</v>
      </c>
      <c r="M764" s="5">
        <v>1.99</v>
      </c>
      <c r="N764" s="5">
        <v>99.54</v>
      </c>
      <c r="O764" s="7">
        <v>45992</v>
      </c>
      <c r="P764" s="5">
        <v>97.55</v>
      </c>
      <c r="Q764" s="5">
        <v>1.99</v>
      </c>
      <c r="R764" s="5" t="s">
        <v>32</v>
      </c>
      <c r="S764" s="5" t="s">
        <v>33</v>
      </c>
      <c r="T764" s="5">
        <v>1</v>
      </c>
      <c r="U764" s="5">
        <v>96.55</v>
      </c>
      <c r="V764" s="5" t="s">
        <v>34</v>
      </c>
      <c r="W764" s="5">
        <v>2</v>
      </c>
      <c r="X764" s="5">
        <v>5302428888767</v>
      </c>
      <c r="Y764" s="7">
        <v>46003</v>
      </c>
      <c r="Z764" s="7">
        <v>45992</v>
      </c>
      <c r="AB764" s="6">
        <v>46003</v>
      </c>
      <c r="AC764" s="7">
        <v>46002.456250000003</v>
      </c>
      <c r="AD764" s="5">
        <v>35781007327</v>
      </c>
      <c r="AE764" s="8">
        <v>45992</v>
      </c>
      <c r="AF764" s="5">
        <v>153187</v>
      </c>
      <c r="AG764" s="5" t="s">
        <v>37</v>
      </c>
      <c r="AH764" s="5">
        <v>205821</v>
      </c>
      <c r="AI764" s="6">
        <v>45992</v>
      </c>
      <c r="AJ764" s="6">
        <v>46003</v>
      </c>
      <c r="AK764" s="1">
        <f t="shared" si="368"/>
        <v>1.9908000000000001</v>
      </c>
    </row>
    <row r="765" spans="1:38" x14ac:dyDescent="0.55000000000000004">
      <c r="A765">
        <v>3578</v>
      </c>
      <c r="B765">
        <v>1007334</v>
      </c>
      <c r="C765">
        <v>232.26</v>
      </c>
      <c r="D765" s="4">
        <v>4.6500000000000004</v>
      </c>
      <c r="E765">
        <v>227.61</v>
      </c>
      <c r="F765">
        <v>2.3199999999999998</v>
      </c>
      <c r="G765">
        <v>225.29</v>
      </c>
      <c r="H765" s="14">
        <f t="shared" si="366"/>
        <v>225.29</v>
      </c>
      <c r="I765" s="14" t="b">
        <f t="shared" si="367"/>
        <v>1</v>
      </c>
      <c r="J765" s="2">
        <v>46003</v>
      </c>
      <c r="K765" s="5">
        <v>1007334</v>
      </c>
      <c r="L765" s="5">
        <v>3578</v>
      </c>
      <c r="M765" s="5">
        <v>4.6500000000000004</v>
      </c>
      <c r="N765" s="5">
        <v>232.26</v>
      </c>
      <c r="O765" s="7">
        <v>45992</v>
      </c>
      <c r="P765" s="5">
        <v>227.61</v>
      </c>
      <c r="Q765" s="5">
        <v>4.6500000000000004</v>
      </c>
      <c r="R765" s="5" t="s">
        <v>32</v>
      </c>
      <c r="S765" s="5" t="s">
        <v>33</v>
      </c>
      <c r="T765" s="5">
        <v>2.3199999999999998</v>
      </c>
      <c r="U765" s="5">
        <v>225.29</v>
      </c>
      <c r="V765" s="5" t="s">
        <v>34</v>
      </c>
      <c r="W765" s="5">
        <v>2</v>
      </c>
      <c r="X765" s="5">
        <v>5302428888767</v>
      </c>
      <c r="Y765" s="7">
        <v>46003</v>
      </c>
      <c r="Z765" s="7">
        <v>45992</v>
      </c>
      <c r="AB765" s="6">
        <v>46003</v>
      </c>
      <c r="AC765" s="7">
        <v>46002.456250000003</v>
      </c>
      <c r="AD765" s="5">
        <v>35781007334</v>
      </c>
      <c r="AE765" s="8">
        <v>45992</v>
      </c>
      <c r="AF765" s="5">
        <v>152972</v>
      </c>
      <c r="AG765" s="5" t="s">
        <v>37</v>
      </c>
      <c r="AH765" s="5">
        <v>205820</v>
      </c>
      <c r="AI765" s="6">
        <v>45992</v>
      </c>
      <c r="AJ765" s="6">
        <v>46003</v>
      </c>
      <c r="AK765" s="1">
        <f t="shared" si="368"/>
        <v>4.6452</v>
      </c>
    </row>
    <row r="766" spans="1:38" hidden="1" x14ac:dyDescent="0.55000000000000004">
      <c r="A766">
        <v>3578</v>
      </c>
      <c r="B766">
        <v>1007502</v>
      </c>
      <c r="C766" s="1">
        <v>3990</v>
      </c>
      <c r="E766" s="1">
        <v>3990</v>
      </c>
      <c r="F766">
        <v>39.9</v>
      </c>
      <c r="G766" s="1">
        <v>3950.1</v>
      </c>
      <c r="H766" s="1"/>
      <c r="I766" s="1"/>
      <c r="J766" s="2">
        <v>46003</v>
      </c>
      <c r="K766" s="5">
        <v>1007502</v>
      </c>
      <c r="L766" s="5">
        <v>3578</v>
      </c>
      <c r="M766" s="5">
        <v>0</v>
      </c>
      <c r="N766" s="5">
        <v>3990</v>
      </c>
      <c r="O766" s="7">
        <v>45993</v>
      </c>
      <c r="P766" s="5">
        <v>3990</v>
      </c>
      <c r="Q766" s="5">
        <v>0</v>
      </c>
      <c r="R766" s="5" t="s">
        <v>32</v>
      </c>
      <c r="S766" s="5" t="s">
        <v>33</v>
      </c>
      <c r="T766" s="5">
        <v>39.9</v>
      </c>
      <c r="U766" s="5">
        <v>3950.1</v>
      </c>
      <c r="V766" s="5" t="s">
        <v>34</v>
      </c>
      <c r="W766" s="5">
        <v>2</v>
      </c>
      <c r="X766" s="5">
        <v>5302428888767</v>
      </c>
      <c r="Y766" s="7">
        <v>46003</v>
      </c>
      <c r="Z766" s="7">
        <v>45993</v>
      </c>
      <c r="AB766" s="6">
        <v>46003</v>
      </c>
      <c r="AC766" s="7">
        <v>46002.456250000003</v>
      </c>
      <c r="AD766" s="5">
        <v>35781007502</v>
      </c>
      <c r="AE766" s="8">
        <v>45993</v>
      </c>
      <c r="AF766" s="5" t="s">
        <v>32</v>
      </c>
      <c r="AG766" s="5" t="s">
        <v>35</v>
      </c>
      <c r="AH766" s="5" t="s">
        <v>32</v>
      </c>
      <c r="AI766" s="6">
        <v>45993</v>
      </c>
      <c r="AJ766" s="6">
        <v>46003</v>
      </c>
    </row>
    <row r="767" spans="1:38" x14ac:dyDescent="0.55000000000000004">
      <c r="A767">
        <v>3578</v>
      </c>
      <c r="B767">
        <v>1007744</v>
      </c>
      <c r="C767">
        <v>45.61</v>
      </c>
      <c r="D767" s="4">
        <v>0.91</v>
      </c>
      <c r="E767">
        <v>44.7</v>
      </c>
      <c r="F767">
        <v>0.46</v>
      </c>
      <c r="G767">
        <v>44.24</v>
      </c>
      <c r="H767" s="14">
        <f t="shared" ref="H767:H771" si="369">C767-D767-F767</f>
        <v>44.24</v>
      </c>
      <c r="I767" s="14" t="b">
        <f t="shared" ref="I767:I771" si="370">G767=H767</f>
        <v>1</v>
      </c>
      <c r="J767" s="2">
        <v>46003</v>
      </c>
      <c r="K767" s="5">
        <v>1007744</v>
      </c>
      <c r="L767" s="5">
        <v>3578</v>
      </c>
      <c r="M767" s="5">
        <v>0.91</v>
      </c>
      <c r="N767" s="5">
        <v>45.61</v>
      </c>
      <c r="O767" s="7">
        <v>45993</v>
      </c>
      <c r="P767" s="5">
        <v>44.7</v>
      </c>
      <c r="Q767" s="5">
        <v>0.91</v>
      </c>
      <c r="R767" s="5" t="s">
        <v>32</v>
      </c>
      <c r="S767" s="5" t="s">
        <v>33</v>
      </c>
      <c r="T767" s="5">
        <v>0.46</v>
      </c>
      <c r="U767" s="5">
        <v>44.24</v>
      </c>
      <c r="V767" s="5" t="s">
        <v>34</v>
      </c>
      <c r="W767" s="5">
        <v>2</v>
      </c>
      <c r="X767" s="5">
        <v>5302428888767</v>
      </c>
      <c r="Y767" s="7">
        <v>46003</v>
      </c>
      <c r="Z767" s="7">
        <v>45993</v>
      </c>
      <c r="AB767" s="6">
        <v>46003</v>
      </c>
      <c r="AC767" s="7">
        <v>46002.456250000003</v>
      </c>
      <c r="AD767" s="5">
        <v>35781007744</v>
      </c>
      <c r="AE767" s="8">
        <v>45993</v>
      </c>
      <c r="AF767" s="5">
        <v>153508</v>
      </c>
      <c r="AG767" s="5" t="s">
        <v>37</v>
      </c>
      <c r="AH767" s="5">
        <v>206158</v>
      </c>
      <c r="AI767" s="6">
        <v>45993</v>
      </c>
      <c r="AJ767" s="6">
        <v>46003</v>
      </c>
      <c r="AK767" s="1">
        <f t="shared" ref="AK767:AK771" si="371">0.02*C767</f>
        <v>0.91220000000000001</v>
      </c>
    </row>
    <row r="768" spans="1:38" x14ac:dyDescent="0.55000000000000004">
      <c r="A768">
        <v>3578</v>
      </c>
      <c r="B768">
        <v>1008000</v>
      </c>
      <c r="C768">
        <v>984.04</v>
      </c>
      <c r="D768" s="4">
        <v>19.68</v>
      </c>
      <c r="E768">
        <v>964.36</v>
      </c>
      <c r="F768">
        <v>9.84</v>
      </c>
      <c r="G768">
        <v>954.52</v>
      </c>
      <c r="H768" s="14">
        <f t="shared" si="369"/>
        <v>954.52</v>
      </c>
      <c r="I768" s="14" t="b">
        <f t="shared" si="370"/>
        <v>1</v>
      </c>
      <c r="J768" s="2">
        <v>46003</v>
      </c>
      <c r="K768" s="5">
        <v>1008000</v>
      </c>
      <c r="L768" s="5">
        <v>3578</v>
      </c>
      <c r="M768" s="5">
        <v>19.68</v>
      </c>
      <c r="N768" s="5">
        <v>984.04</v>
      </c>
      <c r="O768" s="7">
        <v>45994</v>
      </c>
      <c r="P768" s="5">
        <v>964.36</v>
      </c>
      <c r="Q768" s="5">
        <v>19.68</v>
      </c>
      <c r="R768" s="5" t="s">
        <v>32</v>
      </c>
      <c r="S768" s="5" t="s">
        <v>33</v>
      </c>
      <c r="T768" s="5">
        <v>9.84</v>
      </c>
      <c r="U768" s="5">
        <v>954.52</v>
      </c>
      <c r="V768" s="5" t="s">
        <v>34</v>
      </c>
      <c r="W768" s="5">
        <v>2</v>
      </c>
      <c r="X768" s="5">
        <v>5302428888767</v>
      </c>
      <c r="Y768" s="7">
        <v>46003</v>
      </c>
      <c r="Z768" s="7">
        <v>45994</v>
      </c>
      <c r="AB768" s="6">
        <v>46003</v>
      </c>
      <c r="AC768" s="7">
        <v>46002.456250000003</v>
      </c>
      <c r="AD768" s="5">
        <v>35781008000</v>
      </c>
      <c r="AE768" s="8">
        <v>45994</v>
      </c>
      <c r="AF768" s="5">
        <v>153508</v>
      </c>
      <c r="AG768" s="5" t="s">
        <v>37</v>
      </c>
      <c r="AH768" s="5">
        <v>206233</v>
      </c>
      <c r="AI768" s="6">
        <v>45994</v>
      </c>
      <c r="AJ768" s="6">
        <v>46003</v>
      </c>
      <c r="AK768" s="1">
        <f t="shared" si="371"/>
        <v>19.680800000000001</v>
      </c>
    </row>
    <row r="769" spans="1:37" x14ac:dyDescent="0.55000000000000004">
      <c r="A769">
        <v>3578</v>
      </c>
      <c r="B769">
        <v>1008084</v>
      </c>
      <c r="C769">
        <v>35.1</v>
      </c>
      <c r="D769" s="4">
        <v>0.7</v>
      </c>
      <c r="E769">
        <v>34.4</v>
      </c>
      <c r="F769">
        <v>0.35</v>
      </c>
      <c r="G769">
        <v>34.049999999999997</v>
      </c>
      <c r="H769" s="14">
        <f t="shared" si="369"/>
        <v>34.049999999999997</v>
      </c>
      <c r="I769" s="14" t="b">
        <f t="shared" si="370"/>
        <v>1</v>
      </c>
      <c r="J769" s="2">
        <v>46003</v>
      </c>
      <c r="K769" s="5">
        <v>1008084</v>
      </c>
      <c r="L769" s="5">
        <v>3578</v>
      </c>
      <c r="M769" s="5">
        <v>0.7</v>
      </c>
      <c r="N769" s="5">
        <v>35.1</v>
      </c>
      <c r="O769" s="7">
        <v>45995</v>
      </c>
      <c r="P769" s="5">
        <v>34.4</v>
      </c>
      <c r="Q769" s="5">
        <v>0.7</v>
      </c>
      <c r="R769" s="5" t="s">
        <v>32</v>
      </c>
      <c r="S769" s="5" t="s">
        <v>33</v>
      </c>
      <c r="T769" s="5">
        <v>0.35</v>
      </c>
      <c r="U769" s="5">
        <v>34.049999999999997</v>
      </c>
      <c r="V769" s="5" t="s">
        <v>34</v>
      </c>
      <c r="W769" s="5">
        <v>2</v>
      </c>
      <c r="X769" s="5">
        <v>5302428888767</v>
      </c>
      <c r="Y769" s="7">
        <v>46003</v>
      </c>
      <c r="Z769" s="7">
        <v>45995</v>
      </c>
      <c r="AB769" s="6">
        <v>46003</v>
      </c>
      <c r="AC769" s="7">
        <v>46002.456250000003</v>
      </c>
      <c r="AD769" s="5">
        <v>35781008084</v>
      </c>
      <c r="AE769" s="8">
        <v>45995</v>
      </c>
      <c r="AF769" s="5">
        <v>153425</v>
      </c>
      <c r="AG769" s="5" t="s">
        <v>37</v>
      </c>
      <c r="AH769" s="5">
        <v>206408</v>
      </c>
      <c r="AI769" s="6">
        <v>45995</v>
      </c>
      <c r="AJ769" s="6">
        <v>46003</v>
      </c>
      <c r="AK769" s="1">
        <f t="shared" si="371"/>
        <v>0.70200000000000007</v>
      </c>
    </row>
    <row r="770" spans="1:37" x14ac:dyDescent="0.55000000000000004">
      <c r="A770">
        <v>3578</v>
      </c>
      <c r="B770">
        <v>1008089</v>
      </c>
      <c r="C770">
        <v>35.1</v>
      </c>
      <c r="D770" s="4">
        <v>0.7</v>
      </c>
      <c r="E770">
        <v>34.4</v>
      </c>
      <c r="F770">
        <v>0.35</v>
      </c>
      <c r="G770">
        <v>34.049999999999997</v>
      </c>
      <c r="H770" s="14">
        <f t="shared" si="369"/>
        <v>34.049999999999997</v>
      </c>
      <c r="I770" s="14" t="b">
        <f t="shared" si="370"/>
        <v>1</v>
      </c>
      <c r="J770" s="2">
        <v>46003</v>
      </c>
      <c r="K770" s="5">
        <v>1008089</v>
      </c>
      <c r="L770" s="5">
        <v>3578</v>
      </c>
      <c r="M770" s="5">
        <v>0.7</v>
      </c>
      <c r="N770" s="5">
        <v>35.1</v>
      </c>
      <c r="O770" s="7">
        <v>45995</v>
      </c>
      <c r="P770" s="5">
        <v>34.4</v>
      </c>
      <c r="Q770" s="5">
        <v>0.7</v>
      </c>
      <c r="R770" s="5" t="s">
        <v>32</v>
      </c>
      <c r="S770" s="5" t="s">
        <v>33</v>
      </c>
      <c r="T770" s="5">
        <v>0.35</v>
      </c>
      <c r="U770" s="5">
        <v>34.049999999999997</v>
      </c>
      <c r="V770" s="5" t="s">
        <v>34</v>
      </c>
      <c r="W770" s="5">
        <v>2</v>
      </c>
      <c r="X770" s="5">
        <v>5302428888767</v>
      </c>
      <c r="Y770" s="7">
        <v>46003</v>
      </c>
      <c r="Z770" s="7">
        <v>45995</v>
      </c>
      <c r="AB770" s="6">
        <v>46003</v>
      </c>
      <c r="AC770" s="7">
        <v>46002.456250000003</v>
      </c>
      <c r="AD770" s="5">
        <v>35781008089</v>
      </c>
      <c r="AE770" s="8">
        <v>45995</v>
      </c>
      <c r="AF770" s="5">
        <v>153486</v>
      </c>
      <c r="AG770" s="5" t="s">
        <v>37</v>
      </c>
      <c r="AH770" s="5">
        <v>206409</v>
      </c>
      <c r="AI770" s="6">
        <v>45995</v>
      </c>
      <c r="AJ770" s="6">
        <v>46003</v>
      </c>
      <c r="AK770" s="1">
        <f t="shared" si="371"/>
        <v>0.70200000000000007</v>
      </c>
    </row>
    <row r="771" spans="1:37" x14ac:dyDescent="0.55000000000000004">
      <c r="A771">
        <v>3578</v>
      </c>
      <c r="B771">
        <v>1008169</v>
      </c>
      <c r="C771">
        <v>363.78</v>
      </c>
      <c r="D771" s="4">
        <v>7.28</v>
      </c>
      <c r="E771">
        <v>356.5</v>
      </c>
      <c r="F771">
        <v>3.64</v>
      </c>
      <c r="G771">
        <v>352.86</v>
      </c>
      <c r="H771" s="14">
        <f t="shared" si="369"/>
        <v>352.86</v>
      </c>
      <c r="I771" s="14" t="b">
        <f t="shared" si="370"/>
        <v>1</v>
      </c>
      <c r="J771" s="2">
        <v>46003</v>
      </c>
      <c r="K771" s="5">
        <v>1008169</v>
      </c>
      <c r="L771" s="5">
        <v>3578</v>
      </c>
      <c r="M771" s="5">
        <v>7.28</v>
      </c>
      <c r="N771" s="5">
        <v>363.78</v>
      </c>
      <c r="O771" s="7">
        <v>45995</v>
      </c>
      <c r="P771" s="5">
        <v>356.5</v>
      </c>
      <c r="Q771" s="5">
        <v>7.28</v>
      </c>
      <c r="R771" s="5" t="s">
        <v>32</v>
      </c>
      <c r="S771" s="5" t="s">
        <v>33</v>
      </c>
      <c r="T771" s="5">
        <v>3.64</v>
      </c>
      <c r="U771" s="5">
        <v>352.86</v>
      </c>
      <c r="V771" s="5" t="s">
        <v>34</v>
      </c>
      <c r="W771" s="5">
        <v>2</v>
      </c>
      <c r="X771" s="5">
        <v>5302428888767</v>
      </c>
      <c r="Y771" s="7">
        <v>46003</v>
      </c>
      <c r="Z771" s="7">
        <v>45995</v>
      </c>
      <c r="AB771" s="6">
        <v>46003</v>
      </c>
      <c r="AC771" s="7">
        <v>46002.456250000003</v>
      </c>
      <c r="AD771" s="5">
        <v>35781008169</v>
      </c>
      <c r="AE771" s="8">
        <v>45995</v>
      </c>
      <c r="AF771" s="5">
        <v>153553</v>
      </c>
      <c r="AG771" s="5" t="s">
        <v>37</v>
      </c>
      <c r="AH771" s="5">
        <v>206730</v>
      </c>
      <c r="AI771" s="6">
        <v>45995</v>
      </c>
      <c r="AJ771" s="6">
        <v>46003</v>
      </c>
      <c r="AK771" s="1">
        <f t="shared" si="371"/>
        <v>7.2755999999999998</v>
      </c>
    </row>
    <row r="772" spans="1:37" hidden="1" x14ac:dyDescent="0.55000000000000004">
      <c r="A772">
        <v>3578</v>
      </c>
      <c r="B772">
        <v>1008288</v>
      </c>
      <c r="C772">
        <v>-50</v>
      </c>
      <c r="E772">
        <v>-50</v>
      </c>
      <c r="G772">
        <v>-50</v>
      </c>
      <c r="H772"/>
      <c r="I772"/>
      <c r="J772" s="2">
        <v>46003</v>
      </c>
      <c r="K772" s="5">
        <v>1008288</v>
      </c>
      <c r="L772" s="5">
        <v>3578</v>
      </c>
      <c r="M772" s="5">
        <v>0</v>
      </c>
      <c r="N772" s="5">
        <v>-50</v>
      </c>
      <c r="O772" s="7">
        <v>45995</v>
      </c>
      <c r="P772" s="5">
        <v>-50</v>
      </c>
      <c r="Q772" s="5">
        <v>0</v>
      </c>
      <c r="R772" s="5" t="s">
        <v>40</v>
      </c>
      <c r="S772" s="5" t="s">
        <v>33</v>
      </c>
      <c r="T772" s="5">
        <v>0</v>
      </c>
      <c r="U772" s="5">
        <v>-50</v>
      </c>
      <c r="V772" s="5" t="s">
        <v>34</v>
      </c>
      <c r="W772" s="5">
        <v>2</v>
      </c>
      <c r="X772" s="5">
        <v>5302428888767</v>
      </c>
      <c r="Y772" s="7">
        <v>46003</v>
      </c>
      <c r="Z772" s="7">
        <v>45995</v>
      </c>
      <c r="AB772" s="6">
        <v>46003</v>
      </c>
      <c r="AC772" s="7">
        <v>46002.456250000003</v>
      </c>
      <c r="AD772" s="5">
        <v>35781008288</v>
      </c>
      <c r="AE772" s="8">
        <v>45995</v>
      </c>
      <c r="AF772" s="5" t="s">
        <v>41</v>
      </c>
      <c r="AG772" s="5" t="s">
        <v>38</v>
      </c>
      <c r="AH772" s="5" t="s">
        <v>40</v>
      </c>
      <c r="AI772" s="6">
        <v>45995</v>
      </c>
      <c r="AJ772" s="6">
        <v>46003</v>
      </c>
    </row>
    <row r="773" spans="1:37" hidden="1" x14ac:dyDescent="0.55000000000000004">
      <c r="A773">
        <v>3578</v>
      </c>
      <c r="B773">
        <v>1008350</v>
      </c>
      <c r="C773">
        <v>353.32</v>
      </c>
      <c r="E773">
        <v>353.32</v>
      </c>
      <c r="F773">
        <v>3.53</v>
      </c>
      <c r="G773">
        <v>349.79</v>
      </c>
      <c r="H773"/>
      <c r="I773"/>
      <c r="J773" s="2">
        <v>46003</v>
      </c>
      <c r="K773" s="5">
        <v>1008350</v>
      </c>
      <c r="L773" s="5">
        <v>3578</v>
      </c>
      <c r="M773" s="5">
        <v>0</v>
      </c>
      <c r="N773" s="5">
        <v>353.32</v>
      </c>
      <c r="O773" s="7">
        <v>45996</v>
      </c>
      <c r="P773" s="5">
        <v>353.32</v>
      </c>
      <c r="Q773" s="5">
        <v>0</v>
      </c>
      <c r="R773" s="5" t="s">
        <v>422</v>
      </c>
      <c r="S773" s="5" t="s">
        <v>43</v>
      </c>
      <c r="T773" s="5">
        <v>3.53</v>
      </c>
      <c r="U773" s="5">
        <v>349.79</v>
      </c>
      <c r="V773" s="5" t="s">
        <v>34</v>
      </c>
      <c r="W773" s="5">
        <v>2</v>
      </c>
      <c r="X773" s="5">
        <v>5302428888767</v>
      </c>
      <c r="Y773" s="7">
        <v>46003</v>
      </c>
      <c r="Z773" s="7">
        <v>45996</v>
      </c>
      <c r="AB773" s="6">
        <v>46003</v>
      </c>
      <c r="AC773" s="7">
        <v>46002.456250000003</v>
      </c>
      <c r="AD773" s="5">
        <v>35781008350</v>
      </c>
      <c r="AE773" s="8">
        <v>45996</v>
      </c>
      <c r="AF773" s="5">
        <v>153515</v>
      </c>
      <c r="AG773" s="5" t="s">
        <v>38</v>
      </c>
      <c r="AH773" s="5" t="s">
        <v>422</v>
      </c>
      <c r="AI773" s="6">
        <v>45996</v>
      </c>
      <c r="AJ773" s="6">
        <v>46003</v>
      </c>
    </row>
    <row r="774" spans="1:37" hidden="1" x14ac:dyDescent="0.55000000000000004">
      <c r="A774">
        <v>3578</v>
      </c>
      <c r="B774">
        <v>1008377</v>
      </c>
      <c r="C774">
        <v>96.52</v>
      </c>
      <c r="E774">
        <v>96.52</v>
      </c>
      <c r="F774">
        <v>0.97</v>
      </c>
      <c r="G774">
        <v>95.55</v>
      </c>
      <c r="H774"/>
      <c r="I774"/>
      <c r="J774" s="2">
        <v>46003</v>
      </c>
      <c r="K774" s="5">
        <v>1008377</v>
      </c>
      <c r="L774" s="5">
        <v>3578</v>
      </c>
      <c r="M774" s="5">
        <v>0</v>
      </c>
      <c r="N774" s="5">
        <v>96.52</v>
      </c>
      <c r="O774" s="7">
        <v>45996</v>
      </c>
      <c r="P774" s="5">
        <v>96.52</v>
      </c>
      <c r="Q774" s="5">
        <v>0</v>
      </c>
      <c r="R774" s="5" t="s">
        <v>423</v>
      </c>
      <c r="S774" s="5" t="s">
        <v>138</v>
      </c>
      <c r="T774" s="5">
        <v>0.97</v>
      </c>
      <c r="U774" s="5">
        <v>95.55</v>
      </c>
      <c r="V774" s="5" t="s">
        <v>34</v>
      </c>
      <c r="W774" s="5">
        <v>2</v>
      </c>
      <c r="X774" s="5">
        <v>5302428888767</v>
      </c>
      <c r="Y774" s="7">
        <v>46003</v>
      </c>
      <c r="Z774" s="7">
        <v>45996</v>
      </c>
      <c r="AB774" s="6">
        <v>46003</v>
      </c>
      <c r="AC774" s="7">
        <v>46002.456250000003</v>
      </c>
      <c r="AD774" s="5">
        <v>35781008377</v>
      </c>
      <c r="AE774" s="8">
        <v>45996</v>
      </c>
      <c r="AF774" s="5" t="s">
        <v>32</v>
      </c>
      <c r="AG774" s="5" t="s">
        <v>38</v>
      </c>
      <c r="AH774" s="5" t="s">
        <v>423</v>
      </c>
      <c r="AI774" s="6">
        <v>45996</v>
      </c>
      <c r="AJ774" s="6">
        <v>46003</v>
      </c>
    </row>
    <row r="775" spans="1:37" x14ac:dyDescent="0.55000000000000004">
      <c r="A775">
        <v>3578</v>
      </c>
      <c r="B775">
        <v>1008442</v>
      </c>
      <c r="C775">
        <v>63.85</v>
      </c>
      <c r="D775" s="4">
        <v>1.28</v>
      </c>
      <c r="E775">
        <v>62.57</v>
      </c>
      <c r="F775">
        <v>0.64</v>
      </c>
      <c r="G775">
        <v>61.93</v>
      </c>
      <c r="H775" s="14">
        <f t="shared" ref="H775:H776" si="372">C775-D775-F775</f>
        <v>61.93</v>
      </c>
      <c r="I775" s="14" t="b">
        <f t="shared" ref="I775:I776" si="373">G775=H775</f>
        <v>1</v>
      </c>
      <c r="J775" s="2">
        <v>46003</v>
      </c>
      <c r="K775" s="5">
        <v>1008442</v>
      </c>
      <c r="L775" s="5">
        <v>3578</v>
      </c>
      <c r="M775" s="5">
        <v>1.28</v>
      </c>
      <c r="N775" s="5">
        <v>63.85</v>
      </c>
      <c r="O775" s="7">
        <v>45996</v>
      </c>
      <c r="P775" s="5">
        <v>62.57</v>
      </c>
      <c r="Q775" s="5">
        <v>1.28</v>
      </c>
      <c r="R775" s="5" t="s">
        <v>32</v>
      </c>
      <c r="S775" s="5" t="s">
        <v>33</v>
      </c>
      <c r="T775" s="5">
        <v>0.64</v>
      </c>
      <c r="U775" s="5">
        <v>61.93</v>
      </c>
      <c r="V775" s="5" t="s">
        <v>34</v>
      </c>
      <c r="W775" s="5">
        <v>2</v>
      </c>
      <c r="X775" s="5">
        <v>5302428888767</v>
      </c>
      <c r="Y775" s="7">
        <v>46003</v>
      </c>
      <c r="Z775" s="7">
        <v>45996</v>
      </c>
      <c r="AB775" s="6">
        <v>46003</v>
      </c>
      <c r="AC775" s="7">
        <v>46002.456250000003</v>
      </c>
      <c r="AD775" s="5">
        <v>35781008442</v>
      </c>
      <c r="AE775" s="8">
        <v>45996</v>
      </c>
      <c r="AF775" s="5">
        <v>153508</v>
      </c>
      <c r="AG775" s="5" t="s">
        <v>37</v>
      </c>
      <c r="AH775" s="5">
        <v>206615</v>
      </c>
      <c r="AI775" s="6">
        <v>45996</v>
      </c>
      <c r="AJ775" s="6">
        <v>46003</v>
      </c>
      <c r="AK775" s="1">
        <f t="shared" ref="AK775:AK776" si="374">0.02*C775</f>
        <v>1.2770000000000001</v>
      </c>
    </row>
    <row r="776" spans="1:37" x14ac:dyDescent="0.55000000000000004">
      <c r="A776">
        <v>3578</v>
      </c>
      <c r="B776">
        <v>1008484</v>
      </c>
      <c r="C776" s="1">
        <v>1251.3399999999999</v>
      </c>
      <c r="D776" s="4">
        <v>25.03</v>
      </c>
      <c r="E776" s="1">
        <v>1226.31</v>
      </c>
      <c r="F776">
        <v>12.51</v>
      </c>
      <c r="G776" s="1">
        <v>1213.8</v>
      </c>
      <c r="H776" s="14">
        <f t="shared" si="372"/>
        <v>1213.8</v>
      </c>
      <c r="I776" s="14" t="b">
        <f t="shared" si="373"/>
        <v>1</v>
      </c>
      <c r="J776" s="2">
        <v>46003</v>
      </c>
      <c r="K776" s="5">
        <v>1008484</v>
      </c>
      <c r="L776" s="5">
        <v>3578</v>
      </c>
      <c r="M776" s="5">
        <v>25.03</v>
      </c>
      <c r="N776" s="5">
        <v>1251.3399999999999</v>
      </c>
      <c r="O776" s="7">
        <v>45996</v>
      </c>
      <c r="P776" s="5">
        <v>1226.31</v>
      </c>
      <c r="Q776" s="5">
        <v>25.03</v>
      </c>
      <c r="R776" s="5" t="s">
        <v>32</v>
      </c>
      <c r="S776" s="5" t="s">
        <v>33</v>
      </c>
      <c r="T776" s="5">
        <v>12.51</v>
      </c>
      <c r="U776" s="5">
        <v>1213.8</v>
      </c>
      <c r="V776" s="5" t="s">
        <v>34</v>
      </c>
      <c r="W776" s="5">
        <v>2</v>
      </c>
      <c r="X776" s="5">
        <v>5302428888767</v>
      </c>
      <c r="Y776" s="7">
        <v>46003</v>
      </c>
      <c r="Z776" s="7">
        <v>45996</v>
      </c>
      <c r="AB776" s="6">
        <v>46003</v>
      </c>
      <c r="AC776" s="7">
        <v>46002.456250000003</v>
      </c>
      <c r="AD776" s="5">
        <v>35781008484</v>
      </c>
      <c r="AE776" s="8">
        <v>45996</v>
      </c>
      <c r="AF776" s="5">
        <v>153553</v>
      </c>
      <c r="AG776" s="5" t="s">
        <v>37</v>
      </c>
      <c r="AH776" s="5">
        <v>206741</v>
      </c>
      <c r="AI776" s="6">
        <v>45996</v>
      </c>
      <c r="AJ776" s="6">
        <v>46003</v>
      </c>
      <c r="AK776" s="1">
        <f t="shared" si="374"/>
        <v>25.026799999999998</v>
      </c>
    </row>
    <row r="777" spans="1:37" hidden="1" x14ac:dyDescent="0.55000000000000004">
      <c r="A777">
        <v>3578</v>
      </c>
      <c r="B777">
        <v>1008488</v>
      </c>
      <c r="C777">
        <v>327.86</v>
      </c>
      <c r="E777">
        <v>327.86</v>
      </c>
      <c r="F777">
        <v>3.28</v>
      </c>
      <c r="G777">
        <v>324.58</v>
      </c>
      <c r="H777"/>
      <c r="I777"/>
      <c r="J777" s="2">
        <v>46003</v>
      </c>
      <c r="K777" s="5">
        <v>1008488</v>
      </c>
      <c r="L777" s="5">
        <v>3578</v>
      </c>
      <c r="M777" s="5">
        <v>0</v>
      </c>
      <c r="N777" s="5">
        <v>327.86</v>
      </c>
      <c r="O777" s="7">
        <v>45996</v>
      </c>
      <c r="P777" s="5">
        <v>327.86</v>
      </c>
      <c r="Q777" s="5">
        <v>0</v>
      </c>
      <c r="R777" s="5" t="s">
        <v>32</v>
      </c>
      <c r="S777" s="5" t="s">
        <v>33</v>
      </c>
      <c r="T777" s="5">
        <v>3.28</v>
      </c>
      <c r="U777" s="5">
        <v>324.58</v>
      </c>
      <c r="V777" s="5" t="s">
        <v>34</v>
      </c>
      <c r="W777" s="5">
        <v>2</v>
      </c>
      <c r="X777" s="5">
        <v>5302428888767</v>
      </c>
      <c r="Y777" s="7">
        <v>46003</v>
      </c>
      <c r="Z777" s="7">
        <v>45996</v>
      </c>
      <c r="AB777" s="6">
        <v>46003</v>
      </c>
      <c r="AC777" s="7">
        <v>46002.456250000003</v>
      </c>
      <c r="AD777" s="5">
        <v>35781008488</v>
      </c>
      <c r="AE777" s="8">
        <v>45996</v>
      </c>
      <c r="AF777" s="5">
        <v>153553</v>
      </c>
      <c r="AG777" s="5" t="s">
        <v>38</v>
      </c>
      <c r="AH777" s="5">
        <v>206742</v>
      </c>
      <c r="AI777" s="6">
        <v>45996</v>
      </c>
      <c r="AJ777" s="6">
        <v>46003</v>
      </c>
    </row>
    <row r="778" spans="1:37" hidden="1" x14ac:dyDescent="0.55000000000000004">
      <c r="A778">
        <v>3585</v>
      </c>
      <c r="B778">
        <v>1007532</v>
      </c>
      <c r="C778" s="1">
        <v>3990</v>
      </c>
      <c r="E778" s="1">
        <v>3990</v>
      </c>
      <c r="F778">
        <v>39.9</v>
      </c>
      <c r="G778" s="1">
        <v>3950.1</v>
      </c>
      <c r="H778" s="1"/>
      <c r="I778" s="1"/>
      <c r="J778" s="2">
        <v>46003</v>
      </c>
      <c r="K778" s="5">
        <v>1007532</v>
      </c>
      <c r="L778" s="5">
        <v>3585</v>
      </c>
      <c r="M778" s="5">
        <v>0</v>
      </c>
      <c r="N778" s="5">
        <v>3990</v>
      </c>
      <c r="O778" s="7">
        <v>45993</v>
      </c>
      <c r="P778" s="5">
        <v>3990</v>
      </c>
      <c r="Q778" s="5">
        <v>0</v>
      </c>
      <c r="R778" s="5" t="s">
        <v>32</v>
      </c>
      <c r="S778" s="5" t="s">
        <v>33</v>
      </c>
      <c r="T778" s="5">
        <v>39.9</v>
      </c>
      <c r="U778" s="5">
        <v>3950.1</v>
      </c>
      <c r="V778" s="5" t="s">
        <v>34</v>
      </c>
      <c r="W778" s="5">
        <v>2</v>
      </c>
      <c r="X778" s="5">
        <v>9388292588439</v>
      </c>
      <c r="Y778" s="7">
        <v>46003</v>
      </c>
      <c r="Z778" s="7">
        <v>45993</v>
      </c>
      <c r="AB778" s="6">
        <v>46003</v>
      </c>
      <c r="AC778" s="7">
        <v>45999.689583333333</v>
      </c>
      <c r="AD778" s="5">
        <v>35851007532</v>
      </c>
      <c r="AE778" s="8">
        <v>45993</v>
      </c>
      <c r="AF778" s="5" t="s">
        <v>32</v>
      </c>
      <c r="AG778" s="5" t="s">
        <v>35</v>
      </c>
      <c r="AH778" s="5" t="s">
        <v>32</v>
      </c>
      <c r="AI778" s="6">
        <v>45993</v>
      </c>
      <c r="AJ778" s="6">
        <v>46003</v>
      </c>
    </row>
    <row r="779" spans="1:37" hidden="1" x14ac:dyDescent="0.55000000000000004">
      <c r="A779">
        <v>3585</v>
      </c>
      <c r="B779">
        <v>1007688</v>
      </c>
      <c r="C779" s="1">
        <v>2767.45</v>
      </c>
      <c r="E779" s="1">
        <v>2767.45</v>
      </c>
      <c r="F779">
        <v>27.67</v>
      </c>
      <c r="G779" s="1">
        <v>2739.78</v>
      </c>
      <c r="H779" s="1"/>
      <c r="I779" s="1"/>
      <c r="J779" s="2">
        <v>46003</v>
      </c>
      <c r="K779" s="5">
        <v>1007688</v>
      </c>
      <c r="L779" s="5">
        <v>3585</v>
      </c>
      <c r="M779" s="5">
        <v>0</v>
      </c>
      <c r="N779" s="5">
        <v>2767.45</v>
      </c>
      <c r="O779" s="7">
        <v>45993</v>
      </c>
      <c r="P779" s="5">
        <v>2767.45</v>
      </c>
      <c r="Q779" s="5">
        <v>0</v>
      </c>
      <c r="R779" s="5" t="s">
        <v>32</v>
      </c>
      <c r="S779" s="5" t="s">
        <v>33</v>
      </c>
      <c r="T779" s="5">
        <v>27.67</v>
      </c>
      <c r="U779" s="5">
        <v>2739.78</v>
      </c>
      <c r="V779" s="5" t="s">
        <v>34</v>
      </c>
      <c r="W779" s="5">
        <v>2</v>
      </c>
      <c r="X779" s="5">
        <v>9388292588439</v>
      </c>
      <c r="Y779" s="7">
        <v>46003</v>
      </c>
      <c r="Z779" s="7">
        <v>45993</v>
      </c>
      <c r="AB779" s="6">
        <v>46003</v>
      </c>
      <c r="AC779" s="7">
        <v>45999.689583333333</v>
      </c>
      <c r="AD779" s="5">
        <v>35851007688</v>
      </c>
      <c r="AE779" s="8">
        <v>45993</v>
      </c>
      <c r="AF779" s="5">
        <v>1313</v>
      </c>
      <c r="AG779" s="5" t="s">
        <v>38</v>
      </c>
      <c r="AH779" s="5">
        <v>206189</v>
      </c>
      <c r="AI779" s="6">
        <v>45993</v>
      </c>
      <c r="AJ779" s="6">
        <v>46003</v>
      </c>
    </row>
    <row r="780" spans="1:37" x14ac:dyDescent="0.55000000000000004">
      <c r="A780">
        <v>3585</v>
      </c>
      <c r="B780">
        <v>1007692</v>
      </c>
      <c r="C780">
        <v>62.42</v>
      </c>
      <c r="D780" s="4">
        <v>1.25</v>
      </c>
      <c r="E780">
        <v>61.17</v>
      </c>
      <c r="F780">
        <v>0.62</v>
      </c>
      <c r="G780">
        <v>60.55</v>
      </c>
      <c r="H780" s="14">
        <f t="shared" ref="H780:H783" si="375">C780-D780-F780</f>
        <v>60.550000000000004</v>
      </c>
      <c r="I780" s="14" t="b">
        <f t="shared" ref="I780:I783" si="376">G780=H780</f>
        <v>1</v>
      </c>
      <c r="J780" s="2">
        <v>46003</v>
      </c>
      <c r="K780" s="5">
        <v>1007692</v>
      </c>
      <c r="L780" s="5">
        <v>3585</v>
      </c>
      <c r="M780" s="5">
        <v>1.25</v>
      </c>
      <c r="N780" s="5">
        <v>62.42</v>
      </c>
      <c r="O780" s="7">
        <v>45993</v>
      </c>
      <c r="P780" s="5">
        <v>61.17</v>
      </c>
      <c r="Q780" s="5">
        <v>1.25</v>
      </c>
      <c r="R780" s="5" t="s">
        <v>32</v>
      </c>
      <c r="S780" s="5" t="s">
        <v>33</v>
      </c>
      <c r="T780" s="5">
        <v>0.62</v>
      </c>
      <c r="U780" s="5">
        <v>60.55</v>
      </c>
      <c r="V780" s="5" t="s">
        <v>34</v>
      </c>
      <c r="W780" s="5">
        <v>2</v>
      </c>
      <c r="X780" s="5">
        <v>9388292588439</v>
      </c>
      <c r="Y780" s="7">
        <v>46003</v>
      </c>
      <c r="Z780" s="7">
        <v>45993</v>
      </c>
      <c r="AB780" s="6">
        <v>46003</v>
      </c>
      <c r="AC780" s="7">
        <v>45999.689583333333</v>
      </c>
      <c r="AD780" s="5">
        <v>35851007692</v>
      </c>
      <c r="AE780" s="8">
        <v>45993</v>
      </c>
      <c r="AF780" s="5">
        <v>1313</v>
      </c>
      <c r="AG780" s="5" t="s">
        <v>37</v>
      </c>
      <c r="AH780" s="5">
        <v>206188</v>
      </c>
      <c r="AI780" s="6">
        <v>45993</v>
      </c>
      <c r="AJ780" s="6">
        <v>46003</v>
      </c>
      <c r="AK780" s="1">
        <f t="shared" ref="AK780:AK783" si="377">0.02*C780</f>
        <v>1.2484</v>
      </c>
    </row>
    <row r="781" spans="1:37" x14ac:dyDescent="0.55000000000000004">
      <c r="A781">
        <v>3585</v>
      </c>
      <c r="B781">
        <v>1008114</v>
      </c>
      <c r="C781">
        <v>161.91999999999999</v>
      </c>
      <c r="D781" s="4">
        <v>3.24</v>
      </c>
      <c r="E781">
        <v>158.68</v>
      </c>
      <c r="F781">
        <v>1.62</v>
      </c>
      <c r="G781">
        <v>157.06</v>
      </c>
      <c r="H781" s="14">
        <f t="shared" si="375"/>
        <v>157.05999999999997</v>
      </c>
      <c r="I781" s="14" t="b">
        <f t="shared" si="376"/>
        <v>1</v>
      </c>
      <c r="J781" s="2">
        <v>46003</v>
      </c>
      <c r="K781" s="5">
        <v>1008114</v>
      </c>
      <c r="L781" s="5">
        <v>3585</v>
      </c>
      <c r="M781" s="5">
        <v>3.24</v>
      </c>
      <c r="N781" s="5">
        <v>161.91999999999999</v>
      </c>
      <c r="O781" s="7">
        <v>45995</v>
      </c>
      <c r="P781" s="5">
        <v>158.68</v>
      </c>
      <c r="Q781" s="5">
        <v>3.24</v>
      </c>
      <c r="R781" s="5" t="s">
        <v>32</v>
      </c>
      <c r="S781" s="5" t="s">
        <v>33</v>
      </c>
      <c r="T781" s="5">
        <v>1.62</v>
      </c>
      <c r="U781" s="5">
        <v>157.06</v>
      </c>
      <c r="V781" s="5" t="s">
        <v>34</v>
      </c>
      <c r="W781" s="5">
        <v>2</v>
      </c>
      <c r="X781" s="5">
        <v>9388292588439</v>
      </c>
      <c r="Y781" s="7">
        <v>46003</v>
      </c>
      <c r="Z781" s="7">
        <v>45995</v>
      </c>
      <c r="AB781" s="6">
        <v>46003</v>
      </c>
      <c r="AC781" s="7">
        <v>45999.689583333333</v>
      </c>
      <c r="AD781" s="5">
        <v>35851008114</v>
      </c>
      <c r="AE781" s="8">
        <v>45995</v>
      </c>
      <c r="AF781" s="5">
        <v>1297</v>
      </c>
      <c r="AG781" s="5" t="s">
        <v>37</v>
      </c>
      <c r="AH781" s="5">
        <v>206375</v>
      </c>
      <c r="AI781" s="6">
        <v>45995</v>
      </c>
      <c r="AJ781" s="6">
        <v>46003</v>
      </c>
      <c r="AK781" s="1">
        <f t="shared" si="377"/>
        <v>3.2383999999999999</v>
      </c>
    </row>
    <row r="782" spans="1:37" x14ac:dyDescent="0.55000000000000004">
      <c r="A782">
        <v>3585</v>
      </c>
      <c r="B782">
        <v>1008555</v>
      </c>
      <c r="C782">
        <v>194.33</v>
      </c>
      <c r="D782" s="4">
        <v>3.89</v>
      </c>
      <c r="E782">
        <v>190.44</v>
      </c>
      <c r="F782">
        <v>1.94</v>
      </c>
      <c r="G782">
        <v>188.5</v>
      </c>
      <c r="H782" s="14">
        <f t="shared" si="375"/>
        <v>188.50000000000003</v>
      </c>
      <c r="I782" s="14" t="b">
        <f t="shared" si="376"/>
        <v>1</v>
      </c>
      <c r="J782" s="2">
        <v>46003</v>
      </c>
      <c r="K782" s="5">
        <v>1008555</v>
      </c>
      <c r="L782" s="5">
        <v>3585</v>
      </c>
      <c r="M782" s="5">
        <v>3.89</v>
      </c>
      <c r="N782" s="5">
        <v>194.33</v>
      </c>
      <c r="O782" s="7">
        <v>45996</v>
      </c>
      <c r="P782" s="5">
        <v>190.44</v>
      </c>
      <c r="Q782" s="5">
        <v>3.89</v>
      </c>
      <c r="R782" s="5" t="s">
        <v>32</v>
      </c>
      <c r="S782" s="5" t="s">
        <v>33</v>
      </c>
      <c r="T782" s="5">
        <v>1.94</v>
      </c>
      <c r="U782" s="5">
        <v>188.5</v>
      </c>
      <c r="V782" s="5" t="s">
        <v>34</v>
      </c>
      <c r="W782" s="5">
        <v>2</v>
      </c>
      <c r="X782" s="5">
        <v>9388292588439</v>
      </c>
      <c r="Y782" s="7">
        <v>46003</v>
      </c>
      <c r="Z782" s="7">
        <v>45996</v>
      </c>
      <c r="AB782" s="6">
        <v>46003</v>
      </c>
      <c r="AC782" s="7">
        <v>45999.689583333333</v>
      </c>
      <c r="AD782" s="5">
        <v>35851008555</v>
      </c>
      <c r="AE782" s="8">
        <v>45996</v>
      </c>
      <c r="AF782" s="5">
        <v>1313</v>
      </c>
      <c r="AG782" s="5" t="s">
        <v>37</v>
      </c>
      <c r="AH782" s="5">
        <v>206592</v>
      </c>
      <c r="AI782" s="6">
        <v>45996</v>
      </c>
      <c r="AJ782" s="6">
        <v>46003</v>
      </c>
      <c r="AK782" s="1">
        <f t="shared" si="377"/>
        <v>3.8866000000000005</v>
      </c>
    </row>
    <row r="783" spans="1:37" x14ac:dyDescent="0.55000000000000004">
      <c r="A783">
        <v>3585</v>
      </c>
      <c r="B783">
        <v>1008564</v>
      </c>
      <c r="C783">
        <v>73.75</v>
      </c>
      <c r="D783" s="4">
        <v>1.48</v>
      </c>
      <c r="E783">
        <v>72.27</v>
      </c>
      <c r="F783">
        <v>0.74</v>
      </c>
      <c r="G783">
        <v>71.53</v>
      </c>
      <c r="H783" s="14">
        <f t="shared" si="375"/>
        <v>71.53</v>
      </c>
      <c r="I783" s="14" t="b">
        <f t="shared" si="376"/>
        <v>1</v>
      </c>
      <c r="J783" s="2">
        <v>46003</v>
      </c>
      <c r="K783" s="5">
        <v>1008564</v>
      </c>
      <c r="L783" s="5">
        <v>3585</v>
      </c>
      <c r="M783" s="5">
        <v>1.48</v>
      </c>
      <c r="N783" s="5">
        <v>73.75</v>
      </c>
      <c r="O783" s="7">
        <v>45996</v>
      </c>
      <c r="P783" s="5">
        <v>72.27</v>
      </c>
      <c r="Q783" s="5">
        <v>1.48</v>
      </c>
      <c r="R783" s="5" t="s">
        <v>32</v>
      </c>
      <c r="S783" s="5" t="s">
        <v>33</v>
      </c>
      <c r="T783" s="5">
        <v>0.74</v>
      </c>
      <c r="U783" s="5">
        <v>71.53</v>
      </c>
      <c r="V783" s="5" t="s">
        <v>34</v>
      </c>
      <c r="W783" s="5">
        <v>2</v>
      </c>
      <c r="X783" s="5">
        <v>9388292588439</v>
      </c>
      <c r="Y783" s="7">
        <v>46003</v>
      </c>
      <c r="Z783" s="7">
        <v>45996</v>
      </c>
      <c r="AB783" s="6">
        <v>46003</v>
      </c>
      <c r="AC783" s="7">
        <v>45999.689583333333</v>
      </c>
      <c r="AD783" s="5">
        <v>35851008564</v>
      </c>
      <c r="AE783" s="8">
        <v>45996</v>
      </c>
      <c r="AF783" s="5">
        <v>1294</v>
      </c>
      <c r="AG783" s="5" t="s">
        <v>37</v>
      </c>
      <c r="AH783" s="5">
        <v>206591</v>
      </c>
      <c r="AI783" s="6">
        <v>45996</v>
      </c>
      <c r="AJ783" s="6">
        <v>46003</v>
      </c>
      <c r="AK783" s="1">
        <f t="shared" si="377"/>
        <v>1.4750000000000001</v>
      </c>
    </row>
    <row r="784" spans="1:37" hidden="1" x14ac:dyDescent="0.55000000000000004">
      <c r="A784">
        <v>3592</v>
      </c>
      <c r="B784">
        <v>1006015</v>
      </c>
      <c r="C784" s="1">
        <v>18095.52</v>
      </c>
      <c r="E784" s="1">
        <v>18095.52</v>
      </c>
      <c r="G784" s="1">
        <v>18095.52</v>
      </c>
      <c r="H784" s="1"/>
      <c r="I784" s="1"/>
      <c r="J784" s="2">
        <v>46003</v>
      </c>
      <c r="K784" s="5">
        <v>1006015</v>
      </c>
      <c r="L784" s="5">
        <v>3592</v>
      </c>
      <c r="M784" s="5">
        <v>0</v>
      </c>
      <c r="N784" s="5">
        <v>18095.52</v>
      </c>
      <c r="O784" s="7">
        <v>45985</v>
      </c>
      <c r="P784" s="5">
        <v>18095.52</v>
      </c>
      <c r="Q784" s="5">
        <v>0</v>
      </c>
      <c r="R784" s="5" t="s">
        <v>32</v>
      </c>
      <c r="S784" s="5" t="s">
        <v>33</v>
      </c>
      <c r="T784" s="5">
        <v>0</v>
      </c>
      <c r="U784" s="5">
        <v>18095.52</v>
      </c>
      <c r="V784" s="5" t="s">
        <v>34</v>
      </c>
      <c r="W784" s="5">
        <v>2</v>
      </c>
      <c r="X784" s="5">
        <v>2081360442678</v>
      </c>
      <c r="Y784" s="7">
        <v>46003</v>
      </c>
      <c r="Z784" s="7">
        <v>45985</v>
      </c>
      <c r="AB784" s="6">
        <v>46003</v>
      </c>
      <c r="AC784" s="7">
        <v>45999.682638888888</v>
      </c>
      <c r="AD784" s="5">
        <v>35921006015</v>
      </c>
      <c r="AE784" s="8">
        <v>45985</v>
      </c>
      <c r="AF784" s="5" t="s">
        <v>424</v>
      </c>
      <c r="AG784" s="5" t="s">
        <v>38</v>
      </c>
      <c r="AH784" s="5">
        <v>204725</v>
      </c>
      <c r="AI784" s="6">
        <v>45985</v>
      </c>
      <c r="AJ784" s="6">
        <v>46003</v>
      </c>
    </row>
    <row r="785" spans="1:37" x14ac:dyDescent="0.55000000000000004">
      <c r="A785">
        <v>3592</v>
      </c>
      <c r="B785">
        <v>1007217</v>
      </c>
      <c r="C785">
        <v>25.23</v>
      </c>
      <c r="D785" s="4">
        <v>0.5</v>
      </c>
      <c r="E785">
        <v>24.73</v>
      </c>
      <c r="F785">
        <v>0.25</v>
      </c>
      <c r="G785">
        <v>24.48</v>
      </c>
      <c r="H785" s="14">
        <f t="shared" ref="H785:H795" si="378">C785-D785-F785</f>
        <v>24.48</v>
      </c>
      <c r="I785" s="14" t="b">
        <f t="shared" ref="I785:I795" si="379">G785=H785</f>
        <v>1</v>
      </c>
      <c r="J785" s="2">
        <v>46003</v>
      </c>
      <c r="K785" s="5">
        <v>1007217</v>
      </c>
      <c r="L785" s="5">
        <v>3592</v>
      </c>
      <c r="M785" s="5">
        <v>0.5</v>
      </c>
      <c r="N785" s="5">
        <v>25.23</v>
      </c>
      <c r="O785" s="7">
        <v>45992</v>
      </c>
      <c r="P785" s="5">
        <v>24.73</v>
      </c>
      <c r="Q785" s="5">
        <v>0.5</v>
      </c>
      <c r="R785" s="5" t="s">
        <v>32</v>
      </c>
      <c r="S785" s="5" t="s">
        <v>33</v>
      </c>
      <c r="T785" s="5">
        <v>0.25</v>
      </c>
      <c r="U785" s="5">
        <v>24.48</v>
      </c>
      <c r="V785" s="5" t="s">
        <v>34</v>
      </c>
      <c r="W785" s="5">
        <v>2</v>
      </c>
      <c r="X785" s="5">
        <v>2081360442678</v>
      </c>
      <c r="Y785" s="7">
        <v>46003</v>
      </c>
      <c r="Z785" s="7">
        <v>45992</v>
      </c>
      <c r="AB785" s="6">
        <v>46003</v>
      </c>
      <c r="AC785" s="7">
        <v>45999.682638888888</v>
      </c>
      <c r="AD785" s="5">
        <v>35921007217</v>
      </c>
      <c r="AE785" s="8">
        <v>45992</v>
      </c>
      <c r="AF785" s="5" t="s">
        <v>425</v>
      </c>
      <c r="AG785" s="5" t="s">
        <v>37</v>
      </c>
      <c r="AH785" s="5">
        <v>205719</v>
      </c>
      <c r="AI785" s="6">
        <v>45992</v>
      </c>
      <c r="AJ785" s="6">
        <v>46003</v>
      </c>
      <c r="AK785" s="1">
        <f t="shared" ref="AK785:AK795" si="380">0.02*C785</f>
        <v>0.50460000000000005</v>
      </c>
    </row>
    <row r="786" spans="1:37" x14ac:dyDescent="0.55000000000000004">
      <c r="A786">
        <v>3592</v>
      </c>
      <c r="B786">
        <v>1007219</v>
      </c>
      <c r="C786">
        <v>100.92</v>
      </c>
      <c r="D786" s="4">
        <v>2.02</v>
      </c>
      <c r="E786">
        <v>98.9</v>
      </c>
      <c r="F786">
        <v>1.01</v>
      </c>
      <c r="G786">
        <v>97.89</v>
      </c>
      <c r="H786" s="14">
        <f t="shared" si="378"/>
        <v>97.89</v>
      </c>
      <c r="I786" s="14" t="b">
        <f t="shared" si="379"/>
        <v>1</v>
      </c>
      <c r="J786" s="2">
        <v>46003</v>
      </c>
      <c r="K786" s="5">
        <v>1007219</v>
      </c>
      <c r="L786" s="5">
        <v>3592</v>
      </c>
      <c r="M786" s="5">
        <v>2.02</v>
      </c>
      <c r="N786" s="5">
        <v>100.92</v>
      </c>
      <c r="O786" s="7">
        <v>45992</v>
      </c>
      <c r="P786" s="5">
        <v>98.9</v>
      </c>
      <c r="Q786" s="5">
        <v>2.02</v>
      </c>
      <c r="R786" s="5" t="s">
        <v>32</v>
      </c>
      <c r="S786" s="5" t="s">
        <v>33</v>
      </c>
      <c r="T786" s="5">
        <v>1.01</v>
      </c>
      <c r="U786" s="5">
        <v>97.89</v>
      </c>
      <c r="V786" s="5" t="s">
        <v>34</v>
      </c>
      <c r="W786" s="5">
        <v>2</v>
      </c>
      <c r="X786" s="5">
        <v>2081360442678</v>
      </c>
      <c r="Y786" s="7">
        <v>46003</v>
      </c>
      <c r="Z786" s="7">
        <v>45992</v>
      </c>
      <c r="AB786" s="6">
        <v>46003</v>
      </c>
      <c r="AC786" s="7">
        <v>45999.682638888888</v>
      </c>
      <c r="AD786" s="5">
        <v>35921007219</v>
      </c>
      <c r="AE786" s="8">
        <v>45992</v>
      </c>
      <c r="AF786" s="5" t="s">
        <v>426</v>
      </c>
      <c r="AG786" s="5" t="s">
        <v>37</v>
      </c>
      <c r="AH786" s="5">
        <v>205715</v>
      </c>
      <c r="AI786" s="6">
        <v>45992</v>
      </c>
      <c r="AJ786" s="6">
        <v>46003</v>
      </c>
      <c r="AK786" s="1">
        <f t="shared" si="380"/>
        <v>2.0184000000000002</v>
      </c>
    </row>
    <row r="787" spans="1:37" x14ac:dyDescent="0.55000000000000004">
      <c r="A787">
        <v>3592</v>
      </c>
      <c r="B787">
        <v>1007220</v>
      </c>
      <c r="C787">
        <v>41.14</v>
      </c>
      <c r="D787" s="4">
        <v>0.82</v>
      </c>
      <c r="E787">
        <v>40.32</v>
      </c>
      <c r="F787">
        <v>0.41</v>
      </c>
      <c r="G787">
        <v>39.909999999999997</v>
      </c>
      <c r="H787" s="14">
        <f t="shared" si="378"/>
        <v>39.910000000000004</v>
      </c>
      <c r="I787" s="14" t="b">
        <f t="shared" si="379"/>
        <v>1</v>
      </c>
      <c r="J787" s="2">
        <v>46003</v>
      </c>
      <c r="K787" s="5">
        <v>1007220</v>
      </c>
      <c r="L787" s="5">
        <v>3592</v>
      </c>
      <c r="M787" s="5">
        <v>0.82</v>
      </c>
      <c r="N787" s="5">
        <v>41.14</v>
      </c>
      <c r="O787" s="7">
        <v>45992</v>
      </c>
      <c r="P787" s="5">
        <v>40.32</v>
      </c>
      <c r="Q787" s="5">
        <v>0.82</v>
      </c>
      <c r="R787" s="5" t="s">
        <v>32</v>
      </c>
      <c r="S787" s="5" t="s">
        <v>33</v>
      </c>
      <c r="T787" s="5">
        <v>0.41</v>
      </c>
      <c r="U787" s="5">
        <v>39.909999999999997</v>
      </c>
      <c r="V787" s="5" t="s">
        <v>34</v>
      </c>
      <c r="W787" s="5">
        <v>2</v>
      </c>
      <c r="X787" s="5">
        <v>2081360442678</v>
      </c>
      <c r="Y787" s="7">
        <v>46003</v>
      </c>
      <c r="Z787" s="7">
        <v>45992</v>
      </c>
      <c r="AB787" s="6">
        <v>46003</v>
      </c>
      <c r="AC787" s="7">
        <v>45999.682638888888</v>
      </c>
      <c r="AD787" s="5">
        <v>35921007220</v>
      </c>
      <c r="AE787" s="8">
        <v>45992</v>
      </c>
      <c r="AF787" s="5" t="s">
        <v>427</v>
      </c>
      <c r="AG787" s="5" t="s">
        <v>37</v>
      </c>
      <c r="AH787" s="5">
        <v>205717</v>
      </c>
      <c r="AI787" s="6">
        <v>45992</v>
      </c>
      <c r="AJ787" s="6">
        <v>46003</v>
      </c>
      <c r="AK787" s="1">
        <f t="shared" si="380"/>
        <v>0.82279999999999998</v>
      </c>
    </row>
    <row r="788" spans="1:37" x14ac:dyDescent="0.55000000000000004">
      <c r="A788">
        <v>3592</v>
      </c>
      <c r="B788">
        <v>1007223</v>
      </c>
      <c r="C788">
        <v>25.23</v>
      </c>
      <c r="D788" s="4">
        <v>0.5</v>
      </c>
      <c r="E788">
        <v>24.73</v>
      </c>
      <c r="F788">
        <v>0.25</v>
      </c>
      <c r="G788">
        <v>24.48</v>
      </c>
      <c r="H788" s="14">
        <f t="shared" si="378"/>
        <v>24.48</v>
      </c>
      <c r="I788" s="14" t="b">
        <f t="shared" si="379"/>
        <v>1</v>
      </c>
      <c r="J788" s="2">
        <v>46003</v>
      </c>
      <c r="K788" s="5">
        <v>1007223</v>
      </c>
      <c r="L788" s="5">
        <v>3592</v>
      </c>
      <c r="M788" s="5">
        <v>0.5</v>
      </c>
      <c r="N788" s="5">
        <v>25.23</v>
      </c>
      <c r="O788" s="7">
        <v>45992</v>
      </c>
      <c r="P788" s="5">
        <v>24.73</v>
      </c>
      <c r="Q788" s="5">
        <v>0.5</v>
      </c>
      <c r="R788" s="5" t="s">
        <v>32</v>
      </c>
      <c r="S788" s="5" t="s">
        <v>33</v>
      </c>
      <c r="T788" s="5">
        <v>0.25</v>
      </c>
      <c r="U788" s="5">
        <v>24.48</v>
      </c>
      <c r="V788" s="5" t="s">
        <v>34</v>
      </c>
      <c r="W788" s="5">
        <v>2</v>
      </c>
      <c r="X788" s="5">
        <v>2081360442678</v>
      </c>
      <c r="Y788" s="7">
        <v>46003</v>
      </c>
      <c r="Z788" s="7">
        <v>45992</v>
      </c>
      <c r="AB788" s="6">
        <v>46003</v>
      </c>
      <c r="AC788" s="7">
        <v>45999.682638888888</v>
      </c>
      <c r="AD788" s="5">
        <v>35921007223</v>
      </c>
      <c r="AE788" s="8">
        <v>45992</v>
      </c>
      <c r="AF788" s="5" t="s">
        <v>428</v>
      </c>
      <c r="AG788" s="5" t="s">
        <v>37</v>
      </c>
      <c r="AH788" s="5">
        <v>205716</v>
      </c>
      <c r="AI788" s="6">
        <v>45992</v>
      </c>
      <c r="AJ788" s="6">
        <v>46003</v>
      </c>
      <c r="AK788" s="1">
        <f t="shared" si="380"/>
        <v>0.50460000000000005</v>
      </c>
    </row>
    <row r="789" spans="1:37" x14ac:dyDescent="0.55000000000000004">
      <c r="A789">
        <v>3592</v>
      </c>
      <c r="B789">
        <v>1007224</v>
      </c>
      <c r="C789">
        <v>25.23</v>
      </c>
      <c r="D789" s="4">
        <v>0.5</v>
      </c>
      <c r="E789">
        <v>24.73</v>
      </c>
      <c r="F789">
        <v>0.25</v>
      </c>
      <c r="G789">
        <v>24.48</v>
      </c>
      <c r="H789" s="14">
        <f t="shared" si="378"/>
        <v>24.48</v>
      </c>
      <c r="I789" s="14" t="b">
        <f t="shared" si="379"/>
        <v>1</v>
      </c>
      <c r="J789" s="2">
        <v>46003</v>
      </c>
      <c r="K789" s="5">
        <v>1007224</v>
      </c>
      <c r="L789" s="5">
        <v>3592</v>
      </c>
      <c r="M789" s="5">
        <v>0.5</v>
      </c>
      <c r="N789" s="5">
        <v>25.23</v>
      </c>
      <c r="O789" s="7">
        <v>45992</v>
      </c>
      <c r="P789" s="5">
        <v>24.73</v>
      </c>
      <c r="Q789" s="5">
        <v>0.5</v>
      </c>
      <c r="R789" s="5" t="s">
        <v>32</v>
      </c>
      <c r="S789" s="5" t="s">
        <v>33</v>
      </c>
      <c r="T789" s="5">
        <v>0.25</v>
      </c>
      <c r="U789" s="5">
        <v>24.48</v>
      </c>
      <c r="V789" s="5" t="s">
        <v>34</v>
      </c>
      <c r="W789" s="5">
        <v>2</v>
      </c>
      <c r="X789" s="5">
        <v>2081360442678</v>
      </c>
      <c r="Y789" s="7">
        <v>46003</v>
      </c>
      <c r="Z789" s="7">
        <v>45992</v>
      </c>
      <c r="AB789" s="6">
        <v>46003</v>
      </c>
      <c r="AC789" s="7">
        <v>45999.682638888888</v>
      </c>
      <c r="AD789" s="5">
        <v>35921007224</v>
      </c>
      <c r="AE789" s="8">
        <v>45992</v>
      </c>
      <c r="AF789" s="5" t="s">
        <v>429</v>
      </c>
      <c r="AG789" s="5" t="s">
        <v>37</v>
      </c>
      <c r="AH789" s="5">
        <v>205718</v>
      </c>
      <c r="AI789" s="6">
        <v>45992</v>
      </c>
      <c r="AJ789" s="6">
        <v>46003</v>
      </c>
      <c r="AK789" s="1">
        <f t="shared" si="380"/>
        <v>0.50460000000000005</v>
      </c>
    </row>
    <row r="790" spans="1:37" x14ac:dyDescent="0.55000000000000004">
      <c r="A790">
        <v>3592</v>
      </c>
      <c r="B790">
        <v>1007267</v>
      </c>
      <c r="C790">
        <v>41.14</v>
      </c>
      <c r="D790" s="4">
        <v>0.82</v>
      </c>
      <c r="E790">
        <v>40.32</v>
      </c>
      <c r="F790">
        <v>0.41</v>
      </c>
      <c r="G790">
        <v>39.909999999999997</v>
      </c>
      <c r="H790" s="14">
        <f t="shared" si="378"/>
        <v>39.910000000000004</v>
      </c>
      <c r="I790" s="14" t="b">
        <f t="shared" si="379"/>
        <v>1</v>
      </c>
      <c r="J790" s="2">
        <v>46003</v>
      </c>
      <c r="K790" s="5">
        <v>1007267</v>
      </c>
      <c r="L790" s="5">
        <v>3592</v>
      </c>
      <c r="M790" s="5">
        <v>0.82</v>
      </c>
      <c r="N790" s="5">
        <v>41.14</v>
      </c>
      <c r="O790" s="7">
        <v>45992</v>
      </c>
      <c r="P790" s="5">
        <v>40.32</v>
      </c>
      <c r="Q790" s="5">
        <v>0.82</v>
      </c>
      <c r="R790" s="5" t="s">
        <v>32</v>
      </c>
      <c r="S790" s="5" t="s">
        <v>33</v>
      </c>
      <c r="T790" s="5">
        <v>0.41</v>
      </c>
      <c r="U790" s="5">
        <v>39.909999999999997</v>
      </c>
      <c r="V790" s="5" t="s">
        <v>34</v>
      </c>
      <c r="W790" s="5">
        <v>2</v>
      </c>
      <c r="X790" s="5">
        <v>2081360442678</v>
      </c>
      <c r="Y790" s="7">
        <v>46003</v>
      </c>
      <c r="Z790" s="7">
        <v>45992</v>
      </c>
      <c r="AB790" s="6">
        <v>46003</v>
      </c>
      <c r="AC790" s="7">
        <v>45999.682638888888</v>
      </c>
      <c r="AD790" s="5">
        <v>35921007267</v>
      </c>
      <c r="AE790" s="8">
        <v>45992</v>
      </c>
      <c r="AF790" s="5" t="s">
        <v>430</v>
      </c>
      <c r="AG790" s="5" t="s">
        <v>37</v>
      </c>
      <c r="AH790" s="5">
        <v>205723</v>
      </c>
      <c r="AI790" s="6">
        <v>45992</v>
      </c>
      <c r="AJ790" s="6">
        <v>46003</v>
      </c>
      <c r="AK790" s="1">
        <f t="shared" si="380"/>
        <v>0.82279999999999998</v>
      </c>
    </row>
    <row r="791" spans="1:37" x14ac:dyDescent="0.55000000000000004">
      <c r="A791">
        <v>3592</v>
      </c>
      <c r="B791">
        <v>1007270</v>
      </c>
      <c r="C791">
        <v>11.42</v>
      </c>
      <c r="D791" s="4">
        <v>0.23</v>
      </c>
      <c r="E791">
        <v>11.19</v>
      </c>
      <c r="F791">
        <v>0.11</v>
      </c>
      <c r="G791">
        <v>11.08</v>
      </c>
      <c r="H791" s="14">
        <f t="shared" si="378"/>
        <v>11.08</v>
      </c>
      <c r="I791" s="14" t="b">
        <f t="shared" si="379"/>
        <v>1</v>
      </c>
      <c r="J791" s="2">
        <v>46003</v>
      </c>
      <c r="K791" s="5">
        <v>1007270</v>
      </c>
      <c r="L791" s="5">
        <v>3592</v>
      </c>
      <c r="M791" s="5">
        <v>0.23</v>
      </c>
      <c r="N791" s="5">
        <v>11.42</v>
      </c>
      <c r="O791" s="7">
        <v>45992</v>
      </c>
      <c r="P791" s="5">
        <v>11.19</v>
      </c>
      <c r="Q791" s="5">
        <v>0.23</v>
      </c>
      <c r="R791" s="5" t="s">
        <v>32</v>
      </c>
      <c r="S791" s="5" t="s">
        <v>33</v>
      </c>
      <c r="T791" s="5">
        <v>0.11</v>
      </c>
      <c r="U791" s="5">
        <v>11.08</v>
      </c>
      <c r="V791" s="5" t="s">
        <v>34</v>
      </c>
      <c r="W791" s="5">
        <v>2</v>
      </c>
      <c r="X791" s="5">
        <v>2081360442678</v>
      </c>
      <c r="Y791" s="7">
        <v>46003</v>
      </c>
      <c r="Z791" s="7">
        <v>45992</v>
      </c>
      <c r="AB791" s="6">
        <v>46003</v>
      </c>
      <c r="AC791" s="7">
        <v>45999.682638888888</v>
      </c>
      <c r="AD791" s="5">
        <v>35921007270</v>
      </c>
      <c r="AE791" s="8">
        <v>45992</v>
      </c>
      <c r="AF791" s="5" t="s">
        <v>431</v>
      </c>
      <c r="AG791" s="5" t="s">
        <v>37</v>
      </c>
      <c r="AH791" s="5">
        <v>205721</v>
      </c>
      <c r="AI791" s="6">
        <v>45992</v>
      </c>
      <c r="AJ791" s="6">
        <v>46003</v>
      </c>
      <c r="AK791" s="1">
        <f t="shared" si="380"/>
        <v>0.22839999999999999</v>
      </c>
    </row>
    <row r="792" spans="1:37" x14ac:dyDescent="0.55000000000000004">
      <c r="A792">
        <v>3592</v>
      </c>
      <c r="B792">
        <v>1007271</v>
      </c>
      <c r="C792">
        <v>19.23</v>
      </c>
      <c r="D792" s="4">
        <v>0.38</v>
      </c>
      <c r="E792">
        <v>18.850000000000001</v>
      </c>
      <c r="F792">
        <v>0.19</v>
      </c>
      <c r="G792">
        <v>18.66</v>
      </c>
      <c r="H792" s="14">
        <f t="shared" si="378"/>
        <v>18.66</v>
      </c>
      <c r="I792" s="14" t="b">
        <f t="shared" si="379"/>
        <v>1</v>
      </c>
      <c r="J792" s="2">
        <v>46003</v>
      </c>
      <c r="K792" s="5">
        <v>1007271</v>
      </c>
      <c r="L792" s="5">
        <v>3592</v>
      </c>
      <c r="M792" s="5">
        <v>0.38</v>
      </c>
      <c r="N792" s="5">
        <v>19.23</v>
      </c>
      <c r="O792" s="7">
        <v>45992</v>
      </c>
      <c r="P792" s="5">
        <v>18.850000000000001</v>
      </c>
      <c r="Q792" s="5">
        <v>0.38</v>
      </c>
      <c r="R792" s="5" t="s">
        <v>32</v>
      </c>
      <c r="S792" s="5" t="s">
        <v>33</v>
      </c>
      <c r="T792" s="5">
        <v>0.19</v>
      </c>
      <c r="U792" s="5">
        <v>18.66</v>
      </c>
      <c r="V792" s="5" t="s">
        <v>34</v>
      </c>
      <c r="W792" s="5">
        <v>2</v>
      </c>
      <c r="X792" s="5">
        <v>2081360442678</v>
      </c>
      <c r="Y792" s="7">
        <v>46003</v>
      </c>
      <c r="Z792" s="7">
        <v>45992</v>
      </c>
      <c r="AB792" s="6">
        <v>46003</v>
      </c>
      <c r="AC792" s="7">
        <v>45999.682638888888</v>
      </c>
      <c r="AD792" s="5">
        <v>35921007271</v>
      </c>
      <c r="AE792" s="8">
        <v>45992</v>
      </c>
      <c r="AF792" s="5" t="s">
        <v>432</v>
      </c>
      <c r="AG792" s="5" t="s">
        <v>37</v>
      </c>
      <c r="AH792" s="5">
        <v>205725</v>
      </c>
      <c r="AI792" s="6">
        <v>45992</v>
      </c>
      <c r="AJ792" s="6">
        <v>46003</v>
      </c>
      <c r="AK792" s="1">
        <f t="shared" si="380"/>
        <v>0.3846</v>
      </c>
    </row>
    <row r="793" spans="1:37" x14ac:dyDescent="0.55000000000000004">
      <c r="A793">
        <v>3592</v>
      </c>
      <c r="B793">
        <v>1007272</v>
      </c>
      <c r="C793">
        <v>20.57</v>
      </c>
      <c r="D793" s="4">
        <v>0.41</v>
      </c>
      <c r="E793">
        <v>20.16</v>
      </c>
      <c r="F793">
        <v>0.21</v>
      </c>
      <c r="G793">
        <v>19.95</v>
      </c>
      <c r="H793" s="14">
        <f t="shared" si="378"/>
        <v>19.95</v>
      </c>
      <c r="I793" s="14" t="b">
        <f t="shared" si="379"/>
        <v>1</v>
      </c>
      <c r="J793" s="2">
        <v>46003</v>
      </c>
      <c r="K793" s="5">
        <v>1007272</v>
      </c>
      <c r="L793" s="5">
        <v>3592</v>
      </c>
      <c r="M793" s="5">
        <v>0.41</v>
      </c>
      <c r="N793" s="5">
        <v>20.57</v>
      </c>
      <c r="O793" s="7">
        <v>45992</v>
      </c>
      <c r="P793" s="5">
        <v>20.16</v>
      </c>
      <c r="Q793" s="5">
        <v>0.41</v>
      </c>
      <c r="R793" s="5" t="s">
        <v>32</v>
      </c>
      <c r="S793" s="5" t="s">
        <v>33</v>
      </c>
      <c r="T793" s="5">
        <v>0.21</v>
      </c>
      <c r="U793" s="5">
        <v>19.95</v>
      </c>
      <c r="V793" s="5" t="s">
        <v>34</v>
      </c>
      <c r="W793" s="5">
        <v>2</v>
      </c>
      <c r="X793" s="5">
        <v>2081360442678</v>
      </c>
      <c r="Y793" s="7">
        <v>46003</v>
      </c>
      <c r="Z793" s="7">
        <v>45992</v>
      </c>
      <c r="AB793" s="6">
        <v>46003</v>
      </c>
      <c r="AC793" s="7">
        <v>45999.682638888888</v>
      </c>
      <c r="AD793" s="5">
        <v>35921007272</v>
      </c>
      <c r="AE793" s="8">
        <v>45992</v>
      </c>
      <c r="AF793" s="5" t="s">
        <v>433</v>
      </c>
      <c r="AG793" s="5" t="s">
        <v>37</v>
      </c>
      <c r="AH793" s="5">
        <v>205724</v>
      </c>
      <c r="AI793" s="6">
        <v>45992</v>
      </c>
      <c r="AJ793" s="6">
        <v>46003</v>
      </c>
      <c r="AK793" s="1">
        <f t="shared" si="380"/>
        <v>0.41139999999999999</v>
      </c>
    </row>
    <row r="794" spans="1:37" x14ac:dyDescent="0.55000000000000004">
      <c r="A794">
        <v>3592</v>
      </c>
      <c r="B794">
        <v>1007274</v>
      </c>
      <c r="C794">
        <v>138.33000000000001</v>
      </c>
      <c r="D794" s="4">
        <v>2.77</v>
      </c>
      <c r="E794">
        <v>135.56</v>
      </c>
      <c r="F794">
        <v>1.38</v>
      </c>
      <c r="G794">
        <v>134.18</v>
      </c>
      <c r="H794" s="14">
        <f t="shared" si="378"/>
        <v>134.18</v>
      </c>
      <c r="I794" s="14" t="b">
        <f t="shared" si="379"/>
        <v>1</v>
      </c>
      <c r="J794" s="2">
        <v>46003</v>
      </c>
      <c r="K794" s="5">
        <v>1007274</v>
      </c>
      <c r="L794" s="5">
        <v>3592</v>
      </c>
      <c r="M794" s="5">
        <v>2.77</v>
      </c>
      <c r="N794" s="5">
        <v>138.33000000000001</v>
      </c>
      <c r="O794" s="7">
        <v>45992</v>
      </c>
      <c r="P794" s="5">
        <v>135.56</v>
      </c>
      <c r="Q794" s="5">
        <v>2.77</v>
      </c>
      <c r="R794" s="5" t="s">
        <v>32</v>
      </c>
      <c r="S794" s="5" t="s">
        <v>33</v>
      </c>
      <c r="T794" s="5">
        <v>1.38</v>
      </c>
      <c r="U794" s="5">
        <v>134.18</v>
      </c>
      <c r="V794" s="5" t="s">
        <v>34</v>
      </c>
      <c r="W794" s="5">
        <v>2</v>
      </c>
      <c r="X794" s="5">
        <v>2081360442678</v>
      </c>
      <c r="Y794" s="7">
        <v>46003</v>
      </c>
      <c r="Z794" s="7">
        <v>45992</v>
      </c>
      <c r="AB794" s="6">
        <v>46003</v>
      </c>
      <c r="AC794" s="7">
        <v>45999.682638888888</v>
      </c>
      <c r="AD794" s="5">
        <v>35921007274</v>
      </c>
      <c r="AE794" s="8">
        <v>45992</v>
      </c>
      <c r="AF794" s="5" t="s">
        <v>434</v>
      </c>
      <c r="AG794" s="5" t="s">
        <v>37</v>
      </c>
      <c r="AH794" s="5">
        <v>205720</v>
      </c>
      <c r="AI794" s="6">
        <v>45992</v>
      </c>
      <c r="AJ794" s="6">
        <v>46003</v>
      </c>
      <c r="AK794" s="1">
        <f t="shared" si="380"/>
        <v>2.7666000000000004</v>
      </c>
    </row>
    <row r="795" spans="1:37" x14ac:dyDescent="0.55000000000000004">
      <c r="A795">
        <v>3592</v>
      </c>
      <c r="B795">
        <v>1007275</v>
      </c>
      <c r="C795">
        <v>20.57</v>
      </c>
      <c r="D795" s="4">
        <v>0.41</v>
      </c>
      <c r="E795">
        <v>20.16</v>
      </c>
      <c r="F795">
        <v>0.21</v>
      </c>
      <c r="G795">
        <v>19.95</v>
      </c>
      <c r="H795" s="14">
        <f t="shared" si="378"/>
        <v>19.95</v>
      </c>
      <c r="I795" s="14" t="b">
        <f t="shared" si="379"/>
        <v>1</v>
      </c>
      <c r="J795" s="2">
        <v>46003</v>
      </c>
      <c r="K795" s="5">
        <v>1007275</v>
      </c>
      <c r="L795" s="5">
        <v>3592</v>
      </c>
      <c r="M795" s="5">
        <v>0.41</v>
      </c>
      <c r="N795" s="5">
        <v>20.57</v>
      </c>
      <c r="O795" s="7">
        <v>45992</v>
      </c>
      <c r="P795" s="5">
        <v>20.16</v>
      </c>
      <c r="Q795" s="5">
        <v>0.41</v>
      </c>
      <c r="R795" s="5" t="s">
        <v>32</v>
      </c>
      <c r="S795" s="5" t="s">
        <v>33</v>
      </c>
      <c r="T795" s="5">
        <v>0.21</v>
      </c>
      <c r="U795" s="5">
        <v>19.95</v>
      </c>
      <c r="V795" s="5" t="s">
        <v>34</v>
      </c>
      <c r="W795" s="5">
        <v>2</v>
      </c>
      <c r="X795" s="5">
        <v>2081360442678</v>
      </c>
      <c r="Y795" s="7">
        <v>46003</v>
      </c>
      <c r="Z795" s="7">
        <v>45992</v>
      </c>
      <c r="AB795" s="6">
        <v>46003</v>
      </c>
      <c r="AC795" s="7">
        <v>45999.682638888888</v>
      </c>
      <c r="AD795" s="5">
        <v>35921007275</v>
      </c>
      <c r="AE795" s="8">
        <v>45992</v>
      </c>
      <c r="AF795" s="5" t="s">
        <v>435</v>
      </c>
      <c r="AG795" s="5" t="s">
        <v>37</v>
      </c>
      <c r="AH795" s="5">
        <v>205722</v>
      </c>
      <c r="AI795" s="6">
        <v>45992</v>
      </c>
      <c r="AJ795" s="6">
        <v>46003</v>
      </c>
      <c r="AK795" s="1">
        <f t="shared" si="380"/>
        <v>0.41139999999999999</v>
      </c>
    </row>
    <row r="796" spans="1:37" hidden="1" x14ac:dyDescent="0.55000000000000004">
      <c r="A796">
        <v>3592</v>
      </c>
      <c r="B796">
        <v>1007438</v>
      </c>
      <c r="C796" s="1">
        <v>5962.99</v>
      </c>
      <c r="E796" s="1">
        <v>5962.99</v>
      </c>
      <c r="F796">
        <v>59.63</v>
      </c>
      <c r="G796" s="1">
        <v>5903.36</v>
      </c>
      <c r="H796" s="1"/>
      <c r="I796" s="1"/>
      <c r="J796" s="2">
        <v>46003</v>
      </c>
      <c r="K796" s="5">
        <v>1007438</v>
      </c>
      <c r="L796" s="5">
        <v>3592</v>
      </c>
      <c r="M796" s="5">
        <v>0</v>
      </c>
      <c r="N796" s="5">
        <v>5962.99</v>
      </c>
      <c r="O796" s="7">
        <v>45992</v>
      </c>
      <c r="P796" s="5">
        <v>5962.99</v>
      </c>
      <c r="Q796" s="5">
        <v>0</v>
      </c>
      <c r="R796" s="5" t="s">
        <v>32</v>
      </c>
      <c r="S796" s="5" t="s">
        <v>33</v>
      </c>
      <c r="T796" s="5">
        <v>59.63</v>
      </c>
      <c r="U796" s="5">
        <v>5903.36</v>
      </c>
      <c r="V796" s="5" t="s">
        <v>34</v>
      </c>
      <c r="W796" s="5">
        <v>2</v>
      </c>
      <c r="X796" s="5">
        <v>2081360442678</v>
      </c>
      <c r="Y796" s="7">
        <v>46003</v>
      </c>
      <c r="Z796" s="7">
        <v>45992</v>
      </c>
      <c r="AB796" s="6">
        <v>46003</v>
      </c>
      <c r="AC796" s="7">
        <v>45999.682638888888</v>
      </c>
      <c r="AD796" s="5">
        <v>35921007438</v>
      </c>
      <c r="AE796" s="8">
        <v>45992</v>
      </c>
      <c r="AF796" s="5" t="s">
        <v>436</v>
      </c>
      <c r="AG796" s="5" t="s">
        <v>38</v>
      </c>
      <c r="AH796" s="5">
        <v>205902</v>
      </c>
      <c r="AI796" s="6">
        <v>45992</v>
      </c>
      <c r="AJ796" s="6">
        <v>46003</v>
      </c>
    </row>
    <row r="797" spans="1:37" hidden="1" x14ac:dyDescent="0.55000000000000004">
      <c r="A797">
        <v>3592</v>
      </c>
      <c r="B797">
        <v>1007442</v>
      </c>
      <c r="C797">
        <v>84.78</v>
      </c>
      <c r="E797">
        <v>84.78</v>
      </c>
      <c r="F797">
        <v>0.85</v>
      </c>
      <c r="G797">
        <v>83.93</v>
      </c>
      <c r="H797"/>
      <c r="I797"/>
      <c r="J797" s="2">
        <v>46003</v>
      </c>
      <c r="K797" s="5">
        <v>1007442</v>
      </c>
      <c r="L797" s="5">
        <v>3592</v>
      </c>
      <c r="M797" s="5">
        <v>0</v>
      </c>
      <c r="N797" s="5">
        <v>84.78</v>
      </c>
      <c r="O797" s="7">
        <v>45992</v>
      </c>
      <c r="P797" s="5">
        <v>84.78</v>
      </c>
      <c r="Q797" s="5">
        <v>0</v>
      </c>
      <c r="R797" s="5" t="s">
        <v>32</v>
      </c>
      <c r="S797" s="5" t="s">
        <v>33</v>
      </c>
      <c r="T797" s="5">
        <v>0.85</v>
      </c>
      <c r="U797" s="5">
        <v>83.93</v>
      </c>
      <c r="V797" s="5" t="s">
        <v>34</v>
      </c>
      <c r="W797" s="5">
        <v>2</v>
      </c>
      <c r="X797" s="5">
        <v>2081360442678</v>
      </c>
      <c r="Y797" s="7">
        <v>46003</v>
      </c>
      <c r="Z797" s="7">
        <v>45992</v>
      </c>
      <c r="AB797" s="6">
        <v>46003</v>
      </c>
      <c r="AC797" s="7">
        <v>45999.682638888888</v>
      </c>
      <c r="AD797" s="5">
        <v>35921007442</v>
      </c>
      <c r="AE797" s="8">
        <v>45992</v>
      </c>
      <c r="AF797" s="5" t="s">
        <v>437</v>
      </c>
      <c r="AG797" s="5" t="s">
        <v>38</v>
      </c>
      <c r="AH797" s="5">
        <v>205903</v>
      </c>
      <c r="AI797" s="6">
        <v>45992</v>
      </c>
      <c r="AJ797" s="6">
        <v>46003</v>
      </c>
    </row>
    <row r="798" spans="1:37" hidden="1" x14ac:dyDescent="0.55000000000000004">
      <c r="A798">
        <v>3592</v>
      </c>
      <c r="B798">
        <v>1007803</v>
      </c>
      <c r="C798">
        <v>828.19</v>
      </c>
      <c r="E798">
        <v>828.19</v>
      </c>
      <c r="F798">
        <v>8.2799999999999994</v>
      </c>
      <c r="G798">
        <v>819.91</v>
      </c>
      <c r="H798"/>
      <c r="I798"/>
      <c r="J798" s="2">
        <v>46003</v>
      </c>
      <c r="K798" s="5">
        <v>1007803</v>
      </c>
      <c r="L798" s="5">
        <v>3592</v>
      </c>
      <c r="M798" s="5">
        <v>0</v>
      </c>
      <c r="N798" s="5">
        <v>828.19</v>
      </c>
      <c r="O798" s="7">
        <v>45993</v>
      </c>
      <c r="P798" s="5">
        <v>828.19</v>
      </c>
      <c r="Q798" s="5">
        <v>0</v>
      </c>
      <c r="R798" s="5" t="s">
        <v>32</v>
      </c>
      <c r="S798" s="5" t="s">
        <v>33</v>
      </c>
      <c r="T798" s="5">
        <v>8.2799999999999994</v>
      </c>
      <c r="U798" s="5">
        <v>819.91</v>
      </c>
      <c r="V798" s="5" t="s">
        <v>34</v>
      </c>
      <c r="W798" s="5">
        <v>2</v>
      </c>
      <c r="X798" s="5">
        <v>2081360442678</v>
      </c>
      <c r="Y798" s="7">
        <v>46003</v>
      </c>
      <c r="Z798" s="7">
        <v>45993</v>
      </c>
      <c r="AB798" s="6">
        <v>46003</v>
      </c>
      <c r="AC798" s="7">
        <v>45999.682638888888</v>
      </c>
      <c r="AD798" s="5">
        <v>35921007803</v>
      </c>
      <c r="AE798" s="8">
        <v>45993</v>
      </c>
      <c r="AF798" s="5" t="s">
        <v>438</v>
      </c>
      <c r="AG798" s="5" t="s">
        <v>38</v>
      </c>
      <c r="AH798" s="5">
        <v>206084</v>
      </c>
      <c r="AI798" s="6">
        <v>45993</v>
      </c>
      <c r="AJ798" s="6">
        <v>46003</v>
      </c>
    </row>
    <row r="799" spans="1:37" hidden="1" x14ac:dyDescent="0.55000000000000004">
      <c r="A799">
        <v>3592</v>
      </c>
      <c r="B799">
        <v>1007806</v>
      </c>
      <c r="C799" s="1">
        <v>1739.21</v>
      </c>
      <c r="E799" s="1">
        <v>1739.21</v>
      </c>
      <c r="F799">
        <v>17.39</v>
      </c>
      <c r="G799" s="1">
        <v>1721.82</v>
      </c>
      <c r="H799" s="1"/>
      <c r="I799" s="1"/>
      <c r="J799" s="2">
        <v>46003</v>
      </c>
      <c r="K799" s="5">
        <v>1007806</v>
      </c>
      <c r="L799" s="5">
        <v>3592</v>
      </c>
      <c r="M799" s="5">
        <v>0</v>
      </c>
      <c r="N799" s="5">
        <v>1739.21</v>
      </c>
      <c r="O799" s="7">
        <v>45993</v>
      </c>
      <c r="P799" s="5">
        <v>1739.21</v>
      </c>
      <c r="Q799" s="5">
        <v>0</v>
      </c>
      <c r="R799" s="5" t="s">
        <v>32</v>
      </c>
      <c r="S799" s="5" t="s">
        <v>33</v>
      </c>
      <c r="T799" s="5">
        <v>17.39</v>
      </c>
      <c r="U799" s="5">
        <v>1721.82</v>
      </c>
      <c r="V799" s="5" t="s">
        <v>34</v>
      </c>
      <c r="W799" s="5">
        <v>2</v>
      </c>
      <c r="X799" s="5">
        <v>2081360442678</v>
      </c>
      <c r="Y799" s="7">
        <v>46003</v>
      </c>
      <c r="Z799" s="7">
        <v>45993</v>
      </c>
      <c r="AB799" s="6">
        <v>46003</v>
      </c>
      <c r="AC799" s="7">
        <v>45999.682638888888</v>
      </c>
      <c r="AD799" s="5">
        <v>35921007806</v>
      </c>
      <c r="AE799" s="8">
        <v>45993</v>
      </c>
      <c r="AF799" s="5" t="s">
        <v>439</v>
      </c>
      <c r="AG799" s="5" t="s">
        <v>38</v>
      </c>
      <c r="AH799" s="5">
        <v>206083</v>
      </c>
      <c r="AI799" s="6">
        <v>45993</v>
      </c>
      <c r="AJ799" s="6">
        <v>46003</v>
      </c>
    </row>
    <row r="800" spans="1:37" hidden="1" x14ac:dyDescent="0.55000000000000004">
      <c r="A800">
        <v>3592</v>
      </c>
      <c r="B800">
        <v>1007810</v>
      </c>
      <c r="C800" s="1">
        <v>1739.21</v>
      </c>
      <c r="E800" s="1">
        <v>1739.21</v>
      </c>
      <c r="F800">
        <v>17.39</v>
      </c>
      <c r="G800" s="1">
        <v>1721.82</v>
      </c>
      <c r="H800" s="1"/>
      <c r="I800" s="1"/>
      <c r="J800" s="2">
        <v>46003</v>
      </c>
      <c r="K800" s="5">
        <v>1007810</v>
      </c>
      <c r="L800" s="5">
        <v>3592</v>
      </c>
      <c r="M800" s="5">
        <v>0</v>
      </c>
      <c r="N800" s="5">
        <v>1739.21</v>
      </c>
      <c r="O800" s="7">
        <v>45993</v>
      </c>
      <c r="P800" s="5">
        <v>1739.21</v>
      </c>
      <c r="Q800" s="5">
        <v>0</v>
      </c>
      <c r="R800" s="5" t="s">
        <v>32</v>
      </c>
      <c r="S800" s="5" t="s">
        <v>33</v>
      </c>
      <c r="T800" s="5">
        <v>17.39</v>
      </c>
      <c r="U800" s="5">
        <v>1721.82</v>
      </c>
      <c r="V800" s="5" t="s">
        <v>34</v>
      </c>
      <c r="W800" s="5">
        <v>2</v>
      </c>
      <c r="X800" s="5">
        <v>2081360442678</v>
      </c>
      <c r="Y800" s="7">
        <v>46003</v>
      </c>
      <c r="Z800" s="7">
        <v>45993</v>
      </c>
      <c r="AB800" s="6">
        <v>46003</v>
      </c>
      <c r="AC800" s="7">
        <v>45999.682638888888</v>
      </c>
      <c r="AD800" s="5">
        <v>35921007810</v>
      </c>
      <c r="AE800" s="8">
        <v>45993</v>
      </c>
      <c r="AF800" s="5" t="s">
        <v>440</v>
      </c>
      <c r="AG800" s="5" t="s">
        <v>38</v>
      </c>
      <c r="AH800" s="5">
        <v>206085</v>
      </c>
      <c r="AI800" s="6">
        <v>45993</v>
      </c>
      <c r="AJ800" s="6">
        <v>46003</v>
      </c>
    </row>
    <row r="801" spans="1:37" x14ac:dyDescent="0.55000000000000004">
      <c r="A801">
        <v>3592</v>
      </c>
      <c r="B801">
        <v>1007966</v>
      </c>
      <c r="C801" s="1">
        <v>2906.01</v>
      </c>
      <c r="D801" s="4">
        <v>58.12</v>
      </c>
      <c r="E801" s="1">
        <v>2847.89</v>
      </c>
      <c r="F801">
        <v>29.06</v>
      </c>
      <c r="G801" s="1">
        <v>2818.83</v>
      </c>
      <c r="H801" s="14">
        <f>C801-D801-F801</f>
        <v>2818.8300000000004</v>
      </c>
      <c r="I801" s="14" t="b">
        <f>G801=H801</f>
        <v>1</v>
      </c>
      <c r="J801" s="2">
        <v>46003</v>
      </c>
      <c r="K801" s="5">
        <v>1007966</v>
      </c>
      <c r="L801" s="5">
        <v>3592</v>
      </c>
      <c r="M801" s="5">
        <v>58.12</v>
      </c>
      <c r="N801" s="5">
        <v>2906.01</v>
      </c>
      <c r="O801" s="7">
        <v>45994</v>
      </c>
      <c r="P801" s="5">
        <v>2847.89</v>
      </c>
      <c r="Q801" s="5">
        <v>58.12</v>
      </c>
      <c r="R801" s="5" t="s">
        <v>32</v>
      </c>
      <c r="S801" s="5" t="s">
        <v>33</v>
      </c>
      <c r="T801" s="5">
        <v>29.06</v>
      </c>
      <c r="U801" s="5">
        <v>2818.83</v>
      </c>
      <c r="V801" s="5" t="s">
        <v>34</v>
      </c>
      <c r="W801" s="5">
        <v>2</v>
      </c>
      <c r="X801" s="5">
        <v>2081360442678</v>
      </c>
      <c r="Y801" s="7">
        <v>46003</v>
      </c>
      <c r="Z801" s="7">
        <v>45994</v>
      </c>
      <c r="AB801" s="6">
        <v>46003</v>
      </c>
      <c r="AC801" s="7">
        <v>45999.682638888888</v>
      </c>
      <c r="AD801" s="5">
        <v>35921007966</v>
      </c>
      <c r="AE801" s="8">
        <v>45994</v>
      </c>
      <c r="AF801" s="5" t="s">
        <v>441</v>
      </c>
      <c r="AG801" s="5" t="s">
        <v>37</v>
      </c>
      <c r="AH801" s="5">
        <v>206263</v>
      </c>
      <c r="AI801" s="6">
        <v>45994</v>
      </c>
      <c r="AJ801" s="6">
        <v>46003</v>
      </c>
      <c r="AK801" s="1">
        <f t="shared" ref="AK801" si="381">0.02*C801</f>
        <v>58.120200000000004</v>
      </c>
    </row>
    <row r="802" spans="1:37" hidden="1" x14ac:dyDescent="0.55000000000000004">
      <c r="A802">
        <v>3592</v>
      </c>
      <c r="B802">
        <v>1008018</v>
      </c>
      <c r="C802" s="1">
        <v>4507.5</v>
      </c>
      <c r="E802" s="1">
        <v>4507.5</v>
      </c>
      <c r="F802">
        <v>45.08</v>
      </c>
      <c r="G802" s="1">
        <v>4462.42</v>
      </c>
      <c r="H802" s="1"/>
      <c r="I802" s="1"/>
      <c r="J802" s="2">
        <v>46003</v>
      </c>
      <c r="K802" s="5">
        <v>1008018</v>
      </c>
      <c r="L802" s="5">
        <v>3592</v>
      </c>
      <c r="M802" s="5">
        <v>0</v>
      </c>
      <c r="N802" s="5">
        <v>4507.5</v>
      </c>
      <c r="O802" s="7">
        <v>45994</v>
      </c>
      <c r="P802" s="5">
        <v>4507.5</v>
      </c>
      <c r="Q802" s="5">
        <v>0</v>
      </c>
      <c r="R802" s="5" t="s">
        <v>32</v>
      </c>
      <c r="S802" s="5" t="s">
        <v>33</v>
      </c>
      <c r="T802" s="5">
        <v>45.08</v>
      </c>
      <c r="U802" s="5">
        <v>4462.42</v>
      </c>
      <c r="V802" s="5" t="s">
        <v>34</v>
      </c>
      <c r="W802" s="5">
        <v>2</v>
      </c>
      <c r="X802" s="5">
        <v>2081360442678</v>
      </c>
      <c r="Y802" s="7">
        <v>46003</v>
      </c>
      <c r="Z802" s="7">
        <v>45994</v>
      </c>
      <c r="AB802" s="6">
        <v>46003</v>
      </c>
      <c r="AC802" s="7">
        <v>45999.682638888888</v>
      </c>
      <c r="AD802" s="5">
        <v>35921008018</v>
      </c>
      <c r="AE802" s="8">
        <v>45994</v>
      </c>
      <c r="AF802" s="5" t="s">
        <v>441</v>
      </c>
      <c r="AG802" s="5" t="s">
        <v>38</v>
      </c>
      <c r="AH802" s="5">
        <v>206275</v>
      </c>
      <c r="AI802" s="6">
        <v>45994</v>
      </c>
      <c r="AJ802" s="6">
        <v>46003</v>
      </c>
    </row>
    <row r="803" spans="1:37" x14ac:dyDescent="0.55000000000000004">
      <c r="A803">
        <v>3592</v>
      </c>
      <c r="B803">
        <v>1008019</v>
      </c>
      <c r="C803" s="1">
        <v>3143.84</v>
      </c>
      <c r="D803" s="4">
        <v>62.88</v>
      </c>
      <c r="E803" s="1">
        <v>3080.96</v>
      </c>
      <c r="F803">
        <v>31.44</v>
      </c>
      <c r="G803" s="1">
        <v>3049.52</v>
      </c>
      <c r="H803" s="14">
        <f t="shared" ref="H803:H804" si="382">C803-D803-F803</f>
        <v>3049.52</v>
      </c>
      <c r="I803" s="14" t="b">
        <f t="shared" ref="I803:I804" si="383">G803=H803</f>
        <v>1</v>
      </c>
      <c r="J803" s="2">
        <v>46003</v>
      </c>
      <c r="K803" s="5">
        <v>1008019</v>
      </c>
      <c r="L803" s="5">
        <v>3592</v>
      </c>
      <c r="M803" s="5">
        <v>62.88</v>
      </c>
      <c r="N803" s="5">
        <v>3143.84</v>
      </c>
      <c r="O803" s="7">
        <v>45994</v>
      </c>
      <c r="P803" s="5">
        <v>3080.96</v>
      </c>
      <c r="Q803" s="5">
        <v>62.88</v>
      </c>
      <c r="R803" s="5" t="s">
        <v>32</v>
      </c>
      <c r="S803" s="5" t="s">
        <v>33</v>
      </c>
      <c r="T803" s="5">
        <v>31.44</v>
      </c>
      <c r="U803" s="5">
        <v>3049.52</v>
      </c>
      <c r="V803" s="5" t="s">
        <v>34</v>
      </c>
      <c r="W803" s="5">
        <v>2</v>
      </c>
      <c r="X803" s="5">
        <v>2081360442678</v>
      </c>
      <c r="Y803" s="7">
        <v>46003</v>
      </c>
      <c r="Z803" s="7">
        <v>45994</v>
      </c>
      <c r="AB803" s="6">
        <v>46003</v>
      </c>
      <c r="AC803" s="7">
        <v>45999.682638888888</v>
      </c>
      <c r="AD803" s="5">
        <v>35921008019</v>
      </c>
      <c r="AE803" s="8">
        <v>45994</v>
      </c>
      <c r="AF803" s="5" t="s">
        <v>441</v>
      </c>
      <c r="AG803" s="5" t="s">
        <v>37</v>
      </c>
      <c r="AH803" s="5">
        <v>206274</v>
      </c>
      <c r="AI803" s="6">
        <v>45994</v>
      </c>
      <c r="AJ803" s="6">
        <v>46003</v>
      </c>
      <c r="AK803" s="1">
        <f t="shared" ref="AK803:AK804" si="384">0.02*C803</f>
        <v>62.876800000000003</v>
      </c>
    </row>
    <row r="804" spans="1:37" x14ac:dyDescent="0.55000000000000004">
      <c r="A804">
        <v>3592</v>
      </c>
      <c r="B804">
        <v>1008140</v>
      </c>
      <c r="C804">
        <v>605.46</v>
      </c>
      <c r="D804" s="4">
        <v>12.11</v>
      </c>
      <c r="E804">
        <v>593.35</v>
      </c>
      <c r="F804">
        <v>6.05</v>
      </c>
      <c r="G804">
        <v>587.29999999999995</v>
      </c>
      <c r="H804" s="14">
        <f t="shared" si="382"/>
        <v>587.30000000000007</v>
      </c>
      <c r="I804" s="14" t="b">
        <f t="shared" si="383"/>
        <v>1</v>
      </c>
      <c r="J804" s="2">
        <v>46003</v>
      </c>
      <c r="K804" s="5">
        <v>1008140</v>
      </c>
      <c r="L804" s="5">
        <v>3592</v>
      </c>
      <c r="M804" s="5">
        <v>12.11</v>
      </c>
      <c r="N804" s="5">
        <v>605.46</v>
      </c>
      <c r="O804" s="7">
        <v>45995</v>
      </c>
      <c r="P804" s="5">
        <v>593.35</v>
      </c>
      <c r="Q804" s="5">
        <v>12.11</v>
      </c>
      <c r="R804" s="5" t="s">
        <v>32</v>
      </c>
      <c r="S804" s="5" t="s">
        <v>33</v>
      </c>
      <c r="T804" s="5">
        <v>6.05</v>
      </c>
      <c r="U804" s="5">
        <v>587.29999999999995</v>
      </c>
      <c r="V804" s="5" t="s">
        <v>34</v>
      </c>
      <c r="W804" s="5">
        <v>2</v>
      </c>
      <c r="X804" s="5">
        <v>2081360442678</v>
      </c>
      <c r="Y804" s="7">
        <v>46003</v>
      </c>
      <c r="Z804" s="7">
        <v>45995</v>
      </c>
      <c r="AB804" s="6">
        <v>46003</v>
      </c>
      <c r="AC804" s="7">
        <v>45999.682638888888</v>
      </c>
      <c r="AD804" s="5">
        <v>35921008140</v>
      </c>
      <c r="AE804" s="8">
        <v>45995</v>
      </c>
      <c r="AF804" s="5" t="s">
        <v>442</v>
      </c>
      <c r="AG804" s="5" t="s">
        <v>37</v>
      </c>
      <c r="AH804" s="5">
        <v>206710</v>
      </c>
      <c r="AI804" s="6">
        <v>45995</v>
      </c>
      <c r="AJ804" s="6">
        <v>46003</v>
      </c>
      <c r="AK804" s="1">
        <f t="shared" si="384"/>
        <v>12.109200000000001</v>
      </c>
    </row>
    <row r="805" spans="1:37" hidden="1" x14ac:dyDescent="0.55000000000000004">
      <c r="A805">
        <v>3592</v>
      </c>
      <c r="B805">
        <v>1008142</v>
      </c>
      <c r="C805">
        <v>364.46</v>
      </c>
      <c r="E805">
        <v>364.46</v>
      </c>
      <c r="F805">
        <v>3.64</v>
      </c>
      <c r="G805">
        <v>360.82</v>
      </c>
      <c r="H805"/>
      <c r="I805"/>
      <c r="J805" s="2">
        <v>46003</v>
      </c>
      <c r="K805" s="5">
        <v>1008142</v>
      </c>
      <c r="L805" s="5">
        <v>3592</v>
      </c>
      <c r="M805" s="5">
        <v>0</v>
      </c>
      <c r="N805" s="5">
        <v>364.46</v>
      </c>
      <c r="O805" s="7">
        <v>45995</v>
      </c>
      <c r="P805" s="5">
        <v>364.46</v>
      </c>
      <c r="Q805" s="5">
        <v>0</v>
      </c>
      <c r="R805" s="5" t="s">
        <v>32</v>
      </c>
      <c r="S805" s="5" t="s">
        <v>33</v>
      </c>
      <c r="T805" s="5">
        <v>3.64</v>
      </c>
      <c r="U805" s="5">
        <v>360.82</v>
      </c>
      <c r="V805" s="5" t="s">
        <v>34</v>
      </c>
      <c r="W805" s="5">
        <v>2</v>
      </c>
      <c r="X805" s="5">
        <v>2081360442678</v>
      </c>
      <c r="Y805" s="7">
        <v>46003</v>
      </c>
      <c r="Z805" s="7">
        <v>45995</v>
      </c>
      <c r="AB805" s="6">
        <v>46003</v>
      </c>
      <c r="AC805" s="7">
        <v>45999.682638888888</v>
      </c>
      <c r="AD805" s="5">
        <v>35921008142</v>
      </c>
      <c r="AE805" s="8">
        <v>45995</v>
      </c>
      <c r="AF805" s="5" t="s">
        <v>443</v>
      </c>
      <c r="AG805" s="5" t="s">
        <v>38</v>
      </c>
      <c r="AH805" s="5">
        <v>206639</v>
      </c>
      <c r="AI805" s="6">
        <v>45995</v>
      </c>
      <c r="AJ805" s="6">
        <v>46003</v>
      </c>
    </row>
    <row r="806" spans="1:37" hidden="1" x14ac:dyDescent="0.55000000000000004">
      <c r="A806">
        <v>3592</v>
      </c>
      <c r="B806">
        <v>1008183</v>
      </c>
      <c r="C806" s="1">
        <v>1343.96</v>
      </c>
      <c r="E806" s="1">
        <v>1343.96</v>
      </c>
      <c r="F806">
        <v>13.44</v>
      </c>
      <c r="G806" s="1">
        <v>1330.52</v>
      </c>
      <c r="H806" s="1"/>
      <c r="I806" s="1"/>
      <c r="J806" s="2">
        <v>46003</v>
      </c>
      <c r="K806" s="5">
        <v>1008183</v>
      </c>
      <c r="L806" s="5">
        <v>3592</v>
      </c>
      <c r="M806" s="5">
        <v>0</v>
      </c>
      <c r="N806" s="5">
        <v>1343.96</v>
      </c>
      <c r="O806" s="7">
        <v>45995</v>
      </c>
      <c r="P806" s="5">
        <v>1343.96</v>
      </c>
      <c r="Q806" s="5">
        <v>0</v>
      </c>
      <c r="R806" s="5" t="s">
        <v>32</v>
      </c>
      <c r="S806" s="5" t="s">
        <v>33</v>
      </c>
      <c r="T806" s="5">
        <v>13.44</v>
      </c>
      <c r="U806" s="5">
        <v>1330.52</v>
      </c>
      <c r="V806" s="5" t="s">
        <v>34</v>
      </c>
      <c r="W806" s="5">
        <v>2</v>
      </c>
      <c r="X806" s="5">
        <v>2081360442678</v>
      </c>
      <c r="Y806" s="7">
        <v>46003</v>
      </c>
      <c r="Z806" s="7">
        <v>45995</v>
      </c>
      <c r="AB806" s="6">
        <v>46003</v>
      </c>
      <c r="AC806" s="7">
        <v>45999.682638888888</v>
      </c>
      <c r="AD806" s="5">
        <v>35921008183</v>
      </c>
      <c r="AE806" s="8">
        <v>45995</v>
      </c>
      <c r="AF806" s="5" t="s">
        <v>437</v>
      </c>
      <c r="AG806" s="5" t="s">
        <v>38</v>
      </c>
      <c r="AH806" s="5">
        <v>206642</v>
      </c>
      <c r="AI806" s="6">
        <v>45995</v>
      </c>
      <c r="AJ806" s="6">
        <v>46003</v>
      </c>
    </row>
    <row r="807" spans="1:37" hidden="1" x14ac:dyDescent="0.55000000000000004">
      <c r="A807">
        <v>3592</v>
      </c>
      <c r="B807">
        <v>1008186</v>
      </c>
      <c r="C807" s="1">
        <v>1343.96</v>
      </c>
      <c r="E807" s="1">
        <v>1343.96</v>
      </c>
      <c r="F807">
        <v>13.44</v>
      </c>
      <c r="G807" s="1">
        <v>1330.52</v>
      </c>
      <c r="H807" s="1"/>
      <c r="I807" s="1"/>
      <c r="J807" s="2">
        <v>46003</v>
      </c>
      <c r="K807" s="5">
        <v>1008186</v>
      </c>
      <c r="L807" s="5">
        <v>3592</v>
      </c>
      <c r="M807" s="5">
        <v>0</v>
      </c>
      <c r="N807" s="5">
        <v>1343.96</v>
      </c>
      <c r="O807" s="7">
        <v>45995</v>
      </c>
      <c r="P807" s="5">
        <v>1343.96</v>
      </c>
      <c r="Q807" s="5">
        <v>0</v>
      </c>
      <c r="R807" s="5" t="s">
        <v>32</v>
      </c>
      <c r="S807" s="5" t="s">
        <v>33</v>
      </c>
      <c r="T807" s="5">
        <v>13.44</v>
      </c>
      <c r="U807" s="5">
        <v>1330.52</v>
      </c>
      <c r="V807" s="5" t="s">
        <v>34</v>
      </c>
      <c r="W807" s="5">
        <v>2</v>
      </c>
      <c r="X807" s="5">
        <v>2081360442678</v>
      </c>
      <c r="Y807" s="7">
        <v>46003</v>
      </c>
      <c r="Z807" s="7">
        <v>45995</v>
      </c>
      <c r="AB807" s="6">
        <v>46003</v>
      </c>
      <c r="AC807" s="7">
        <v>45999.682638888888</v>
      </c>
      <c r="AD807" s="5">
        <v>35921008186</v>
      </c>
      <c r="AE807" s="8">
        <v>45995</v>
      </c>
      <c r="AF807" s="5" t="s">
        <v>444</v>
      </c>
      <c r="AG807" s="5" t="s">
        <v>38</v>
      </c>
      <c r="AH807" s="5">
        <v>206640</v>
      </c>
      <c r="AI807" s="6">
        <v>45995</v>
      </c>
      <c r="AJ807" s="6">
        <v>46003</v>
      </c>
    </row>
    <row r="808" spans="1:37" hidden="1" x14ac:dyDescent="0.55000000000000004">
      <c r="A808">
        <v>3592</v>
      </c>
      <c r="B808">
        <v>1008191</v>
      </c>
      <c r="C808" s="1">
        <v>1739.92</v>
      </c>
      <c r="E808" s="1">
        <v>1739.92</v>
      </c>
      <c r="F808">
        <v>17.399999999999999</v>
      </c>
      <c r="G808" s="1">
        <v>1722.52</v>
      </c>
      <c r="H808" s="1"/>
      <c r="I808" s="1"/>
      <c r="J808" s="2">
        <v>46003</v>
      </c>
      <c r="K808" s="5">
        <v>1008191</v>
      </c>
      <c r="L808" s="5">
        <v>3592</v>
      </c>
      <c r="M808" s="5">
        <v>0</v>
      </c>
      <c r="N808" s="5">
        <v>1739.92</v>
      </c>
      <c r="O808" s="7">
        <v>45995</v>
      </c>
      <c r="P808" s="5">
        <v>1739.92</v>
      </c>
      <c r="Q808" s="5">
        <v>0</v>
      </c>
      <c r="R808" s="5" t="s">
        <v>32</v>
      </c>
      <c r="S808" s="5" t="s">
        <v>33</v>
      </c>
      <c r="T808" s="5">
        <v>17.399999999999999</v>
      </c>
      <c r="U808" s="5">
        <v>1722.52</v>
      </c>
      <c r="V808" s="5" t="s">
        <v>34</v>
      </c>
      <c r="W808" s="5">
        <v>2</v>
      </c>
      <c r="X808" s="5">
        <v>2081360442678</v>
      </c>
      <c r="Y808" s="7">
        <v>46003</v>
      </c>
      <c r="Z808" s="7">
        <v>45995</v>
      </c>
      <c r="AB808" s="6">
        <v>46003</v>
      </c>
      <c r="AC808" s="7">
        <v>45999.682638888888</v>
      </c>
      <c r="AD808" s="5">
        <v>35921008191</v>
      </c>
      <c r="AE808" s="8">
        <v>45995</v>
      </c>
      <c r="AF808" s="5" t="s">
        <v>445</v>
      </c>
      <c r="AG808" s="5" t="s">
        <v>38</v>
      </c>
      <c r="AH808" s="5">
        <v>206641</v>
      </c>
      <c r="AI808" s="6">
        <v>45995</v>
      </c>
      <c r="AJ808" s="6">
        <v>46003</v>
      </c>
    </row>
    <row r="809" spans="1:37" hidden="1" x14ac:dyDescent="0.55000000000000004">
      <c r="A809">
        <v>3592</v>
      </c>
      <c r="B809">
        <v>1008230</v>
      </c>
      <c r="C809" s="1">
        <v>2070.4899999999998</v>
      </c>
      <c r="E809" s="1">
        <v>2070.4899999999998</v>
      </c>
      <c r="F809">
        <v>20.7</v>
      </c>
      <c r="G809" s="1">
        <v>2049.79</v>
      </c>
      <c r="H809" s="1"/>
      <c r="I809" s="1"/>
      <c r="J809" s="2">
        <v>46003</v>
      </c>
      <c r="K809" s="5">
        <v>1008230</v>
      </c>
      <c r="L809" s="5">
        <v>3592</v>
      </c>
      <c r="M809" s="5">
        <v>0</v>
      </c>
      <c r="N809" s="5">
        <v>2070.4899999999998</v>
      </c>
      <c r="O809" s="7">
        <v>45995</v>
      </c>
      <c r="P809" s="5">
        <v>2070.4899999999998</v>
      </c>
      <c r="Q809" s="5">
        <v>0</v>
      </c>
      <c r="R809" s="5" t="s">
        <v>32</v>
      </c>
      <c r="S809" s="5" t="s">
        <v>33</v>
      </c>
      <c r="T809" s="5">
        <v>20.7</v>
      </c>
      <c r="U809" s="5">
        <v>2049.79</v>
      </c>
      <c r="V809" s="5" t="s">
        <v>34</v>
      </c>
      <c r="W809" s="5">
        <v>2</v>
      </c>
      <c r="X809" s="5">
        <v>2081360442678</v>
      </c>
      <c r="Y809" s="7">
        <v>46003</v>
      </c>
      <c r="Z809" s="7">
        <v>45995</v>
      </c>
      <c r="AB809" s="6">
        <v>46003</v>
      </c>
      <c r="AC809" s="7">
        <v>45999.682638888888</v>
      </c>
      <c r="AD809" s="5">
        <v>35921008230</v>
      </c>
      <c r="AE809" s="8">
        <v>45995</v>
      </c>
      <c r="AF809" s="5" t="s">
        <v>446</v>
      </c>
      <c r="AG809" s="5" t="s">
        <v>38</v>
      </c>
      <c r="AH809" s="5">
        <v>206523</v>
      </c>
      <c r="AI809" s="6">
        <v>45995</v>
      </c>
      <c r="AJ809" s="6">
        <v>46003</v>
      </c>
    </row>
    <row r="810" spans="1:37" hidden="1" x14ac:dyDescent="0.55000000000000004">
      <c r="A810">
        <v>3592</v>
      </c>
      <c r="B810">
        <v>1008275</v>
      </c>
      <c r="C810">
        <v>-250</v>
      </c>
      <c r="E810">
        <v>-250</v>
      </c>
      <c r="G810">
        <v>-250</v>
      </c>
      <c r="H810"/>
      <c r="I810"/>
      <c r="J810" s="2">
        <v>46003</v>
      </c>
      <c r="K810" s="5">
        <v>1008275</v>
      </c>
      <c r="L810" s="5">
        <v>3592</v>
      </c>
      <c r="M810" s="5">
        <v>0</v>
      </c>
      <c r="N810" s="5">
        <v>-250</v>
      </c>
      <c r="O810" s="7">
        <v>45995</v>
      </c>
      <c r="P810" s="5">
        <v>-250</v>
      </c>
      <c r="Q810" s="5">
        <v>0</v>
      </c>
      <c r="R810" s="5" t="s">
        <v>40</v>
      </c>
      <c r="S810" s="5" t="s">
        <v>33</v>
      </c>
      <c r="T810" s="5">
        <v>0</v>
      </c>
      <c r="U810" s="5">
        <v>-250</v>
      </c>
      <c r="V810" s="5" t="s">
        <v>34</v>
      </c>
      <c r="W810" s="5">
        <v>2</v>
      </c>
      <c r="X810" s="5">
        <v>2081360442678</v>
      </c>
      <c r="Y810" s="7">
        <v>46003</v>
      </c>
      <c r="Z810" s="7">
        <v>45995</v>
      </c>
      <c r="AB810" s="6">
        <v>46003</v>
      </c>
      <c r="AC810" s="7">
        <v>45999.682638888888</v>
      </c>
      <c r="AD810" s="5">
        <v>35921008275</v>
      </c>
      <c r="AE810" s="8">
        <v>45995</v>
      </c>
      <c r="AF810" s="5" t="s">
        <v>41</v>
      </c>
      <c r="AG810" s="5" t="s">
        <v>38</v>
      </c>
      <c r="AH810" s="5" t="s">
        <v>40</v>
      </c>
      <c r="AI810" s="6">
        <v>45995</v>
      </c>
      <c r="AJ810" s="6">
        <v>46003</v>
      </c>
    </row>
    <row r="811" spans="1:37" x14ac:dyDescent="0.55000000000000004">
      <c r="A811">
        <v>3592</v>
      </c>
      <c r="B811">
        <v>1008303</v>
      </c>
      <c r="C811">
        <v>153.9</v>
      </c>
      <c r="D811" s="4">
        <v>3.08</v>
      </c>
      <c r="E811">
        <v>150.82</v>
      </c>
      <c r="F811">
        <v>1.54</v>
      </c>
      <c r="G811">
        <v>149.28</v>
      </c>
      <c r="H811" s="14">
        <f t="shared" ref="H811:H812" si="385">C811-D811-F811</f>
        <v>149.28</v>
      </c>
      <c r="I811" s="14" t="b">
        <f t="shared" ref="I811:I812" si="386">G811=H811</f>
        <v>1</v>
      </c>
      <c r="J811" s="2">
        <v>46003</v>
      </c>
      <c r="K811" s="5">
        <v>1008303</v>
      </c>
      <c r="L811" s="5">
        <v>3592</v>
      </c>
      <c r="M811" s="5">
        <v>3.08</v>
      </c>
      <c r="N811" s="5">
        <v>153.9</v>
      </c>
      <c r="O811" s="7">
        <v>45996</v>
      </c>
      <c r="P811" s="5">
        <v>150.82</v>
      </c>
      <c r="Q811" s="5">
        <v>3.08</v>
      </c>
      <c r="R811" s="5" t="s">
        <v>447</v>
      </c>
      <c r="S811" s="5" t="s">
        <v>265</v>
      </c>
      <c r="T811" s="5">
        <v>1.54</v>
      </c>
      <c r="U811" s="5">
        <v>149.28</v>
      </c>
      <c r="V811" s="5" t="s">
        <v>34</v>
      </c>
      <c r="W811" s="5">
        <v>2</v>
      </c>
      <c r="X811" s="5">
        <v>2081360442678</v>
      </c>
      <c r="Y811" s="7">
        <v>46003</v>
      </c>
      <c r="Z811" s="7">
        <v>45996</v>
      </c>
      <c r="AB811" s="6">
        <v>46003</v>
      </c>
      <c r="AC811" s="7">
        <v>45999.682638888888</v>
      </c>
      <c r="AD811" s="5">
        <v>35921008303</v>
      </c>
      <c r="AE811" s="8">
        <v>45996</v>
      </c>
      <c r="AF811" s="5">
        <v>207506</v>
      </c>
      <c r="AG811" s="5" t="s">
        <v>37</v>
      </c>
      <c r="AH811" s="5" t="s">
        <v>447</v>
      </c>
      <c r="AI811" s="6">
        <v>45996</v>
      </c>
      <c r="AJ811" s="6">
        <v>46003</v>
      </c>
      <c r="AK811" s="1">
        <f t="shared" ref="AK811" si="387">0.02*C811</f>
        <v>3.0780000000000003</v>
      </c>
    </row>
    <row r="812" spans="1:37" x14ac:dyDescent="0.55000000000000004">
      <c r="A812">
        <v>3592</v>
      </c>
      <c r="B812">
        <v>1008316</v>
      </c>
      <c r="C812">
        <v>49.38</v>
      </c>
      <c r="D812" s="4">
        <v>0.49</v>
      </c>
      <c r="E812">
        <v>48.89</v>
      </c>
      <c r="F812">
        <v>0.49</v>
      </c>
      <c r="G812">
        <v>48.4</v>
      </c>
      <c r="H812" s="14">
        <f t="shared" si="385"/>
        <v>48.4</v>
      </c>
      <c r="I812" s="14" t="b">
        <f t="shared" si="386"/>
        <v>1</v>
      </c>
      <c r="J812" s="2">
        <v>46003</v>
      </c>
      <c r="K812" s="5">
        <v>1008316</v>
      </c>
      <c r="L812" s="5">
        <v>3592</v>
      </c>
      <c r="M812" s="5">
        <v>0.49</v>
      </c>
      <c r="N812" s="5">
        <v>49.38</v>
      </c>
      <c r="O812" s="7">
        <v>45996</v>
      </c>
      <c r="P812" s="5">
        <v>48.89</v>
      </c>
      <c r="Q812" s="5">
        <v>0.49</v>
      </c>
      <c r="R812" s="5">
        <v>1067942</v>
      </c>
      <c r="S812" s="5" t="s">
        <v>152</v>
      </c>
      <c r="T812" s="5">
        <v>0.49</v>
      </c>
      <c r="U812" s="5">
        <v>48.4</v>
      </c>
      <c r="V812" s="5" t="s">
        <v>34</v>
      </c>
      <c r="W812" s="5">
        <v>2</v>
      </c>
      <c r="X812" s="5">
        <v>2081360442678</v>
      </c>
      <c r="Y812" s="7">
        <v>46003</v>
      </c>
      <c r="Z812" s="7">
        <v>45996</v>
      </c>
      <c r="AB812" s="6">
        <v>46003</v>
      </c>
      <c r="AC812" s="7">
        <v>45999.682638888888</v>
      </c>
      <c r="AD812" s="5">
        <v>35921008316</v>
      </c>
      <c r="AE812" s="8">
        <v>45996</v>
      </c>
      <c r="AF812" s="5">
        <v>11525</v>
      </c>
      <c r="AG812" s="5" t="s">
        <v>154</v>
      </c>
      <c r="AH812" s="5">
        <v>1067942</v>
      </c>
      <c r="AI812" s="6">
        <v>45996</v>
      </c>
      <c r="AJ812" s="6">
        <v>46003</v>
      </c>
      <c r="AK812" s="1">
        <f>C812*0.01</f>
        <v>0.49380000000000002</v>
      </c>
    </row>
    <row r="813" spans="1:37" hidden="1" x14ac:dyDescent="0.55000000000000004">
      <c r="A813">
        <v>3592</v>
      </c>
      <c r="B813">
        <v>1008390</v>
      </c>
      <c r="C813">
        <v>756</v>
      </c>
      <c r="E813">
        <v>756</v>
      </c>
      <c r="F813">
        <v>7.56</v>
      </c>
      <c r="G813">
        <v>748.44</v>
      </c>
      <c r="H813"/>
      <c r="I813"/>
      <c r="J813" s="2">
        <v>46003</v>
      </c>
      <c r="K813" s="5">
        <v>1008390</v>
      </c>
      <c r="L813" s="5">
        <v>3592</v>
      </c>
      <c r="M813" s="5">
        <v>0</v>
      </c>
      <c r="N813" s="5">
        <v>756</v>
      </c>
      <c r="O813" s="7">
        <v>45996</v>
      </c>
      <c r="P813" s="5">
        <v>756</v>
      </c>
      <c r="Q813" s="5">
        <v>0</v>
      </c>
      <c r="R813" s="5" t="s">
        <v>448</v>
      </c>
      <c r="S813" s="5" t="s">
        <v>230</v>
      </c>
      <c r="T813" s="5">
        <v>7.56</v>
      </c>
      <c r="U813" s="5">
        <v>748.44</v>
      </c>
      <c r="V813" s="5" t="s">
        <v>34</v>
      </c>
      <c r="W813" s="5">
        <v>2</v>
      </c>
      <c r="X813" s="5">
        <v>2081360442678</v>
      </c>
      <c r="Y813" s="7">
        <v>46003</v>
      </c>
      <c r="Z813" s="7">
        <v>45996</v>
      </c>
      <c r="AB813" s="6">
        <v>46003</v>
      </c>
      <c r="AC813" s="7">
        <v>45999.682638888888</v>
      </c>
      <c r="AD813" s="5">
        <v>35921008390</v>
      </c>
      <c r="AE813" s="8">
        <v>45996</v>
      </c>
      <c r="AF813" s="5" t="s">
        <v>32</v>
      </c>
      <c r="AG813" s="5" t="s">
        <v>38</v>
      </c>
      <c r="AH813" s="5" t="s">
        <v>448</v>
      </c>
      <c r="AI813" s="6">
        <v>45996</v>
      </c>
      <c r="AJ813" s="6">
        <v>46003</v>
      </c>
    </row>
    <row r="814" spans="1:37" hidden="1" x14ac:dyDescent="0.55000000000000004">
      <c r="A814">
        <v>3592</v>
      </c>
      <c r="B814">
        <v>1008391</v>
      </c>
      <c r="C814" s="1">
        <v>1069.2</v>
      </c>
      <c r="E814" s="1">
        <v>1069.2</v>
      </c>
      <c r="F814">
        <v>10.69</v>
      </c>
      <c r="G814" s="1">
        <v>1058.51</v>
      </c>
      <c r="H814" s="1"/>
      <c r="I814" s="1"/>
      <c r="J814" s="2">
        <v>46003</v>
      </c>
      <c r="K814" s="5">
        <v>1008391</v>
      </c>
      <c r="L814" s="5">
        <v>3592</v>
      </c>
      <c r="M814" s="5">
        <v>0</v>
      </c>
      <c r="N814" s="5">
        <v>1069.2</v>
      </c>
      <c r="O814" s="7">
        <v>45996</v>
      </c>
      <c r="P814" s="5">
        <v>1069.2</v>
      </c>
      <c r="Q814" s="5">
        <v>0</v>
      </c>
      <c r="R814" s="5" t="s">
        <v>449</v>
      </c>
      <c r="S814" s="5" t="s">
        <v>230</v>
      </c>
      <c r="T814" s="5">
        <v>10.69</v>
      </c>
      <c r="U814" s="5">
        <v>1058.51</v>
      </c>
      <c r="V814" s="5" t="s">
        <v>34</v>
      </c>
      <c r="W814" s="5">
        <v>2</v>
      </c>
      <c r="X814" s="5">
        <v>2081360442678</v>
      </c>
      <c r="Y814" s="7">
        <v>46003</v>
      </c>
      <c r="Z814" s="7">
        <v>45996</v>
      </c>
      <c r="AB814" s="6">
        <v>46003</v>
      </c>
      <c r="AC814" s="7">
        <v>45999.682638888888</v>
      </c>
      <c r="AD814" s="5">
        <v>35921008391</v>
      </c>
      <c r="AE814" s="8">
        <v>45996</v>
      </c>
      <c r="AF814" s="5" t="s">
        <v>32</v>
      </c>
      <c r="AG814" s="5" t="s">
        <v>38</v>
      </c>
      <c r="AH814" s="5" t="s">
        <v>449</v>
      </c>
      <c r="AI814" s="6">
        <v>45996</v>
      </c>
      <c r="AJ814" s="6">
        <v>46003</v>
      </c>
    </row>
    <row r="815" spans="1:37" x14ac:dyDescent="0.55000000000000004">
      <c r="A815">
        <v>3592</v>
      </c>
      <c r="B815">
        <v>1008413</v>
      </c>
      <c r="C815" s="1">
        <v>2458.35</v>
      </c>
      <c r="D815" s="4">
        <v>49.17</v>
      </c>
      <c r="E815" s="1">
        <v>2409.1799999999998</v>
      </c>
      <c r="F815">
        <v>24.58</v>
      </c>
      <c r="G815" s="1">
        <v>2384.6</v>
      </c>
      <c r="H815" s="14">
        <f>C815-D815-F815</f>
        <v>2384.6</v>
      </c>
      <c r="I815" s="14" t="b">
        <f>G815=H815</f>
        <v>1</v>
      </c>
      <c r="J815" s="2">
        <v>46003</v>
      </c>
      <c r="K815" s="5">
        <v>1008413</v>
      </c>
      <c r="L815" s="5">
        <v>3592</v>
      </c>
      <c r="M815" s="5">
        <v>49.17</v>
      </c>
      <c r="N815" s="5">
        <v>2458.35</v>
      </c>
      <c r="O815" s="7">
        <v>45996</v>
      </c>
      <c r="P815" s="5">
        <v>2409.1799999999998</v>
      </c>
      <c r="Q815" s="5">
        <v>49.17</v>
      </c>
      <c r="R815" s="5" t="s">
        <v>32</v>
      </c>
      <c r="S815" s="5" t="s">
        <v>33</v>
      </c>
      <c r="T815" s="5">
        <v>24.58</v>
      </c>
      <c r="U815" s="5">
        <v>2384.6</v>
      </c>
      <c r="V815" s="5" t="s">
        <v>34</v>
      </c>
      <c r="W815" s="5">
        <v>2</v>
      </c>
      <c r="X815" s="5">
        <v>2081360442678</v>
      </c>
      <c r="Y815" s="7">
        <v>46003</v>
      </c>
      <c r="Z815" s="7">
        <v>45996</v>
      </c>
      <c r="AB815" s="6">
        <v>46003</v>
      </c>
      <c r="AC815" s="7">
        <v>45999.682638888888</v>
      </c>
      <c r="AD815" s="5">
        <v>35921008413</v>
      </c>
      <c r="AE815" s="8">
        <v>45996</v>
      </c>
      <c r="AF815" s="5" t="s">
        <v>442</v>
      </c>
      <c r="AG815" s="5" t="s">
        <v>37</v>
      </c>
      <c r="AH815" s="5">
        <v>206715</v>
      </c>
      <c r="AI815" s="6">
        <v>45996</v>
      </c>
      <c r="AJ815" s="6">
        <v>46003</v>
      </c>
      <c r="AK815" s="1">
        <f t="shared" ref="AK815" si="388">0.02*C815</f>
        <v>49.167000000000002</v>
      </c>
    </row>
    <row r="816" spans="1:37" hidden="1" x14ac:dyDescent="0.55000000000000004">
      <c r="A816">
        <v>3592</v>
      </c>
      <c r="B816">
        <v>1008416</v>
      </c>
      <c r="C816" s="1">
        <v>5689.6</v>
      </c>
      <c r="E816" s="1">
        <v>5689.6</v>
      </c>
      <c r="F816">
        <v>56.9</v>
      </c>
      <c r="G816" s="1">
        <v>5632.7</v>
      </c>
      <c r="H816" s="1"/>
      <c r="I816" s="1"/>
      <c r="J816" s="2">
        <v>46003</v>
      </c>
      <c r="K816" s="5">
        <v>1008416</v>
      </c>
      <c r="L816" s="5">
        <v>3592</v>
      </c>
      <c r="M816" s="5">
        <v>0</v>
      </c>
      <c r="N816" s="5">
        <v>5689.6</v>
      </c>
      <c r="O816" s="7">
        <v>45996</v>
      </c>
      <c r="P816" s="5">
        <v>5689.6</v>
      </c>
      <c r="Q816" s="5">
        <v>0</v>
      </c>
      <c r="R816" s="5" t="s">
        <v>32</v>
      </c>
      <c r="S816" s="5" t="s">
        <v>33</v>
      </c>
      <c r="T816" s="5">
        <v>56.9</v>
      </c>
      <c r="U816" s="5">
        <v>5632.7</v>
      </c>
      <c r="V816" s="5" t="s">
        <v>34</v>
      </c>
      <c r="W816" s="5">
        <v>2</v>
      </c>
      <c r="X816" s="5">
        <v>2081360442678</v>
      </c>
      <c r="Y816" s="7">
        <v>46003</v>
      </c>
      <c r="Z816" s="7">
        <v>45996</v>
      </c>
      <c r="AB816" s="6">
        <v>46003</v>
      </c>
      <c r="AC816" s="7">
        <v>45999.682638888888</v>
      </c>
      <c r="AD816" s="5">
        <v>35921008416</v>
      </c>
      <c r="AE816" s="8">
        <v>45996</v>
      </c>
      <c r="AF816" s="5" t="s">
        <v>442</v>
      </c>
      <c r="AG816" s="5" t="s">
        <v>38</v>
      </c>
      <c r="AH816" s="5">
        <v>206716</v>
      </c>
      <c r="AI816" s="6">
        <v>45996</v>
      </c>
      <c r="AJ816" s="6">
        <v>46003</v>
      </c>
    </row>
    <row r="817" spans="1:37" hidden="1" x14ac:dyDescent="0.55000000000000004">
      <c r="A817">
        <v>3592</v>
      </c>
      <c r="B817">
        <v>1008424</v>
      </c>
      <c r="C817">
        <v>515.69000000000005</v>
      </c>
      <c r="E817">
        <v>515.69000000000005</v>
      </c>
      <c r="F817">
        <v>5.16</v>
      </c>
      <c r="G817">
        <v>510.53</v>
      </c>
      <c r="H817"/>
      <c r="I817"/>
      <c r="J817" s="2">
        <v>46003</v>
      </c>
      <c r="K817" s="5">
        <v>1008424</v>
      </c>
      <c r="L817" s="5">
        <v>3592</v>
      </c>
      <c r="M817" s="5">
        <v>0</v>
      </c>
      <c r="N817" s="5">
        <v>515.69000000000005</v>
      </c>
      <c r="O817" s="7">
        <v>45996</v>
      </c>
      <c r="P817" s="5">
        <v>515.69000000000005</v>
      </c>
      <c r="Q817" s="5">
        <v>0</v>
      </c>
      <c r="R817" s="5" t="s">
        <v>32</v>
      </c>
      <c r="S817" s="5" t="s">
        <v>33</v>
      </c>
      <c r="T817" s="5">
        <v>5.16</v>
      </c>
      <c r="U817" s="5">
        <v>510.53</v>
      </c>
      <c r="V817" s="5" t="s">
        <v>34</v>
      </c>
      <c r="W817" s="5">
        <v>2</v>
      </c>
      <c r="X817" s="5">
        <v>2081360442678</v>
      </c>
      <c r="Y817" s="7">
        <v>46003</v>
      </c>
      <c r="Z817" s="7">
        <v>45996</v>
      </c>
      <c r="AB817" s="6">
        <v>46003</v>
      </c>
      <c r="AC817" s="7">
        <v>45999.682638888888</v>
      </c>
      <c r="AD817" s="5">
        <v>35921008424</v>
      </c>
      <c r="AE817" s="8">
        <v>45996</v>
      </c>
      <c r="AF817" s="5" t="s">
        <v>450</v>
      </c>
      <c r="AG817" s="5" t="s">
        <v>38</v>
      </c>
      <c r="AH817" s="5">
        <v>206750</v>
      </c>
      <c r="AI817" s="6">
        <v>45996</v>
      </c>
      <c r="AJ817" s="6">
        <v>46003</v>
      </c>
    </row>
    <row r="818" spans="1:37" hidden="1" x14ac:dyDescent="0.55000000000000004">
      <c r="A818">
        <v>3592</v>
      </c>
      <c r="B818">
        <v>1008483</v>
      </c>
      <c r="C818" s="1">
        <v>4942.46</v>
      </c>
      <c r="E818" s="1">
        <v>4942.46</v>
      </c>
      <c r="F818">
        <v>49.42</v>
      </c>
      <c r="G818" s="1">
        <v>4893.04</v>
      </c>
      <c r="H818" s="1"/>
      <c r="I818" s="1"/>
      <c r="J818" s="2">
        <v>46003</v>
      </c>
      <c r="K818" s="5">
        <v>1008483</v>
      </c>
      <c r="L818" s="5">
        <v>3592</v>
      </c>
      <c r="M818" s="5">
        <v>0</v>
      </c>
      <c r="N818" s="5">
        <v>4942.46</v>
      </c>
      <c r="O818" s="7">
        <v>45996</v>
      </c>
      <c r="P818" s="5">
        <v>4942.46</v>
      </c>
      <c r="Q818" s="5">
        <v>0</v>
      </c>
      <c r="R818" s="5" t="s">
        <v>32</v>
      </c>
      <c r="S818" s="5" t="s">
        <v>33</v>
      </c>
      <c r="T818" s="5">
        <v>49.42</v>
      </c>
      <c r="U818" s="5">
        <v>4893.04</v>
      </c>
      <c r="V818" s="5" t="s">
        <v>34</v>
      </c>
      <c r="W818" s="5">
        <v>2</v>
      </c>
      <c r="X818" s="5">
        <v>2081360442678</v>
      </c>
      <c r="Y818" s="7">
        <v>46003</v>
      </c>
      <c r="Z818" s="7">
        <v>45996</v>
      </c>
      <c r="AB818" s="6">
        <v>46003</v>
      </c>
      <c r="AC818" s="7">
        <v>45999.682638888888</v>
      </c>
      <c r="AD818" s="5">
        <v>35921008483</v>
      </c>
      <c r="AE818" s="8">
        <v>45996</v>
      </c>
      <c r="AF818" s="5" t="s">
        <v>451</v>
      </c>
      <c r="AG818" s="5" t="s">
        <v>38</v>
      </c>
      <c r="AH818" s="5">
        <v>206749</v>
      </c>
      <c r="AI818" s="6">
        <v>45996</v>
      </c>
      <c r="AJ818" s="6">
        <v>46003</v>
      </c>
    </row>
    <row r="819" spans="1:37" x14ac:dyDescent="0.55000000000000004">
      <c r="A819">
        <v>3592</v>
      </c>
      <c r="B819">
        <v>1008486</v>
      </c>
      <c r="C819">
        <v>89</v>
      </c>
      <c r="D819" s="4">
        <v>1.78</v>
      </c>
      <c r="E819">
        <v>87.22</v>
      </c>
      <c r="F819">
        <v>0.89</v>
      </c>
      <c r="G819">
        <v>86.33</v>
      </c>
      <c r="H819" s="14">
        <f>C819-D819-F819</f>
        <v>86.33</v>
      </c>
      <c r="I819" s="14" t="b">
        <f>G819=H819</f>
        <v>1</v>
      </c>
      <c r="J819" s="2">
        <v>46003</v>
      </c>
      <c r="K819" s="5">
        <v>1008486</v>
      </c>
      <c r="L819" s="5">
        <v>3592</v>
      </c>
      <c r="M819" s="5">
        <v>1.78</v>
      </c>
      <c r="N819" s="5">
        <v>89</v>
      </c>
      <c r="O819" s="7">
        <v>45996</v>
      </c>
      <c r="P819" s="5">
        <v>87.22</v>
      </c>
      <c r="Q819" s="5">
        <v>1.78</v>
      </c>
      <c r="R819" s="5" t="s">
        <v>32</v>
      </c>
      <c r="S819" s="5" t="s">
        <v>33</v>
      </c>
      <c r="T819" s="5">
        <v>0.89</v>
      </c>
      <c r="U819" s="5">
        <v>86.33</v>
      </c>
      <c r="V819" s="5" t="s">
        <v>34</v>
      </c>
      <c r="W819" s="5">
        <v>2</v>
      </c>
      <c r="X819" s="5">
        <v>2081360442678</v>
      </c>
      <c r="Y819" s="7">
        <v>46003</v>
      </c>
      <c r="Z819" s="7">
        <v>45996</v>
      </c>
      <c r="AB819" s="6">
        <v>46003</v>
      </c>
      <c r="AC819" s="7">
        <v>45999.682638888888</v>
      </c>
      <c r="AD819" s="5">
        <v>35921008486</v>
      </c>
      <c r="AE819" s="8">
        <v>45996</v>
      </c>
      <c r="AF819" s="5" t="s">
        <v>450</v>
      </c>
      <c r="AG819" s="5" t="s">
        <v>37</v>
      </c>
      <c r="AH819" s="5">
        <v>206748</v>
      </c>
      <c r="AI819" s="6">
        <v>45996</v>
      </c>
      <c r="AJ819" s="6">
        <v>46003</v>
      </c>
      <c r="AK819" s="1">
        <f t="shared" ref="AK819" si="389">0.02*C819</f>
        <v>1.78</v>
      </c>
    </row>
    <row r="820" spans="1:37" hidden="1" x14ac:dyDescent="0.55000000000000004">
      <c r="A820">
        <v>3592</v>
      </c>
      <c r="B820">
        <v>1008591</v>
      </c>
      <c r="C820" s="1">
        <v>-18095.52</v>
      </c>
      <c r="E820" s="1">
        <v>-18095.52</v>
      </c>
      <c r="G820" s="1">
        <v>-18095.52</v>
      </c>
      <c r="H820" s="1"/>
      <c r="I820" s="1"/>
      <c r="J820" s="2">
        <v>46003</v>
      </c>
      <c r="K820" s="5">
        <v>1008591</v>
      </c>
      <c r="L820" s="5">
        <v>3592</v>
      </c>
      <c r="M820" s="5">
        <v>0</v>
      </c>
      <c r="N820" s="5">
        <v>-18095.52</v>
      </c>
      <c r="O820" s="7">
        <v>45999</v>
      </c>
      <c r="P820" s="5">
        <v>-18095.52</v>
      </c>
      <c r="Q820" s="5">
        <v>0</v>
      </c>
      <c r="R820" s="5">
        <v>1008591</v>
      </c>
      <c r="S820" s="5" t="s">
        <v>33</v>
      </c>
      <c r="T820" s="5">
        <v>0</v>
      </c>
      <c r="U820" s="5">
        <v>-18095.52</v>
      </c>
      <c r="V820" s="5" t="s">
        <v>34</v>
      </c>
      <c r="W820" s="5">
        <v>2</v>
      </c>
      <c r="X820" s="5">
        <v>2081360442678</v>
      </c>
      <c r="Y820" s="7">
        <v>46003</v>
      </c>
      <c r="Z820" s="7">
        <v>45999</v>
      </c>
      <c r="AB820" s="6">
        <v>46003</v>
      </c>
      <c r="AC820" s="7">
        <v>45999.682638888888</v>
      </c>
      <c r="AD820" s="5">
        <v>35921008591</v>
      </c>
      <c r="AE820" s="8">
        <v>45999</v>
      </c>
      <c r="AF820" s="5">
        <v>204725</v>
      </c>
      <c r="AG820" s="5" t="s">
        <v>38</v>
      </c>
      <c r="AH820" s="5">
        <v>53510</v>
      </c>
      <c r="AI820" s="6">
        <v>45999</v>
      </c>
      <c r="AJ820" s="6">
        <v>46003</v>
      </c>
    </row>
    <row r="821" spans="1:37" hidden="1" x14ac:dyDescent="0.55000000000000004">
      <c r="A821">
        <v>3592</v>
      </c>
      <c r="B821">
        <v>1008594</v>
      </c>
      <c r="C821">
        <v>-364.46</v>
      </c>
      <c r="E821">
        <v>-364.46</v>
      </c>
      <c r="G821">
        <v>-364.46</v>
      </c>
      <c r="H821"/>
      <c r="I821"/>
      <c r="J821" s="2">
        <v>46003</v>
      </c>
      <c r="K821" s="5">
        <v>1008594</v>
      </c>
      <c r="L821" s="5">
        <v>3592</v>
      </c>
      <c r="M821" s="5">
        <v>0</v>
      </c>
      <c r="N821" s="5">
        <v>-364.46</v>
      </c>
      <c r="O821" s="7">
        <v>45999</v>
      </c>
      <c r="P821" s="5">
        <v>-364.46</v>
      </c>
      <c r="Q821" s="5">
        <v>0</v>
      </c>
      <c r="R821" s="5">
        <v>1008594</v>
      </c>
      <c r="S821" s="5" t="s">
        <v>33</v>
      </c>
      <c r="T821" s="5">
        <v>0</v>
      </c>
      <c r="U821" s="5">
        <v>-364.46</v>
      </c>
      <c r="V821" s="5" t="s">
        <v>34</v>
      </c>
      <c r="W821" s="5">
        <v>2</v>
      </c>
      <c r="X821" s="5">
        <v>2081360442678</v>
      </c>
      <c r="Y821" s="7">
        <v>46003</v>
      </c>
      <c r="Z821" s="7">
        <v>45999</v>
      </c>
      <c r="AB821" s="6">
        <v>46003</v>
      </c>
      <c r="AC821" s="7">
        <v>45999.682638888888</v>
      </c>
      <c r="AD821" s="5">
        <v>35921008594</v>
      </c>
      <c r="AE821" s="8">
        <v>45999</v>
      </c>
      <c r="AF821" s="5" t="s">
        <v>452</v>
      </c>
      <c r="AG821" s="5" t="s">
        <v>38</v>
      </c>
      <c r="AH821" s="5">
        <v>53512</v>
      </c>
      <c r="AI821" s="6">
        <v>45999</v>
      </c>
      <c r="AJ821" s="6">
        <v>46003</v>
      </c>
    </row>
    <row r="822" spans="1:37" hidden="1" x14ac:dyDescent="0.55000000000000004">
      <c r="A822">
        <v>3592</v>
      </c>
      <c r="B822">
        <v>1008596</v>
      </c>
      <c r="C822">
        <v>-364.46</v>
      </c>
      <c r="E822">
        <v>-364.46</v>
      </c>
      <c r="G822">
        <v>-364.46</v>
      </c>
      <c r="H822"/>
      <c r="I822"/>
      <c r="J822" s="2">
        <v>46003</v>
      </c>
      <c r="K822" s="5">
        <v>1008596</v>
      </c>
      <c r="L822" s="5">
        <v>3592</v>
      </c>
      <c r="M822" s="5">
        <v>0</v>
      </c>
      <c r="N822" s="5">
        <v>-364.46</v>
      </c>
      <c r="O822" s="7">
        <v>45999</v>
      </c>
      <c r="P822" s="5">
        <v>-364.46</v>
      </c>
      <c r="Q822" s="5">
        <v>0</v>
      </c>
      <c r="R822" s="5">
        <v>1008596</v>
      </c>
      <c r="S822" s="5" t="s">
        <v>33</v>
      </c>
      <c r="T822" s="5">
        <v>0</v>
      </c>
      <c r="U822" s="5">
        <v>-364.46</v>
      </c>
      <c r="V822" s="5" t="s">
        <v>34</v>
      </c>
      <c r="W822" s="5">
        <v>2</v>
      </c>
      <c r="X822" s="5">
        <v>2081360442678</v>
      </c>
      <c r="Y822" s="7">
        <v>46003</v>
      </c>
      <c r="Z822" s="7">
        <v>45999</v>
      </c>
      <c r="AB822" s="6">
        <v>46003</v>
      </c>
      <c r="AC822" s="7">
        <v>45999.682638888888</v>
      </c>
      <c r="AD822" s="5">
        <v>35921008596</v>
      </c>
      <c r="AE822" s="8">
        <v>45999</v>
      </c>
      <c r="AF822" s="5">
        <v>204724</v>
      </c>
      <c r="AG822" s="5" t="s">
        <v>38</v>
      </c>
      <c r="AH822" s="5">
        <v>53511</v>
      </c>
      <c r="AI822" s="6">
        <v>45999</v>
      </c>
      <c r="AJ822" s="6">
        <v>46003</v>
      </c>
    </row>
    <row r="823" spans="1:37" hidden="1" x14ac:dyDescent="0.55000000000000004">
      <c r="A823">
        <v>3599</v>
      </c>
      <c r="B823">
        <v>1007600</v>
      </c>
      <c r="C823">
        <v>350</v>
      </c>
      <c r="E823">
        <v>350</v>
      </c>
      <c r="F823">
        <v>3.5</v>
      </c>
      <c r="G823">
        <v>346.5</v>
      </c>
      <c r="H823"/>
      <c r="I823"/>
      <c r="J823" s="2">
        <v>46003</v>
      </c>
      <c r="K823" s="5">
        <v>1007600</v>
      </c>
      <c r="L823" s="5">
        <v>3599</v>
      </c>
      <c r="M823" s="5">
        <v>0</v>
      </c>
      <c r="N823" s="5">
        <v>350</v>
      </c>
      <c r="O823" s="7">
        <v>45993</v>
      </c>
      <c r="P823" s="5">
        <v>350</v>
      </c>
      <c r="Q823" s="5">
        <v>0</v>
      </c>
      <c r="R823" s="5" t="s">
        <v>32</v>
      </c>
      <c r="S823" s="5" t="s">
        <v>33</v>
      </c>
      <c r="T823" s="5">
        <v>3.5</v>
      </c>
      <c r="U823" s="5">
        <v>346.5</v>
      </c>
      <c r="V823" s="5" t="s">
        <v>34</v>
      </c>
      <c r="W823" s="5">
        <v>2</v>
      </c>
      <c r="X823" s="5">
        <v>5036690729009</v>
      </c>
      <c r="Y823" s="7">
        <v>46003</v>
      </c>
      <c r="Z823" s="7">
        <v>45993</v>
      </c>
      <c r="AB823" s="6">
        <v>46003</v>
      </c>
      <c r="AC823" s="7">
        <v>46002.73333333333</v>
      </c>
      <c r="AD823" s="5">
        <v>35991007600</v>
      </c>
      <c r="AE823" s="8">
        <v>45993</v>
      </c>
      <c r="AF823" s="5" t="s">
        <v>32</v>
      </c>
      <c r="AG823" s="5" t="s">
        <v>82</v>
      </c>
      <c r="AH823" s="5" t="s">
        <v>32</v>
      </c>
      <c r="AI823" s="6">
        <v>45993</v>
      </c>
      <c r="AJ823" s="6">
        <v>46003</v>
      </c>
    </row>
    <row r="824" spans="1:37" x14ac:dyDescent="0.55000000000000004">
      <c r="A824">
        <v>3606</v>
      </c>
      <c r="B824">
        <v>1007276</v>
      </c>
      <c r="C824">
        <v>398.16</v>
      </c>
      <c r="D824" s="4">
        <v>7.96</v>
      </c>
      <c r="E824">
        <v>390.2</v>
      </c>
      <c r="F824">
        <v>3.98</v>
      </c>
      <c r="G824">
        <v>386.22</v>
      </c>
      <c r="H824" s="14">
        <f>C824-D824-F824</f>
        <v>386.22</v>
      </c>
      <c r="I824" s="14" t="b">
        <f>G824=H824</f>
        <v>1</v>
      </c>
      <c r="J824" s="2">
        <v>46003</v>
      </c>
      <c r="K824" s="5">
        <v>1007276</v>
      </c>
      <c r="L824" s="5">
        <v>3606</v>
      </c>
      <c r="M824" s="5">
        <v>7.96</v>
      </c>
      <c r="N824" s="5">
        <v>398.16</v>
      </c>
      <c r="O824" s="7">
        <v>45992</v>
      </c>
      <c r="P824" s="5">
        <v>390.2</v>
      </c>
      <c r="Q824" s="5">
        <v>7.96</v>
      </c>
      <c r="R824" s="5" t="s">
        <v>32</v>
      </c>
      <c r="S824" s="5" t="s">
        <v>33</v>
      </c>
      <c r="T824" s="5">
        <v>3.98</v>
      </c>
      <c r="U824" s="5">
        <v>386.22</v>
      </c>
      <c r="V824" s="5" t="s">
        <v>34</v>
      </c>
      <c r="W824" s="5">
        <v>2</v>
      </c>
      <c r="X824" s="5">
        <v>5697788801057</v>
      </c>
      <c r="Y824" s="7">
        <v>46003</v>
      </c>
      <c r="Z824" s="7">
        <v>45992</v>
      </c>
      <c r="AB824" s="6">
        <v>46003</v>
      </c>
      <c r="AC824" s="7">
        <v>45999.68472222222</v>
      </c>
      <c r="AD824" s="5">
        <v>36061007276</v>
      </c>
      <c r="AE824" s="8">
        <v>45992</v>
      </c>
      <c r="AF824" s="5" t="s">
        <v>453</v>
      </c>
      <c r="AG824" s="5" t="s">
        <v>37</v>
      </c>
      <c r="AH824" s="5">
        <v>205726</v>
      </c>
      <c r="AI824" s="6">
        <v>45992</v>
      </c>
      <c r="AJ824" s="6">
        <v>46003</v>
      </c>
      <c r="AK824" s="1">
        <f t="shared" ref="AK824" si="390">0.02*C824</f>
        <v>7.9632000000000005</v>
      </c>
    </row>
    <row r="825" spans="1:37" hidden="1" x14ac:dyDescent="0.55000000000000004">
      <c r="A825">
        <v>3606</v>
      </c>
      <c r="B825">
        <v>1007628</v>
      </c>
      <c r="C825" s="1">
        <v>3990</v>
      </c>
      <c r="E825" s="1">
        <v>3990</v>
      </c>
      <c r="F825">
        <v>39.9</v>
      </c>
      <c r="G825" s="1">
        <v>3950.1</v>
      </c>
      <c r="H825" s="1"/>
      <c r="I825" s="1"/>
      <c r="J825" s="2">
        <v>46003</v>
      </c>
      <c r="K825" s="5">
        <v>1007628</v>
      </c>
      <c r="L825" s="5">
        <v>3606</v>
      </c>
      <c r="M825" s="5">
        <v>0</v>
      </c>
      <c r="N825" s="5">
        <v>3990</v>
      </c>
      <c r="O825" s="7">
        <v>45993</v>
      </c>
      <c r="P825" s="5">
        <v>3990</v>
      </c>
      <c r="Q825" s="5">
        <v>0</v>
      </c>
      <c r="R825" s="5" t="s">
        <v>32</v>
      </c>
      <c r="S825" s="5" t="s">
        <v>33</v>
      </c>
      <c r="T825" s="5">
        <v>39.9</v>
      </c>
      <c r="U825" s="5">
        <v>3950.1</v>
      </c>
      <c r="V825" s="5" t="s">
        <v>34</v>
      </c>
      <c r="W825" s="5">
        <v>2</v>
      </c>
      <c r="X825" s="5">
        <v>5697788801057</v>
      </c>
      <c r="Y825" s="7">
        <v>46003</v>
      </c>
      <c r="Z825" s="7">
        <v>45993</v>
      </c>
      <c r="AB825" s="6">
        <v>46003</v>
      </c>
      <c r="AC825" s="7">
        <v>45999.68472222222</v>
      </c>
      <c r="AD825" s="5">
        <v>36061007628</v>
      </c>
      <c r="AE825" s="8">
        <v>45993</v>
      </c>
      <c r="AF825" s="5" t="s">
        <v>32</v>
      </c>
      <c r="AG825" s="5" t="s">
        <v>35</v>
      </c>
      <c r="AH825" s="5" t="s">
        <v>32</v>
      </c>
      <c r="AI825" s="6">
        <v>45993</v>
      </c>
      <c r="AJ825" s="6">
        <v>46003</v>
      </c>
    </row>
    <row r="826" spans="1:37" hidden="1" x14ac:dyDescent="0.55000000000000004">
      <c r="A826">
        <v>3606</v>
      </c>
      <c r="B826">
        <v>1007929</v>
      </c>
      <c r="C826">
        <v>566.96</v>
      </c>
      <c r="E826">
        <v>566.96</v>
      </c>
      <c r="F826">
        <v>5.67</v>
      </c>
      <c r="G826">
        <v>561.29</v>
      </c>
      <c r="H826"/>
      <c r="I826"/>
      <c r="J826" s="2">
        <v>46003</v>
      </c>
      <c r="K826" s="5">
        <v>1007929</v>
      </c>
      <c r="L826" s="5">
        <v>3606</v>
      </c>
      <c r="M826" s="5">
        <v>0</v>
      </c>
      <c r="N826" s="5">
        <v>566.96</v>
      </c>
      <c r="O826" s="7">
        <v>45994</v>
      </c>
      <c r="P826" s="5">
        <v>566.96</v>
      </c>
      <c r="Q826" s="5">
        <v>0</v>
      </c>
      <c r="R826" s="5" t="s">
        <v>32</v>
      </c>
      <c r="S826" s="5" t="s">
        <v>33</v>
      </c>
      <c r="T826" s="5">
        <v>5.67</v>
      </c>
      <c r="U826" s="5">
        <v>561.29</v>
      </c>
      <c r="V826" s="5" t="s">
        <v>34</v>
      </c>
      <c r="W826" s="5">
        <v>2</v>
      </c>
      <c r="X826" s="5">
        <v>5697788801057</v>
      </c>
      <c r="Y826" s="7">
        <v>46003</v>
      </c>
      <c r="Z826" s="7">
        <v>45994</v>
      </c>
      <c r="AB826" s="6">
        <v>46003</v>
      </c>
      <c r="AC826" s="7">
        <v>45999.68472222222</v>
      </c>
      <c r="AD826" s="5">
        <v>36061007929</v>
      </c>
      <c r="AE826" s="8">
        <v>45994</v>
      </c>
      <c r="AF826" s="5" t="s">
        <v>454</v>
      </c>
      <c r="AG826" s="5" t="s">
        <v>38</v>
      </c>
      <c r="AH826" s="5">
        <v>206427</v>
      </c>
      <c r="AI826" s="6">
        <v>45994</v>
      </c>
      <c r="AJ826" s="6">
        <v>46003</v>
      </c>
    </row>
    <row r="827" spans="1:37" x14ac:dyDescent="0.55000000000000004">
      <c r="A827">
        <v>3606</v>
      </c>
      <c r="B827">
        <v>1008093</v>
      </c>
      <c r="C827">
        <v>77.52</v>
      </c>
      <c r="D827" s="4">
        <v>1.55</v>
      </c>
      <c r="E827">
        <v>75.97</v>
      </c>
      <c r="F827">
        <v>0.78</v>
      </c>
      <c r="G827">
        <v>75.19</v>
      </c>
      <c r="H827" s="14">
        <f>C827-D827-F827</f>
        <v>75.19</v>
      </c>
      <c r="I827" s="14" t="b">
        <f>G827=H827</f>
        <v>1</v>
      </c>
      <c r="J827" s="2">
        <v>46003</v>
      </c>
      <c r="K827" s="5">
        <v>1008093</v>
      </c>
      <c r="L827" s="5">
        <v>3606</v>
      </c>
      <c r="M827" s="5">
        <v>1.55</v>
      </c>
      <c r="N827" s="5">
        <v>77.52</v>
      </c>
      <c r="O827" s="7">
        <v>45995</v>
      </c>
      <c r="P827" s="5">
        <v>75.97</v>
      </c>
      <c r="Q827" s="5">
        <v>1.55</v>
      </c>
      <c r="R827" s="5" t="s">
        <v>32</v>
      </c>
      <c r="S827" s="5" t="s">
        <v>33</v>
      </c>
      <c r="T827" s="5">
        <v>0.78</v>
      </c>
      <c r="U827" s="5">
        <v>75.19</v>
      </c>
      <c r="V827" s="5" t="s">
        <v>34</v>
      </c>
      <c r="W827" s="5">
        <v>2</v>
      </c>
      <c r="X827" s="5">
        <v>5697788801057</v>
      </c>
      <c r="Y827" s="7">
        <v>46003</v>
      </c>
      <c r="Z827" s="7">
        <v>45995</v>
      </c>
      <c r="AB827" s="6">
        <v>46003</v>
      </c>
      <c r="AC827" s="7">
        <v>45999.68472222222</v>
      </c>
      <c r="AD827" s="5">
        <v>36061008093</v>
      </c>
      <c r="AE827" s="8">
        <v>45995</v>
      </c>
      <c r="AF827" s="5" t="s">
        <v>455</v>
      </c>
      <c r="AG827" s="5" t="s">
        <v>37</v>
      </c>
      <c r="AH827" s="5">
        <v>206483</v>
      </c>
      <c r="AI827" s="6">
        <v>45995</v>
      </c>
      <c r="AJ827" s="6">
        <v>46003</v>
      </c>
      <c r="AK827" s="1">
        <f t="shared" ref="AK827" si="391">0.02*C827</f>
        <v>1.5504</v>
      </c>
    </row>
    <row r="828" spans="1:37" hidden="1" x14ac:dyDescent="0.55000000000000004">
      <c r="A828">
        <v>3606</v>
      </c>
      <c r="B828">
        <v>1008095</v>
      </c>
      <c r="C828" s="1">
        <v>1999.95</v>
      </c>
      <c r="E828" s="1">
        <v>1999.95</v>
      </c>
      <c r="F828">
        <v>20</v>
      </c>
      <c r="G828" s="1">
        <v>1979.95</v>
      </c>
      <c r="H828" s="1"/>
      <c r="I828" s="1"/>
      <c r="J828" s="2">
        <v>46003</v>
      </c>
      <c r="K828" s="5">
        <v>1008095</v>
      </c>
      <c r="L828" s="5">
        <v>3606</v>
      </c>
      <c r="M828" s="5">
        <v>0</v>
      </c>
      <c r="N828" s="5">
        <v>1999.95</v>
      </c>
      <c r="O828" s="7">
        <v>45995</v>
      </c>
      <c r="P828" s="5">
        <v>1999.95</v>
      </c>
      <c r="Q828" s="5">
        <v>0</v>
      </c>
      <c r="R828" s="5" t="s">
        <v>32</v>
      </c>
      <c r="S828" s="5" t="s">
        <v>33</v>
      </c>
      <c r="T828" s="5">
        <v>20</v>
      </c>
      <c r="U828" s="5">
        <v>1979.95</v>
      </c>
      <c r="V828" s="5" t="s">
        <v>34</v>
      </c>
      <c r="W828" s="5">
        <v>2</v>
      </c>
      <c r="X828" s="5">
        <v>5697788801057</v>
      </c>
      <c r="Y828" s="7">
        <v>46003</v>
      </c>
      <c r="Z828" s="7">
        <v>45995</v>
      </c>
      <c r="AB828" s="6">
        <v>46003</v>
      </c>
      <c r="AC828" s="7">
        <v>45999.68472222222</v>
      </c>
      <c r="AD828" s="5">
        <v>36061008095</v>
      </c>
      <c r="AE828" s="8">
        <v>45995</v>
      </c>
      <c r="AF828" s="5" t="s">
        <v>455</v>
      </c>
      <c r="AG828" s="5" t="s">
        <v>38</v>
      </c>
      <c r="AH828" s="5">
        <v>206484</v>
      </c>
      <c r="AI828" s="6">
        <v>45995</v>
      </c>
      <c r="AJ828" s="6">
        <v>46003</v>
      </c>
    </row>
    <row r="829" spans="1:37" x14ac:dyDescent="0.55000000000000004">
      <c r="A829">
        <v>3606</v>
      </c>
      <c r="B829">
        <v>1008518</v>
      </c>
      <c r="C829">
        <v>544.11</v>
      </c>
      <c r="D829" s="4">
        <v>10.88</v>
      </c>
      <c r="E829">
        <v>533.23</v>
      </c>
      <c r="F829">
        <v>5.44</v>
      </c>
      <c r="G829">
        <v>527.79</v>
      </c>
      <c r="H829" s="14">
        <f t="shared" ref="H829:H830" si="392">C829-D829-F829</f>
        <v>527.79</v>
      </c>
      <c r="I829" s="14" t="b">
        <f t="shared" ref="I829:I830" si="393">G829=H829</f>
        <v>1</v>
      </c>
      <c r="J829" s="2">
        <v>46003</v>
      </c>
      <c r="K829" s="5">
        <v>1008518</v>
      </c>
      <c r="L829" s="5">
        <v>3606</v>
      </c>
      <c r="M829" s="5">
        <v>10.88</v>
      </c>
      <c r="N829" s="5">
        <v>544.11</v>
      </c>
      <c r="O829" s="7">
        <v>45996</v>
      </c>
      <c r="P829" s="5">
        <v>533.23</v>
      </c>
      <c r="Q829" s="5">
        <v>10.88</v>
      </c>
      <c r="R829" s="5" t="s">
        <v>32</v>
      </c>
      <c r="S829" s="5" t="s">
        <v>33</v>
      </c>
      <c r="T829" s="5">
        <v>5.44</v>
      </c>
      <c r="U829" s="5">
        <v>527.79</v>
      </c>
      <c r="V829" s="5" t="s">
        <v>34</v>
      </c>
      <c r="W829" s="5">
        <v>2</v>
      </c>
      <c r="X829" s="5">
        <v>5697788801057</v>
      </c>
      <c r="Y829" s="7">
        <v>46003</v>
      </c>
      <c r="Z829" s="7">
        <v>45996</v>
      </c>
      <c r="AB829" s="6">
        <v>46003</v>
      </c>
      <c r="AC829" s="7">
        <v>45999.68472222222</v>
      </c>
      <c r="AD829" s="5">
        <v>36061008518</v>
      </c>
      <c r="AE829" s="8">
        <v>45996</v>
      </c>
      <c r="AF829" s="5" t="s">
        <v>456</v>
      </c>
      <c r="AG829" s="5" t="s">
        <v>37</v>
      </c>
      <c r="AH829" s="5">
        <v>206841</v>
      </c>
      <c r="AI829" s="6">
        <v>45996</v>
      </c>
      <c r="AJ829" s="6">
        <v>46003</v>
      </c>
      <c r="AK829" s="1">
        <f t="shared" ref="AK829:AK830" si="394">0.02*C829</f>
        <v>10.882200000000001</v>
      </c>
    </row>
    <row r="830" spans="1:37" x14ac:dyDescent="0.55000000000000004">
      <c r="A830">
        <v>3606</v>
      </c>
      <c r="B830">
        <v>1008519</v>
      </c>
      <c r="C830" s="1">
        <v>2486.58</v>
      </c>
      <c r="D830" s="4">
        <v>49.73</v>
      </c>
      <c r="E830" s="1">
        <v>2436.85</v>
      </c>
      <c r="F830">
        <v>24.87</v>
      </c>
      <c r="G830" s="1">
        <v>2411.98</v>
      </c>
      <c r="H830" s="14">
        <f t="shared" si="392"/>
        <v>2411.98</v>
      </c>
      <c r="I830" s="14" t="b">
        <f t="shared" si="393"/>
        <v>1</v>
      </c>
      <c r="J830" s="2">
        <v>46003</v>
      </c>
      <c r="K830" s="5">
        <v>1008519</v>
      </c>
      <c r="L830" s="5">
        <v>3606</v>
      </c>
      <c r="M830" s="5">
        <v>49.73</v>
      </c>
      <c r="N830" s="5">
        <v>2486.58</v>
      </c>
      <c r="O830" s="7">
        <v>45996</v>
      </c>
      <c r="P830" s="5">
        <v>2436.85</v>
      </c>
      <c r="Q830" s="5">
        <v>49.73</v>
      </c>
      <c r="R830" s="5" t="s">
        <v>32</v>
      </c>
      <c r="S830" s="5" t="s">
        <v>33</v>
      </c>
      <c r="T830" s="5">
        <v>24.87</v>
      </c>
      <c r="U830" s="5">
        <v>2411.98</v>
      </c>
      <c r="V830" s="5" t="s">
        <v>34</v>
      </c>
      <c r="W830" s="5">
        <v>2</v>
      </c>
      <c r="X830" s="5">
        <v>5697788801057</v>
      </c>
      <c r="Y830" s="7">
        <v>46003</v>
      </c>
      <c r="Z830" s="7">
        <v>45996</v>
      </c>
      <c r="AB830" s="6">
        <v>46003</v>
      </c>
      <c r="AC830" s="7">
        <v>45999.68472222222</v>
      </c>
      <c r="AD830" s="5">
        <v>36061008519</v>
      </c>
      <c r="AE830" s="8">
        <v>45996</v>
      </c>
      <c r="AF830" s="5" t="s">
        <v>456</v>
      </c>
      <c r="AG830" s="5" t="s">
        <v>37</v>
      </c>
      <c r="AH830" s="5">
        <v>206845</v>
      </c>
      <c r="AI830" s="6">
        <v>45996</v>
      </c>
      <c r="AJ830" s="6">
        <v>46003</v>
      </c>
      <c r="AK830" s="1">
        <f t="shared" si="394"/>
        <v>49.7316</v>
      </c>
    </row>
    <row r="831" spans="1:37" hidden="1" x14ac:dyDescent="0.55000000000000004">
      <c r="A831">
        <v>3606</v>
      </c>
      <c r="B831">
        <v>1008533</v>
      </c>
      <c r="C831" s="1">
        <v>2813.92</v>
      </c>
      <c r="E831" s="1">
        <v>2813.92</v>
      </c>
      <c r="F831">
        <v>28.14</v>
      </c>
      <c r="G831" s="1">
        <v>2785.78</v>
      </c>
      <c r="H831" s="1"/>
      <c r="I831" s="1"/>
      <c r="J831" s="2">
        <v>46003</v>
      </c>
      <c r="K831" s="5">
        <v>1008533</v>
      </c>
      <c r="L831" s="5">
        <v>3606</v>
      </c>
      <c r="M831" s="5">
        <v>0</v>
      </c>
      <c r="N831" s="5">
        <v>2813.92</v>
      </c>
      <c r="O831" s="7">
        <v>45996</v>
      </c>
      <c r="P831" s="5">
        <v>2813.92</v>
      </c>
      <c r="Q831" s="5">
        <v>0</v>
      </c>
      <c r="R831" s="5" t="s">
        <v>32</v>
      </c>
      <c r="S831" s="5" t="s">
        <v>33</v>
      </c>
      <c r="T831" s="5">
        <v>28.14</v>
      </c>
      <c r="U831" s="5">
        <v>2785.78</v>
      </c>
      <c r="V831" s="5" t="s">
        <v>34</v>
      </c>
      <c r="W831" s="5">
        <v>2</v>
      </c>
      <c r="X831" s="5">
        <v>5697788801057</v>
      </c>
      <c r="Y831" s="7">
        <v>46003</v>
      </c>
      <c r="Z831" s="7">
        <v>45996</v>
      </c>
      <c r="AB831" s="6">
        <v>46003</v>
      </c>
      <c r="AC831" s="7">
        <v>45999.68472222222</v>
      </c>
      <c r="AD831" s="5">
        <v>36061008533</v>
      </c>
      <c r="AE831" s="8">
        <v>45996</v>
      </c>
      <c r="AF831" s="5" t="s">
        <v>455</v>
      </c>
      <c r="AG831" s="5" t="s">
        <v>38</v>
      </c>
      <c r="AH831" s="5">
        <v>206804</v>
      </c>
      <c r="AI831" s="6">
        <v>45996</v>
      </c>
      <c r="AJ831" s="6">
        <v>46003</v>
      </c>
    </row>
    <row r="832" spans="1:37" hidden="1" x14ac:dyDescent="0.55000000000000004">
      <c r="A832">
        <v>3613</v>
      </c>
      <c r="B832">
        <v>999533</v>
      </c>
      <c r="C832" s="1">
        <v>1343.96</v>
      </c>
      <c r="E832" s="1">
        <v>1343.96</v>
      </c>
      <c r="G832" s="1">
        <v>1343.96</v>
      </c>
      <c r="H832" s="1"/>
      <c r="I832" s="1"/>
      <c r="J832" s="2">
        <v>46003</v>
      </c>
      <c r="K832" s="5">
        <v>999533</v>
      </c>
      <c r="L832" s="5">
        <v>3613</v>
      </c>
      <c r="M832" s="5">
        <v>0</v>
      </c>
      <c r="N832" s="5">
        <v>1343.96</v>
      </c>
      <c r="O832" s="7">
        <v>45952</v>
      </c>
      <c r="P832" s="5">
        <v>1343.96</v>
      </c>
      <c r="Q832" s="5">
        <v>0</v>
      </c>
      <c r="R832" s="5" t="s">
        <v>32</v>
      </c>
      <c r="S832" s="5" t="s">
        <v>33</v>
      </c>
      <c r="T832" s="5">
        <v>0</v>
      </c>
      <c r="U832" s="5">
        <v>1343.96</v>
      </c>
      <c r="V832" s="5" t="s">
        <v>34</v>
      </c>
      <c r="W832" s="5">
        <v>2</v>
      </c>
      <c r="X832" s="5">
        <v>1752388488939</v>
      </c>
      <c r="Y832" s="7">
        <v>46003</v>
      </c>
      <c r="Z832" s="7">
        <v>45952</v>
      </c>
      <c r="AB832" s="6">
        <v>46003</v>
      </c>
      <c r="AC832" s="7">
        <v>46003.063888888886</v>
      </c>
      <c r="AD832" s="5">
        <v>3613999533</v>
      </c>
      <c r="AE832" s="8">
        <v>45952</v>
      </c>
      <c r="AF832" s="5" t="s">
        <v>475</v>
      </c>
      <c r="AG832" s="5" t="s">
        <v>65</v>
      </c>
      <c r="AH832" s="5">
        <v>199370</v>
      </c>
      <c r="AI832" s="6">
        <v>45952</v>
      </c>
      <c r="AJ832" s="6">
        <v>46003</v>
      </c>
    </row>
    <row r="833" spans="1:39" hidden="1" x14ac:dyDescent="0.55000000000000004">
      <c r="A833">
        <v>3613</v>
      </c>
      <c r="B833">
        <v>999548</v>
      </c>
      <c r="C833">
        <v>839.96</v>
      </c>
      <c r="E833">
        <v>839.96</v>
      </c>
      <c r="G833">
        <v>839.96</v>
      </c>
      <c r="H833"/>
      <c r="I833"/>
      <c r="J833" s="2">
        <v>46003</v>
      </c>
      <c r="K833" s="5">
        <v>999548</v>
      </c>
      <c r="L833" s="5">
        <v>3613</v>
      </c>
      <c r="M833" s="5">
        <v>0</v>
      </c>
      <c r="N833" s="5">
        <v>839.96</v>
      </c>
      <c r="O833" s="7">
        <v>45952</v>
      </c>
      <c r="P833" s="5">
        <v>839.96</v>
      </c>
      <c r="Q833" s="5">
        <v>0</v>
      </c>
      <c r="R833" s="5" t="s">
        <v>32</v>
      </c>
      <c r="S833" s="5" t="s">
        <v>33</v>
      </c>
      <c r="T833" s="5">
        <v>0</v>
      </c>
      <c r="U833" s="5">
        <v>839.96</v>
      </c>
      <c r="V833" s="5" t="s">
        <v>34</v>
      </c>
      <c r="W833" s="5">
        <v>2</v>
      </c>
      <c r="X833" s="5">
        <v>1752388488939</v>
      </c>
      <c r="Y833" s="7">
        <v>46003</v>
      </c>
      <c r="Z833" s="7">
        <v>45952</v>
      </c>
      <c r="AB833" s="6">
        <v>46003</v>
      </c>
      <c r="AC833" s="7">
        <v>46003.063888888886</v>
      </c>
      <c r="AD833" s="5">
        <v>3613999548</v>
      </c>
      <c r="AE833" s="8">
        <v>45952</v>
      </c>
      <c r="AF833" s="5" t="s">
        <v>476</v>
      </c>
      <c r="AG833" s="5" t="s">
        <v>65</v>
      </c>
      <c r="AH833" s="5">
        <v>199369</v>
      </c>
      <c r="AI833" s="6">
        <v>45952</v>
      </c>
      <c r="AJ833" s="6">
        <v>46003</v>
      </c>
    </row>
    <row r="834" spans="1:39" hidden="1" x14ac:dyDescent="0.55000000000000004">
      <c r="A834">
        <v>3613</v>
      </c>
      <c r="B834">
        <v>999882</v>
      </c>
      <c r="C834" s="1">
        <v>1679.96</v>
      </c>
      <c r="E834" s="1">
        <v>1679.96</v>
      </c>
      <c r="G834" s="1">
        <v>1679.96</v>
      </c>
      <c r="H834" s="1"/>
      <c r="I834" s="1"/>
      <c r="J834" s="2">
        <v>46003</v>
      </c>
      <c r="K834" s="5">
        <v>999882</v>
      </c>
      <c r="L834" s="5">
        <v>3613</v>
      </c>
      <c r="M834" s="5">
        <v>0</v>
      </c>
      <c r="N834" s="5">
        <v>1679.96</v>
      </c>
      <c r="O834" s="7">
        <v>45953</v>
      </c>
      <c r="P834" s="5">
        <v>1679.96</v>
      </c>
      <c r="Q834" s="5">
        <v>0</v>
      </c>
      <c r="R834" s="5" t="s">
        <v>32</v>
      </c>
      <c r="S834" s="5" t="s">
        <v>33</v>
      </c>
      <c r="T834" s="5">
        <v>0</v>
      </c>
      <c r="U834" s="5">
        <v>1679.96</v>
      </c>
      <c r="V834" s="5" t="s">
        <v>34</v>
      </c>
      <c r="W834" s="5">
        <v>2</v>
      </c>
      <c r="X834" s="5">
        <v>1752388488939</v>
      </c>
      <c r="Y834" s="7">
        <v>46003</v>
      </c>
      <c r="Z834" s="7">
        <v>45953</v>
      </c>
      <c r="AB834" s="6">
        <v>46003</v>
      </c>
      <c r="AC834" s="7">
        <v>46003.063888888886</v>
      </c>
      <c r="AD834" s="5">
        <v>3613999882</v>
      </c>
      <c r="AE834" s="8">
        <v>45953</v>
      </c>
      <c r="AF834" s="5" t="s">
        <v>477</v>
      </c>
      <c r="AG834" s="5" t="s">
        <v>65</v>
      </c>
      <c r="AH834" s="5">
        <v>199631</v>
      </c>
      <c r="AI834" s="6">
        <v>45953</v>
      </c>
      <c r="AJ834" s="6">
        <v>46003</v>
      </c>
    </row>
    <row r="835" spans="1:39" hidden="1" x14ac:dyDescent="0.55000000000000004">
      <c r="A835">
        <v>3613</v>
      </c>
      <c r="B835">
        <v>999885</v>
      </c>
      <c r="C835" s="1">
        <v>2957.92</v>
      </c>
      <c r="E835" s="1">
        <v>2957.92</v>
      </c>
      <c r="G835" s="1">
        <v>2957.92</v>
      </c>
      <c r="H835" s="1"/>
      <c r="I835" s="1"/>
      <c r="J835" s="2">
        <v>46003</v>
      </c>
      <c r="K835" s="5">
        <v>999885</v>
      </c>
      <c r="L835" s="5">
        <v>3613</v>
      </c>
      <c r="M835" s="5">
        <v>0</v>
      </c>
      <c r="N835" s="5">
        <v>2957.92</v>
      </c>
      <c r="O835" s="7">
        <v>45953</v>
      </c>
      <c r="P835" s="5">
        <v>2957.92</v>
      </c>
      <c r="Q835" s="5">
        <v>0</v>
      </c>
      <c r="R835" s="5" t="s">
        <v>32</v>
      </c>
      <c r="S835" s="5" t="s">
        <v>33</v>
      </c>
      <c r="T835" s="5">
        <v>0</v>
      </c>
      <c r="U835" s="5">
        <v>2957.92</v>
      </c>
      <c r="V835" s="5" t="s">
        <v>34</v>
      </c>
      <c r="W835" s="5">
        <v>2</v>
      </c>
      <c r="X835" s="5">
        <v>1752388488939</v>
      </c>
      <c r="Y835" s="7">
        <v>46003</v>
      </c>
      <c r="Z835" s="7">
        <v>45953</v>
      </c>
      <c r="AB835" s="6">
        <v>46003</v>
      </c>
      <c r="AC835" s="7">
        <v>46003.063888888886</v>
      </c>
      <c r="AD835" s="5">
        <v>3613999885</v>
      </c>
      <c r="AE835" s="8">
        <v>45953</v>
      </c>
      <c r="AF835" s="5" t="s">
        <v>478</v>
      </c>
      <c r="AG835" s="5" t="s">
        <v>65</v>
      </c>
      <c r="AH835" s="5">
        <v>199630</v>
      </c>
      <c r="AI835" s="6">
        <v>45953</v>
      </c>
      <c r="AJ835" s="6">
        <v>46003</v>
      </c>
    </row>
    <row r="836" spans="1:39" hidden="1" x14ac:dyDescent="0.55000000000000004">
      <c r="A836">
        <v>3613</v>
      </c>
      <c r="B836">
        <v>999887</v>
      </c>
      <c r="C836" s="1">
        <v>2051.1799999999998</v>
      </c>
      <c r="E836" s="1">
        <v>2051.1799999999998</v>
      </c>
      <c r="G836" s="1">
        <v>2051.1799999999998</v>
      </c>
      <c r="H836" s="1"/>
      <c r="I836" s="1"/>
      <c r="J836" s="2">
        <v>46003</v>
      </c>
      <c r="K836" s="5">
        <v>999887</v>
      </c>
      <c r="L836" s="5">
        <v>3613</v>
      </c>
      <c r="M836" s="5">
        <v>0</v>
      </c>
      <c r="N836" s="5">
        <v>2051.1799999999998</v>
      </c>
      <c r="O836" s="7">
        <v>45953</v>
      </c>
      <c r="P836" s="5">
        <v>2051.1799999999998</v>
      </c>
      <c r="Q836" s="5">
        <v>0</v>
      </c>
      <c r="R836" s="5" t="s">
        <v>32</v>
      </c>
      <c r="S836" s="5" t="s">
        <v>33</v>
      </c>
      <c r="T836" s="5">
        <v>0</v>
      </c>
      <c r="U836" s="5">
        <v>2051.1799999999998</v>
      </c>
      <c r="V836" s="5" t="s">
        <v>34</v>
      </c>
      <c r="W836" s="5">
        <v>2</v>
      </c>
      <c r="X836" s="5">
        <v>1752388488939</v>
      </c>
      <c r="Y836" s="7">
        <v>46003</v>
      </c>
      <c r="Z836" s="7">
        <v>45953</v>
      </c>
      <c r="AB836" s="6">
        <v>46003</v>
      </c>
      <c r="AC836" s="7">
        <v>46003.063888888886</v>
      </c>
      <c r="AD836" s="5">
        <v>3613999887</v>
      </c>
      <c r="AE836" s="8">
        <v>45953</v>
      </c>
      <c r="AF836" s="5" t="s">
        <v>457</v>
      </c>
      <c r="AG836" s="5" t="s">
        <v>65</v>
      </c>
      <c r="AH836" s="5">
        <v>199636</v>
      </c>
      <c r="AI836" s="6">
        <v>45953</v>
      </c>
      <c r="AJ836" s="6">
        <v>46003</v>
      </c>
    </row>
    <row r="837" spans="1:39" hidden="1" x14ac:dyDescent="0.55000000000000004">
      <c r="A837">
        <v>3613</v>
      </c>
      <c r="B837">
        <v>999888</v>
      </c>
      <c r="C837" s="1">
        <v>1679.96</v>
      </c>
      <c r="E837" s="1">
        <v>1679.96</v>
      </c>
      <c r="G837" s="1">
        <v>1679.96</v>
      </c>
      <c r="H837" s="1"/>
      <c r="I837" s="1"/>
      <c r="J837" s="2">
        <v>46003</v>
      </c>
      <c r="K837" s="5">
        <v>999888</v>
      </c>
      <c r="L837" s="5">
        <v>3613</v>
      </c>
      <c r="M837" s="5">
        <v>0</v>
      </c>
      <c r="N837" s="5">
        <v>1679.96</v>
      </c>
      <c r="O837" s="7">
        <v>45953</v>
      </c>
      <c r="P837" s="5">
        <v>1679.96</v>
      </c>
      <c r="Q837" s="5">
        <v>0</v>
      </c>
      <c r="R837" s="5" t="s">
        <v>32</v>
      </c>
      <c r="S837" s="5" t="s">
        <v>33</v>
      </c>
      <c r="T837" s="5">
        <v>0</v>
      </c>
      <c r="U837" s="5">
        <v>1679.96</v>
      </c>
      <c r="V837" s="5" t="s">
        <v>34</v>
      </c>
      <c r="W837" s="5">
        <v>2</v>
      </c>
      <c r="X837" s="5">
        <v>1752388488939</v>
      </c>
      <c r="Y837" s="7">
        <v>46003</v>
      </c>
      <c r="Z837" s="7">
        <v>45953</v>
      </c>
      <c r="AB837" s="6">
        <v>46003</v>
      </c>
      <c r="AC837" s="7">
        <v>46003.063888888886</v>
      </c>
      <c r="AD837" s="5">
        <v>3613999888</v>
      </c>
      <c r="AE837" s="8">
        <v>45953</v>
      </c>
      <c r="AF837" s="5" t="s">
        <v>476</v>
      </c>
      <c r="AG837" s="5" t="s">
        <v>65</v>
      </c>
      <c r="AH837" s="5">
        <v>199632</v>
      </c>
      <c r="AI837" s="6">
        <v>45953</v>
      </c>
      <c r="AJ837" s="6">
        <v>46003</v>
      </c>
    </row>
    <row r="838" spans="1:39" hidden="1" x14ac:dyDescent="0.55000000000000004">
      <c r="A838">
        <v>3613</v>
      </c>
      <c r="B838">
        <v>1000140</v>
      </c>
      <c r="C838">
        <v>769.46</v>
      </c>
      <c r="E838">
        <v>769.46</v>
      </c>
      <c r="G838">
        <v>769.46</v>
      </c>
      <c r="H838"/>
      <c r="I838"/>
      <c r="J838" s="2">
        <v>46003</v>
      </c>
      <c r="K838" s="5">
        <v>1000140</v>
      </c>
      <c r="L838" s="5">
        <v>3613</v>
      </c>
      <c r="M838" s="5">
        <v>0</v>
      </c>
      <c r="N838" s="5">
        <v>769.46</v>
      </c>
      <c r="O838" s="7">
        <v>45954</v>
      </c>
      <c r="P838" s="5">
        <v>769.46</v>
      </c>
      <c r="Q838" s="5">
        <v>0</v>
      </c>
      <c r="R838" s="5" t="s">
        <v>32</v>
      </c>
      <c r="S838" s="5" t="s">
        <v>33</v>
      </c>
      <c r="T838" s="5">
        <v>0</v>
      </c>
      <c r="U838" s="5">
        <v>769.46</v>
      </c>
      <c r="V838" s="5" t="s">
        <v>34</v>
      </c>
      <c r="W838" s="5">
        <v>2</v>
      </c>
      <c r="X838" s="5">
        <v>1752388488939</v>
      </c>
      <c r="Y838" s="7">
        <v>46003</v>
      </c>
      <c r="Z838" s="7">
        <v>45954</v>
      </c>
      <c r="AB838" s="6">
        <v>46003</v>
      </c>
      <c r="AC838" s="7">
        <v>46003.063888888886</v>
      </c>
      <c r="AD838" s="5">
        <v>36131000140</v>
      </c>
      <c r="AE838" s="8">
        <v>45954</v>
      </c>
      <c r="AF838" s="5" t="s">
        <v>457</v>
      </c>
      <c r="AG838" s="5" t="s">
        <v>65</v>
      </c>
      <c r="AH838" s="5">
        <v>199937</v>
      </c>
      <c r="AI838" s="6">
        <v>45954</v>
      </c>
      <c r="AJ838" s="6">
        <v>46003</v>
      </c>
    </row>
    <row r="839" spans="1:39" hidden="1" x14ac:dyDescent="0.55000000000000004">
      <c r="A839">
        <v>3613</v>
      </c>
      <c r="B839">
        <v>1004343</v>
      </c>
      <c r="C839">
        <v>543.99</v>
      </c>
      <c r="E839">
        <v>543.99</v>
      </c>
      <c r="G839">
        <v>543.99</v>
      </c>
      <c r="H839"/>
      <c r="I839"/>
      <c r="J839" s="2">
        <v>46003</v>
      </c>
      <c r="K839" s="5">
        <v>1004343</v>
      </c>
      <c r="L839" s="5">
        <v>3613</v>
      </c>
      <c r="M839" s="5">
        <v>0</v>
      </c>
      <c r="N839" s="5">
        <v>543.99</v>
      </c>
      <c r="O839" s="7">
        <v>45978</v>
      </c>
      <c r="P839" s="5">
        <v>543.99</v>
      </c>
      <c r="Q839" s="5">
        <v>0</v>
      </c>
      <c r="R839" s="5" t="s">
        <v>32</v>
      </c>
      <c r="S839" s="5" t="s">
        <v>33</v>
      </c>
      <c r="T839" s="5">
        <v>0</v>
      </c>
      <c r="U839" s="5">
        <v>543.99</v>
      </c>
      <c r="V839" s="5" t="s">
        <v>34</v>
      </c>
      <c r="W839" s="5">
        <v>2</v>
      </c>
      <c r="X839" s="5">
        <v>1752388488939</v>
      </c>
      <c r="Y839" s="7">
        <v>46003</v>
      </c>
      <c r="Z839" s="7">
        <v>45978</v>
      </c>
      <c r="AB839" s="6">
        <v>46003</v>
      </c>
      <c r="AC839" s="7">
        <v>46003.063888888886</v>
      </c>
      <c r="AD839" s="5">
        <v>36131004343</v>
      </c>
      <c r="AE839" s="8">
        <v>45978</v>
      </c>
      <c r="AF839" s="5">
        <v>111225</v>
      </c>
      <c r="AG839" s="5" t="s">
        <v>65</v>
      </c>
      <c r="AH839" s="5">
        <v>203407</v>
      </c>
      <c r="AI839" s="6">
        <v>45978</v>
      </c>
      <c r="AJ839" s="6">
        <v>46003</v>
      </c>
    </row>
    <row r="840" spans="1:39" hidden="1" x14ac:dyDescent="0.55000000000000004">
      <c r="A840">
        <v>3613</v>
      </c>
      <c r="B840">
        <v>1004544</v>
      </c>
      <c r="C840">
        <v>139.65</v>
      </c>
      <c r="E840">
        <v>139.65</v>
      </c>
      <c r="G840">
        <v>139.65</v>
      </c>
      <c r="H840"/>
      <c r="I840"/>
      <c r="J840" s="2">
        <v>46003</v>
      </c>
      <c r="K840" s="5">
        <v>1004544</v>
      </c>
      <c r="L840" s="5">
        <v>3613</v>
      </c>
      <c r="M840" s="5">
        <v>0</v>
      </c>
      <c r="N840" s="5">
        <v>139.65</v>
      </c>
      <c r="O840" s="7">
        <v>45979</v>
      </c>
      <c r="P840" s="5">
        <v>139.65</v>
      </c>
      <c r="Q840" s="5">
        <v>0</v>
      </c>
      <c r="R840" s="5" t="s">
        <v>32</v>
      </c>
      <c r="S840" s="5" t="s">
        <v>33</v>
      </c>
      <c r="T840" s="5">
        <v>0</v>
      </c>
      <c r="U840" s="5">
        <v>139.65</v>
      </c>
      <c r="V840" s="5" t="s">
        <v>34</v>
      </c>
      <c r="W840" s="5">
        <v>2</v>
      </c>
      <c r="X840" s="5">
        <v>1752388488939</v>
      </c>
      <c r="Y840" s="7">
        <v>46003</v>
      </c>
      <c r="Z840" s="7">
        <v>45979</v>
      </c>
      <c r="AB840" s="6">
        <v>46003</v>
      </c>
      <c r="AC840" s="7">
        <v>46003.063888888886</v>
      </c>
      <c r="AD840" s="5">
        <v>36131004544</v>
      </c>
      <c r="AE840" s="8">
        <v>45979</v>
      </c>
      <c r="AF840" s="5" t="s">
        <v>458</v>
      </c>
      <c r="AG840" s="5" t="s">
        <v>65</v>
      </c>
      <c r="AH840" s="5">
        <v>203637</v>
      </c>
      <c r="AI840" s="6">
        <v>45979</v>
      </c>
      <c r="AJ840" s="6">
        <v>46003</v>
      </c>
    </row>
    <row r="841" spans="1:39" hidden="1" x14ac:dyDescent="0.55000000000000004">
      <c r="A841">
        <v>3613</v>
      </c>
      <c r="B841">
        <v>1004730</v>
      </c>
      <c r="C841" s="1">
        <v>1423.74</v>
      </c>
      <c r="E841" s="1">
        <v>1423.74</v>
      </c>
      <c r="G841" s="1">
        <v>1423.74</v>
      </c>
      <c r="H841" s="1"/>
      <c r="I841" s="1"/>
      <c r="J841" s="2">
        <v>46003</v>
      </c>
      <c r="K841" s="5">
        <v>1004730</v>
      </c>
      <c r="L841" s="5">
        <v>3613</v>
      </c>
      <c r="M841" s="5">
        <v>0</v>
      </c>
      <c r="N841" s="5">
        <v>1423.74</v>
      </c>
      <c r="O841" s="7">
        <v>45979</v>
      </c>
      <c r="P841" s="5">
        <v>1423.74</v>
      </c>
      <c r="Q841" s="5">
        <v>0</v>
      </c>
      <c r="R841" s="5" t="s">
        <v>32</v>
      </c>
      <c r="S841" s="5" t="s">
        <v>33</v>
      </c>
      <c r="T841" s="5">
        <v>0</v>
      </c>
      <c r="U841" s="5">
        <v>1423.74</v>
      </c>
      <c r="V841" s="5" t="s">
        <v>34</v>
      </c>
      <c r="W841" s="5">
        <v>2</v>
      </c>
      <c r="X841" s="5">
        <v>1752388488939</v>
      </c>
      <c r="Y841" s="7">
        <v>46003</v>
      </c>
      <c r="Z841" s="7">
        <v>45979</v>
      </c>
      <c r="AB841" s="6">
        <v>46003</v>
      </c>
      <c r="AC841" s="7">
        <v>46003.063888888886</v>
      </c>
      <c r="AD841" s="5">
        <v>36131004730</v>
      </c>
      <c r="AE841" s="8">
        <v>45979</v>
      </c>
      <c r="AF841" s="5" t="s">
        <v>459</v>
      </c>
      <c r="AG841" s="5" t="s">
        <v>65</v>
      </c>
      <c r="AH841" s="5">
        <v>203812</v>
      </c>
      <c r="AI841" s="6">
        <v>45979</v>
      </c>
      <c r="AJ841" s="6">
        <v>46003</v>
      </c>
    </row>
    <row r="842" spans="1:39" hidden="1" x14ac:dyDescent="0.55000000000000004">
      <c r="A842">
        <v>3613</v>
      </c>
      <c r="B842">
        <v>1005192</v>
      </c>
      <c r="C842">
        <v>395.2</v>
      </c>
      <c r="E842">
        <v>395.2</v>
      </c>
      <c r="G842">
        <v>395.2</v>
      </c>
      <c r="H842"/>
      <c r="I842"/>
      <c r="J842" s="2">
        <v>46003</v>
      </c>
      <c r="K842" s="5">
        <v>1005192</v>
      </c>
      <c r="L842" s="5">
        <v>3613</v>
      </c>
      <c r="M842" s="5">
        <v>0</v>
      </c>
      <c r="N842" s="5">
        <v>395.2</v>
      </c>
      <c r="O842" s="7">
        <v>45980</v>
      </c>
      <c r="P842" s="5">
        <v>395.2</v>
      </c>
      <c r="Q842" s="5">
        <v>0</v>
      </c>
      <c r="R842" s="5" t="s">
        <v>32</v>
      </c>
      <c r="S842" s="5" t="s">
        <v>33</v>
      </c>
      <c r="T842" s="5">
        <v>0</v>
      </c>
      <c r="U842" s="5">
        <v>395.2</v>
      </c>
      <c r="V842" s="5" t="s">
        <v>34</v>
      </c>
      <c r="W842" s="5">
        <v>2</v>
      </c>
      <c r="X842" s="5">
        <v>1752388488939</v>
      </c>
      <c r="Y842" s="7">
        <v>46003</v>
      </c>
      <c r="Z842" s="7">
        <v>45980</v>
      </c>
      <c r="AB842" s="6">
        <v>46003</v>
      </c>
      <c r="AC842" s="7">
        <v>46003.063888888886</v>
      </c>
      <c r="AD842" s="5">
        <v>36131005192</v>
      </c>
      <c r="AE842" s="8">
        <v>45980</v>
      </c>
      <c r="AF842" s="5">
        <v>111425</v>
      </c>
      <c r="AG842" s="5" t="s">
        <v>65</v>
      </c>
      <c r="AH842" s="5">
        <v>204123</v>
      </c>
      <c r="AI842" s="6">
        <v>45980</v>
      </c>
      <c r="AJ842" s="6">
        <v>46003</v>
      </c>
    </row>
    <row r="843" spans="1:39" x14ac:dyDescent="0.55000000000000004">
      <c r="A843">
        <v>3613</v>
      </c>
      <c r="B843">
        <v>1007188</v>
      </c>
      <c r="C843">
        <v>38.46</v>
      </c>
      <c r="E843">
        <v>38.46</v>
      </c>
      <c r="F843">
        <v>0.38</v>
      </c>
      <c r="G843">
        <v>38.46</v>
      </c>
      <c r="H843" s="14">
        <f t="shared" ref="H843:H848" si="395">C843-D843-F843</f>
        <v>38.08</v>
      </c>
      <c r="I843" s="14" t="b">
        <f t="shared" ref="I843:I848" si="396">G843=H843</f>
        <v>0</v>
      </c>
      <c r="J843" s="2">
        <v>46003</v>
      </c>
      <c r="K843" s="5">
        <v>1007188</v>
      </c>
      <c r="L843" s="5">
        <v>3613</v>
      </c>
      <c r="M843" s="5">
        <v>0</v>
      </c>
      <c r="N843" s="5">
        <v>38.46</v>
      </c>
      <c r="O843" s="7">
        <v>45992</v>
      </c>
      <c r="P843" s="5">
        <v>38.46</v>
      </c>
      <c r="Q843" s="5">
        <v>0</v>
      </c>
      <c r="R843" s="5" t="s">
        <v>32</v>
      </c>
      <c r="S843" s="5" t="s">
        <v>33</v>
      </c>
      <c r="T843" s="5">
        <v>0.38</v>
      </c>
      <c r="U843" s="5">
        <v>38.46</v>
      </c>
      <c r="V843" s="5" t="s">
        <v>34</v>
      </c>
      <c r="W843" s="5">
        <v>2</v>
      </c>
      <c r="X843" s="5">
        <v>1752388488939</v>
      </c>
      <c r="Y843" s="7">
        <v>46003</v>
      </c>
      <c r="Z843" s="7">
        <v>45992</v>
      </c>
      <c r="AB843" s="6">
        <v>46003</v>
      </c>
      <c r="AC843" s="7">
        <v>46003.063888888886</v>
      </c>
      <c r="AD843" s="5">
        <v>36131007188</v>
      </c>
      <c r="AE843" s="8">
        <v>45992</v>
      </c>
      <c r="AF843" s="5" t="s">
        <v>458</v>
      </c>
      <c r="AG843" s="5" t="s">
        <v>37</v>
      </c>
      <c r="AH843" s="5">
        <v>205731</v>
      </c>
      <c r="AI843" s="6">
        <v>45992</v>
      </c>
      <c r="AJ843" s="6">
        <v>46003</v>
      </c>
      <c r="AK843" s="1">
        <f t="shared" ref="AK843:AK848" si="397">0.02*C843</f>
        <v>0.76919999999999999</v>
      </c>
      <c r="AL843" t="s">
        <v>673</v>
      </c>
      <c r="AM843">
        <f t="shared" ref="AM843:AM848" si="398">F843</f>
        <v>0.38</v>
      </c>
    </row>
    <row r="844" spans="1:39" x14ac:dyDescent="0.55000000000000004">
      <c r="A844">
        <v>3613</v>
      </c>
      <c r="B844">
        <v>1007193</v>
      </c>
      <c r="C844">
        <v>48.24</v>
      </c>
      <c r="E844">
        <v>48.24</v>
      </c>
      <c r="F844">
        <v>0.48</v>
      </c>
      <c r="G844">
        <v>48.24</v>
      </c>
      <c r="H844" s="14">
        <f t="shared" si="395"/>
        <v>47.760000000000005</v>
      </c>
      <c r="I844" s="14" t="b">
        <f t="shared" si="396"/>
        <v>0</v>
      </c>
      <c r="J844" s="2">
        <v>46003</v>
      </c>
      <c r="K844" s="5">
        <v>1007193</v>
      </c>
      <c r="L844" s="5">
        <v>3613</v>
      </c>
      <c r="M844" s="5">
        <v>0</v>
      </c>
      <c r="N844" s="5">
        <v>48.24</v>
      </c>
      <c r="O844" s="7">
        <v>45992</v>
      </c>
      <c r="P844" s="5">
        <v>48.24</v>
      </c>
      <c r="Q844" s="5">
        <v>0</v>
      </c>
      <c r="R844" s="5" t="s">
        <v>32</v>
      </c>
      <c r="S844" s="5" t="s">
        <v>33</v>
      </c>
      <c r="T844" s="5">
        <v>0.48</v>
      </c>
      <c r="U844" s="5">
        <v>48.24</v>
      </c>
      <c r="V844" s="5" t="s">
        <v>34</v>
      </c>
      <c r="W844" s="5">
        <v>2</v>
      </c>
      <c r="X844" s="5">
        <v>1752388488939</v>
      </c>
      <c r="Y844" s="7">
        <v>46003</v>
      </c>
      <c r="Z844" s="7">
        <v>45992</v>
      </c>
      <c r="AB844" s="6">
        <v>46003</v>
      </c>
      <c r="AC844" s="7">
        <v>46003.063888888886</v>
      </c>
      <c r="AD844" s="5">
        <v>36131007193</v>
      </c>
      <c r="AE844" s="8">
        <v>45992</v>
      </c>
      <c r="AF844" s="5" t="s">
        <v>460</v>
      </c>
      <c r="AG844" s="5" t="s">
        <v>37</v>
      </c>
      <c r="AH844" s="5">
        <v>205732</v>
      </c>
      <c r="AI844" s="6">
        <v>45992</v>
      </c>
      <c r="AJ844" s="6">
        <v>46003</v>
      </c>
      <c r="AK844" s="1">
        <f t="shared" si="397"/>
        <v>0.9648000000000001</v>
      </c>
      <c r="AL844" t="s">
        <v>673</v>
      </c>
      <c r="AM844">
        <f t="shared" si="398"/>
        <v>0.48</v>
      </c>
    </row>
    <row r="845" spans="1:39" x14ac:dyDescent="0.55000000000000004">
      <c r="A845">
        <v>3613</v>
      </c>
      <c r="B845">
        <v>1007195</v>
      </c>
      <c r="C845">
        <v>50.46</v>
      </c>
      <c r="E845">
        <v>50.46</v>
      </c>
      <c r="F845">
        <v>0.5</v>
      </c>
      <c r="G845">
        <v>50.46</v>
      </c>
      <c r="H845" s="14">
        <f t="shared" si="395"/>
        <v>49.96</v>
      </c>
      <c r="I845" s="14" t="b">
        <f t="shared" si="396"/>
        <v>0</v>
      </c>
      <c r="J845" s="2">
        <v>46003</v>
      </c>
      <c r="K845" s="5">
        <v>1007195</v>
      </c>
      <c r="L845" s="5">
        <v>3613</v>
      </c>
      <c r="M845" s="5">
        <v>0</v>
      </c>
      <c r="N845" s="5">
        <v>50.46</v>
      </c>
      <c r="O845" s="7">
        <v>45992</v>
      </c>
      <c r="P845" s="5">
        <v>50.46</v>
      </c>
      <c r="Q845" s="5">
        <v>0</v>
      </c>
      <c r="R845" s="5" t="s">
        <v>32</v>
      </c>
      <c r="S845" s="5" t="s">
        <v>33</v>
      </c>
      <c r="T845" s="5">
        <v>0.5</v>
      </c>
      <c r="U845" s="5">
        <v>50.46</v>
      </c>
      <c r="V845" s="5" t="s">
        <v>34</v>
      </c>
      <c r="W845" s="5">
        <v>2</v>
      </c>
      <c r="X845" s="5">
        <v>1752388488939</v>
      </c>
      <c r="Y845" s="7">
        <v>46003</v>
      </c>
      <c r="Z845" s="7">
        <v>45992</v>
      </c>
      <c r="AB845" s="6">
        <v>46003</v>
      </c>
      <c r="AC845" s="7">
        <v>46003.063888888886</v>
      </c>
      <c r="AD845" s="5">
        <v>36131007195</v>
      </c>
      <c r="AE845" s="8">
        <v>45992</v>
      </c>
      <c r="AF845" s="5" t="s">
        <v>461</v>
      </c>
      <c r="AG845" s="5" t="s">
        <v>37</v>
      </c>
      <c r="AH845" s="5">
        <v>205730</v>
      </c>
      <c r="AI845" s="6">
        <v>45992</v>
      </c>
      <c r="AJ845" s="6">
        <v>46003</v>
      </c>
      <c r="AK845" s="1">
        <f t="shared" si="397"/>
        <v>1.0092000000000001</v>
      </c>
      <c r="AL845" t="s">
        <v>673</v>
      </c>
      <c r="AM845">
        <f t="shared" si="398"/>
        <v>0.5</v>
      </c>
    </row>
    <row r="846" spans="1:39" x14ac:dyDescent="0.55000000000000004">
      <c r="A846">
        <v>3613</v>
      </c>
      <c r="B846">
        <v>1007268</v>
      </c>
      <c r="C846">
        <v>22.71</v>
      </c>
      <c r="E846">
        <v>22.71</v>
      </c>
      <c r="F846">
        <v>0.23</v>
      </c>
      <c r="G846">
        <v>22.71</v>
      </c>
      <c r="H846" s="14">
        <f t="shared" si="395"/>
        <v>22.48</v>
      </c>
      <c r="I846" s="14" t="b">
        <f t="shared" si="396"/>
        <v>0</v>
      </c>
      <c r="J846" s="2">
        <v>46003</v>
      </c>
      <c r="K846" s="5">
        <v>1007268</v>
      </c>
      <c r="L846" s="5">
        <v>3613</v>
      </c>
      <c r="M846" s="5">
        <v>0</v>
      </c>
      <c r="N846" s="5">
        <v>22.71</v>
      </c>
      <c r="O846" s="7">
        <v>45992</v>
      </c>
      <c r="P846" s="5">
        <v>22.71</v>
      </c>
      <c r="Q846" s="5">
        <v>0</v>
      </c>
      <c r="R846" s="5" t="s">
        <v>32</v>
      </c>
      <c r="S846" s="5" t="s">
        <v>33</v>
      </c>
      <c r="T846" s="5">
        <v>0.23</v>
      </c>
      <c r="U846" s="5">
        <v>22.71</v>
      </c>
      <c r="V846" s="5" t="s">
        <v>34</v>
      </c>
      <c r="W846" s="5">
        <v>2</v>
      </c>
      <c r="X846" s="5">
        <v>1752388488939</v>
      </c>
      <c r="Y846" s="7">
        <v>46003</v>
      </c>
      <c r="Z846" s="7">
        <v>45992</v>
      </c>
      <c r="AB846" s="6">
        <v>46003</v>
      </c>
      <c r="AC846" s="7">
        <v>46003.063888888886</v>
      </c>
      <c r="AD846" s="5">
        <v>36131007268</v>
      </c>
      <c r="AE846" s="8">
        <v>45992</v>
      </c>
      <c r="AF846" s="5">
        <v>81825</v>
      </c>
      <c r="AG846" s="5" t="s">
        <v>37</v>
      </c>
      <c r="AH846" s="5">
        <v>205727</v>
      </c>
      <c r="AI846" s="6">
        <v>45992</v>
      </c>
      <c r="AJ846" s="6">
        <v>46003</v>
      </c>
      <c r="AK846" s="1">
        <f t="shared" si="397"/>
        <v>0.45420000000000005</v>
      </c>
      <c r="AL846" t="s">
        <v>673</v>
      </c>
      <c r="AM846">
        <f t="shared" si="398"/>
        <v>0.23</v>
      </c>
    </row>
    <row r="847" spans="1:39" x14ac:dyDescent="0.55000000000000004">
      <c r="A847">
        <v>3613</v>
      </c>
      <c r="B847">
        <v>1007269</v>
      </c>
      <c r="C847">
        <v>19.23</v>
      </c>
      <c r="E847">
        <v>19.23</v>
      </c>
      <c r="F847">
        <v>0.19</v>
      </c>
      <c r="G847">
        <v>19.23</v>
      </c>
      <c r="H847" s="14">
        <f t="shared" si="395"/>
        <v>19.04</v>
      </c>
      <c r="I847" s="14" t="b">
        <f t="shared" si="396"/>
        <v>0</v>
      </c>
      <c r="J847" s="2">
        <v>46003</v>
      </c>
      <c r="K847" s="5">
        <v>1007269</v>
      </c>
      <c r="L847" s="5">
        <v>3613</v>
      </c>
      <c r="M847" s="5">
        <v>0</v>
      </c>
      <c r="N847" s="5">
        <v>19.23</v>
      </c>
      <c r="O847" s="7">
        <v>45992</v>
      </c>
      <c r="P847" s="5">
        <v>19.23</v>
      </c>
      <c r="Q847" s="5">
        <v>0</v>
      </c>
      <c r="R847" s="5" t="s">
        <v>32</v>
      </c>
      <c r="S847" s="5" t="s">
        <v>33</v>
      </c>
      <c r="T847" s="5">
        <v>0.19</v>
      </c>
      <c r="U847" s="5">
        <v>19.23</v>
      </c>
      <c r="V847" s="5" t="s">
        <v>34</v>
      </c>
      <c r="W847" s="5">
        <v>2</v>
      </c>
      <c r="X847" s="5">
        <v>1752388488939</v>
      </c>
      <c r="Y847" s="7">
        <v>46003</v>
      </c>
      <c r="Z847" s="7">
        <v>45992</v>
      </c>
      <c r="AB847" s="6">
        <v>46003</v>
      </c>
      <c r="AC847" s="7">
        <v>46003.063888888886</v>
      </c>
      <c r="AD847" s="5">
        <v>36131007269</v>
      </c>
      <c r="AE847" s="8">
        <v>45992</v>
      </c>
      <c r="AF847" s="5">
        <v>111225</v>
      </c>
      <c r="AG847" s="5" t="s">
        <v>37</v>
      </c>
      <c r="AH847" s="5">
        <v>205729</v>
      </c>
      <c r="AI847" s="6">
        <v>45992</v>
      </c>
      <c r="AJ847" s="6">
        <v>46003</v>
      </c>
      <c r="AK847" s="1">
        <f t="shared" si="397"/>
        <v>0.3846</v>
      </c>
      <c r="AL847" t="s">
        <v>673</v>
      </c>
      <c r="AM847">
        <f t="shared" si="398"/>
        <v>0.19</v>
      </c>
    </row>
    <row r="848" spans="1:39" x14ac:dyDescent="0.55000000000000004">
      <c r="A848">
        <v>3613</v>
      </c>
      <c r="B848">
        <v>1007273</v>
      </c>
      <c r="C848">
        <v>25.23</v>
      </c>
      <c r="E848">
        <v>25.23</v>
      </c>
      <c r="F848">
        <v>0.25</v>
      </c>
      <c r="G848">
        <v>25.23</v>
      </c>
      <c r="H848" s="14">
        <f t="shared" si="395"/>
        <v>24.98</v>
      </c>
      <c r="I848" s="14" t="b">
        <f t="shared" si="396"/>
        <v>0</v>
      </c>
      <c r="J848" s="2">
        <v>46003</v>
      </c>
      <c r="K848" s="5">
        <v>1007273</v>
      </c>
      <c r="L848" s="5">
        <v>3613</v>
      </c>
      <c r="M848" s="5">
        <v>0</v>
      </c>
      <c r="N848" s="5">
        <v>25.23</v>
      </c>
      <c r="O848" s="7">
        <v>45992</v>
      </c>
      <c r="P848" s="5">
        <v>25.23</v>
      </c>
      <c r="Q848" s="5">
        <v>0</v>
      </c>
      <c r="R848" s="5" t="s">
        <v>32</v>
      </c>
      <c r="S848" s="5" t="s">
        <v>33</v>
      </c>
      <c r="T848" s="5">
        <v>0.25</v>
      </c>
      <c r="U848" s="5">
        <v>25.23</v>
      </c>
      <c r="V848" s="5" t="s">
        <v>34</v>
      </c>
      <c r="W848" s="5">
        <v>2</v>
      </c>
      <c r="X848" s="5">
        <v>1752388488939</v>
      </c>
      <c r="Y848" s="7">
        <v>46003</v>
      </c>
      <c r="Z848" s="7">
        <v>45992</v>
      </c>
      <c r="AB848" s="6">
        <v>46003</v>
      </c>
      <c r="AC848" s="7">
        <v>46003.063888888886</v>
      </c>
      <c r="AD848" s="5">
        <v>36131007273</v>
      </c>
      <c r="AE848" s="8">
        <v>45992</v>
      </c>
      <c r="AF848" s="5">
        <v>100625</v>
      </c>
      <c r="AG848" s="5" t="s">
        <v>37</v>
      </c>
      <c r="AH848" s="5">
        <v>205728</v>
      </c>
      <c r="AI848" s="6">
        <v>45992</v>
      </c>
      <c r="AJ848" s="6">
        <v>46003</v>
      </c>
      <c r="AK848" s="1">
        <f t="shared" si="397"/>
        <v>0.50460000000000005</v>
      </c>
      <c r="AL848" t="s">
        <v>673</v>
      </c>
      <c r="AM848">
        <f t="shared" si="398"/>
        <v>0.25</v>
      </c>
    </row>
    <row r="849" spans="1:39" hidden="1" x14ac:dyDescent="0.55000000000000004">
      <c r="A849">
        <v>3613</v>
      </c>
      <c r="B849">
        <v>1007312</v>
      </c>
      <c r="C849">
        <v>870.69</v>
      </c>
      <c r="E849">
        <v>870.69</v>
      </c>
      <c r="F849">
        <v>8.7100000000000009</v>
      </c>
      <c r="G849">
        <v>861.98</v>
      </c>
      <c r="H849"/>
      <c r="I849"/>
      <c r="J849" s="2">
        <v>46003</v>
      </c>
      <c r="K849" s="5">
        <v>1007312</v>
      </c>
      <c r="L849" s="5">
        <v>3613</v>
      </c>
      <c r="M849" s="5">
        <v>0</v>
      </c>
      <c r="N849" s="5">
        <v>870.69</v>
      </c>
      <c r="O849" s="7">
        <v>45992</v>
      </c>
      <c r="P849" s="5">
        <v>870.69</v>
      </c>
      <c r="Q849" s="5">
        <v>0</v>
      </c>
      <c r="R849" s="5" t="s">
        <v>32</v>
      </c>
      <c r="S849" s="5" t="s">
        <v>33</v>
      </c>
      <c r="T849" s="5">
        <v>8.7100000000000009</v>
      </c>
      <c r="U849" s="5">
        <v>861.98</v>
      </c>
      <c r="V849" s="5" t="s">
        <v>34</v>
      </c>
      <c r="W849" s="5">
        <v>2</v>
      </c>
      <c r="X849" s="5">
        <v>1752388488939</v>
      </c>
      <c r="Y849" s="7">
        <v>46003</v>
      </c>
      <c r="Z849" s="7">
        <v>45992</v>
      </c>
      <c r="AB849" s="6">
        <v>46003</v>
      </c>
      <c r="AC849" s="7">
        <v>46003.063888888886</v>
      </c>
      <c r="AD849" s="5">
        <v>36131007312</v>
      </c>
      <c r="AE849" s="8">
        <v>45992</v>
      </c>
      <c r="AF849" s="5" t="s">
        <v>462</v>
      </c>
      <c r="AG849" s="5" t="s">
        <v>38</v>
      </c>
      <c r="AH849" s="5">
        <v>205877</v>
      </c>
      <c r="AI849" s="6">
        <v>45992</v>
      </c>
      <c r="AJ849" s="6">
        <v>46003</v>
      </c>
    </row>
    <row r="850" spans="1:39" x14ac:dyDescent="0.55000000000000004">
      <c r="A850">
        <v>3613</v>
      </c>
      <c r="B850">
        <v>1007413</v>
      </c>
      <c r="C850">
        <v>109.38</v>
      </c>
      <c r="E850">
        <v>109.38</v>
      </c>
      <c r="F850">
        <v>1.0900000000000001</v>
      </c>
      <c r="G850">
        <v>109.38</v>
      </c>
      <c r="H850" s="14">
        <f>C850-D850-F850</f>
        <v>108.28999999999999</v>
      </c>
      <c r="I850" s="14" t="b">
        <f>G850=H850</f>
        <v>0</v>
      </c>
      <c r="J850" s="2">
        <v>46003</v>
      </c>
      <c r="K850" s="5">
        <v>1007413</v>
      </c>
      <c r="L850" s="5">
        <v>3613</v>
      </c>
      <c r="M850" s="5">
        <v>0</v>
      </c>
      <c r="N850" s="5">
        <v>109.38</v>
      </c>
      <c r="O850" s="7">
        <v>45992</v>
      </c>
      <c r="P850" s="5">
        <v>109.38</v>
      </c>
      <c r="Q850" s="5">
        <v>0</v>
      </c>
      <c r="R850" s="5" t="s">
        <v>32</v>
      </c>
      <c r="S850" s="5" t="s">
        <v>33</v>
      </c>
      <c r="T850" s="5">
        <v>1.0900000000000001</v>
      </c>
      <c r="U850" s="5">
        <v>109.38</v>
      </c>
      <c r="V850" s="5" t="s">
        <v>34</v>
      </c>
      <c r="W850" s="5">
        <v>2</v>
      </c>
      <c r="X850" s="5">
        <v>1752388488939</v>
      </c>
      <c r="Y850" s="7">
        <v>46003</v>
      </c>
      <c r="Z850" s="7">
        <v>45992</v>
      </c>
      <c r="AB850" s="6">
        <v>46003</v>
      </c>
      <c r="AC850" s="7">
        <v>46003.063888888886</v>
      </c>
      <c r="AD850" s="5">
        <v>36131007413</v>
      </c>
      <c r="AE850" s="8">
        <v>45992</v>
      </c>
      <c r="AF850" s="5">
        <v>111225</v>
      </c>
      <c r="AG850" s="5" t="s">
        <v>37</v>
      </c>
      <c r="AH850" s="5">
        <v>205953</v>
      </c>
      <c r="AI850" s="6">
        <v>45992</v>
      </c>
      <c r="AJ850" s="6">
        <v>46003</v>
      </c>
      <c r="AK850" s="1">
        <f t="shared" ref="AK850" si="399">0.02*C850</f>
        <v>2.1875999999999998</v>
      </c>
      <c r="AL850" t="s">
        <v>673</v>
      </c>
      <c r="AM850">
        <f>F850</f>
        <v>1.0900000000000001</v>
      </c>
    </row>
    <row r="851" spans="1:39" hidden="1" x14ac:dyDescent="0.55000000000000004">
      <c r="A851">
        <v>3613</v>
      </c>
      <c r="B851">
        <v>1007663</v>
      </c>
      <c r="C851">
        <v>350</v>
      </c>
      <c r="E851">
        <v>350</v>
      </c>
      <c r="F851">
        <v>3.5</v>
      </c>
      <c r="G851">
        <v>346.5</v>
      </c>
      <c r="H851"/>
      <c r="I851"/>
      <c r="J851" s="2">
        <v>46003</v>
      </c>
      <c r="K851" s="5">
        <v>1007663</v>
      </c>
      <c r="L851" s="5">
        <v>3613</v>
      </c>
      <c r="M851" s="5">
        <v>0</v>
      </c>
      <c r="N851" s="5">
        <v>350</v>
      </c>
      <c r="O851" s="7">
        <v>45993</v>
      </c>
      <c r="P851" s="5">
        <v>350</v>
      </c>
      <c r="Q851" s="5">
        <v>0</v>
      </c>
      <c r="R851" s="5" t="s">
        <v>32</v>
      </c>
      <c r="S851" s="5" t="s">
        <v>33</v>
      </c>
      <c r="T851" s="5">
        <v>3.5</v>
      </c>
      <c r="U851" s="5">
        <v>346.5</v>
      </c>
      <c r="V851" s="5" t="s">
        <v>34</v>
      </c>
      <c r="W851" s="5">
        <v>2</v>
      </c>
      <c r="X851" s="5">
        <v>1752388488939</v>
      </c>
      <c r="Y851" s="7">
        <v>46003</v>
      </c>
      <c r="Z851" s="7">
        <v>45993</v>
      </c>
      <c r="AB851" s="6">
        <v>46003</v>
      </c>
      <c r="AC851" s="7">
        <v>46003.063888888886</v>
      </c>
      <c r="AD851" s="5">
        <v>36131007663</v>
      </c>
      <c r="AE851" s="8">
        <v>45993</v>
      </c>
      <c r="AF851" s="5" t="s">
        <v>32</v>
      </c>
      <c r="AG851" s="5" t="s">
        <v>82</v>
      </c>
      <c r="AH851" s="5" t="s">
        <v>32</v>
      </c>
      <c r="AI851" s="6">
        <v>45993</v>
      </c>
      <c r="AJ851" s="6">
        <v>46003</v>
      </c>
    </row>
    <row r="852" spans="1:39" x14ac:dyDescent="0.55000000000000004">
      <c r="A852">
        <v>3613</v>
      </c>
      <c r="B852">
        <v>1007734</v>
      </c>
      <c r="C852" s="1">
        <v>1705.73</v>
      </c>
      <c r="E852" s="1">
        <v>1705.73</v>
      </c>
      <c r="F852">
        <v>17.059999999999999</v>
      </c>
      <c r="G852" s="1">
        <v>1705.73</v>
      </c>
      <c r="H852" s="14">
        <f t="shared" ref="H852:H855" si="400">C852-D852-F852</f>
        <v>1688.67</v>
      </c>
      <c r="I852" s="14" t="b">
        <f t="shared" ref="I852:I855" si="401">G852=H852</f>
        <v>0</v>
      </c>
      <c r="J852" s="2">
        <v>46003</v>
      </c>
      <c r="K852" s="5">
        <v>1007734</v>
      </c>
      <c r="L852" s="5">
        <v>3613</v>
      </c>
      <c r="M852" s="5">
        <v>0</v>
      </c>
      <c r="N852" s="5">
        <v>1705.73</v>
      </c>
      <c r="O852" s="7">
        <v>45993</v>
      </c>
      <c r="P852" s="5">
        <v>1705.73</v>
      </c>
      <c r="Q852" s="5">
        <v>0</v>
      </c>
      <c r="R852" s="5" t="s">
        <v>32</v>
      </c>
      <c r="S852" s="5" t="s">
        <v>33</v>
      </c>
      <c r="T852" s="5">
        <v>17.059999999999999</v>
      </c>
      <c r="U852" s="5">
        <v>1705.73</v>
      </c>
      <c r="V852" s="5" t="s">
        <v>34</v>
      </c>
      <c r="W852" s="5">
        <v>2</v>
      </c>
      <c r="X852" s="5">
        <v>1752388488939</v>
      </c>
      <c r="Y852" s="7">
        <v>46003</v>
      </c>
      <c r="Z852" s="7">
        <v>45993</v>
      </c>
      <c r="AB852" s="6">
        <v>46003</v>
      </c>
      <c r="AC852" s="7">
        <v>46003.063888888886</v>
      </c>
      <c r="AD852" s="5">
        <v>36131007734</v>
      </c>
      <c r="AE852" s="8">
        <v>45993</v>
      </c>
      <c r="AF852" s="5" t="s">
        <v>463</v>
      </c>
      <c r="AG852" s="5" t="s">
        <v>37</v>
      </c>
      <c r="AH852" s="5">
        <v>206190</v>
      </c>
      <c r="AI852" s="6">
        <v>45993</v>
      </c>
      <c r="AJ852" s="6">
        <v>46003</v>
      </c>
      <c r="AK852" s="1">
        <f t="shared" ref="AK852:AK855" si="402">0.02*C852</f>
        <v>34.114600000000003</v>
      </c>
      <c r="AL852" t="s">
        <v>673</v>
      </c>
      <c r="AM852">
        <f t="shared" ref="AM852:AM855" si="403">F852</f>
        <v>17.059999999999999</v>
      </c>
    </row>
    <row r="853" spans="1:39" x14ac:dyDescent="0.55000000000000004">
      <c r="A853">
        <v>3613</v>
      </c>
      <c r="B853">
        <v>1007856</v>
      </c>
      <c r="C853">
        <v>96.27</v>
      </c>
      <c r="E853">
        <v>96.27</v>
      </c>
      <c r="F853">
        <v>0.96</v>
      </c>
      <c r="G853">
        <v>96.27</v>
      </c>
      <c r="H853" s="14">
        <f t="shared" si="400"/>
        <v>95.31</v>
      </c>
      <c r="I853" s="14" t="b">
        <f t="shared" si="401"/>
        <v>0</v>
      </c>
      <c r="J853" s="2">
        <v>46003</v>
      </c>
      <c r="K853" s="5">
        <v>1007856</v>
      </c>
      <c r="L853" s="5">
        <v>3613</v>
      </c>
      <c r="M853" s="5">
        <v>0</v>
      </c>
      <c r="N853" s="5">
        <v>96.27</v>
      </c>
      <c r="O853" s="7">
        <v>45993</v>
      </c>
      <c r="P853" s="5">
        <v>96.27</v>
      </c>
      <c r="Q853" s="5">
        <v>0</v>
      </c>
      <c r="R853" s="5" t="s">
        <v>32</v>
      </c>
      <c r="S853" s="5" t="s">
        <v>33</v>
      </c>
      <c r="T853" s="5">
        <v>0.96</v>
      </c>
      <c r="U853" s="5">
        <v>96.27</v>
      </c>
      <c r="V853" s="5" t="s">
        <v>34</v>
      </c>
      <c r="W853" s="5">
        <v>2</v>
      </c>
      <c r="X853" s="5">
        <v>1752388488939</v>
      </c>
      <c r="Y853" s="7">
        <v>46003</v>
      </c>
      <c r="Z853" s="7">
        <v>45993</v>
      </c>
      <c r="AB853" s="6">
        <v>46003</v>
      </c>
      <c r="AC853" s="7">
        <v>46003.063888888886</v>
      </c>
      <c r="AD853" s="5">
        <v>36131007856</v>
      </c>
      <c r="AE853" s="8">
        <v>45993</v>
      </c>
      <c r="AF853" s="5" t="s">
        <v>463</v>
      </c>
      <c r="AG853" s="5" t="s">
        <v>37</v>
      </c>
      <c r="AH853" s="5">
        <v>206144</v>
      </c>
      <c r="AI853" s="6">
        <v>45993</v>
      </c>
      <c r="AJ853" s="6">
        <v>46003</v>
      </c>
      <c r="AK853" s="1">
        <f t="shared" si="402"/>
        <v>1.9254</v>
      </c>
      <c r="AL853" t="s">
        <v>673</v>
      </c>
      <c r="AM853">
        <f t="shared" si="403"/>
        <v>0.96</v>
      </c>
    </row>
    <row r="854" spans="1:39" x14ac:dyDescent="0.55000000000000004">
      <c r="A854">
        <v>3613</v>
      </c>
      <c r="B854">
        <v>1008035</v>
      </c>
      <c r="C854">
        <v>213.66</v>
      </c>
      <c r="E854">
        <v>213.66</v>
      </c>
      <c r="F854">
        <v>2.14</v>
      </c>
      <c r="G854">
        <v>213.66</v>
      </c>
      <c r="H854" s="14">
        <f t="shared" si="400"/>
        <v>211.52</v>
      </c>
      <c r="I854" s="14" t="b">
        <f t="shared" si="401"/>
        <v>0</v>
      </c>
      <c r="J854" s="2">
        <v>46003</v>
      </c>
      <c r="K854" s="5">
        <v>1008035</v>
      </c>
      <c r="L854" s="5">
        <v>3613</v>
      </c>
      <c r="M854" s="5">
        <v>0</v>
      </c>
      <c r="N854" s="5">
        <v>213.66</v>
      </c>
      <c r="O854" s="7">
        <v>45994</v>
      </c>
      <c r="P854" s="5">
        <v>213.66</v>
      </c>
      <c r="Q854" s="5">
        <v>0</v>
      </c>
      <c r="R854" s="5" t="s">
        <v>32</v>
      </c>
      <c r="S854" s="5" t="s">
        <v>33</v>
      </c>
      <c r="T854" s="5">
        <v>2.14</v>
      </c>
      <c r="U854" s="5">
        <v>213.66</v>
      </c>
      <c r="V854" s="5" t="s">
        <v>34</v>
      </c>
      <c r="W854" s="5">
        <v>2</v>
      </c>
      <c r="X854" s="5">
        <v>1752388488939</v>
      </c>
      <c r="Y854" s="7">
        <v>46003</v>
      </c>
      <c r="Z854" s="7">
        <v>45994</v>
      </c>
      <c r="AB854" s="6">
        <v>46003</v>
      </c>
      <c r="AC854" s="7">
        <v>46003.063888888886</v>
      </c>
      <c r="AD854" s="5">
        <v>36131008035</v>
      </c>
      <c r="AE854" s="8">
        <v>45994</v>
      </c>
      <c r="AF854" s="5" t="s">
        <v>460</v>
      </c>
      <c r="AG854" s="5" t="s">
        <v>37</v>
      </c>
      <c r="AH854" s="5">
        <v>206056</v>
      </c>
      <c r="AI854" s="6">
        <v>45994</v>
      </c>
      <c r="AJ854" s="6">
        <v>46003</v>
      </c>
      <c r="AK854" s="1">
        <f t="shared" si="402"/>
        <v>4.2732000000000001</v>
      </c>
      <c r="AL854" t="s">
        <v>673</v>
      </c>
      <c r="AM854">
        <f t="shared" si="403"/>
        <v>2.14</v>
      </c>
    </row>
    <row r="855" spans="1:39" x14ac:dyDescent="0.55000000000000004">
      <c r="A855">
        <v>3613</v>
      </c>
      <c r="B855">
        <v>1008037</v>
      </c>
      <c r="C855" s="1">
        <v>1009.4</v>
      </c>
      <c r="E855" s="1">
        <v>1009.4</v>
      </c>
      <c r="F855">
        <v>10.09</v>
      </c>
      <c r="G855" s="1">
        <v>1009.4</v>
      </c>
      <c r="H855" s="14">
        <f t="shared" si="400"/>
        <v>999.31</v>
      </c>
      <c r="I855" s="14" t="b">
        <f t="shared" si="401"/>
        <v>0</v>
      </c>
      <c r="J855" s="2">
        <v>46003</v>
      </c>
      <c r="K855" s="5">
        <v>1008037</v>
      </c>
      <c r="L855" s="5">
        <v>3613</v>
      </c>
      <c r="M855" s="5">
        <v>0</v>
      </c>
      <c r="N855" s="5">
        <v>1009.4</v>
      </c>
      <c r="O855" s="7">
        <v>45994</v>
      </c>
      <c r="P855" s="5">
        <v>1009.4</v>
      </c>
      <c r="Q855" s="5">
        <v>0</v>
      </c>
      <c r="R855" s="5" t="s">
        <v>32</v>
      </c>
      <c r="S855" s="5" t="s">
        <v>33</v>
      </c>
      <c r="T855" s="5">
        <v>10.09</v>
      </c>
      <c r="U855" s="5">
        <v>1009.4</v>
      </c>
      <c r="V855" s="5" t="s">
        <v>34</v>
      </c>
      <c r="W855" s="5">
        <v>2</v>
      </c>
      <c r="X855" s="5">
        <v>1752388488939</v>
      </c>
      <c r="Y855" s="7">
        <v>46003</v>
      </c>
      <c r="Z855" s="7">
        <v>45994</v>
      </c>
      <c r="AB855" s="6">
        <v>46003</v>
      </c>
      <c r="AC855" s="7">
        <v>46003.063888888886</v>
      </c>
      <c r="AD855" s="5">
        <v>36131008037</v>
      </c>
      <c r="AE855" s="8">
        <v>45994</v>
      </c>
      <c r="AF855" s="5" t="s">
        <v>464</v>
      </c>
      <c r="AG855" s="5" t="s">
        <v>37</v>
      </c>
      <c r="AH855" s="5">
        <v>206055</v>
      </c>
      <c r="AI855" s="6">
        <v>45994</v>
      </c>
      <c r="AJ855" s="6">
        <v>46003</v>
      </c>
      <c r="AK855" s="1">
        <f t="shared" si="402"/>
        <v>20.187999999999999</v>
      </c>
      <c r="AL855" t="s">
        <v>673</v>
      </c>
      <c r="AM855">
        <f t="shared" si="403"/>
        <v>10.09</v>
      </c>
    </row>
    <row r="856" spans="1:39" hidden="1" x14ac:dyDescent="0.55000000000000004">
      <c r="A856">
        <v>3613</v>
      </c>
      <c r="B856">
        <v>1008274</v>
      </c>
      <c r="C856">
        <v>-50</v>
      </c>
      <c r="E856">
        <v>-50</v>
      </c>
      <c r="G856">
        <v>-50</v>
      </c>
      <c r="H856"/>
      <c r="I856"/>
      <c r="J856" s="2">
        <v>46003</v>
      </c>
      <c r="K856" s="5">
        <v>1008274</v>
      </c>
      <c r="L856" s="5">
        <v>3613</v>
      </c>
      <c r="M856" s="5">
        <v>0</v>
      </c>
      <c r="N856" s="5">
        <v>-50</v>
      </c>
      <c r="O856" s="7">
        <v>45995</v>
      </c>
      <c r="P856" s="5">
        <v>-50</v>
      </c>
      <c r="Q856" s="5">
        <v>0</v>
      </c>
      <c r="R856" s="5" t="s">
        <v>40</v>
      </c>
      <c r="S856" s="5" t="s">
        <v>33</v>
      </c>
      <c r="T856" s="5">
        <v>0</v>
      </c>
      <c r="U856" s="5">
        <v>-50</v>
      </c>
      <c r="V856" s="5" t="s">
        <v>34</v>
      </c>
      <c r="W856" s="5">
        <v>2</v>
      </c>
      <c r="X856" s="5">
        <v>1752388488939</v>
      </c>
      <c r="Y856" s="7">
        <v>46003</v>
      </c>
      <c r="Z856" s="7">
        <v>45995</v>
      </c>
      <c r="AB856" s="6">
        <v>46003</v>
      </c>
      <c r="AC856" s="7">
        <v>46003.063888888886</v>
      </c>
      <c r="AD856" s="5">
        <v>36131008274</v>
      </c>
      <c r="AE856" s="8">
        <v>45995</v>
      </c>
      <c r="AF856" s="5" t="s">
        <v>41</v>
      </c>
      <c r="AG856" s="5" t="s">
        <v>38</v>
      </c>
      <c r="AH856" s="5" t="s">
        <v>40</v>
      </c>
      <c r="AI856" s="6">
        <v>45995</v>
      </c>
      <c r="AJ856" s="6">
        <v>46003</v>
      </c>
    </row>
    <row r="857" spans="1:39" hidden="1" x14ac:dyDescent="0.55000000000000004">
      <c r="A857">
        <v>3613</v>
      </c>
      <c r="B857">
        <v>1008381</v>
      </c>
      <c r="C857">
        <v>103.95</v>
      </c>
      <c r="E857">
        <v>103.95</v>
      </c>
      <c r="F857">
        <v>1.04</v>
      </c>
      <c r="G857">
        <v>102.91</v>
      </c>
      <c r="H857"/>
      <c r="I857"/>
      <c r="J857" s="2">
        <v>46003</v>
      </c>
      <c r="K857" s="5">
        <v>1008381</v>
      </c>
      <c r="L857" s="5">
        <v>3613</v>
      </c>
      <c r="M857" s="5">
        <v>0</v>
      </c>
      <c r="N857" s="5">
        <v>103.95</v>
      </c>
      <c r="O857" s="7">
        <v>45996</v>
      </c>
      <c r="P857" s="5">
        <v>103.95</v>
      </c>
      <c r="Q857" s="5">
        <v>0</v>
      </c>
      <c r="R857" s="5" t="s">
        <v>465</v>
      </c>
      <c r="S857" s="5" t="s">
        <v>138</v>
      </c>
      <c r="T857" s="5">
        <v>1.04</v>
      </c>
      <c r="U857" s="5">
        <v>102.91</v>
      </c>
      <c r="V857" s="5" t="s">
        <v>34</v>
      </c>
      <c r="W857" s="5">
        <v>2</v>
      </c>
      <c r="X857" s="5">
        <v>1752388488939</v>
      </c>
      <c r="Y857" s="7">
        <v>46003</v>
      </c>
      <c r="Z857" s="7">
        <v>45996</v>
      </c>
      <c r="AB857" s="6">
        <v>46003</v>
      </c>
      <c r="AC857" s="7">
        <v>46003.063888888886</v>
      </c>
      <c r="AD857" s="5">
        <v>36131008381</v>
      </c>
      <c r="AE857" s="8">
        <v>45996</v>
      </c>
      <c r="AF857" s="5">
        <v>213996</v>
      </c>
      <c r="AG857" s="5" t="s">
        <v>38</v>
      </c>
      <c r="AH857" s="5" t="s">
        <v>465</v>
      </c>
      <c r="AI857" s="6">
        <v>45996</v>
      </c>
      <c r="AJ857" s="6">
        <v>46003</v>
      </c>
    </row>
    <row r="858" spans="1:39" hidden="1" x14ac:dyDescent="0.55000000000000004">
      <c r="A858">
        <v>3613</v>
      </c>
      <c r="B858">
        <v>1008388</v>
      </c>
      <c r="C858">
        <v>237.6</v>
      </c>
      <c r="E858">
        <v>237.6</v>
      </c>
      <c r="F858">
        <v>2.38</v>
      </c>
      <c r="G858">
        <v>235.22</v>
      </c>
      <c r="H858"/>
      <c r="I858"/>
      <c r="J858" s="2">
        <v>46003</v>
      </c>
      <c r="K858" s="5">
        <v>1008388</v>
      </c>
      <c r="L858" s="5">
        <v>3613</v>
      </c>
      <c r="M858" s="5">
        <v>0</v>
      </c>
      <c r="N858" s="5">
        <v>237.6</v>
      </c>
      <c r="O858" s="7">
        <v>45996</v>
      </c>
      <c r="P858" s="5">
        <v>237.6</v>
      </c>
      <c r="Q858" s="5">
        <v>0</v>
      </c>
      <c r="R858" s="5" t="s">
        <v>466</v>
      </c>
      <c r="S858" s="5" t="s">
        <v>230</v>
      </c>
      <c r="T858" s="5">
        <v>2.38</v>
      </c>
      <c r="U858" s="5">
        <v>235.22</v>
      </c>
      <c r="V858" s="5" t="s">
        <v>34</v>
      </c>
      <c r="W858" s="5">
        <v>2</v>
      </c>
      <c r="X858" s="5">
        <v>1752388488939</v>
      </c>
      <c r="Y858" s="7">
        <v>46003</v>
      </c>
      <c r="Z858" s="7">
        <v>45996</v>
      </c>
      <c r="AB858" s="6">
        <v>46003</v>
      </c>
      <c r="AC858" s="7">
        <v>46003.063888888886</v>
      </c>
      <c r="AD858" s="5">
        <v>36131008388</v>
      </c>
      <c r="AE858" s="8">
        <v>45996</v>
      </c>
      <c r="AF858" s="5" t="s">
        <v>32</v>
      </c>
      <c r="AG858" s="5" t="s">
        <v>38</v>
      </c>
      <c r="AH858" s="5" t="s">
        <v>466</v>
      </c>
      <c r="AI858" s="6">
        <v>45996</v>
      </c>
      <c r="AJ858" s="6">
        <v>46003</v>
      </c>
    </row>
    <row r="859" spans="1:39" x14ac:dyDescent="0.55000000000000004">
      <c r="A859">
        <v>3613</v>
      </c>
      <c r="B859">
        <v>1008559</v>
      </c>
      <c r="C859">
        <v>73.75</v>
      </c>
      <c r="E859">
        <v>73.75</v>
      </c>
      <c r="F859">
        <v>0.74</v>
      </c>
      <c r="G859">
        <v>73.75</v>
      </c>
      <c r="H859" s="14">
        <f t="shared" ref="H859:H861" si="404">C859-D859-F859</f>
        <v>73.010000000000005</v>
      </c>
      <c r="I859" s="14" t="b">
        <f t="shared" ref="I859:I861" si="405">G859=H859</f>
        <v>0</v>
      </c>
      <c r="J859" s="2">
        <v>46003</v>
      </c>
      <c r="K859" s="5">
        <v>1008559</v>
      </c>
      <c r="L859" s="5">
        <v>3613</v>
      </c>
      <c r="M859" s="5">
        <v>0</v>
      </c>
      <c r="N859" s="5">
        <v>73.75</v>
      </c>
      <c r="O859" s="7">
        <v>45996</v>
      </c>
      <c r="P859" s="5">
        <v>73.75</v>
      </c>
      <c r="Q859" s="5">
        <v>0</v>
      </c>
      <c r="R859" s="5" t="s">
        <v>32</v>
      </c>
      <c r="S859" s="5" t="s">
        <v>33</v>
      </c>
      <c r="T859" s="5">
        <v>0.74</v>
      </c>
      <c r="U859" s="5">
        <v>73.75</v>
      </c>
      <c r="V859" s="5" t="s">
        <v>34</v>
      </c>
      <c r="W859" s="5">
        <v>2</v>
      </c>
      <c r="X859" s="5">
        <v>1752388488939</v>
      </c>
      <c r="Y859" s="7">
        <v>46003</v>
      </c>
      <c r="Z859" s="7">
        <v>45996</v>
      </c>
      <c r="AB859" s="6">
        <v>46003</v>
      </c>
      <c r="AC859" s="7">
        <v>46003.063888888886</v>
      </c>
      <c r="AD859" s="5">
        <v>36131008559</v>
      </c>
      <c r="AE859" s="8">
        <v>45996</v>
      </c>
      <c r="AF859" s="5" t="s">
        <v>467</v>
      </c>
      <c r="AG859" s="5" t="s">
        <v>37</v>
      </c>
      <c r="AH859" s="5">
        <v>206594</v>
      </c>
      <c r="AI859" s="6">
        <v>45996</v>
      </c>
      <c r="AJ859" s="6">
        <v>46003</v>
      </c>
      <c r="AK859" s="1">
        <f t="shared" ref="AK859:AK861" si="406">0.02*C859</f>
        <v>1.4750000000000001</v>
      </c>
      <c r="AL859" t="s">
        <v>673</v>
      </c>
      <c r="AM859">
        <f t="shared" ref="AM859:AM861" si="407">F859</f>
        <v>0.74</v>
      </c>
    </row>
    <row r="860" spans="1:39" x14ac:dyDescent="0.55000000000000004">
      <c r="A860">
        <v>3613</v>
      </c>
      <c r="B860">
        <v>1008561</v>
      </c>
      <c r="C860">
        <v>28.6</v>
      </c>
      <c r="E860">
        <v>28.6</v>
      </c>
      <c r="F860">
        <v>0.28999999999999998</v>
      </c>
      <c r="G860">
        <v>28.6</v>
      </c>
      <c r="H860" s="14">
        <f t="shared" si="404"/>
        <v>28.310000000000002</v>
      </c>
      <c r="I860" s="14" t="b">
        <f t="shared" si="405"/>
        <v>0</v>
      </c>
      <c r="J860" s="2">
        <v>46003</v>
      </c>
      <c r="K860" s="5">
        <v>1008561</v>
      </c>
      <c r="L860" s="5">
        <v>3613</v>
      </c>
      <c r="M860" s="5">
        <v>0</v>
      </c>
      <c r="N860" s="5">
        <v>28.6</v>
      </c>
      <c r="O860" s="7">
        <v>45996</v>
      </c>
      <c r="P860" s="5">
        <v>28.6</v>
      </c>
      <c r="Q860" s="5">
        <v>0</v>
      </c>
      <c r="R860" s="5" t="s">
        <v>32</v>
      </c>
      <c r="S860" s="5" t="s">
        <v>33</v>
      </c>
      <c r="T860" s="5">
        <v>0.28999999999999998</v>
      </c>
      <c r="U860" s="5">
        <v>28.6</v>
      </c>
      <c r="V860" s="5" t="s">
        <v>34</v>
      </c>
      <c r="W860" s="5">
        <v>2</v>
      </c>
      <c r="X860" s="5">
        <v>1752388488939</v>
      </c>
      <c r="Y860" s="7">
        <v>46003</v>
      </c>
      <c r="Z860" s="7">
        <v>45996</v>
      </c>
      <c r="AB860" s="6">
        <v>46003</v>
      </c>
      <c r="AC860" s="7">
        <v>46003.063888888886</v>
      </c>
      <c r="AD860" s="5">
        <v>36131008561</v>
      </c>
      <c r="AE860" s="8">
        <v>45996</v>
      </c>
      <c r="AF860" s="5">
        <v>101725</v>
      </c>
      <c r="AG860" s="5" t="s">
        <v>37</v>
      </c>
      <c r="AH860" s="5">
        <v>206593</v>
      </c>
      <c r="AI860" s="6">
        <v>45996</v>
      </c>
      <c r="AJ860" s="6">
        <v>46003</v>
      </c>
      <c r="AK860" s="1">
        <f t="shared" si="406"/>
        <v>0.57200000000000006</v>
      </c>
      <c r="AL860" t="s">
        <v>673</v>
      </c>
      <c r="AM860">
        <f t="shared" si="407"/>
        <v>0.28999999999999998</v>
      </c>
    </row>
    <row r="861" spans="1:39" x14ac:dyDescent="0.55000000000000004">
      <c r="A861">
        <v>3613</v>
      </c>
      <c r="B861">
        <v>1008562</v>
      </c>
      <c r="C861">
        <v>27.25</v>
      </c>
      <c r="E861">
        <v>27.25</v>
      </c>
      <c r="F861">
        <v>0.27</v>
      </c>
      <c r="G861">
        <v>27.25</v>
      </c>
      <c r="H861" s="14">
        <f t="shared" si="404"/>
        <v>26.98</v>
      </c>
      <c r="I861" s="14" t="b">
        <f t="shared" si="405"/>
        <v>0</v>
      </c>
      <c r="J861" s="2">
        <v>46003</v>
      </c>
      <c r="K861" s="5">
        <v>1008562</v>
      </c>
      <c r="L861" s="5">
        <v>3613</v>
      </c>
      <c r="M861" s="5">
        <v>0</v>
      </c>
      <c r="N861" s="5">
        <v>27.25</v>
      </c>
      <c r="O861" s="7">
        <v>45996</v>
      </c>
      <c r="P861" s="5">
        <v>27.25</v>
      </c>
      <c r="Q861" s="5">
        <v>0</v>
      </c>
      <c r="R861" s="5" t="s">
        <v>32</v>
      </c>
      <c r="S861" s="5" t="s">
        <v>33</v>
      </c>
      <c r="T861" s="5">
        <v>0.27</v>
      </c>
      <c r="U861" s="5">
        <v>27.25</v>
      </c>
      <c r="V861" s="5" t="s">
        <v>34</v>
      </c>
      <c r="W861" s="5">
        <v>2</v>
      </c>
      <c r="X861" s="5">
        <v>1752388488939</v>
      </c>
      <c r="Y861" s="7">
        <v>46003</v>
      </c>
      <c r="Z861" s="7">
        <v>45996</v>
      </c>
      <c r="AB861" s="6">
        <v>46003</v>
      </c>
      <c r="AC861" s="7">
        <v>46003.063888888886</v>
      </c>
      <c r="AD861" s="5">
        <v>36131008562</v>
      </c>
      <c r="AE861" s="8">
        <v>45996</v>
      </c>
      <c r="AF861" s="5" t="s">
        <v>468</v>
      </c>
      <c r="AG861" s="5" t="s">
        <v>37</v>
      </c>
      <c r="AH861" s="5">
        <v>206595</v>
      </c>
      <c r="AI861" s="6">
        <v>45996</v>
      </c>
      <c r="AJ861" s="6">
        <v>46003</v>
      </c>
      <c r="AK861" s="1">
        <f t="shared" si="406"/>
        <v>0.54500000000000004</v>
      </c>
      <c r="AL861" t="s">
        <v>673</v>
      </c>
      <c r="AM861">
        <f t="shared" si="407"/>
        <v>0.27</v>
      </c>
    </row>
    <row r="862" spans="1:39" hidden="1" x14ac:dyDescent="0.55000000000000004">
      <c r="A862">
        <v>3613</v>
      </c>
      <c r="B862">
        <v>1008975</v>
      </c>
      <c r="C862">
        <v>-931.5</v>
      </c>
      <c r="E862">
        <v>-931.5</v>
      </c>
      <c r="G862">
        <v>-931.5</v>
      </c>
      <c r="H862"/>
      <c r="I862"/>
      <c r="J862" s="2">
        <v>46003</v>
      </c>
      <c r="K862" s="5">
        <v>1008975</v>
      </c>
      <c r="L862" s="5">
        <v>3613</v>
      </c>
      <c r="M862" s="5">
        <v>0</v>
      </c>
      <c r="N862" s="5">
        <v>-931.5</v>
      </c>
      <c r="O862" s="7">
        <v>46000</v>
      </c>
      <c r="P862" s="5">
        <v>-931.5</v>
      </c>
      <c r="Q862" s="5">
        <v>0</v>
      </c>
      <c r="R862" s="5">
        <v>1008975</v>
      </c>
      <c r="S862" s="5" t="s">
        <v>33</v>
      </c>
      <c r="T862" s="5">
        <v>0</v>
      </c>
      <c r="U862" s="5">
        <v>-931.5</v>
      </c>
      <c r="V862" s="5" t="s">
        <v>34</v>
      </c>
      <c r="W862" s="5">
        <v>2</v>
      </c>
      <c r="X862" s="5">
        <v>1752388488939</v>
      </c>
      <c r="Y862" s="7">
        <v>46003</v>
      </c>
      <c r="Z862" s="7">
        <v>46000</v>
      </c>
      <c r="AB862" s="6">
        <v>46003</v>
      </c>
      <c r="AC862" s="7">
        <v>46003.063888888886</v>
      </c>
      <c r="AD862" s="5">
        <v>36131008975</v>
      </c>
      <c r="AE862" s="8">
        <v>46000</v>
      </c>
      <c r="AF862" s="5" t="s">
        <v>469</v>
      </c>
      <c r="AG862" s="5" t="s">
        <v>38</v>
      </c>
      <c r="AH862" s="5" t="s">
        <v>470</v>
      </c>
      <c r="AI862" s="6">
        <v>46000</v>
      </c>
      <c r="AJ862" s="6">
        <v>46003</v>
      </c>
    </row>
    <row r="863" spans="1:39" hidden="1" x14ac:dyDescent="0.55000000000000004">
      <c r="A863">
        <v>3613</v>
      </c>
      <c r="B863">
        <v>1008976</v>
      </c>
      <c r="C863">
        <v>-607.5</v>
      </c>
      <c r="E863">
        <v>-607.5</v>
      </c>
      <c r="G863">
        <v>-607.5</v>
      </c>
      <c r="H863"/>
      <c r="I863"/>
      <c r="J863" s="2">
        <v>46003</v>
      </c>
      <c r="K863" s="5">
        <v>1008976</v>
      </c>
      <c r="L863" s="5">
        <v>3613</v>
      </c>
      <c r="M863" s="5">
        <v>0</v>
      </c>
      <c r="N863" s="5">
        <v>-607.5</v>
      </c>
      <c r="O863" s="7">
        <v>46000</v>
      </c>
      <c r="P863" s="5">
        <v>-607.5</v>
      </c>
      <c r="Q863" s="5">
        <v>0</v>
      </c>
      <c r="R863" s="5">
        <v>1008976</v>
      </c>
      <c r="S863" s="5" t="s">
        <v>33</v>
      </c>
      <c r="T863" s="5">
        <v>0</v>
      </c>
      <c r="U863" s="5">
        <v>-607.5</v>
      </c>
      <c r="V863" s="5" t="s">
        <v>34</v>
      </c>
      <c r="W863" s="5">
        <v>2</v>
      </c>
      <c r="X863" s="5">
        <v>1752388488939</v>
      </c>
      <c r="Y863" s="7">
        <v>46003</v>
      </c>
      <c r="Z863" s="7">
        <v>46000</v>
      </c>
      <c r="AB863" s="6">
        <v>46003</v>
      </c>
      <c r="AC863" s="7">
        <v>46003.063888888886</v>
      </c>
      <c r="AD863" s="5">
        <v>36131008976</v>
      </c>
      <c r="AE863" s="8">
        <v>46000</v>
      </c>
      <c r="AF863" s="5" t="s">
        <v>471</v>
      </c>
      <c r="AG863" s="5" t="s">
        <v>38</v>
      </c>
      <c r="AH863" s="5" t="s">
        <v>472</v>
      </c>
      <c r="AI863" s="6">
        <v>46000</v>
      </c>
      <c r="AJ863" s="6">
        <v>46003</v>
      </c>
    </row>
    <row r="864" spans="1:39" hidden="1" x14ac:dyDescent="0.55000000000000004">
      <c r="A864">
        <v>3613</v>
      </c>
      <c r="B864">
        <v>1008977</v>
      </c>
      <c r="C864">
        <v>-640</v>
      </c>
      <c r="E864">
        <v>-640</v>
      </c>
      <c r="G864">
        <v>-640</v>
      </c>
      <c r="H864"/>
      <c r="I864"/>
      <c r="J864" s="2">
        <v>46003</v>
      </c>
      <c r="K864" s="5">
        <v>1008977</v>
      </c>
      <c r="L864" s="5">
        <v>3613</v>
      </c>
      <c r="M864" s="5">
        <v>0</v>
      </c>
      <c r="N864" s="5">
        <v>-640</v>
      </c>
      <c r="O864" s="7">
        <v>46000</v>
      </c>
      <c r="P864" s="5">
        <v>-640</v>
      </c>
      <c r="Q864" s="5">
        <v>0</v>
      </c>
      <c r="R864" s="5">
        <v>1008977</v>
      </c>
      <c r="S864" s="5" t="s">
        <v>33</v>
      </c>
      <c r="T864" s="5">
        <v>0</v>
      </c>
      <c r="U864" s="5">
        <v>-640</v>
      </c>
      <c r="V864" s="5" t="s">
        <v>34</v>
      </c>
      <c r="W864" s="5">
        <v>2</v>
      </c>
      <c r="X864" s="5">
        <v>1752388488939</v>
      </c>
      <c r="Y864" s="7">
        <v>46003</v>
      </c>
      <c r="Z864" s="7">
        <v>46000</v>
      </c>
      <c r="AB864" s="6">
        <v>46003</v>
      </c>
      <c r="AC864" s="7">
        <v>46003.063888888886</v>
      </c>
      <c r="AD864" s="5">
        <v>36131008977</v>
      </c>
      <c r="AE864" s="8">
        <v>46000</v>
      </c>
      <c r="AF864" s="5" t="s">
        <v>473</v>
      </c>
      <c r="AG864" s="5" t="s">
        <v>38</v>
      </c>
      <c r="AH864" s="5" t="s">
        <v>474</v>
      </c>
      <c r="AI864" s="6">
        <v>46000</v>
      </c>
      <c r="AJ864" s="6">
        <v>46003</v>
      </c>
    </row>
    <row r="865" spans="1:39" hidden="1" x14ac:dyDescent="0.55000000000000004">
      <c r="A865">
        <v>3613</v>
      </c>
      <c r="B865">
        <v>1009774</v>
      </c>
      <c r="C865">
        <v>-100.64</v>
      </c>
      <c r="E865">
        <v>-100.64</v>
      </c>
      <c r="G865">
        <v>-100.64</v>
      </c>
      <c r="H865"/>
      <c r="I865"/>
      <c r="J865" s="2">
        <v>46003</v>
      </c>
      <c r="K865" s="5">
        <v>1009774</v>
      </c>
      <c r="L865" s="5">
        <v>3613</v>
      </c>
      <c r="M865" s="5">
        <v>0</v>
      </c>
      <c r="N865" s="5">
        <v>-100.64</v>
      </c>
      <c r="O865" s="7">
        <v>46002</v>
      </c>
      <c r="P865" s="5">
        <v>-100.64</v>
      </c>
      <c r="Q865" s="5">
        <v>0</v>
      </c>
      <c r="R865" s="5">
        <v>1009774</v>
      </c>
      <c r="S865" s="5" t="s">
        <v>33</v>
      </c>
      <c r="T865" s="5">
        <v>0</v>
      </c>
      <c r="U865" s="5">
        <v>-100.64</v>
      </c>
      <c r="V865" s="5" t="s">
        <v>34</v>
      </c>
      <c r="W865" s="5">
        <v>2</v>
      </c>
      <c r="X865" s="5">
        <v>1752388488939</v>
      </c>
      <c r="Y865" s="7">
        <v>46003</v>
      </c>
      <c r="Z865" s="7">
        <v>46002</v>
      </c>
      <c r="AB865" s="6">
        <v>46003</v>
      </c>
      <c r="AC865" s="7">
        <v>46003.063888888886</v>
      </c>
      <c r="AD865" s="5">
        <v>36131009774</v>
      </c>
      <c r="AE865" s="8">
        <v>46002</v>
      </c>
      <c r="AF865" s="5">
        <v>142065</v>
      </c>
      <c r="AG865" s="5" t="s">
        <v>38</v>
      </c>
      <c r="AH865" s="5">
        <v>53542</v>
      </c>
      <c r="AI865" s="6">
        <v>46002</v>
      </c>
      <c r="AJ865" s="6">
        <v>46003</v>
      </c>
    </row>
    <row r="866" spans="1:39" x14ac:dyDescent="0.55000000000000004">
      <c r="A866">
        <v>3627</v>
      </c>
      <c r="B866">
        <v>1007190</v>
      </c>
      <c r="C866">
        <v>322.14</v>
      </c>
      <c r="E866">
        <v>322.14</v>
      </c>
      <c r="F866">
        <v>3.22</v>
      </c>
      <c r="G866">
        <v>322.14</v>
      </c>
      <c r="H866" s="14">
        <f>C866-D866-F866</f>
        <v>318.91999999999996</v>
      </c>
      <c r="I866" s="14" t="b">
        <f>G866=H866</f>
        <v>0</v>
      </c>
      <c r="J866" s="2">
        <v>46003</v>
      </c>
      <c r="K866" s="5">
        <v>1007190</v>
      </c>
      <c r="L866" s="5">
        <v>3627</v>
      </c>
      <c r="M866" s="5">
        <v>0</v>
      </c>
      <c r="N866" s="5">
        <v>322.14</v>
      </c>
      <c r="O866" s="7">
        <v>45992</v>
      </c>
      <c r="P866" s="5">
        <v>322.14</v>
      </c>
      <c r="Q866" s="5">
        <v>0</v>
      </c>
      <c r="R866" s="5" t="s">
        <v>32</v>
      </c>
      <c r="S866" s="5" t="s">
        <v>33</v>
      </c>
      <c r="T866" s="5">
        <v>3.22</v>
      </c>
      <c r="U866" s="5">
        <v>322.14</v>
      </c>
      <c r="V866" s="5" t="s">
        <v>34</v>
      </c>
      <c r="W866" s="5">
        <v>10</v>
      </c>
      <c r="X866" s="5" t="s">
        <v>479</v>
      </c>
      <c r="Y866" s="7">
        <v>46003</v>
      </c>
      <c r="Z866" s="7">
        <v>45992</v>
      </c>
      <c r="AA866" s="5" t="s">
        <v>32</v>
      </c>
      <c r="AB866" s="6">
        <v>46003</v>
      </c>
      <c r="AC866" s="7">
        <v>46003.572916666664</v>
      </c>
      <c r="AD866" s="5">
        <v>36271007190</v>
      </c>
      <c r="AE866" s="8">
        <v>45992</v>
      </c>
      <c r="AF866" s="5">
        <v>20934</v>
      </c>
      <c r="AG866" s="5" t="s">
        <v>37</v>
      </c>
      <c r="AH866" s="5">
        <v>205733</v>
      </c>
      <c r="AI866" s="6">
        <v>45992</v>
      </c>
      <c r="AJ866" s="6">
        <v>46003</v>
      </c>
      <c r="AK866" s="1">
        <f t="shared" ref="AK866" si="408">0.02*C866</f>
        <v>6.4428000000000001</v>
      </c>
      <c r="AL866" t="s">
        <v>673</v>
      </c>
      <c r="AM866">
        <f>F866</f>
        <v>3.22</v>
      </c>
    </row>
    <row r="867" spans="1:39" hidden="1" x14ac:dyDescent="0.55000000000000004">
      <c r="A867">
        <v>3627</v>
      </c>
      <c r="B867">
        <v>1007556</v>
      </c>
      <c r="C867" s="1">
        <v>3990</v>
      </c>
      <c r="E867" s="1">
        <v>3990</v>
      </c>
      <c r="F867">
        <v>39.9</v>
      </c>
      <c r="G867" s="1">
        <v>3950.1</v>
      </c>
      <c r="H867" s="1"/>
      <c r="I867" s="1"/>
      <c r="J867" s="2">
        <v>46003</v>
      </c>
      <c r="K867" s="5">
        <v>1007556</v>
      </c>
      <c r="L867" s="5">
        <v>3627</v>
      </c>
      <c r="M867" s="5">
        <v>0</v>
      </c>
      <c r="N867" s="5">
        <v>3990</v>
      </c>
      <c r="O867" s="7">
        <v>45993</v>
      </c>
      <c r="P867" s="5">
        <v>3990</v>
      </c>
      <c r="Q867" s="5">
        <v>0</v>
      </c>
      <c r="R867" s="5" t="s">
        <v>32</v>
      </c>
      <c r="S867" s="5" t="s">
        <v>33</v>
      </c>
      <c r="T867" s="5">
        <v>39.9</v>
      </c>
      <c r="U867" s="5">
        <v>3950.1</v>
      </c>
      <c r="V867" s="5" t="s">
        <v>34</v>
      </c>
      <c r="W867" s="5">
        <v>10</v>
      </c>
      <c r="X867" s="5" t="s">
        <v>479</v>
      </c>
      <c r="Y867" s="7">
        <v>46003</v>
      </c>
      <c r="Z867" s="7">
        <v>45993</v>
      </c>
      <c r="AA867" s="5" t="s">
        <v>32</v>
      </c>
      <c r="AB867" s="6">
        <v>46003</v>
      </c>
      <c r="AC867" s="7">
        <v>46003.572916666664</v>
      </c>
      <c r="AD867" s="5">
        <v>36271007556</v>
      </c>
      <c r="AE867" s="8">
        <v>45993</v>
      </c>
      <c r="AF867" s="5" t="s">
        <v>32</v>
      </c>
      <c r="AG867" s="5" t="s">
        <v>35</v>
      </c>
      <c r="AH867" s="5" t="s">
        <v>32</v>
      </c>
      <c r="AI867" s="6">
        <v>45993</v>
      </c>
      <c r="AJ867" s="6">
        <v>46003</v>
      </c>
    </row>
    <row r="868" spans="1:39" hidden="1" x14ac:dyDescent="0.55000000000000004">
      <c r="A868">
        <v>3627</v>
      </c>
      <c r="B868">
        <v>1007804</v>
      </c>
      <c r="C868" s="1">
        <v>4616.76</v>
      </c>
      <c r="E868" s="1">
        <v>4616.76</v>
      </c>
      <c r="F868">
        <v>46.17</v>
      </c>
      <c r="G868" s="1">
        <v>4570.59</v>
      </c>
      <c r="H868" s="1"/>
      <c r="I868" s="1"/>
      <c r="J868" s="2">
        <v>46003</v>
      </c>
      <c r="K868" s="5">
        <v>1007804</v>
      </c>
      <c r="L868" s="5">
        <v>3627</v>
      </c>
      <c r="M868" s="5">
        <v>0</v>
      </c>
      <c r="N868" s="5">
        <v>4616.76</v>
      </c>
      <c r="O868" s="7">
        <v>45993</v>
      </c>
      <c r="P868" s="5">
        <v>4616.76</v>
      </c>
      <c r="Q868" s="5">
        <v>0</v>
      </c>
      <c r="R868" s="5" t="s">
        <v>32</v>
      </c>
      <c r="S868" s="5" t="s">
        <v>33</v>
      </c>
      <c r="T868" s="5">
        <v>46.17</v>
      </c>
      <c r="U868" s="5">
        <v>4570.59</v>
      </c>
      <c r="V868" s="5" t="s">
        <v>34</v>
      </c>
      <c r="W868" s="5">
        <v>10</v>
      </c>
      <c r="X868" s="5" t="s">
        <v>479</v>
      </c>
      <c r="Y868" s="7">
        <v>46003</v>
      </c>
      <c r="Z868" s="7">
        <v>45993</v>
      </c>
      <c r="AA868" s="5" t="s">
        <v>32</v>
      </c>
      <c r="AB868" s="6">
        <v>46003</v>
      </c>
      <c r="AC868" s="7">
        <v>46003.572916666664</v>
      </c>
      <c r="AD868" s="5">
        <v>36271007804</v>
      </c>
      <c r="AE868" s="8">
        <v>45993</v>
      </c>
      <c r="AF868" s="5" t="s">
        <v>480</v>
      </c>
      <c r="AG868" s="5" t="s">
        <v>38</v>
      </c>
      <c r="AH868" s="5">
        <v>206088</v>
      </c>
      <c r="AI868" s="6">
        <v>45993</v>
      </c>
      <c r="AJ868" s="6">
        <v>46003</v>
      </c>
    </row>
    <row r="869" spans="1:39" hidden="1" x14ac:dyDescent="0.55000000000000004">
      <c r="A869">
        <v>3627</v>
      </c>
      <c r="B869">
        <v>1007808</v>
      </c>
      <c r="C869" s="1">
        <v>1739.21</v>
      </c>
      <c r="E869" s="1">
        <v>1739.21</v>
      </c>
      <c r="F869">
        <v>17.39</v>
      </c>
      <c r="G869" s="1">
        <v>1721.82</v>
      </c>
      <c r="H869" s="1"/>
      <c r="I869" s="1"/>
      <c r="J869" s="2">
        <v>46003</v>
      </c>
      <c r="K869" s="5">
        <v>1007808</v>
      </c>
      <c r="L869" s="5">
        <v>3627</v>
      </c>
      <c r="M869" s="5">
        <v>0</v>
      </c>
      <c r="N869" s="5">
        <v>1739.21</v>
      </c>
      <c r="O869" s="7">
        <v>45993</v>
      </c>
      <c r="P869" s="5">
        <v>1739.21</v>
      </c>
      <c r="Q869" s="5">
        <v>0</v>
      </c>
      <c r="R869" s="5" t="s">
        <v>32</v>
      </c>
      <c r="S869" s="5" t="s">
        <v>33</v>
      </c>
      <c r="T869" s="5">
        <v>17.39</v>
      </c>
      <c r="U869" s="5">
        <v>1721.82</v>
      </c>
      <c r="V869" s="5" t="s">
        <v>34</v>
      </c>
      <c r="W869" s="5">
        <v>10</v>
      </c>
      <c r="X869" s="5" t="s">
        <v>479</v>
      </c>
      <c r="Y869" s="7">
        <v>46003</v>
      </c>
      <c r="Z869" s="7">
        <v>45993</v>
      </c>
      <c r="AA869" s="5" t="s">
        <v>32</v>
      </c>
      <c r="AB869" s="6">
        <v>46003</v>
      </c>
      <c r="AC869" s="7">
        <v>46003.572916666664</v>
      </c>
      <c r="AD869" s="5">
        <v>36271007808</v>
      </c>
      <c r="AE869" s="8">
        <v>45993</v>
      </c>
      <c r="AF869" s="5" t="s">
        <v>481</v>
      </c>
      <c r="AG869" s="5" t="s">
        <v>38</v>
      </c>
      <c r="AH869" s="5">
        <v>206089</v>
      </c>
      <c r="AI869" s="6">
        <v>45993</v>
      </c>
      <c r="AJ869" s="6">
        <v>46003</v>
      </c>
    </row>
    <row r="870" spans="1:39" x14ac:dyDescent="0.55000000000000004">
      <c r="A870">
        <v>3627</v>
      </c>
      <c r="B870">
        <v>1008041</v>
      </c>
      <c r="C870">
        <v>672.93</v>
      </c>
      <c r="E870">
        <v>672.93</v>
      </c>
      <c r="F870">
        <v>6.73</v>
      </c>
      <c r="G870">
        <v>672.93</v>
      </c>
      <c r="H870" s="14">
        <f t="shared" ref="H870:H871" si="409">C870-D870-F870</f>
        <v>666.19999999999993</v>
      </c>
      <c r="I870" s="14" t="b">
        <f t="shared" ref="I870:I871" si="410">G870=H870</f>
        <v>0</v>
      </c>
      <c r="J870" s="2">
        <v>46003</v>
      </c>
      <c r="K870" s="5">
        <v>1008041</v>
      </c>
      <c r="L870" s="5">
        <v>3627</v>
      </c>
      <c r="M870" s="5">
        <v>0</v>
      </c>
      <c r="N870" s="5">
        <v>672.93</v>
      </c>
      <c r="O870" s="7">
        <v>45994</v>
      </c>
      <c r="P870" s="5">
        <v>672.93</v>
      </c>
      <c r="Q870" s="5">
        <v>0</v>
      </c>
      <c r="R870" s="5" t="s">
        <v>32</v>
      </c>
      <c r="S870" s="5" t="s">
        <v>33</v>
      </c>
      <c r="T870" s="5">
        <v>6.73</v>
      </c>
      <c r="U870" s="5">
        <v>672.93</v>
      </c>
      <c r="V870" s="5" t="s">
        <v>34</v>
      </c>
      <c r="W870" s="5">
        <v>10</v>
      </c>
      <c r="X870" s="5" t="s">
        <v>479</v>
      </c>
      <c r="Y870" s="7">
        <v>46003</v>
      </c>
      <c r="Z870" s="7">
        <v>45994</v>
      </c>
      <c r="AA870" s="5" t="s">
        <v>32</v>
      </c>
      <c r="AB870" s="6">
        <v>46003</v>
      </c>
      <c r="AC870" s="7">
        <v>46003.572916666664</v>
      </c>
      <c r="AD870" s="5">
        <v>36271008041</v>
      </c>
      <c r="AE870" s="8">
        <v>45994</v>
      </c>
      <c r="AF870" s="5" t="s">
        <v>482</v>
      </c>
      <c r="AG870" s="5" t="s">
        <v>37</v>
      </c>
      <c r="AH870" s="5">
        <v>206057</v>
      </c>
      <c r="AI870" s="6">
        <v>45994</v>
      </c>
      <c r="AJ870" s="6">
        <v>46003</v>
      </c>
      <c r="AK870" s="1">
        <f t="shared" ref="AK870:AK871" si="411">0.02*C870</f>
        <v>13.458599999999999</v>
      </c>
      <c r="AL870" t="s">
        <v>673</v>
      </c>
      <c r="AM870">
        <f t="shared" ref="AM870:AM871" si="412">F870</f>
        <v>6.73</v>
      </c>
    </row>
    <row r="871" spans="1:39" x14ac:dyDescent="0.55000000000000004">
      <c r="A871">
        <v>3627</v>
      </c>
      <c r="B871">
        <v>1008119</v>
      </c>
      <c r="C871">
        <v>52.65</v>
      </c>
      <c r="E871">
        <v>52.65</v>
      </c>
      <c r="F871">
        <v>0.53</v>
      </c>
      <c r="G871">
        <v>52.65</v>
      </c>
      <c r="H871" s="14">
        <f t="shared" si="409"/>
        <v>52.12</v>
      </c>
      <c r="I871" s="14" t="b">
        <f t="shared" si="410"/>
        <v>0</v>
      </c>
      <c r="J871" s="2">
        <v>46003</v>
      </c>
      <c r="K871" s="5">
        <v>1008119</v>
      </c>
      <c r="L871" s="5">
        <v>3627</v>
      </c>
      <c r="M871" s="5">
        <v>0</v>
      </c>
      <c r="N871" s="5">
        <v>52.65</v>
      </c>
      <c r="O871" s="7">
        <v>45995</v>
      </c>
      <c r="P871" s="5">
        <v>52.65</v>
      </c>
      <c r="Q871" s="5">
        <v>0</v>
      </c>
      <c r="R871" s="5" t="s">
        <v>32</v>
      </c>
      <c r="S871" s="5" t="s">
        <v>33</v>
      </c>
      <c r="T871" s="5">
        <v>0.53</v>
      </c>
      <c r="U871" s="5">
        <v>52.65</v>
      </c>
      <c r="V871" s="5" t="s">
        <v>34</v>
      </c>
      <c r="W871" s="5">
        <v>10</v>
      </c>
      <c r="X871" s="5" t="s">
        <v>479</v>
      </c>
      <c r="Y871" s="7">
        <v>46003</v>
      </c>
      <c r="Z871" s="7">
        <v>45995</v>
      </c>
      <c r="AA871" s="5" t="s">
        <v>32</v>
      </c>
      <c r="AB871" s="6">
        <v>46003</v>
      </c>
      <c r="AC871" s="7">
        <v>46003.572916666664</v>
      </c>
      <c r="AD871" s="5">
        <v>36271008119</v>
      </c>
      <c r="AE871" s="8">
        <v>45995</v>
      </c>
      <c r="AF871" s="5">
        <v>20925</v>
      </c>
      <c r="AG871" s="5" t="s">
        <v>37</v>
      </c>
      <c r="AH871" s="5">
        <v>206376</v>
      </c>
      <c r="AI871" s="6">
        <v>45995</v>
      </c>
      <c r="AJ871" s="6">
        <v>46003</v>
      </c>
      <c r="AK871" s="1">
        <f t="shared" si="411"/>
        <v>1.0529999999999999</v>
      </c>
      <c r="AL871" t="s">
        <v>673</v>
      </c>
      <c r="AM871">
        <f t="shared" si="412"/>
        <v>0.53</v>
      </c>
    </row>
    <row r="872" spans="1:39" hidden="1" x14ac:dyDescent="0.55000000000000004">
      <c r="A872">
        <v>3627</v>
      </c>
      <c r="B872">
        <v>1008189</v>
      </c>
      <c r="C872" s="1">
        <v>1264.19</v>
      </c>
      <c r="E872" s="1">
        <v>1264.19</v>
      </c>
      <c r="F872">
        <v>12.64</v>
      </c>
      <c r="G872" s="1">
        <v>1251.55</v>
      </c>
      <c r="H872" s="1"/>
      <c r="I872" s="1"/>
      <c r="J872" s="2">
        <v>46003</v>
      </c>
      <c r="K872" s="5">
        <v>1008189</v>
      </c>
      <c r="L872" s="5">
        <v>3627</v>
      </c>
      <c r="M872" s="5">
        <v>0</v>
      </c>
      <c r="N872" s="5">
        <v>1264.19</v>
      </c>
      <c r="O872" s="7">
        <v>45995</v>
      </c>
      <c r="P872" s="5">
        <v>1264.19</v>
      </c>
      <c r="Q872" s="5">
        <v>0</v>
      </c>
      <c r="R872" s="5" t="s">
        <v>32</v>
      </c>
      <c r="S872" s="5" t="s">
        <v>33</v>
      </c>
      <c r="T872" s="5">
        <v>12.64</v>
      </c>
      <c r="U872" s="5">
        <v>1251.55</v>
      </c>
      <c r="V872" s="5" t="s">
        <v>34</v>
      </c>
      <c r="W872" s="5">
        <v>10</v>
      </c>
      <c r="X872" s="5" t="s">
        <v>479</v>
      </c>
      <c r="Y872" s="7">
        <v>46003</v>
      </c>
      <c r="Z872" s="7">
        <v>45995</v>
      </c>
      <c r="AA872" s="5" t="s">
        <v>32</v>
      </c>
      <c r="AB872" s="6">
        <v>46003</v>
      </c>
      <c r="AC872" s="7">
        <v>46003.572916666664</v>
      </c>
      <c r="AD872" s="5">
        <v>36271008189</v>
      </c>
      <c r="AE872" s="8">
        <v>45995</v>
      </c>
      <c r="AF872" s="5" t="s">
        <v>483</v>
      </c>
      <c r="AG872" s="5" t="s">
        <v>38</v>
      </c>
      <c r="AH872" s="5">
        <v>206643</v>
      </c>
      <c r="AI872" s="6">
        <v>45995</v>
      </c>
      <c r="AJ872" s="6">
        <v>46003</v>
      </c>
    </row>
    <row r="873" spans="1:39" hidden="1" x14ac:dyDescent="0.55000000000000004">
      <c r="A873">
        <v>3627</v>
      </c>
      <c r="B873">
        <v>1008289</v>
      </c>
      <c r="C873">
        <v>-50</v>
      </c>
      <c r="E873">
        <v>-50</v>
      </c>
      <c r="G873">
        <v>-50</v>
      </c>
      <c r="H873"/>
      <c r="I873"/>
      <c r="J873" s="2">
        <v>46003</v>
      </c>
      <c r="K873" s="5">
        <v>1008289</v>
      </c>
      <c r="L873" s="5">
        <v>3627</v>
      </c>
      <c r="M873" s="5">
        <v>0</v>
      </c>
      <c r="N873" s="5">
        <v>-50</v>
      </c>
      <c r="O873" s="7">
        <v>45995</v>
      </c>
      <c r="P873" s="5">
        <v>-50</v>
      </c>
      <c r="Q873" s="5">
        <v>0</v>
      </c>
      <c r="R873" s="5" t="s">
        <v>40</v>
      </c>
      <c r="S873" s="5" t="s">
        <v>33</v>
      </c>
      <c r="T873" s="5">
        <v>0</v>
      </c>
      <c r="U873" s="5">
        <v>-50</v>
      </c>
      <c r="V873" s="5" t="s">
        <v>34</v>
      </c>
      <c r="W873" s="5">
        <v>10</v>
      </c>
      <c r="X873" s="5" t="s">
        <v>479</v>
      </c>
      <c r="Y873" s="7">
        <v>46003</v>
      </c>
      <c r="Z873" s="7">
        <v>45995</v>
      </c>
      <c r="AA873" s="5" t="s">
        <v>32</v>
      </c>
      <c r="AB873" s="6">
        <v>46003</v>
      </c>
      <c r="AC873" s="7">
        <v>46003.572916666664</v>
      </c>
      <c r="AD873" s="5">
        <v>36271008289</v>
      </c>
      <c r="AE873" s="8">
        <v>45995</v>
      </c>
      <c r="AF873" s="5" t="s">
        <v>41</v>
      </c>
      <c r="AG873" s="5" t="s">
        <v>38</v>
      </c>
      <c r="AH873" s="5" t="s">
        <v>40</v>
      </c>
      <c r="AI873" s="6">
        <v>45995</v>
      </c>
      <c r="AJ873" s="6">
        <v>46003</v>
      </c>
    </row>
    <row r="874" spans="1:39" x14ac:dyDescent="0.55000000000000004">
      <c r="A874">
        <v>3627</v>
      </c>
      <c r="B874">
        <v>1008405</v>
      </c>
      <c r="C874">
        <v>83.37</v>
      </c>
      <c r="E874">
        <v>83.37</v>
      </c>
      <c r="F874">
        <v>0.83</v>
      </c>
      <c r="G874">
        <v>83.37</v>
      </c>
      <c r="H874" s="14">
        <f t="shared" ref="H874:H875" si="413">C874-D874-F874</f>
        <v>82.54</v>
      </c>
      <c r="I874" s="14" t="b">
        <f t="shared" ref="I874:I875" si="414">G874=H874</f>
        <v>0</v>
      </c>
      <c r="J874" s="2">
        <v>46003</v>
      </c>
      <c r="K874" s="5">
        <v>1008405</v>
      </c>
      <c r="L874" s="5">
        <v>3627</v>
      </c>
      <c r="M874" s="5">
        <v>0</v>
      </c>
      <c r="N874" s="5">
        <v>83.37</v>
      </c>
      <c r="O874" s="7">
        <v>45996</v>
      </c>
      <c r="P874" s="5">
        <v>83.37</v>
      </c>
      <c r="Q874" s="5">
        <v>0</v>
      </c>
      <c r="R874" s="5" t="s">
        <v>32</v>
      </c>
      <c r="S874" s="5" t="s">
        <v>33</v>
      </c>
      <c r="T874" s="5">
        <v>0.83</v>
      </c>
      <c r="U874" s="5">
        <v>83.37</v>
      </c>
      <c r="V874" s="5" t="s">
        <v>34</v>
      </c>
      <c r="W874" s="5">
        <v>10</v>
      </c>
      <c r="X874" s="5" t="s">
        <v>479</v>
      </c>
      <c r="Y874" s="7">
        <v>46003</v>
      </c>
      <c r="Z874" s="7">
        <v>45996</v>
      </c>
      <c r="AA874" s="5" t="s">
        <v>32</v>
      </c>
      <c r="AB874" s="6">
        <v>46003</v>
      </c>
      <c r="AC874" s="7">
        <v>46003.572916666664</v>
      </c>
      <c r="AD874" s="5">
        <v>36271008405</v>
      </c>
      <c r="AE874" s="8">
        <v>45996</v>
      </c>
      <c r="AF874" s="5">
        <v>20925</v>
      </c>
      <c r="AG874" s="5" t="s">
        <v>37</v>
      </c>
      <c r="AH874" s="5">
        <v>206794</v>
      </c>
      <c r="AI874" s="6">
        <v>45996</v>
      </c>
      <c r="AJ874" s="6">
        <v>46003</v>
      </c>
      <c r="AK874" s="1">
        <f t="shared" ref="AK874:AK875" si="415">0.02*C874</f>
        <v>1.6674000000000002</v>
      </c>
      <c r="AL874" t="s">
        <v>673</v>
      </c>
      <c r="AM874">
        <f t="shared" ref="AM874:AM875" si="416">F874</f>
        <v>0.83</v>
      </c>
    </row>
    <row r="875" spans="1:39" x14ac:dyDescent="0.55000000000000004">
      <c r="A875">
        <v>3627</v>
      </c>
      <c r="B875">
        <v>1008556</v>
      </c>
      <c r="C875">
        <v>550.58000000000004</v>
      </c>
      <c r="E875">
        <v>550.58000000000004</v>
      </c>
      <c r="F875">
        <v>5.51</v>
      </c>
      <c r="G875">
        <v>550.58000000000004</v>
      </c>
      <c r="H875" s="14">
        <f t="shared" si="413"/>
        <v>545.07000000000005</v>
      </c>
      <c r="I875" s="14" t="b">
        <f t="shared" si="414"/>
        <v>0</v>
      </c>
      <c r="J875" s="2">
        <v>46003</v>
      </c>
      <c r="K875" s="5">
        <v>1008556</v>
      </c>
      <c r="L875" s="5">
        <v>3627</v>
      </c>
      <c r="M875" s="5">
        <v>0</v>
      </c>
      <c r="N875" s="5">
        <v>550.58000000000004</v>
      </c>
      <c r="O875" s="7">
        <v>45996</v>
      </c>
      <c r="P875" s="5">
        <v>550.58000000000004</v>
      </c>
      <c r="Q875" s="5">
        <v>0</v>
      </c>
      <c r="R875" s="5" t="s">
        <v>32</v>
      </c>
      <c r="S875" s="5" t="s">
        <v>33</v>
      </c>
      <c r="T875" s="5">
        <v>5.51</v>
      </c>
      <c r="U875" s="5">
        <v>550.58000000000004</v>
      </c>
      <c r="V875" s="5" t="s">
        <v>34</v>
      </c>
      <c r="W875" s="5">
        <v>10</v>
      </c>
      <c r="X875" s="5" t="s">
        <v>479</v>
      </c>
      <c r="Y875" s="7">
        <v>46003</v>
      </c>
      <c r="Z875" s="7">
        <v>45996</v>
      </c>
      <c r="AA875" s="5" t="s">
        <v>32</v>
      </c>
      <c r="AB875" s="6">
        <v>46003</v>
      </c>
      <c r="AC875" s="7">
        <v>46003.572916666664</v>
      </c>
      <c r="AD875" s="5">
        <v>36271008556</v>
      </c>
      <c r="AE875" s="8">
        <v>45996</v>
      </c>
      <c r="AF875" s="5" t="s">
        <v>482</v>
      </c>
      <c r="AG875" s="5" t="s">
        <v>37</v>
      </c>
      <c r="AH875" s="5">
        <v>206596</v>
      </c>
      <c r="AI875" s="6">
        <v>45996</v>
      </c>
      <c r="AJ875" s="6">
        <v>46003</v>
      </c>
      <c r="AK875" s="1">
        <f t="shared" si="415"/>
        <v>11.011600000000001</v>
      </c>
      <c r="AL875" t="s">
        <v>673</v>
      </c>
      <c r="AM875">
        <f t="shared" si="416"/>
        <v>5.51</v>
      </c>
    </row>
    <row r="876" spans="1:39" hidden="1" x14ac:dyDescent="0.55000000000000004">
      <c r="A876">
        <v>3627</v>
      </c>
      <c r="B876">
        <v>1008581</v>
      </c>
      <c r="C876" s="1">
        <v>-1292.8800000000001</v>
      </c>
      <c r="E876" s="1">
        <v>-1292.8800000000001</v>
      </c>
      <c r="G876" s="1">
        <v>-1292.8800000000001</v>
      </c>
      <c r="H876" s="1"/>
      <c r="I876" s="1"/>
      <c r="J876" s="2">
        <v>46003</v>
      </c>
      <c r="K876" s="5">
        <v>1008581</v>
      </c>
      <c r="L876" s="5">
        <v>3627</v>
      </c>
      <c r="M876" s="5">
        <v>0</v>
      </c>
      <c r="N876" s="5">
        <v>-1292.8800000000001</v>
      </c>
      <c r="O876" s="7">
        <v>45999</v>
      </c>
      <c r="P876" s="5">
        <v>-1292.8800000000001</v>
      </c>
      <c r="Q876" s="5">
        <v>0</v>
      </c>
      <c r="R876" s="5">
        <v>1008581</v>
      </c>
      <c r="S876" s="5" t="s">
        <v>33</v>
      </c>
      <c r="T876" s="5">
        <v>0</v>
      </c>
      <c r="U876" s="5">
        <v>-1292.8800000000001</v>
      </c>
      <c r="V876" s="5" t="s">
        <v>34</v>
      </c>
      <c r="W876" s="5">
        <v>10</v>
      </c>
      <c r="X876" s="5" t="s">
        <v>479</v>
      </c>
      <c r="Y876" s="7">
        <v>46003</v>
      </c>
      <c r="Z876" s="7">
        <v>45999</v>
      </c>
      <c r="AA876" s="5" t="s">
        <v>32</v>
      </c>
      <c r="AB876" s="6">
        <v>46003</v>
      </c>
      <c r="AC876" s="7">
        <v>46003.572916666664</v>
      </c>
      <c r="AD876" s="5">
        <v>36271008581</v>
      </c>
      <c r="AE876" s="8">
        <v>45999</v>
      </c>
      <c r="AF876" s="5" t="s">
        <v>41</v>
      </c>
      <c r="AG876" s="5" t="s">
        <v>38</v>
      </c>
      <c r="AH876" s="5" t="s">
        <v>104</v>
      </c>
      <c r="AI876" s="6">
        <v>45999</v>
      </c>
      <c r="AJ876" s="6">
        <v>46003</v>
      </c>
    </row>
    <row r="877" spans="1:39" hidden="1" x14ac:dyDescent="0.55000000000000004">
      <c r="A877">
        <v>3627</v>
      </c>
      <c r="B877">
        <v>1008947</v>
      </c>
      <c r="C877">
        <v>-262.5</v>
      </c>
      <c r="E877">
        <v>-262.5</v>
      </c>
      <c r="G877">
        <v>-262.5</v>
      </c>
      <c r="H877"/>
      <c r="I877"/>
      <c r="J877" s="2">
        <v>46003</v>
      </c>
      <c r="K877" s="5">
        <v>1008947</v>
      </c>
      <c r="L877" s="5">
        <v>3627</v>
      </c>
      <c r="M877" s="5">
        <v>0</v>
      </c>
      <c r="N877" s="5">
        <v>-262.5</v>
      </c>
      <c r="O877" s="7">
        <v>46000</v>
      </c>
      <c r="P877" s="5">
        <v>-262.5</v>
      </c>
      <c r="Q877" s="5">
        <v>0</v>
      </c>
      <c r="R877" s="5">
        <v>1008947</v>
      </c>
      <c r="S877" s="5" t="s">
        <v>33</v>
      </c>
      <c r="T877" s="5">
        <v>0</v>
      </c>
      <c r="U877" s="5">
        <v>-262.5</v>
      </c>
      <c r="V877" s="5" t="s">
        <v>34</v>
      </c>
      <c r="W877" s="5">
        <v>10</v>
      </c>
      <c r="X877" s="5" t="s">
        <v>479</v>
      </c>
      <c r="Y877" s="7">
        <v>46003</v>
      </c>
      <c r="Z877" s="7">
        <v>46000</v>
      </c>
      <c r="AA877" s="5" t="s">
        <v>32</v>
      </c>
      <c r="AB877" s="6">
        <v>46003</v>
      </c>
      <c r="AC877" s="7">
        <v>46003.572916666664</v>
      </c>
      <c r="AD877" s="5">
        <v>36271008947</v>
      </c>
      <c r="AE877" s="8">
        <v>46000</v>
      </c>
      <c r="AF877" s="5" t="s">
        <v>484</v>
      </c>
      <c r="AG877" s="5" t="s">
        <v>38</v>
      </c>
      <c r="AH877" s="5" t="s">
        <v>485</v>
      </c>
      <c r="AI877" s="6">
        <v>46000</v>
      </c>
      <c r="AJ877" s="6">
        <v>46003</v>
      </c>
    </row>
    <row r="878" spans="1:39" hidden="1" x14ac:dyDescent="0.55000000000000004">
      <c r="A878">
        <v>3627</v>
      </c>
      <c r="B878">
        <v>1009031</v>
      </c>
      <c r="C878">
        <v>-243</v>
      </c>
      <c r="E878">
        <v>-243</v>
      </c>
      <c r="G878">
        <v>-243</v>
      </c>
      <c r="H878"/>
      <c r="I878"/>
      <c r="J878" s="2">
        <v>46003</v>
      </c>
      <c r="K878" s="5">
        <v>1009031</v>
      </c>
      <c r="L878" s="5">
        <v>3627</v>
      </c>
      <c r="M878" s="5">
        <v>0</v>
      </c>
      <c r="N878" s="5">
        <v>-243</v>
      </c>
      <c r="O878" s="7">
        <v>46000</v>
      </c>
      <c r="P878" s="5">
        <v>-243</v>
      </c>
      <c r="Q878" s="5">
        <v>0</v>
      </c>
      <c r="R878" s="5">
        <v>1009031</v>
      </c>
      <c r="S878" s="5" t="s">
        <v>33</v>
      </c>
      <c r="T878" s="5">
        <v>0</v>
      </c>
      <c r="U878" s="5">
        <v>-243</v>
      </c>
      <c r="V878" s="5" t="s">
        <v>34</v>
      </c>
      <c r="W878" s="5">
        <v>10</v>
      </c>
      <c r="X878" s="5" t="s">
        <v>479</v>
      </c>
      <c r="Y878" s="7">
        <v>46003</v>
      </c>
      <c r="Z878" s="7">
        <v>46000</v>
      </c>
      <c r="AA878" s="5" t="s">
        <v>32</v>
      </c>
      <c r="AB878" s="6">
        <v>46003</v>
      </c>
      <c r="AC878" s="7">
        <v>46003.572916666664</v>
      </c>
      <c r="AD878" s="5">
        <v>36271009031</v>
      </c>
      <c r="AE878" s="8">
        <v>46000</v>
      </c>
      <c r="AF878" s="5" t="s">
        <v>486</v>
      </c>
      <c r="AG878" s="5" t="s">
        <v>38</v>
      </c>
      <c r="AH878" s="5" t="s">
        <v>487</v>
      </c>
      <c r="AI878" s="6">
        <v>46000</v>
      </c>
      <c r="AJ878" s="6">
        <v>46003</v>
      </c>
    </row>
    <row r="879" spans="1:39" hidden="1" x14ac:dyDescent="0.55000000000000004">
      <c r="A879">
        <v>3627</v>
      </c>
      <c r="B879">
        <v>1009032</v>
      </c>
      <c r="C879" s="1">
        <v>-1417.5</v>
      </c>
      <c r="E879" s="1">
        <v>-1417.5</v>
      </c>
      <c r="G879" s="1">
        <v>-1417.5</v>
      </c>
      <c r="H879" s="1"/>
      <c r="I879" s="1"/>
      <c r="J879" s="2">
        <v>46003</v>
      </c>
      <c r="K879" s="5">
        <v>1009032</v>
      </c>
      <c r="L879" s="5">
        <v>3627</v>
      </c>
      <c r="M879" s="5">
        <v>0</v>
      </c>
      <c r="N879" s="5">
        <v>-1417.5</v>
      </c>
      <c r="O879" s="7">
        <v>46000</v>
      </c>
      <c r="P879" s="5">
        <v>-1417.5</v>
      </c>
      <c r="Q879" s="5">
        <v>0</v>
      </c>
      <c r="R879" s="5">
        <v>1009032</v>
      </c>
      <c r="S879" s="5" t="s">
        <v>33</v>
      </c>
      <c r="T879" s="5">
        <v>0</v>
      </c>
      <c r="U879" s="5">
        <v>-1417.5</v>
      </c>
      <c r="V879" s="5" t="s">
        <v>34</v>
      </c>
      <c r="W879" s="5">
        <v>10</v>
      </c>
      <c r="X879" s="5" t="s">
        <v>479</v>
      </c>
      <c r="Y879" s="7">
        <v>46003</v>
      </c>
      <c r="Z879" s="7">
        <v>46000</v>
      </c>
      <c r="AA879" s="5" t="s">
        <v>32</v>
      </c>
      <c r="AB879" s="6">
        <v>46003</v>
      </c>
      <c r="AC879" s="7">
        <v>46003.572916666664</v>
      </c>
      <c r="AD879" s="5">
        <v>36271009032</v>
      </c>
      <c r="AE879" s="8">
        <v>46000</v>
      </c>
      <c r="AF879" s="5" t="s">
        <v>486</v>
      </c>
      <c r="AG879" s="5" t="s">
        <v>38</v>
      </c>
      <c r="AH879" s="5" t="s">
        <v>488</v>
      </c>
      <c r="AI879" s="6">
        <v>46000</v>
      </c>
      <c r="AJ879" s="6">
        <v>46003</v>
      </c>
    </row>
    <row r="880" spans="1:39" hidden="1" x14ac:dyDescent="0.55000000000000004">
      <c r="A880">
        <v>3627</v>
      </c>
      <c r="B880">
        <v>1009036</v>
      </c>
      <c r="C880">
        <v>-25</v>
      </c>
      <c r="E880">
        <v>-25</v>
      </c>
      <c r="G880">
        <v>-25</v>
      </c>
      <c r="H880"/>
      <c r="I880"/>
      <c r="J880" s="2">
        <v>46003</v>
      </c>
      <c r="K880" s="5">
        <v>1009036</v>
      </c>
      <c r="L880" s="5">
        <v>3627</v>
      </c>
      <c r="M880" s="5">
        <v>0</v>
      </c>
      <c r="N880" s="5">
        <v>-25</v>
      </c>
      <c r="O880" s="7">
        <v>46000</v>
      </c>
      <c r="P880" s="5">
        <v>-25</v>
      </c>
      <c r="Q880" s="5">
        <v>0</v>
      </c>
      <c r="R880" s="5">
        <v>1009036</v>
      </c>
      <c r="S880" s="5" t="s">
        <v>33</v>
      </c>
      <c r="T880" s="5">
        <v>0</v>
      </c>
      <c r="U880" s="5">
        <v>-25</v>
      </c>
      <c r="V880" s="5" t="s">
        <v>34</v>
      </c>
      <c r="W880" s="5">
        <v>10</v>
      </c>
      <c r="X880" s="5" t="s">
        <v>479</v>
      </c>
      <c r="Y880" s="7">
        <v>46003</v>
      </c>
      <c r="Z880" s="7">
        <v>46000</v>
      </c>
      <c r="AA880" s="5" t="s">
        <v>32</v>
      </c>
      <c r="AB880" s="6">
        <v>46003</v>
      </c>
      <c r="AC880" s="7">
        <v>46003.572916666664</v>
      </c>
      <c r="AD880" s="5">
        <v>36271009036</v>
      </c>
      <c r="AE880" s="8">
        <v>46000</v>
      </c>
      <c r="AF880" s="5" t="s">
        <v>489</v>
      </c>
      <c r="AG880" s="5" t="s">
        <v>38</v>
      </c>
      <c r="AH880" s="5" t="s">
        <v>490</v>
      </c>
      <c r="AI880" s="6">
        <v>46000</v>
      </c>
      <c r="AJ880" s="6">
        <v>46003</v>
      </c>
    </row>
    <row r="881" spans="1:36" hidden="1" x14ac:dyDescent="0.55000000000000004">
      <c r="A881">
        <v>3627</v>
      </c>
      <c r="B881">
        <v>1009037</v>
      </c>
      <c r="C881">
        <v>-46.8</v>
      </c>
      <c r="E881">
        <v>-46.8</v>
      </c>
      <c r="G881">
        <v>-46.8</v>
      </c>
      <c r="H881"/>
      <c r="I881"/>
      <c r="J881" s="2">
        <v>46003</v>
      </c>
      <c r="K881" s="5">
        <v>1009037</v>
      </c>
      <c r="L881" s="5">
        <v>3627</v>
      </c>
      <c r="M881" s="5">
        <v>0</v>
      </c>
      <c r="N881" s="5">
        <v>-46.8</v>
      </c>
      <c r="O881" s="7">
        <v>46000</v>
      </c>
      <c r="P881" s="5">
        <v>-46.8</v>
      </c>
      <c r="Q881" s="5">
        <v>0</v>
      </c>
      <c r="R881" s="5">
        <v>1009037</v>
      </c>
      <c r="S881" s="5" t="s">
        <v>33</v>
      </c>
      <c r="T881" s="5">
        <v>0</v>
      </c>
      <c r="U881" s="5">
        <v>-46.8</v>
      </c>
      <c r="V881" s="5" t="s">
        <v>34</v>
      </c>
      <c r="W881" s="5">
        <v>10</v>
      </c>
      <c r="X881" s="5" t="s">
        <v>479</v>
      </c>
      <c r="Y881" s="7">
        <v>46003</v>
      </c>
      <c r="Z881" s="7">
        <v>46000</v>
      </c>
      <c r="AA881" s="5" t="s">
        <v>32</v>
      </c>
      <c r="AB881" s="6">
        <v>46003</v>
      </c>
      <c r="AC881" s="7">
        <v>46003.572916666664</v>
      </c>
      <c r="AD881" s="5">
        <v>36271009037</v>
      </c>
      <c r="AE881" s="8">
        <v>46000</v>
      </c>
      <c r="AF881" s="5" t="s">
        <v>489</v>
      </c>
      <c r="AG881" s="5" t="s">
        <v>38</v>
      </c>
      <c r="AH881" s="5" t="s">
        <v>491</v>
      </c>
      <c r="AI881" s="6">
        <v>46000</v>
      </c>
      <c r="AJ881" s="6">
        <v>46003</v>
      </c>
    </row>
    <row r="882" spans="1:36" hidden="1" x14ac:dyDescent="0.55000000000000004">
      <c r="A882">
        <v>3627</v>
      </c>
      <c r="B882">
        <v>1009045</v>
      </c>
      <c r="C882" s="1">
        <v>-1110</v>
      </c>
      <c r="E882" s="1">
        <v>-1110</v>
      </c>
      <c r="G882" s="1">
        <v>-1110</v>
      </c>
      <c r="H882" s="1"/>
      <c r="I882" s="1"/>
      <c r="J882" s="2">
        <v>46003</v>
      </c>
      <c r="K882" s="5">
        <v>1009045</v>
      </c>
      <c r="L882" s="5">
        <v>3627</v>
      </c>
      <c r="M882" s="5">
        <v>0</v>
      </c>
      <c r="N882" s="5">
        <v>-1110</v>
      </c>
      <c r="O882" s="7">
        <v>46000</v>
      </c>
      <c r="P882" s="5">
        <v>-1110</v>
      </c>
      <c r="Q882" s="5">
        <v>0</v>
      </c>
      <c r="R882" s="5">
        <v>1009045</v>
      </c>
      <c r="S882" s="5" t="s">
        <v>33</v>
      </c>
      <c r="T882" s="5">
        <v>0</v>
      </c>
      <c r="U882" s="5">
        <v>-1110</v>
      </c>
      <c r="V882" s="5" t="s">
        <v>34</v>
      </c>
      <c r="W882" s="5">
        <v>10</v>
      </c>
      <c r="X882" s="5" t="s">
        <v>479</v>
      </c>
      <c r="Y882" s="7">
        <v>46003</v>
      </c>
      <c r="Z882" s="7">
        <v>46000</v>
      </c>
      <c r="AA882" s="5" t="s">
        <v>32</v>
      </c>
      <c r="AB882" s="6">
        <v>46003</v>
      </c>
      <c r="AC882" s="7">
        <v>46003.572916666664</v>
      </c>
      <c r="AD882" s="5">
        <v>36271009045</v>
      </c>
      <c r="AE882" s="8">
        <v>46000</v>
      </c>
      <c r="AF882" s="5" t="s">
        <v>492</v>
      </c>
      <c r="AG882" s="5" t="s">
        <v>38</v>
      </c>
      <c r="AH882" s="5" t="s">
        <v>493</v>
      </c>
      <c r="AI882" s="6">
        <v>46000</v>
      </c>
      <c r="AJ882" s="6">
        <v>46003</v>
      </c>
    </row>
    <row r="883" spans="1:36" hidden="1" x14ac:dyDescent="0.55000000000000004">
      <c r="A883">
        <v>3655</v>
      </c>
      <c r="B883">
        <v>1007516</v>
      </c>
      <c r="C883" s="1">
        <v>3990</v>
      </c>
      <c r="E883" s="1">
        <v>3990</v>
      </c>
      <c r="F883">
        <v>39.9</v>
      </c>
      <c r="G883" s="1">
        <v>3950.1</v>
      </c>
      <c r="H883" s="1"/>
      <c r="I883" s="1"/>
      <c r="J883" s="2">
        <v>46003</v>
      </c>
      <c r="K883" s="5">
        <v>1007516</v>
      </c>
      <c r="L883" s="5">
        <v>3655</v>
      </c>
      <c r="M883" s="5">
        <v>0</v>
      </c>
      <c r="N883" s="5">
        <v>3990</v>
      </c>
      <c r="O883" s="7">
        <v>45993</v>
      </c>
      <c r="P883" s="5">
        <v>3990</v>
      </c>
      <c r="Q883" s="5">
        <v>0</v>
      </c>
      <c r="R883" s="5" t="s">
        <v>32</v>
      </c>
      <c r="S883" s="5" t="s">
        <v>33</v>
      </c>
      <c r="T883" s="5">
        <v>39.9</v>
      </c>
      <c r="U883" s="5">
        <v>3950.1</v>
      </c>
      <c r="V883" s="5" t="s">
        <v>34</v>
      </c>
      <c r="W883" s="5">
        <v>2</v>
      </c>
      <c r="X883" s="5">
        <v>8900896780220</v>
      </c>
      <c r="Y883" s="7">
        <v>46003</v>
      </c>
      <c r="Z883" s="7">
        <v>45993</v>
      </c>
      <c r="AB883" s="6">
        <v>46003</v>
      </c>
      <c r="AC883" s="7">
        <v>45999.688888888886</v>
      </c>
      <c r="AD883" s="5">
        <v>36551007516</v>
      </c>
      <c r="AE883" s="8">
        <v>45993</v>
      </c>
      <c r="AF883" s="5" t="s">
        <v>32</v>
      </c>
      <c r="AG883" s="5" t="s">
        <v>35</v>
      </c>
      <c r="AH883" s="5" t="s">
        <v>32</v>
      </c>
      <c r="AI883" s="6">
        <v>45993</v>
      </c>
      <c r="AJ883" s="6">
        <v>46003</v>
      </c>
    </row>
    <row r="884" spans="1:36" hidden="1" x14ac:dyDescent="0.55000000000000004">
      <c r="A884">
        <v>3662</v>
      </c>
      <c r="B884">
        <v>1001298</v>
      </c>
      <c r="C884" s="1">
        <v>21464.33</v>
      </c>
      <c r="E884" s="1">
        <v>21464.33</v>
      </c>
      <c r="G884" s="1">
        <v>21464.33</v>
      </c>
      <c r="H884" s="1"/>
      <c r="I884" s="1"/>
      <c r="J884" s="2">
        <v>46003</v>
      </c>
      <c r="K884" s="5">
        <v>1001298</v>
      </c>
      <c r="L884" s="5">
        <v>3662</v>
      </c>
      <c r="M884" s="5">
        <v>0</v>
      </c>
      <c r="N884" s="5">
        <v>21464.33</v>
      </c>
      <c r="O884" s="7">
        <v>45960</v>
      </c>
      <c r="P884" s="5">
        <v>21464.33</v>
      </c>
      <c r="Q884" s="5">
        <v>0</v>
      </c>
      <c r="R884" s="5" t="s">
        <v>32</v>
      </c>
      <c r="S884" s="5" t="s">
        <v>33</v>
      </c>
      <c r="T884" s="5">
        <v>0</v>
      </c>
      <c r="U884" s="5">
        <v>21464.33</v>
      </c>
      <c r="V884" s="5" t="s">
        <v>34</v>
      </c>
      <c r="W884" s="5">
        <v>2</v>
      </c>
      <c r="X884" s="5">
        <v>2262487959176</v>
      </c>
      <c r="Y884" s="7">
        <v>46003</v>
      </c>
      <c r="Z884" s="7">
        <v>45960</v>
      </c>
      <c r="AB884" s="6">
        <v>46003</v>
      </c>
      <c r="AC884" s="7">
        <v>46001.532638888886</v>
      </c>
      <c r="AD884" s="5">
        <v>36621001298</v>
      </c>
      <c r="AE884" s="8">
        <v>45960</v>
      </c>
      <c r="AF884" s="5" t="s">
        <v>494</v>
      </c>
      <c r="AG884" s="5" t="s">
        <v>65</v>
      </c>
      <c r="AH884" s="5">
        <v>200751</v>
      </c>
      <c r="AI884" s="6">
        <v>45960</v>
      </c>
      <c r="AJ884" s="6">
        <v>46003</v>
      </c>
    </row>
    <row r="885" spans="1:36" hidden="1" x14ac:dyDescent="0.55000000000000004">
      <c r="A885">
        <v>3662</v>
      </c>
      <c r="B885">
        <v>1001299</v>
      </c>
      <c r="C885" s="1">
        <v>1490.75</v>
      </c>
      <c r="E885" s="1">
        <v>1490.75</v>
      </c>
      <c r="G885" s="1">
        <v>1490.75</v>
      </c>
      <c r="H885" s="1"/>
      <c r="I885" s="1"/>
      <c r="J885" s="2">
        <v>46003</v>
      </c>
      <c r="K885" s="5">
        <v>1001299</v>
      </c>
      <c r="L885" s="5">
        <v>3662</v>
      </c>
      <c r="M885" s="5">
        <v>0</v>
      </c>
      <c r="N885" s="5">
        <v>1490.75</v>
      </c>
      <c r="O885" s="7">
        <v>45960</v>
      </c>
      <c r="P885" s="5">
        <v>1490.75</v>
      </c>
      <c r="Q885" s="5">
        <v>0</v>
      </c>
      <c r="R885" s="5" t="s">
        <v>32</v>
      </c>
      <c r="S885" s="5" t="s">
        <v>33</v>
      </c>
      <c r="T885" s="5">
        <v>0</v>
      </c>
      <c r="U885" s="5">
        <v>1490.75</v>
      </c>
      <c r="V885" s="5" t="s">
        <v>34</v>
      </c>
      <c r="W885" s="5">
        <v>2</v>
      </c>
      <c r="X885" s="5">
        <v>2262487959176</v>
      </c>
      <c r="Y885" s="7">
        <v>46003</v>
      </c>
      <c r="Z885" s="7">
        <v>45960</v>
      </c>
      <c r="AB885" s="6">
        <v>46003</v>
      </c>
      <c r="AC885" s="7">
        <v>46001.532638888886</v>
      </c>
      <c r="AD885" s="5">
        <v>36621001299</v>
      </c>
      <c r="AE885" s="8">
        <v>45960</v>
      </c>
      <c r="AF885" s="5" t="s">
        <v>495</v>
      </c>
      <c r="AG885" s="5" t="s">
        <v>65</v>
      </c>
      <c r="AH885" s="5">
        <v>200755</v>
      </c>
      <c r="AI885" s="6">
        <v>45960</v>
      </c>
      <c r="AJ885" s="6">
        <v>46003</v>
      </c>
    </row>
    <row r="886" spans="1:36" hidden="1" x14ac:dyDescent="0.55000000000000004">
      <c r="A886">
        <v>3662</v>
      </c>
      <c r="B886">
        <v>1001300</v>
      </c>
      <c r="C886" s="1">
        <v>1490.75</v>
      </c>
      <c r="E886" s="1">
        <v>1490.75</v>
      </c>
      <c r="G886" s="1">
        <v>1490.75</v>
      </c>
      <c r="H886" s="1"/>
      <c r="I886" s="1"/>
      <c r="J886" s="2">
        <v>46003</v>
      </c>
      <c r="K886" s="5">
        <v>1001300</v>
      </c>
      <c r="L886" s="5">
        <v>3662</v>
      </c>
      <c r="M886" s="5">
        <v>0</v>
      </c>
      <c r="N886" s="5">
        <v>1490.75</v>
      </c>
      <c r="O886" s="7">
        <v>45960</v>
      </c>
      <c r="P886" s="5">
        <v>1490.75</v>
      </c>
      <c r="Q886" s="5">
        <v>0</v>
      </c>
      <c r="R886" s="5" t="s">
        <v>32</v>
      </c>
      <c r="S886" s="5" t="s">
        <v>33</v>
      </c>
      <c r="T886" s="5">
        <v>0</v>
      </c>
      <c r="U886" s="5">
        <v>1490.75</v>
      </c>
      <c r="V886" s="5" t="s">
        <v>34</v>
      </c>
      <c r="W886" s="5">
        <v>2</v>
      </c>
      <c r="X886" s="5">
        <v>2262487959176</v>
      </c>
      <c r="Y886" s="7">
        <v>46003</v>
      </c>
      <c r="Z886" s="7">
        <v>45960</v>
      </c>
      <c r="AB886" s="6">
        <v>46003</v>
      </c>
      <c r="AC886" s="7">
        <v>46001.532638888886</v>
      </c>
      <c r="AD886" s="5">
        <v>36621001300</v>
      </c>
      <c r="AE886" s="8">
        <v>45960</v>
      </c>
      <c r="AF886" s="5" t="s">
        <v>496</v>
      </c>
      <c r="AG886" s="5" t="s">
        <v>65</v>
      </c>
      <c r="AH886" s="5">
        <v>200757</v>
      </c>
      <c r="AI886" s="6">
        <v>45960</v>
      </c>
      <c r="AJ886" s="6">
        <v>46003</v>
      </c>
    </row>
    <row r="887" spans="1:36" hidden="1" x14ac:dyDescent="0.55000000000000004">
      <c r="A887">
        <v>3662</v>
      </c>
      <c r="B887">
        <v>1001301</v>
      </c>
      <c r="C887" s="1">
        <v>21464.33</v>
      </c>
      <c r="E887" s="1">
        <v>21464.33</v>
      </c>
      <c r="G887" s="1">
        <v>21464.33</v>
      </c>
      <c r="H887" s="1"/>
      <c r="I887" s="1"/>
      <c r="J887" s="2">
        <v>46003</v>
      </c>
      <c r="K887" s="5">
        <v>1001301</v>
      </c>
      <c r="L887" s="5">
        <v>3662</v>
      </c>
      <c r="M887" s="5">
        <v>0</v>
      </c>
      <c r="N887" s="5">
        <v>21464.33</v>
      </c>
      <c r="O887" s="7">
        <v>45960</v>
      </c>
      <c r="P887" s="5">
        <v>21464.33</v>
      </c>
      <c r="Q887" s="5">
        <v>0</v>
      </c>
      <c r="R887" s="5" t="s">
        <v>32</v>
      </c>
      <c r="S887" s="5" t="s">
        <v>33</v>
      </c>
      <c r="T887" s="5">
        <v>0</v>
      </c>
      <c r="U887" s="5">
        <v>21464.33</v>
      </c>
      <c r="V887" s="5" t="s">
        <v>34</v>
      </c>
      <c r="W887" s="5">
        <v>2</v>
      </c>
      <c r="X887" s="5">
        <v>2262487959176</v>
      </c>
      <c r="Y887" s="7">
        <v>46003</v>
      </c>
      <c r="Z887" s="7">
        <v>45960</v>
      </c>
      <c r="AB887" s="6">
        <v>46003</v>
      </c>
      <c r="AC887" s="7">
        <v>46001.532638888886</v>
      </c>
      <c r="AD887" s="5">
        <v>36621001301</v>
      </c>
      <c r="AE887" s="8">
        <v>45960</v>
      </c>
      <c r="AF887" s="5" t="s">
        <v>497</v>
      </c>
      <c r="AG887" s="5" t="s">
        <v>65</v>
      </c>
      <c r="AH887" s="5">
        <v>200753</v>
      </c>
      <c r="AI887" s="6">
        <v>45960</v>
      </c>
      <c r="AJ887" s="6">
        <v>46003</v>
      </c>
    </row>
    <row r="888" spans="1:36" hidden="1" x14ac:dyDescent="0.55000000000000004">
      <c r="A888">
        <v>3662</v>
      </c>
      <c r="B888">
        <v>1001302</v>
      </c>
      <c r="C888" s="1">
        <v>21464.33</v>
      </c>
      <c r="E888" s="1">
        <v>21464.33</v>
      </c>
      <c r="G888" s="1">
        <v>21464.33</v>
      </c>
      <c r="H888" s="1"/>
      <c r="I888" s="1"/>
      <c r="J888" s="2">
        <v>46003</v>
      </c>
      <c r="K888" s="5">
        <v>1001302</v>
      </c>
      <c r="L888" s="5">
        <v>3662</v>
      </c>
      <c r="M888" s="5">
        <v>0</v>
      </c>
      <c r="N888" s="5">
        <v>21464.33</v>
      </c>
      <c r="O888" s="7">
        <v>45960</v>
      </c>
      <c r="P888" s="5">
        <v>21464.33</v>
      </c>
      <c r="Q888" s="5">
        <v>0</v>
      </c>
      <c r="R888" s="5" t="s">
        <v>32</v>
      </c>
      <c r="S888" s="5" t="s">
        <v>33</v>
      </c>
      <c r="T888" s="5">
        <v>0</v>
      </c>
      <c r="U888" s="5">
        <v>21464.33</v>
      </c>
      <c r="V888" s="5" t="s">
        <v>34</v>
      </c>
      <c r="W888" s="5">
        <v>2</v>
      </c>
      <c r="X888" s="5">
        <v>2262487959176</v>
      </c>
      <c r="Y888" s="7">
        <v>46003</v>
      </c>
      <c r="Z888" s="7">
        <v>45960</v>
      </c>
      <c r="AB888" s="6">
        <v>46003</v>
      </c>
      <c r="AC888" s="7">
        <v>46001.532638888886</v>
      </c>
      <c r="AD888" s="5">
        <v>36621001302</v>
      </c>
      <c r="AE888" s="8">
        <v>45960</v>
      </c>
      <c r="AF888" s="5" t="s">
        <v>498</v>
      </c>
      <c r="AG888" s="5" t="s">
        <v>65</v>
      </c>
      <c r="AH888" s="5">
        <v>200752</v>
      </c>
      <c r="AI888" s="6">
        <v>45960</v>
      </c>
      <c r="AJ888" s="6">
        <v>46003</v>
      </c>
    </row>
    <row r="889" spans="1:36" hidden="1" x14ac:dyDescent="0.55000000000000004">
      <c r="A889">
        <v>3662</v>
      </c>
      <c r="B889">
        <v>1001303</v>
      </c>
      <c r="C889" s="1">
        <v>1490.75</v>
      </c>
      <c r="E889" s="1">
        <v>1490.75</v>
      </c>
      <c r="G889" s="1">
        <v>1490.75</v>
      </c>
      <c r="H889" s="1"/>
      <c r="I889" s="1"/>
      <c r="J889" s="2">
        <v>46003</v>
      </c>
      <c r="K889" s="5">
        <v>1001303</v>
      </c>
      <c r="L889" s="5">
        <v>3662</v>
      </c>
      <c r="M889" s="5">
        <v>0</v>
      </c>
      <c r="N889" s="5">
        <v>1490.75</v>
      </c>
      <c r="O889" s="7">
        <v>45960</v>
      </c>
      <c r="P889" s="5">
        <v>1490.75</v>
      </c>
      <c r="Q889" s="5">
        <v>0</v>
      </c>
      <c r="R889" s="5" t="s">
        <v>32</v>
      </c>
      <c r="S889" s="5" t="s">
        <v>33</v>
      </c>
      <c r="T889" s="5">
        <v>0</v>
      </c>
      <c r="U889" s="5">
        <v>1490.75</v>
      </c>
      <c r="V889" s="5" t="s">
        <v>34</v>
      </c>
      <c r="W889" s="5">
        <v>2</v>
      </c>
      <c r="X889" s="5">
        <v>2262487959176</v>
      </c>
      <c r="Y889" s="7">
        <v>46003</v>
      </c>
      <c r="Z889" s="7">
        <v>45960</v>
      </c>
      <c r="AB889" s="6">
        <v>46003</v>
      </c>
      <c r="AC889" s="7">
        <v>46001.532638888886</v>
      </c>
      <c r="AD889" s="5">
        <v>36621001303</v>
      </c>
      <c r="AE889" s="8">
        <v>45960</v>
      </c>
      <c r="AF889" s="5" t="s">
        <v>499</v>
      </c>
      <c r="AG889" s="5" t="s">
        <v>65</v>
      </c>
      <c r="AH889" s="5">
        <v>200756</v>
      </c>
      <c r="AI889" s="6">
        <v>45960</v>
      </c>
      <c r="AJ889" s="6">
        <v>46003</v>
      </c>
    </row>
    <row r="890" spans="1:36" hidden="1" x14ac:dyDescent="0.55000000000000004">
      <c r="A890">
        <v>3662</v>
      </c>
      <c r="B890">
        <v>1001304</v>
      </c>
      <c r="C890" s="1">
        <v>1490.75</v>
      </c>
      <c r="E890" s="1">
        <v>1490.75</v>
      </c>
      <c r="G890" s="1">
        <v>1490.75</v>
      </c>
      <c r="H890" s="1"/>
      <c r="I890" s="1"/>
      <c r="J890" s="2">
        <v>46003</v>
      </c>
      <c r="K890" s="5">
        <v>1001304</v>
      </c>
      <c r="L890" s="5">
        <v>3662</v>
      </c>
      <c r="M890" s="5">
        <v>0</v>
      </c>
      <c r="N890" s="5">
        <v>1490.75</v>
      </c>
      <c r="O890" s="7">
        <v>45960</v>
      </c>
      <c r="P890" s="5">
        <v>1490.75</v>
      </c>
      <c r="Q890" s="5">
        <v>0</v>
      </c>
      <c r="R890" s="5" t="s">
        <v>32</v>
      </c>
      <c r="S890" s="5" t="s">
        <v>33</v>
      </c>
      <c r="T890" s="5">
        <v>0</v>
      </c>
      <c r="U890" s="5">
        <v>1490.75</v>
      </c>
      <c r="V890" s="5" t="s">
        <v>34</v>
      </c>
      <c r="W890" s="5">
        <v>2</v>
      </c>
      <c r="X890" s="5">
        <v>2262487959176</v>
      </c>
      <c r="Y890" s="7">
        <v>46003</v>
      </c>
      <c r="Z890" s="7">
        <v>45960</v>
      </c>
      <c r="AB890" s="6">
        <v>46003</v>
      </c>
      <c r="AC890" s="7">
        <v>46001.532638888886</v>
      </c>
      <c r="AD890" s="5">
        <v>36621001304</v>
      </c>
      <c r="AE890" s="8">
        <v>45960</v>
      </c>
      <c r="AF890" s="5" t="s">
        <v>500</v>
      </c>
      <c r="AG890" s="5" t="s">
        <v>65</v>
      </c>
      <c r="AH890" s="5">
        <v>200758</v>
      </c>
      <c r="AI890" s="6">
        <v>45960</v>
      </c>
      <c r="AJ890" s="6">
        <v>46003</v>
      </c>
    </row>
    <row r="891" spans="1:36" hidden="1" x14ac:dyDescent="0.55000000000000004">
      <c r="A891">
        <v>3662</v>
      </c>
      <c r="B891">
        <v>1001305</v>
      </c>
      <c r="C891" s="1">
        <v>20718.96</v>
      </c>
      <c r="E891" s="1">
        <v>20718.96</v>
      </c>
      <c r="G891" s="1">
        <v>20718.96</v>
      </c>
      <c r="H891" s="1"/>
      <c r="I891" s="1"/>
      <c r="J891" s="2">
        <v>46003</v>
      </c>
      <c r="K891" s="5">
        <v>1001305</v>
      </c>
      <c r="L891" s="5">
        <v>3662</v>
      </c>
      <c r="M891" s="5">
        <v>0</v>
      </c>
      <c r="N891" s="5">
        <v>20718.96</v>
      </c>
      <c r="O891" s="7">
        <v>45960</v>
      </c>
      <c r="P891" s="5">
        <v>20718.96</v>
      </c>
      <c r="Q891" s="5">
        <v>0</v>
      </c>
      <c r="R891" s="5" t="s">
        <v>32</v>
      </c>
      <c r="S891" s="5" t="s">
        <v>33</v>
      </c>
      <c r="T891" s="5">
        <v>0</v>
      </c>
      <c r="U891" s="5">
        <v>20718.96</v>
      </c>
      <c r="V891" s="5" t="s">
        <v>34</v>
      </c>
      <c r="W891" s="5">
        <v>2</v>
      </c>
      <c r="X891" s="5">
        <v>2262487959176</v>
      </c>
      <c r="Y891" s="7">
        <v>46003</v>
      </c>
      <c r="Z891" s="7">
        <v>45960</v>
      </c>
      <c r="AB891" s="6">
        <v>46003</v>
      </c>
      <c r="AC891" s="7">
        <v>46001.532638888886</v>
      </c>
      <c r="AD891" s="5">
        <v>36621001305</v>
      </c>
      <c r="AE891" s="8">
        <v>45960</v>
      </c>
      <c r="AF891" s="5" t="s">
        <v>501</v>
      </c>
      <c r="AG891" s="5" t="s">
        <v>65</v>
      </c>
      <c r="AH891" s="5">
        <v>200754</v>
      </c>
      <c r="AI891" s="6">
        <v>45960</v>
      </c>
      <c r="AJ891" s="6">
        <v>46003</v>
      </c>
    </row>
    <row r="892" spans="1:36" hidden="1" x14ac:dyDescent="0.55000000000000004">
      <c r="A892">
        <v>3662</v>
      </c>
      <c r="B892">
        <v>1001367</v>
      </c>
      <c r="C892" s="1">
        <v>5039.88</v>
      </c>
      <c r="E892" s="1">
        <v>5039.88</v>
      </c>
      <c r="G892" s="1">
        <v>5039.88</v>
      </c>
      <c r="H892" s="1"/>
      <c r="I892" s="1"/>
      <c r="J892" s="2">
        <v>46003</v>
      </c>
      <c r="K892" s="5">
        <v>1001367</v>
      </c>
      <c r="L892" s="5">
        <v>3662</v>
      </c>
      <c r="M892" s="5">
        <v>0</v>
      </c>
      <c r="N892" s="5">
        <v>5039.88</v>
      </c>
      <c r="O892" s="7">
        <v>45960</v>
      </c>
      <c r="P892" s="5">
        <v>5039.88</v>
      </c>
      <c r="Q892" s="5">
        <v>0</v>
      </c>
      <c r="R892" s="5" t="s">
        <v>32</v>
      </c>
      <c r="S892" s="5" t="s">
        <v>33</v>
      </c>
      <c r="T892" s="5">
        <v>0</v>
      </c>
      <c r="U892" s="5">
        <v>5039.88</v>
      </c>
      <c r="V892" s="5" t="s">
        <v>34</v>
      </c>
      <c r="W892" s="5">
        <v>2</v>
      </c>
      <c r="X892" s="5">
        <v>2262487959176</v>
      </c>
      <c r="Y892" s="7">
        <v>46003</v>
      </c>
      <c r="Z892" s="7">
        <v>45960</v>
      </c>
      <c r="AB892" s="6">
        <v>46003</v>
      </c>
      <c r="AC892" s="7">
        <v>46001.532638888886</v>
      </c>
      <c r="AD892" s="5">
        <v>36621001367</v>
      </c>
      <c r="AE892" s="8">
        <v>45960</v>
      </c>
      <c r="AF892" s="5" t="s">
        <v>502</v>
      </c>
      <c r="AG892" s="5" t="s">
        <v>65</v>
      </c>
      <c r="AH892" s="5">
        <v>200687</v>
      </c>
      <c r="AI892" s="6">
        <v>45960</v>
      </c>
      <c r="AJ892" s="6">
        <v>46003</v>
      </c>
    </row>
    <row r="893" spans="1:36" hidden="1" x14ac:dyDescent="0.55000000000000004">
      <c r="A893">
        <v>3662</v>
      </c>
      <c r="B893">
        <v>1001754</v>
      </c>
      <c r="C893" s="1">
        <v>16799.599999999999</v>
      </c>
      <c r="E893" s="1">
        <v>16799.599999999999</v>
      </c>
      <c r="G893" s="1">
        <v>16799.599999999999</v>
      </c>
      <c r="H893" s="1"/>
      <c r="I893" s="1"/>
      <c r="J893" s="2">
        <v>46003</v>
      </c>
      <c r="K893" s="5">
        <v>1001754</v>
      </c>
      <c r="L893" s="5">
        <v>3662</v>
      </c>
      <c r="M893" s="5">
        <v>0</v>
      </c>
      <c r="N893" s="5">
        <v>16799.599999999999</v>
      </c>
      <c r="O893" s="7">
        <v>45961</v>
      </c>
      <c r="P893" s="5">
        <v>16799.599999999999</v>
      </c>
      <c r="Q893" s="5">
        <v>0</v>
      </c>
      <c r="R893" s="5" t="s">
        <v>32</v>
      </c>
      <c r="S893" s="5" t="s">
        <v>33</v>
      </c>
      <c r="T893" s="5">
        <v>0</v>
      </c>
      <c r="U893" s="5">
        <v>16799.599999999999</v>
      </c>
      <c r="V893" s="5" t="s">
        <v>34</v>
      </c>
      <c r="W893" s="5">
        <v>2</v>
      </c>
      <c r="X893" s="5">
        <v>2262487959176</v>
      </c>
      <c r="Y893" s="7">
        <v>46003</v>
      </c>
      <c r="Z893" s="7">
        <v>45961</v>
      </c>
      <c r="AB893" s="6">
        <v>46003</v>
      </c>
      <c r="AC893" s="7">
        <v>46001.532638888886</v>
      </c>
      <c r="AD893" s="5">
        <v>36621001754</v>
      </c>
      <c r="AE893" s="8">
        <v>45961</v>
      </c>
      <c r="AF893" s="5" t="s">
        <v>503</v>
      </c>
      <c r="AG893" s="5" t="s">
        <v>65</v>
      </c>
      <c r="AH893" s="5">
        <v>201196</v>
      </c>
      <c r="AI893" s="6">
        <v>45961</v>
      </c>
      <c r="AJ893" s="6">
        <v>46003</v>
      </c>
    </row>
    <row r="894" spans="1:36" hidden="1" x14ac:dyDescent="0.55000000000000004">
      <c r="A894">
        <v>3662</v>
      </c>
      <c r="B894">
        <v>1001756</v>
      </c>
      <c r="C894" s="1">
        <v>11759.72</v>
      </c>
      <c r="E894" s="1">
        <v>11759.72</v>
      </c>
      <c r="G894" s="1">
        <v>11759.72</v>
      </c>
      <c r="H894" s="1"/>
      <c r="I894" s="1"/>
      <c r="J894" s="2">
        <v>46003</v>
      </c>
      <c r="K894" s="5">
        <v>1001756</v>
      </c>
      <c r="L894" s="5">
        <v>3662</v>
      </c>
      <c r="M894" s="5">
        <v>0</v>
      </c>
      <c r="N894" s="5">
        <v>11759.72</v>
      </c>
      <c r="O894" s="7">
        <v>45961</v>
      </c>
      <c r="P894" s="5">
        <v>11759.72</v>
      </c>
      <c r="Q894" s="5">
        <v>0</v>
      </c>
      <c r="R894" s="5" t="s">
        <v>32</v>
      </c>
      <c r="S894" s="5" t="s">
        <v>33</v>
      </c>
      <c r="T894" s="5">
        <v>0</v>
      </c>
      <c r="U894" s="5">
        <v>11759.72</v>
      </c>
      <c r="V894" s="5" t="s">
        <v>34</v>
      </c>
      <c r="W894" s="5">
        <v>2</v>
      </c>
      <c r="X894" s="5">
        <v>2262487959176</v>
      </c>
      <c r="Y894" s="7">
        <v>46003</v>
      </c>
      <c r="Z894" s="7">
        <v>45961</v>
      </c>
      <c r="AB894" s="6">
        <v>46003</v>
      </c>
      <c r="AC894" s="7">
        <v>46001.532638888886</v>
      </c>
      <c r="AD894" s="5">
        <v>36621001756</v>
      </c>
      <c r="AE894" s="8">
        <v>45961</v>
      </c>
      <c r="AF894" s="5" t="s">
        <v>502</v>
      </c>
      <c r="AG894" s="5" t="s">
        <v>65</v>
      </c>
      <c r="AH894" s="5">
        <v>201198</v>
      </c>
      <c r="AI894" s="6">
        <v>45961</v>
      </c>
      <c r="AJ894" s="6">
        <v>46003</v>
      </c>
    </row>
    <row r="895" spans="1:36" hidden="1" x14ac:dyDescent="0.55000000000000004">
      <c r="A895">
        <v>3662</v>
      </c>
      <c r="B895">
        <v>1001758</v>
      </c>
      <c r="C895" s="1">
        <v>16799.599999999999</v>
      </c>
      <c r="E895" s="1">
        <v>16799.599999999999</v>
      </c>
      <c r="G895" s="1">
        <v>16799.599999999999</v>
      </c>
      <c r="H895" s="1"/>
      <c r="I895" s="1"/>
      <c r="J895" s="2">
        <v>46003</v>
      </c>
      <c r="K895" s="5">
        <v>1001758</v>
      </c>
      <c r="L895" s="5">
        <v>3662</v>
      </c>
      <c r="M895" s="5">
        <v>0</v>
      </c>
      <c r="N895" s="5">
        <v>16799.599999999999</v>
      </c>
      <c r="O895" s="7">
        <v>45961</v>
      </c>
      <c r="P895" s="5">
        <v>16799.599999999999</v>
      </c>
      <c r="Q895" s="5">
        <v>0</v>
      </c>
      <c r="R895" s="5" t="s">
        <v>32</v>
      </c>
      <c r="S895" s="5" t="s">
        <v>33</v>
      </c>
      <c r="T895" s="5">
        <v>0</v>
      </c>
      <c r="U895" s="5">
        <v>16799.599999999999</v>
      </c>
      <c r="V895" s="5" t="s">
        <v>34</v>
      </c>
      <c r="W895" s="5">
        <v>2</v>
      </c>
      <c r="X895" s="5">
        <v>2262487959176</v>
      </c>
      <c r="Y895" s="7">
        <v>46003</v>
      </c>
      <c r="Z895" s="7">
        <v>45961</v>
      </c>
      <c r="AB895" s="6">
        <v>46003</v>
      </c>
      <c r="AC895" s="7">
        <v>46001.532638888886</v>
      </c>
      <c r="AD895" s="5">
        <v>36621001758</v>
      </c>
      <c r="AE895" s="8">
        <v>45961</v>
      </c>
      <c r="AF895" s="5" t="s">
        <v>504</v>
      </c>
      <c r="AG895" s="5" t="s">
        <v>65</v>
      </c>
      <c r="AH895" s="5">
        <v>201197</v>
      </c>
      <c r="AI895" s="6">
        <v>45961</v>
      </c>
      <c r="AJ895" s="6">
        <v>46003</v>
      </c>
    </row>
    <row r="896" spans="1:36" hidden="1" x14ac:dyDescent="0.55000000000000004">
      <c r="A896">
        <v>3662</v>
      </c>
      <c r="B896">
        <v>1001761</v>
      </c>
      <c r="C896" s="1">
        <v>16799.599999999999</v>
      </c>
      <c r="E896" s="1">
        <v>16799.599999999999</v>
      </c>
      <c r="G896" s="1">
        <v>16799.599999999999</v>
      </c>
      <c r="H896" s="1"/>
      <c r="I896" s="1"/>
      <c r="J896" s="2">
        <v>46003</v>
      </c>
      <c r="K896" s="5">
        <v>1001761</v>
      </c>
      <c r="L896" s="5">
        <v>3662</v>
      </c>
      <c r="M896" s="5">
        <v>0</v>
      </c>
      <c r="N896" s="5">
        <v>16799.599999999999</v>
      </c>
      <c r="O896" s="7">
        <v>45961</v>
      </c>
      <c r="P896" s="5">
        <v>16799.599999999999</v>
      </c>
      <c r="Q896" s="5">
        <v>0</v>
      </c>
      <c r="R896" s="5" t="s">
        <v>32</v>
      </c>
      <c r="S896" s="5" t="s">
        <v>33</v>
      </c>
      <c r="T896" s="5">
        <v>0</v>
      </c>
      <c r="U896" s="5">
        <v>16799.599999999999</v>
      </c>
      <c r="V896" s="5" t="s">
        <v>34</v>
      </c>
      <c r="W896" s="5">
        <v>2</v>
      </c>
      <c r="X896" s="5">
        <v>2262487959176</v>
      </c>
      <c r="Y896" s="7">
        <v>46003</v>
      </c>
      <c r="Z896" s="7">
        <v>45961</v>
      </c>
      <c r="AB896" s="6">
        <v>46003</v>
      </c>
      <c r="AC896" s="7">
        <v>46001.532638888886</v>
      </c>
      <c r="AD896" s="5">
        <v>36621001761</v>
      </c>
      <c r="AE896" s="8">
        <v>45961</v>
      </c>
      <c r="AF896" s="5" t="s">
        <v>505</v>
      </c>
      <c r="AG896" s="5" t="s">
        <v>65</v>
      </c>
      <c r="AH896" s="5">
        <v>201199</v>
      </c>
      <c r="AI896" s="6">
        <v>45961</v>
      </c>
      <c r="AJ896" s="6">
        <v>46003</v>
      </c>
    </row>
    <row r="897" spans="1:37" hidden="1" x14ac:dyDescent="0.55000000000000004">
      <c r="A897">
        <v>3662</v>
      </c>
      <c r="B897">
        <v>1004155</v>
      </c>
      <c r="C897" s="1">
        <v>26098.799999999999</v>
      </c>
      <c r="E897" s="1">
        <v>26098.799999999999</v>
      </c>
      <c r="G897" s="1">
        <v>26098.799999999999</v>
      </c>
      <c r="H897" s="1"/>
      <c r="I897" s="1"/>
      <c r="J897" s="2">
        <v>46003</v>
      </c>
      <c r="K897" s="5">
        <v>1004155</v>
      </c>
      <c r="L897" s="5">
        <v>3662</v>
      </c>
      <c r="M897" s="5">
        <v>0</v>
      </c>
      <c r="N897" s="5">
        <v>26098.799999999999</v>
      </c>
      <c r="O897" s="7">
        <v>45975</v>
      </c>
      <c r="P897" s="5">
        <v>26098.799999999999</v>
      </c>
      <c r="Q897" s="5">
        <v>0</v>
      </c>
      <c r="R897" s="5" t="s">
        <v>32</v>
      </c>
      <c r="S897" s="5" t="s">
        <v>33</v>
      </c>
      <c r="T897" s="5">
        <v>0</v>
      </c>
      <c r="U897" s="5">
        <v>26098.799999999999</v>
      </c>
      <c r="V897" s="5" t="s">
        <v>34</v>
      </c>
      <c r="W897" s="5">
        <v>2</v>
      </c>
      <c r="X897" s="5">
        <v>2262487959176</v>
      </c>
      <c r="Y897" s="7">
        <v>46003</v>
      </c>
      <c r="Z897" s="7">
        <v>45975</v>
      </c>
      <c r="AB897" s="6">
        <v>46003</v>
      </c>
      <c r="AC897" s="7">
        <v>46001.532638888886</v>
      </c>
      <c r="AD897" s="5">
        <v>36621004155</v>
      </c>
      <c r="AE897" s="8">
        <v>45975</v>
      </c>
      <c r="AF897" s="5" t="s">
        <v>506</v>
      </c>
      <c r="AG897" s="5" t="s">
        <v>65</v>
      </c>
      <c r="AH897" s="5">
        <v>203200</v>
      </c>
      <c r="AI897" s="6">
        <v>45975</v>
      </c>
      <c r="AJ897" s="6">
        <v>46003</v>
      </c>
    </row>
    <row r="898" spans="1:37" hidden="1" x14ac:dyDescent="0.55000000000000004">
      <c r="A898">
        <v>3662</v>
      </c>
      <c r="B898">
        <v>1004156</v>
      </c>
      <c r="C898" s="1">
        <v>21749.439999999999</v>
      </c>
      <c r="E898" s="1">
        <v>21749.439999999999</v>
      </c>
      <c r="G898" s="1">
        <v>21749.439999999999</v>
      </c>
      <c r="H898" s="1"/>
      <c r="I898" s="1"/>
      <c r="J898" s="2">
        <v>46003</v>
      </c>
      <c r="K898" s="5">
        <v>1004156</v>
      </c>
      <c r="L898" s="5">
        <v>3662</v>
      </c>
      <c r="M898" s="5">
        <v>0</v>
      </c>
      <c r="N898" s="5">
        <v>21749.439999999999</v>
      </c>
      <c r="O898" s="7">
        <v>45975</v>
      </c>
      <c r="P898" s="5">
        <v>21749.439999999999</v>
      </c>
      <c r="Q898" s="5">
        <v>0</v>
      </c>
      <c r="R898" s="5" t="s">
        <v>32</v>
      </c>
      <c r="S898" s="5" t="s">
        <v>33</v>
      </c>
      <c r="T898" s="5">
        <v>0</v>
      </c>
      <c r="U898" s="5">
        <v>21749.439999999999</v>
      </c>
      <c r="V898" s="5" t="s">
        <v>34</v>
      </c>
      <c r="W898" s="5">
        <v>2</v>
      </c>
      <c r="X898" s="5">
        <v>2262487959176</v>
      </c>
      <c r="Y898" s="7">
        <v>46003</v>
      </c>
      <c r="Z898" s="7">
        <v>45975</v>
      </c>
      <c r="AB898" s="6">
        <v>46003</v>
      </c>
      <c r="AC898" s="7">
        <v>46001.532638888886</v>
      </c>
      <c r="AD898" s="5">
        <v>36621004156</v>
      </c>
      <c r="AE898" s="8">
        <v>45975</v>
      </c>
      <c r="AF898" s="5" t="s">
        <v>507</v>
      </c>
      <c r="AG898" s="5" t="s">
        <v>65</v>
      </c>
      <c r="AH898" s="5">
        <v>203202</v>
      </c>
      <c r="AI898" s="6">
        <v>45975</v>
      </c>
      <c r="AJ898" s="6">
        <v>46003</v>
      </c>
    </row>
    <row r="899" spans="1:37" hidden="1" x14ac:dyDescent="0.55000000000000004">
      <c r="A899">
        <v>3662</v>
      </c>
      <c r="B899">
        <v>1004184</v>
      </c>
      <c r="C899" s="1">
        <v>36538.32</v>
      </c>
      <c r="E899" s="1">
        <v>36538.32</v>
      </c>
      <c r="G899" s="1">
        <v>36538.32</v>
      </c>
      <c r="H899" s="1"/>
      <c r="I899" s="1"/>
      <c r="J899" s="2">
        <v>46003</v>
      </c>
      <c r="K899" s="5">
        <v>1004184</v>
      </c>
      <c r="L899" s="5">
        <v>3662</v>
      </c>
      <c r="M899" s="5">
        <v>0</v>
      </c>
      <c r="N899" s="5">
        <v>36538.32</v>
      </c>
      <c r="O899" s="7">
        <v>45975</v>
      </c>
      <c r="P899" s="5">
        <v>36538.32</v>
      </c>
      <c r="Q899" s="5">
        <v>0</v>
      </c>
      <c r="R899" s="5" t="s">
        <v>32</v>
      </c>
      <c r="S899" s="5" t="s">
        <v>33</v>
      </c>
      <c r="T899" s="5">
        <v>0</v>
      </c>
      <c r="U899" s="5">
        <v>36538.32</v>
      </c>
      <c r="V899" s="5" t="s">
        <v>34</v>
      </c>
      <c r="W899" s="5">
        <v>2</v>
      </c>
      <c r="X899" s="5">
        <v>2262487959176</v>
      </c>
      <c r="Y899" s="7">
        <v>46003</v>
      </c>
      <c r="Z899" s="7">
        <v>45975</v>
      </c>
      <c r="AB899" s="6">
        <v>46003</v>
      </c>
      <c r="AC899" s="7">
        <v>46001.532638888886</v>
      </c>
      <c r="AD899" s="5">
        <v>36621004184</v>
      </c>
      <c r="AE899" s="8">
        <v>45975</v>
      </c>
      <c r="AF899" s="5" t="s">
        <v>508</v>
      </c>
      <c r="AG899" s="5" t="s">
        <v>65</v>
      </c>
      <c r="AH899" s="5">
        <v>203197</v>
      </c>
      <c r="AI899" s="6">
        <v>45975</v>
      </c>
      <c r="AJ899" s="6">
        <v>46003</v>
      </c>
    </row>
    <row r="900" spans="1:37" hidden="1" x14ac:dyDescent="0.55000000000000004">
      <c r="A900">
        <v>3662</v>
      </c>
      <c r="B900">
        <v>1004189</v>
      </c>
      <c r="C900" s="1">
        <v>27215.279999999999</v>
      </c>
      <c r="E900" s="1">
        <v>27215.279999999999</v>
      </c>
      <c r="G900" s="1">
        <v>27215.279999999999</v>
      </c>
      <c r="H900" s="1"/>
      <c r="I900" s="1"/>
      <c r="J900" s="2">
        <v>46003</v>
      </c>
      <c r="K900" s="5">
        <v>1004189</v>
      </c>
      <c r="L900" s="5">
        <v>3662</v>
      </c>
      <c r="M900" s="5">
        <v>0</v>
      </c>
      <c r="N900" s="5">
        <v>27215.279999999999</v>
      </c>
      <c r="O900" s="7">
        <v>45975</v>
      </c>
      <c r="P900" s="5">
        <v>27215.279999999999</v>
      </c>
      <c r="Q900" s="5">
        <v>0</v>
      </c>
      <c r="R900" s="5" t="s">
        <v>32</v>
      </c>
      <c r="S900" s="5" t="s">
        <v>33</v>
      </c>
      <c r="T900" s="5">
        <v>0</v>
      </c>
      <c r="U900" s="5">
        <v>27215.279999999999</v>
      </c>
      <c r="V900" s="5" t="s">
        <v>34</v>
      </c>
      <c r="W900" s="5">
        <v>2</v>
      </c>
      <c r="X900" s="5">
        <v>2262487959176</v>
      </c>
      <c r="Y900" s="7">
        <v>46003</v>
      </c>
      <c r="Z900" s="7">
        <v>45975</v>
      </c>
      <c r="AB900" s="6">
        <v>46003</v>
      </c>
      <c r="AC900" s="7">
        <v>46001.532638888886</v>
      </c>
      <c r="AD900" s="5">
        <v>36621004189</v>
      </c>
      <c r="AE900" s="8">
        <v>45975</v>
      </c>
      <c r="AF900" s="5" t="s">
        <v>509</v>
      </c>
      <c r="AG900" s="5" t="s">
        <v>65</v>
      </c>
      <c r="AH900" s="5">
        <v>203198</v>
      </c>
      <c r="AI900" s="6">
        <v>45975</v>
      </c>
      <c r="AJ900" s="6">
        <v>46003</v>
      </c>
    </row>
    <row r="901" spans="1:37" x14ac:dyDescent="0.55000000000000004">
      <c r="A901">
        <v>3662</v>
      </c>
      <c r="B901">
        <v>1007311</v>
      </c>
      <c r="C901">
        <v>532.98</v>
      </c>
      <c r="D901" s="4">
        <v>10.66</v>
      </c>
      <c r="E901">
        <v>522.32000000000005</v>
      </c>
      <c r="F901">
        <v>5.33</v>
      </c>
      <c r="G901">
        <v>516.99</v>
      </c>
      <c r="H901" s="14">
        <f t="shared" ref="H901:H909" si="417">C901-D901-F901</f>
        <v>516.99</v>
      </c>
      <c r="I901" s="14" t="b">
        <f t="shared" ref="I901:I909" si="418">G901=H901</f>
        <v>1</v>
      </c>
      <c r="J901" s="2">
        <v>46003</v>
      </c>
      <c r="K901" s="5">
        <v>1007311</v>
      </c>
      <c r="L901" s="5">
        <v>3662</v>
      </c>
      <c r="M901" s="5">
        <v>10.66</v>
      </c>
      <c r="N901" s="5">
        <v>532.98</v>
      </c>
      <c r="O901" s="7">
        <v>45992</v>
      </c>
      <c r="P901" s="5">
        <v>522.32000000000005</v>
      </c>
      <c r="Q901" s="5">
        <v>10.66</v>
      </c>
      <c r="R901" s="5" t="s">
        <v>32</v>
      </c>
      <c r="S901" s="5" t="s">
        <v>33</v>
      </c>
      <c r="T901" s="5">
        <v>5.33</v>
      </c>
      <c r="U901" s="5">
        <v>516.99</v>
      </c>
      <c r="V901" s="5" t="s">
        <v>34</v>
      </c>
      <c r="W901" s="5">
        <v>2</v>
      </c>
      <c r="X901" s="5">
        <v>2262487959176</v>
      </c>
      <c r="Y901" s="7">
        <v>46003</v>
      </c>
      <c r="Z901" s="7">
        <v>45992</v>
      </c>
      <c r="AB901" s="6">
        <v>46003</v>
      </c>
      <c r="AC901" s="7">
        <v>46001.532638888886</v>
      </c>
      <c r="AD901" s="5">
        <v>36621007311</v>
      </c>
      <c r="AE901" s="8">
        <v>45992</v>
      </c>
      <c r="AF901" s="5" t="s">
        <v>510</v>
      </c>
      <c r="AG901" s="5" t="s">
        <v>37</v>
      </c>
      <c r="AH901" s="5">
        <v>205874</v>
      </c>
      <c r="AI901" s="6">
        <v>45992</v>
      </c>
      <c r="AJ901" s="6">
        <v>46003</v>
      </c>
      <c r="AK901" s="1">
        <f t="shared" ref="AK901:AK909" si="419">0.02*C901</f>
        <v>10.659600000000001</v>
      </c>
    </row>
    <row r="902" spans="1:37" x14ac:dyDescent="0.55000000000000004">
      <c r="A902">
        <v>3662</v>
      </c>
      <c r="B902">
        <v>1007326</v>
      </c>
      <c r="C902">
        <v>688.56</v>
      </c>
      <c r="D902" s="4">
        <v>13.77</v>
      </c>
      <c r="E902">
        <v>674.79</v>
      </c>
      <c r="F902">
        <v>6.89</v>
      </c>
      <c r="G902">
        <v>667.9</v>
      </c>
      <c r="H902" s="14">
        <f t="shared" si="417"/>
        <v>667.9</v>
      </c>
      <c r="I902" s="14" t="b">
        <f t="shared" si="418"/>
        <v>1</v>
      </c>
      <c r="J902" s="2">
        <v>46003</v>
      </c>
      <c r="K902" s="5">
        <v>1007326</v>
      </c>
      <c r="L902" s="5">
        <v>3662</v>
      </c>
      <c r="M902" s="5">
        <v>13.77</v>
      </c>
      <c r="N902" s="5">
        <v>688.56</v>
      </c>
      <c r="O902" s="7">
        <v>45992</v>
      </c>
      <c r="P902" s="5">
        <v>674.79</v>
      </c>
      <c r="Q902" s="5">
        <v>13.77</v>
      </c>
      <c r="R902" s="5" t="s">
        <v>32</v>
      </c>
      <c r="S902" s="5" t="s">
        <v>33</v>
      </c>
      <c r="T902" s="5">
        <v>6.89</v>
      </c>
      <c r="U902" s="5">
        <v>667.9</v>
      </c>
      <c r="V902" s="5" t="s">
        <v>34</v>
      </c>
      <c r="W902" s="5">
        <v>2</v>
      </c>
      <c r="X902" s="5">
        <v>2262487959176</v>
      </c>
      <c r="Y902" s="7">
        <v>46003</v>
      </c>
      <c r="Z902" s="7">
        <v>45992</v>
      </c>
      <c r="AB902" s="6">
        <v>46003</v>
      </c>
      <c r="AC902" s="7">
        <v>46001.532638888886</v>
      </c>
      <c r="AD902" s="5">
        <v>36621007326</v>
      </c>
      <c r="AE902" s="8">
        <v>45992</v>
      </c>
      <c r="AF902" s="5" t="s">
        <v>511</v>
      </c>
      <c r="AG902" s="5" t="s">
        <v>37</v>
      </c>
      <c r="AH902" s="5">
        <v>205825</v>
      </c>
      <c r="AI902" s="6">
        <v>45992</v>
      </c>
      <c r="AJ902" s="6">
        <v>46003</v>
      </c>
      <c r="AK902" s="1">
        <f t="shared" si="419"/>
        <v>13.771199999999999</v>
      </c>
    </row>
    <row r="903" spans="1:37" x14ac:dyDescent="0.55000000000000004">
      <c r="A903">
        <v>3662</v>
      </c>
      <c r="B903">
        <v>1007329</v>
      </c>
      <c r="C903">
        <v>75.69</v>
      </c>
      <c r="D903" s="4">
        <v>1.51</v>
      </c>
      <c r="E903">
        <v>74.180000000000007</v>
      </c>
      <c r="F903">
        <v>0.76</v>
      </c>
      <c r="G903">
        <v>73.42</v>
      </c>
      <c r="H903" s="14">
        <f t="shared" si="417"/>
        <v>73.419999999999987</v>
      </c>
      <c r="I903" s="14" t="b">
        <f t="shared" si="418"/>
        <v>1</v>
      </c>
      <c r="J903" s="2">
        <v>46003</v>
      </c>
      <c r="K903" s="5">
        <v>1007329</v>
      </c>
      <c r="L903" s="5">
        <v>3662</v>
      </c>
      <c r="M903" s="5">
        <v>1.51</v>
      </c>
      <c r="N903" s="5">
        <v>75.69</v>
      </c>
      <c r="O903" s="7">
        <v>45992</v>
      </c>
      <c r="P903" s="5">
        <v>74.180000000000007</v>
      </c>
      <c r="Q903" s="5">
        <v>1.51</v>
      </c>
      <c r="R903" s="5" t="s">
        <v>32</v>
      </c>
      <c r="S903" s="5" t="s">
        <v>33</v>
      </c>
      <c r="T903" s="5">
        <v>0.76</v>
      </c>
      <c r="U903" s="5">
        <v>73.42</v>
      </c>
      <c r="V903" s="5" t="s">
        <v>34</v>
      </c>
      <c r="W903" s="5">
        <v>2</v>
      </c>
      <c r="X903" s="5">
        <v>2262487959176</v>
      </c>
      <c r="Y903" s="7">
        <v>46003</v>
      </c>
      <c r="Z903" s="7">
        <v>45992</v>
      </c>
      <c r="AB903" s="6">
        <v>46003</v>
      </c>
      <c r="AC903" s="7">
        <v>46001.532638888886</v>
      </c>
      <c r="AD903" s="5">
        <v>36621007329</v>
      </c>
      <c r="AE903" s="8">
        <v>45992</v>
      </c>
      <c r="AF903" s="5" t="s">
        <v>512</v>
      </c>
      <c r="AG903" s="5" t="s">
        <v>37</v>
      </c>
      <c r="AH903" s="5">
        <v>205823</v>
      </c>
      <c r="AI903" s="6">
        <v>45992</v>
      </c>
      <c r="AJ903" s="6">
        <v>46003</v>
      </c>
      <c r="AK903" s="1">
        <f t="shared" si="419"/>
        <v>1.5138</v>
      </c>
    </row>
    <row r="904" spans="1:37" x14ac:dyDescent="0.55000000000000004">
      <c r="A904">
        <v>3662</v>
      </c>
      <c r="B904">
        <v>1007330</v>
      </c>
      <c r="C904">
        <v>41.14</v>
      </c>
      <c r="D904" s="4">
        <v>0.82</v>
      </c>
      <c r="E904">
        <v>40.32</v>
      </c>
      <c r="F904">
        <v>0.41</v>
      </c>
      <c r="G904">
        <v>39.909999999999997</v>
      </c>
      <c r="H904" s="14">
        <f t="shared" si="417"/>
        <v>39.910000000000004</v>
      </c>
      <c r="I904" s="14" t="b">
        <f t="shared" si="418"/>
        <v>1</v>
      </c>
      <c r="J904" s="2">
        <v>46003</v>
      </c>
      <c r="K904" s="5">
        <v>1007330</v>
      </c>
      <c r="L904" s="5">
        <v>3662</v>
      </c>
      <c r="M904" s="5">
        <v>0.82</v>
      </c>
      <c r="N904" s="5">
        <v>41.14</v>
      </c>
      <c r="O904" s="7">
        <v>45992</v>
      </c>
      <c r="P904" s="5">
        <v>40.32</v>
      </c>
      <c r="Q904" s="5">
        <v>0.82</v>
      </c>
      <c r="R904" s="5" t="s">
        <v>32</v>
      </c>
      <c r="S904" s="5" t="s">
        <v>33</v>
      </c>
      <c r="T904" s="5">
        <v>0.41</v>
      </c>
      <c r="U904" s="5">
        <v>39.909999999999997</v>
      </c>
      <c r="V904" s="5" t="s">
        <v>34</v>
      </c>
      <c r="W904" s="5">
        <v>2</v>
      </c>
      <c r="X904" s="5">
        <v>2262487959176</v>
      </c>
      <c r="Y904" s="7">
        <v>46003</v>
      </c>
      <c r="Z904" s="7">
        <v>45992</v>
      </c>
      <c r="AB904" s="6">
        <v>46003</v>
      </c>
      <c r="AC904" s="7">
        <v>46001.532638888886</v>
      </c>
      <c r="AD904" s="5">
        <v>36621007330</v>
      </c>
      <c r="AE904" s="8">
        <v>45992</v>
      </c>
      <c r="AF904" s="5" t="s">
        <v>513</v>
      </c>
      <c r="AG904" s="5" t="s">
        <v>37</v>
      </c>
      <c r="AH904" s="5">
        <v>205827</v>
      </c>
      <c r="AI904" s="6">
        <v>45992</v>
      </c>
      <c r="AJ904" s="6">
        <v>46003</v>
      </c>
      <c r="AK904" s="1">
        <f t="shared" si="419"/>
        <v>0.82279999999999998</v>
      </c>
    </row>
    <row r="905" spans="1:37" x14ac:dyDescent="0.55000000000000004">
      <c r="A905">
        <v>3662</v>
      </c>
      <c r="B905">
        <v>1007331</v>
      </c>
      <c r="C905">
        <v>41.14</v>
      </c>
      <c r="D905" s="4">
        <v>0.82</v>
      </c>
      <c r="E905">
        <v>40.32</v>
      </c>
      <c r="F905">
        <v>0.41</v>
      </c>
      <c r="G905">
        <v>39.909999999999997</v>
      </c>
      <c r="H905" s="14">
        <f t="shared" si="417"/>
        <v>39.910000000000004</v>
      </c>
      <c r="I905" s="14" t="b">
        <f t="shared" si="418"/>
        <v>1</v>
      </c>
      <c r="J905" s="2">
        <v>46003</v>
      </c>
      <c r="K905" s="5">
        <v>1007331</v>
      </c>
      <c r="L905" s="5">
        <v>3662</v>
      </c>
      <c r="M905" s="5">
        <v>0.82</v>
      </c>
      <c r="N905" s="5">
        <v>41.14</v>
      </c>
      <c r="O905" s="7">
        <v>45992</v>
      </c>
      <c r="P905" s="5">
        <v>40.32</v>
      </c>
      <c r="Q905" s="5">
        <v>0.82</v>
      </c>
      <c r="R905" s="5" t="s">
        <v>32</v>
      </c>
      <c r="S905" s="5" t="s">
        <v>33</v>
      </c>
      <c r="T905" s="5">
        <v>0.41</v>
      </c>
      <c r="U905" s="5">
        <v>39.909999999999997</v>
      </c>
      <c r="V905" s="5" t="s">
        <v>34</v>
      </c>
      <c r="W905" s="5">
        <v>2</v>
      </c>
      <c r="X905" s="5">
        <v>2262487959176</v>
      </c>
      <c r="Y905" s="7">
        <v>46003</v>
      </c>
      <c r="Z905" s="7">
        <v>45992</v>
      </c>
      <c r="AB905" s="6">
        <v>46003</v>
      </c>
      <c r="AC905" s="7">
        <v>46001.532638888886</v>
      </c>
      <c r="AD905" s="5">
        <v>36621007331</v>
      </c>
      <c r="AE905" s="8">
        <v>45992</v>
      </c>
      <c r="AF905" s="5" t="s">
        <v>514</v>
      </c>
      <c r="AG905" s="5" t="s">
        <v>37</v>
      </c>
      <c r="AH905" s="5">
        <v>205826</v>
      </c>
      <c r="AI905" s="6">
        <v>45992</v>
      </c>
      <c r="AJ905" s="6">
        <v>46003</v>
      </c>
      <c r="AK905" s="1">
        <f t="shared" si="419"/>
        <v>0.82279999999999998</v>
      </c>
    </row>
    <row r="906" spans="1:37" x14ac:dyDescent="0.55000000000000004">
      <c r="A906">
        <v>3662</v>
      </c>
      <c r="B906">
        <v>1007332</v>
      </c>
      <c r="C906">
        <v>41.14</v>
      </c>
      <c r="D906" s="4">
        <v>0.82</v>
      </c>
      <c r="E906">
        <v>40.32</v>
      </c>
      <c r="F906">
        <v>0.41</v>
      </c>
      <c r="G906">
        <v>39.909999999999997</v>
      </c>
      <c r="H906" s="14">
        <f t="shared" si="417"/>
        <v>39.910000000000004</v>
      </c>
      <c r="I906" s="14" t="b">
        <f t="shared" si="418"/>
        <v>1</v>
      </c>
      <c r="J906" s="2">
        <v>46003</v>
      </c>
      <c r="K906" s="5">
        <v>1007332</v>
      </c>
      <c r="L906" s="5">
        <v>3662</v>
      </c>
      <c r="M906" s="5">
        <v>0.82</v>
      </c>
      <c r="N906" s="5">
        <v>41.14</v>
      </c>
      <c r="O906" s="7">
        <v>45992</v>
      </c>
      <c r="P906" s="5">
        <v>40.32</v>
      </c>
      <c r="Q906" s="5">
        <v>0.82</v>
      </c>
      <c r="R906" s="5" t="s">
        <v>32</v>
      </c>
      <c r="S906" s="5" t="s">
        <v>33</v>
      </c>
      <c r="T906" s="5">
        <v>0.41</v>
      </c>
      <c r="U906" s="5">
        <v>39.909999999999997</v>
      </c>
      <c r="V906" s="5" t="s">
        <v>34</v>
      </c>
      <c r="W906" s="5">
        <v>2</v>
      </c>
      <c r="X906" s="5">
        <v>2262487959176</v>
      </c>
      <c r="Y906" s="7">
        <v>46003</v>
      </c>
      <c r="Z906" s="7">
        <v>45992</v>
      </c>
      <c r="AB906" s="6">
        <v>46003</v>
      </c>
      <c r="AC906" s="7">
        <v>46001.532638888886</v>
      </c>
      <c r="AD906" s="5">
        <v>36621007332</v>
      </c>
      <c r="AE906" s="8">
        <v>45992</v>
      </c>
      <c r="AF906" s="5" t="s">
        <v>515</v>
      </c>
      <c r="AG906" s="5" t="s">
        <v>37</v>
      </c>
      <c r="AH906" s="5">
        <v>205822</v>
      </c>
      <c r="AI906" s="6">
        <v>45992</v>
      </c>
      <c r="AJ906" s="6">
        <v>46003</v>
      </c>
      <c r="AK906" s="1">
        <f t="shared" si="419"/>
        <v>0.82279999999999998</v>
      </c>
    </row>
    <row r="907" spans="1:37" x14ac:dyDescent="0.55000000000000004">
      <c r="A907">
        <v>3662</v>
      </c>
      <c r="B907">
        <v>1007333</v>
      </c>
      <c r="C907">
        <v>41.14</v>
      </c>
      <c r="D907" s="4">
        <v>0.82</v>
      </c>
      <c r="E907">
        <v>40.32</v>
      </c>
      <c r="F907">
        <v>0.41</v>
      </c>
      <c r="G907">
        <v>39.909999999999997</v>
      </c>
      <c r="H907" s="14">
        <f t="shared" si="417"/>
        <v>39.910000000000004</v>
      </c>
      <c r="I907" s="14" t="b">
        <f t="shared" si="418"/>
        <v>1</v>
      </c>
      <c r="J907" s="2">
        <v>46003</v>
      </c>
      <c r="K907" s="5">
        <v>1007333</v>
      </c>
      <c r="L907" s="5">
        <v>3662</v>
      </c>
      <c r="M907" s="5">
        <v>0.82</v>
      </c>
      <c r="N907" s="5">
        <v>41.14</v>
      </c>
      <c r="O907" s="7">
        <v>45992</v>
      </c>
      <c r="P907" s="5">
        <v>40.32</v>
      </c>
      <c r="Q907" s="5">
        <v>0.82</v>
      </c>
      <c r="R907" s="5" t="s">
        <v>32</v>
      </c>
      <c r="S907" s="5" t="s">
        <v>33</v>
      </c>
      <c r="T907" s="5">
        <v>0.41</v>
      </c>
      <c r="U907" s="5">
        <v>39.909999999999997</v>
      </c>
      <c r="V907" s="5" t="s">
        <v>34</v>
      </c>
      <c r="W907" s="5">
        <v>2</v>
      </c>
      <c r="X907" s="5">
        <v>2262487959176</v>
      </c>
      <c r="Y907" s="7">
        <v>46003</v>
      </c>
      <c r="Z907" s="7">
        <v>45992</v>
      </c>
      <c r="AB907" s="6">
        <v>46003</v>
      </c>
      <c r="AC907" s="7">
        <v>46001.532638888886</v>
      </c>
      <c r="AD907" s="5">
        <v>36621007333</v>
      </c>
      <c r="AE907" s="8">
        <v>45992</v>
      </c>
      <c r="AF907" s="5" t="s">
        <v>516</v>
      </c>
      <c r="AG907" s="5" t="s">
        <v>37</v>
      </c>
      <c r="AH907" s="5">
        <v>205824</v>
      </c>
      <c r="AI907" s="6">
        <v>45992</v>
      </c>
      <c r="AJ907" s="6">
        <v>46003</v>
      </c>
      <c r="AK907" s="1">
        <f t="shared" si="419"/>
        <v>0.82279999999999998</v>
      </c>
    </row>
    <row r="908" spans="1:37" x14ac:dyDescent="0.55000000000000004">
      <c r="A908">
        <v>3662</v>
      </c>
      <c r="B908">
        <v>1007335</v>
      </c>
      <c r="C908">
        <v>75.69</v>
      </c>
      <c r="D908" s="4">
        <v>1.51</v>
      </c>
      <c r="E908">
        <v>74.180000000000007</v>
      </c>
      <c r="F908">
        <v>0.76</v>
      </c>
      <c r="G908">
        <v>73.42</v>
      </c>
      <c r="H908" s="14">
        <f t="shared" si="417"/>
        <v>73.419999999999987</v>
      </c>
      <c r="I908" s="14" t="b">
        <f t="shared" si="418"/>
        <v>1</v>
      </c>
      <c r="J908" s="2">
        <v>46003</v>
      </c>
      <c r="K908" s="5">
        <v>1007335</v>
      </c>
      <c r="L908" s="5">
        <v>3662</v>
      </c>
      <c r="M908" s="5">
        <v>1.51</v>
      </c>
      <c r="N908" s="5">
        <v>75.69</v>
      </c>
      <c r="O908" s="7">
        <v>45992</v>
      </c>
      <c r="P908" s="5">
        <v>74.180000000000007</v>
      </c>
      <c r="Q908" s="5">
        <v>1.51</v>
      </c>
      <c r="R908" s="5" t="s">
        <v>32</v>
      </c>
      <c r="S908" s="5" t="s">
        <v>33</v>
      </c>
      <c r="T908" s="5">
        <v>0.76</v>
      </c>
      <c r="U908" s="5">
        <v>73.42</v>
      </c>
      <c r="V908" s="5" t="s">
        <v>34</v>
      </c>
      <c r="W908" s="5">
        <v>2</v>
      </c>
      <c r="X908" s="5">
        <v>2262487959176</v>
      </c>
      <c r="Y908" s="7">
        <v>46003</v>
      </c>
      <c r="Z908" s="7">
        <v>45992</v>
      </c>
      <c r="AB908" s="6">
        <v>46003</v>
      </c>
      <c r="AC908" s="7">
        <v>46001.532638888886</v>
      </c>
      <c r="AD908" s="5">
        <v>36621007335</v>
      </c>
      <c r="AE908" s="8">
        <v>45992</v>
      </c>
      <c r="AF908" s="5" t="s">
        <v>517</v>
      </c>
      <c r="AG908" s="5" t="s">
        <v>37</v>
      </c>
      <c r="AH908" s="5">
        <v>205828</v>
      </c>
      <c r="AI908" s="6">
        <v>45992</v>
      </c>
      <c r="AJ908" s="6">
        <v>46003</v>
      </c>
      <c r="AK908" s="1">
        <f t="shared" si="419"/>
        <v>1.5138</v>
      </c>
    </row>
    <row r="909" spans="1:37" x14ac:dyDescent="0.55000000000000004">
      <c r="A909">
        <v>3662</v>
      </c>
      <c r="B909">
        <v>1007352</v>
      </c>
      <c r="C909">
        <v>167.44</v>
      </c>
      <c r="D909" s="4">
        <v>3.35</v>
      </c>
      <c r="E909">
        <v>164.09</v>
      </c>
      <c r="F909">
        <v>1.67</v>
      </c>
      <c r="G909">
        <v>162.41999999999999</v>
      </c>
      <c r="H909" s="14">
        <f t="shared" si="417"/>
        <v>162.42000000000002</v>
      </c>
      <c r="I909" s="14" t="b">
        <f t="shared" si="418"/>
        <v>1</v>
      </c>
      <c r="J909" s="2">
        <v>46003</v>
      </c>
      <c r="K909" s="5">
        <v>1007352</v>
      </c>
      <c r="L909" s="5">
        <v>3662</v>
      </c>
      <c r="M909" s="5">
        <v>3.35</v>
      </c>
      <c r="N909" s="5">
        <v>167.44</v>
      </c>
      <c r="O909" s="7">
        <v>45992</v>
      </c>
      <c r="P909" s="5">
        <v>164.09</v>
      </c>
      <c r="Q909" s="5">
        <v>3.35</v>
      </c>
      <c r="R909" s="5" t="s">
        <v>32</v>
      </c>
      <c r="S909" s="5" t="s">
        <v>33</v>
      </c>
      <c r="T909" s="5">
        <v>1.67</v>
      </c>
      <c r="U909" s="5">
        <v>162.41999999999999</v>
      </c>
      <c r="V909" s="5" t="s">
        <v>34</v>
      </c>
      <c r="W909" s="5">
        <v>2</v>
      </c>
      <c r="X909" s="5">
        <v>2262487959176</v>
      </c>
      <c r="Y909" s="7">
        <v>46003</v>
      </c>
      <c r="Z909" s="7">
        <v>45992</v>
      </c>
      <c r="AB909" s="6">
        <v>46003</v>
      </c>
      <c r="AC909" s="7">
        <v>46001.532638888886</v>
      </c>
      <c r="AD909" s="5">
        <v>36621007352</v>
      </c>
      <c r="AE909" s="8">
        <v>45992</v>
      </c>
      <c r="AF909" s="5" t="s">
        <v>510</v>
      </c>
      <c r="AG909" s="5" t="s">
        <v>37</v>
      </c>
      <c r="AH909" s="5">
        <v>205884</v>
      </c>
      <c r="AI909" s="6">
        <v>45992</v>
      </c>
      <c r="AJ909" s="6">
        <v>46003</v>
      </c>
      <c r="AK909" s="1">
        <f t="shared" si="419"/>
        <v>3.3488000000000002</v>
      </c>
    </row>
    <row r="910" spans="1:37" hidden="1" x14ac:dyDescent="0.55000000000000004">
      <c r="A910">
        <v>3662</v>
      </c>
      <c r="B910">
        <v>1007546</v>
      </c>
      <c r="C910" s="1">
        <v>3990</v>
      </c>
      <c r="E910" s="1">
        <v>3990</v>
      </c>
      <c r="F910">
        <v>39.9</v>
      </c>
      <c r="G910" s="1">
        <v>3950.1</v>
      </c>
      <c r="H910" s="1"/>
      <c r="I910" s="1"/>
      <c r="J910" s="2">
        <v>46003</v>
      </c>
      <c r="K910" s="5">
        <v>1007546</v>
      </c>
      <c r="L910" s="5">
        <v>3662</v>
      </c>
      <c r="M910" s="5">
        <v>0</v>
      </c>
      <c r="N910" s="5">
        <v>3990</v>
      </c>
      <c r="O910" s="7">
        <v>45993</v>
      </c>
      <c r="P910" s="5">
        <v>3990</v>
      </c>
      <c r="Q910" s="5">
        <v>0</v>
      </c>
      <c r="R910" s="5" t="s">
        <v>32</v>
      </c>
      <c r="S910" s="5" t="s">
        <v>33</v>
      </c>
      <c r="T910" s="5">
        <v>39.9</v>
      </c>
      <c r="U910" s="5">
        <v>3950.1</v>
      </c>
      <c r="V910" s="5" t="s">
        <v>34</v>
      </c>
      <c r="W910" s="5">
        <v>2</v>
      </c>
      <c r="X910" s="5">
        <v>2262487959176</v>
      </c>
      <c r="Y910" s="7">
        <v>46003</v>
      </c>
      <c r="Z910" s="7">
        <v>45993</v>
      </c>
      <c r="AB910" s="6">
        <v>46003</v>
      </c>
      <c r="AC910" s="7">
        <v>46001.532638888886</v>
      </c>
      <c r="AD910" s="5">
        <v>36621007546</v>
      </c>
      <c r="AE910" s="8">
        <v>45993</v>
      </c>
      <c r="AF910" s="5" t="s">
        <v>32</v>
      </c>
      <c r="AG910" s="5" t="s">
        <v>35</v>
      </c>
      <c r="AH910" s="5" t="s">
        <v>32</v>
      </c>
      <c r="AI910" s="6">
        <v>45993</v>
      </c>
      <c r="AJ910" s="6">
        <v>46003</v>
      </c>
    </row>
    <row r="911" spans="1:37" hidden="1" x14ac:dyDescent="0.55000000000000004">
      <c r="A911">
        <v>3662</v>
      </c>
      <c r="B911">
        <v>1007715</v>
      </c>
      <c r="C911" s="1">
        <v>3478.42</v>
      </c>
      <c r="E911" s="1">
        <v>3478.42</v>
      </c>
      <c r="F911">
        <v>34.78</v>
      </c>
      <c r="G911" s="1">
        <v>3443.64</v>
      </c>
      <c r="H911" s="1"/>
      <c r="I911" s="1"/>
      <c r="J911" s="2">
        <v>46003</v>
      </c>
      <c r="K911" s="5">
        <v>1007715</v>
      </c>
      <c r="L911" s="5">
        <v>3662</v>
      </c>
      <c r="M911" s="5">
        <v>0</v>
      </c>
      <c r="N911" s="5">
        <v>3478.42</v>
      </c>
      <c r="O911" s="7">
        <v>45993</v>
      </c>
      <c r="P911" s="5">
        <v>3478.42</v>
      </c>
      <c r="Q911" s="5">
        <v>0</v>
      </c>
      <c r="R911" s="5" t="s">
        <v>32</v>
      </c>
      <c r="S911" s="5" t="s">
        <v>33</v>
      </c>
      <c r="T911" s="5">
        <v>34.78</v>
      </c>
      <c r="U911" s="5">
        <v>3443.64</v>
      </c>
      <c r="V911" s="5" t="s">
        <v>34</v>
      </c>
      <c r="W911" s="5">
        <v>2</v>
      </c>
      <c r="X911" s="5">
        <v>2262487959176</v>
      </c>
      <c r="Y911" s="7">
        <v>46003</v>
      </c>
      <c r="Z911" s="7">
        <v>45993</v>
      </c>
      <c r="AB911" s="6">
        <v>46003</v>
      </c>
      <c r="AC911" s="7">
        <v>46001.532638888886</v>
      </c>
      <c r="AD911" s="5">
        <v>36621007715</v>
      </c>
      <c r="AE911" s="8">
        <v>45993</v>
      </c>
      <c r="AF911" s="5" t="s">
        <v>494</v>
      </c>
      <c r="AG911" s="5" t="s">
        <v>38</v>
      </c>
      <c r="AH911" s="5">
        <v>206115</v>
      </c>
      <c r="AI911" s="6">
        <v>45993</v>
      </c>
      <c r="AJ911" s="6">
        <v>46003</v>
      </c>
    </row>
    <row r="912" spans="1:37" hidden="1" x14ac:dyDescent="0.55000000000000004">
      <c r="A912">
        <v>3662</v>
      </c>
      <c r="B912">
        <v>1007720</v>
      </c>
      <c r="C912" s="1">
        <v>1739.92</v>
      </c>
      <c r="E912" s="1">
        <v>1739.92</v>
      </c>
      <c r="F912">
        <v>17.399999999999999</v>
      </c>
      <c r="G912" s="1">
        <v>1722.52</v>
      </c>
      <c r="H912" s="1"/>
      <c r="I912" s="1"/>
      <c r="J912" s="2">
        <v>46003</v>
      </c>
      <c r="K912" s="5">
        <v>1007720</v>
      </c>
      <c r="L912" s="5">
        <v>3662</v>
      </c>
      <c r="M912" s="5">
        <v>0</v>
      </c>
      <c r="N912" s="5">
        <v>1739.92</v>
      </c>
      <c r="O912" s="7">
        <v>45993</v>
      </c>
      <c r="P912" s="5">
        <v>1739.92</v>
      </c>
      <c r="Q912" s="5">
        <v>0</v>
      </c>
      <c r="R912" s="5" t="s">
        <v>32</v>
      </c>
      <c r="S912" s="5" t="s">
        <v>33</v>
      </c>
      <c r="T912" s="5">
        <v>17.399999999999999</v>
      </c>
      <c r="U912" s="5">
        <v>1722.52</v>
      </c>
      <c r="V912" s="5" t="s">
        <v>34</v>
      </c>
      <c r="W912" s="5">
        <v>2</v>
      </c>
      <c r="X912" s="5">
        <v>2262487959176</v>
      </c>
      <c r="Y912" s="7">
        <v>46003</v>
      </c>
      <c r="Z912" s="7">
        <v>45993</v>
      </c>
      <c r="AB912" s="6">
        <v>46003</v>
      </c>
      <c r="AC912" s="7">
        <v>46001.532638888886</v>
      </c>
      <c r="AD912" s="5">
        <v>36621007720</v>
      </c>
      <c r="AE912" s="8">
        <v>45993</v>
      </c>
      <c r="AF912" s="5" t="s">
        <v>518</v>
      </c>
      <c r="AG912" s="5" t="s">
        <v>38</v>
      </c>
      <c r="AH912" s="5">
        <v>206116</v>
      </c>
      <c r="AI912" s="6">
        <v>45993</v>
      </c>
      <c r="AJ912" s="6">
        <v>46003</v>
      </c>
    </row>
    <row r="913" spans="1:37" hidden="1" x14ac:dyDescent="0.55000000000000004">
      <c r="A913">
        <v>3662</v>
      </c>
      <c r="B913">
        <v>1007898</v>
      </c>
      <c r="C913" s="1">
        <v>1133.92</v>
      </c>
      <c r="E913" s="1">
        <v>1133.92</v>
      </c>
      <c r="F913">
        <v>11.34</v>
      </c>
      <c r="G913" s="1">
        <v>1122.58</v>
      </c>
      <c r="H913" s="1"/>
      <c r="I913" s="1"/>
      <c r="J913" s="2">
        <v>46003</v>
      </c>
      <c r="K913" s="5">
        <v>1007898</v>
      </c>
      <c r="L913" s="5">
        <v>3662</v>
      </c>
      <c r="M913" s="5">
        <v>0</v>
      </c>
      <c r="N913" s="5">
        <v>1133.92</v>
      </c>
      <c r="O913" s="7">
        <v>45994</v>
      </c>
      <c r="P913" s="5">
        <v>1133.92</v>
      </c>
      <c r="Q913" s="5">
        <v>0</v>
      </c>
      <c r="R913" s="5" t="s">
        <v>32</v>
      </c>
      <c r="S913" s="5" t="s">
        <v>33</v>
      </c>
      <c r="T913" s="5">
        <v>11.34</v>
      </c>
      <c r="U913" s="5">
        <v>1122.58</v>
      </c>
      <c r="V913" s="5" t="s">
        <v>34</v>
      </c>
      <c r="W913" s="5">
        <v>2</v>
      </c>
      <c r="X913" s="5">
        <v>2262487959176</v>
      </c>
      <c r="Y913" s="7">
        <v>46003</v>
      </c>
      <c r="Z913" s="7">
        <v>45994</v>
      </c>
      <c r="AB913" s="6">
        <v>46003</v>
      </c>
      <c r="AC913" s="7">
        <v>46001.532638888886</v>
      </c>
      <c r="AD913" s="5">
        <v>36621007898</v>
      </c>
      <c r="AE913" s="8">
        <v>45994</v>
      </c>
      <c r="AF913" s="5" t="s">
        <v>519</v>
      </c>
      <c r="AG913" s="5" t="s">
        <v>38</v>
      </c>
      <c r="AH913" s="5">
        <v>206450</v>
      </c>
      <c r="AI913" s="6">
        <v>45994</v>
      </c>
      <c r="AJ913" s="6">
        <v>46003</v>
      </c>
    </row>
    <row r="914" spans="1:37" x14ac:dyDescent="0.55000000000000004">
      <c r="A914">
        <v>3662</v>
      </c>
      <c r="B914">
        <v>1008031</v>
      </c>
      <c r="C914">
        <v>35.01</v>
      </c>
      <c r="D914" s="4">
        <v>0.7</v>
      </c>
      <c r="E914">
        <v>34.31</v>
      </c>
      <c r="F914">
        <v>0.35</v>
      </c>
      <c r="G914">
        <v>33.96</v>
      </c>
      <c r="H914" s="14">
        <f>C914-D914-F914</f>
        <v>33.959999999999994</v>
      </c>
      <c r="I914" s="14" t="b">
        <f>G914=H914</f>
        <v>1</v>
      </c>
      <c r="J914" s="2">
        <v>46003</v>
      </c>
      <c r="K914" s="5">
        <v>1008031</v>
      </c>
      <c r="L914" s="5">
        <v>3662</v>
      </c>
      <c r="M914" s="5">
        <v>0.7</v>
      </c>
      <c r="N914" s="5">
        <v>35.01</v>
      </c>
      <c r="O914" s="7">
        <v>45994</v>
      </c>
      <c r="P914" s="5">
        <v>34.31</v>
      </c>
      <c r="Q914" s="5">
        <v>0.7</v>
      </c>
      <c r="R914" s="5" t="s">
        <v>32</v>
      </c>
      <c r="S914" s="5" t="s">
        <v>33</v>
      </c>
      <c r="T914" s="5">
        <v>0.35</v>
      </c>
      <c r="U914" s="5">
        <v>33.96</v>
      </c>
      <c r="V914" s="5" t="s">
        <v>34</v>
      </c>
      <c r="W914" s="5">
        <v>2</v>
      </c>
      <c r="X914" s="5">
        <v>2262487959176</v>
      </c>
      <c r="Y914" s="7">
        <v>46003</v>
      </c>
      <c r="Z914" s="7">
        <v>45994</v>
      </c>
      <c r="AB914" s="6">
        <v>46003</v>
      </c>
      <c r="AC914" s="7">
        <v>46001.532638888886</v>
      </c>
      <c r="AD914" s="5">
        <v>36621008031</v>
      </c>
      <c r="AE914" s="8">
        <v>45994</v>
      </c>
      <c r="AF914" s="5" t="s">
        <v>520</v>
      </c>
      <c r="AG914" s="5" t="s">
        <v>37</v>
      </c>
      <c r="AH914" s="5">
        <v>206069</v>
      </c>
      <c r="AI914" s="6">
        <v>45994</v>
      </c>
      <c r="AJ914" s="6">
        <v>46003</v>
      </c>
      <c r="AK914" s="1">
        <f t="shared" ref="AK914" si="420">0.02*C914</f>
        <v>0.70019999999999993</v>
      </c>
    </row>
    <row r="915" spans="1:37" hidden="1" x14ac:dyDescent="0.55000000000000004">
      <c r="A915">
        <v>3662</v>
      </c>
      <c r="B915">
        <v>1008203</v>
      </c>
      <c r="C915" s="1">
        <v>4349.8</v>
      </c>
      <c r="E915" s="1">
        <v>4349.8</v>
      </c>
      <c r="F915">
        <v>43.5</v>
      </c>
      <c r="G915" s="1">
        <v>4306.3</v>
      </c>
      <c r="H915" s="1"/>
      <c r="I915" s="1"/>
      <c r="J915" s="2">
        <v>46003</v>
      </c>
      <c r="K915" s="5">
        <v>1008203</v>
      </c>
      <c r="L915" s="5">
        <v>3662</v>
      </c>
      <c r="M915" s="5">
        <v>0</v>
      </c>
      <c r="N915" s="5">
        <v>4349.8</v>
      </c>
      <c r="O915" s="7">
        <v>45995</v>
      </c>
      <c r="P915" s="5">
        <v>4349.8</v>
      </c>
      <c r="Q915" s="5">
        <v>0</v>
      </c>
      <c r="R915" s="5" t="s">
        <v>32</v>
      </c>
      <c r="S915" s="5" t="s">
        <v>33</v>
      </c>
      <c r="T915" s="5">
        <v>43.5</v>
      </c>
      <c r="U915" s="5">
        <v>4306.3</v>
      </c>
      <c r="V915" s="5" t="s">
        <v>34</v>
      </c>
      <c r="W915" s="5">
        <v>2</v>
      </c>
      <c r="X915" s="5">
        <v>2262487959176</v>
      </c>
      <c r="Y915" s="7">
        <v>46003</v>
      </c>
      <c r="Z915" s="7">
        <v>45995</v>
      </c>
      <c r="AB915" s="6">
        <v>46003</v>
      </c>
      <c r="AC915" s="7">
        <v>46001.532638888886</v>
      </c>
      <c r="AD915" s="5">
        <v>36621008203</v>
      </c>
      <c r="AE915" s="8">
        <v>45995</v>
      </c>
      <c r="AF915" s="5" t="s">
        <v>508</v>
      </c>
      <c r="AG915" s="5" t="s">
        <v>38</v>
      </c>
      <c r="AH915" s="5">
        <v>206660</v>
      </c>
      <c r="AI915" s="6">
        <v>45995</v>
      </c>
      <c r="AJ915" s="6">
        <v>46003</v>
      </c>
    </row>
    <row r="916" spans="1:37" x14ac:dyDescent="0.55000000000000004">
      <c r="A916">
        <v>3662</v>
      </c>
      <c r="B916">
        <v>1008310</v>
      </c>
      <c r="C916">
        <v>230.85</v>
      </c>
      <c r="D916" s="4">
        <v>4.62</v>
      </c>
      <c r="E916">
        <v>226.23</v>
      </c>
      <c r="F916">
        <v>2.31</v>
      </c>
      <c r="G916">
        <v>223.92</v>
      </c>
      <c r="H916" s="14">
        <f t="shared" ref="H916:H918" si="421">C916-D916-F916</f>
        <v>223.92</v>
      </c>
      <c r="I916" s="14" t="b">
        <f t="shared" ref="I916:I918" si="422">G916=H916</f>
        <v>1</v>
      </c>
      <c r="J916" s="2">
        <v>46003</v>
      </c>
      <c r="K916" s="5">
        <v>1008310</v>
      </c>
      <c r="L916" s="5">
        <v>3662</v>
      </c>
      <c r="M916" s="5">
        <v>4.62</v>
      </c>
      <c r="N916" s="5">
        <v>230.85</v>
      </c>
      <c r="O916" s="7">
        <v>45996</v>
      </c>
      <c r="P916" s="5">
        <v>226.23</v>
      </c>
      <c r="Q916" s="5">
        <v>4.62</v>
      </c>
      <c r="R916" s="5" t="s">
        <v>521</v>
      </c>
      <c r="S916" s="5" t="s">
        <v>265</v>
      </c>
      <c r="T916" s="5">
        <v>2.31</v>
      </c>
      <c r="U916" s="5">
        <v>223.92</v>
      </c>
      <c r="V916" s="5" t="s">
        <v>34</v>
      </c>
      <c r="W916" s="5">
        <v>2</v>
      </c>
      <c r="X916" s="5">
        <v>2262487959176</v>
      </c>
      <c r="Y916" s="7">
        <v>46003</v>
      </c>
      <c r="Z916" s="7">
        <v>45996</v>
      </c>
      <c r="AB916" s="6">
        <v>46003</v>
      </c>
      <c r="AC916" s="7">
        <v>46001.532638888886</v>
      </c>
      <c r="AD916" s="5">
        <v>36621008310</v>
      </c>
      <c r="AE916" s="8">
        <v>45996</v>
      </c>
      <c r="AF916" s="5">
        <v>203454</v>
      </c>
      <c r="AG916" s="5" t="s">
        <v>37</v>
      </c>
      <c r="AH916" s="5" t="s">
        <v>521</v>
      </c>
      <c r="AI916" s="6">
        <v>45996</v>
      </c>
      <c r="AJ916" s="6">
        <v>46003</v>
      </c>
      <c r="AK916" s="1">
        <f t="shared" ref="AK916:AK918" si="423">0.02*C916</f>
        <v>4.617</v>
      </c>
    </row>
    <row r="917" spans="1:37" x14ac:dyDescent="0.55000000000000004">
      <c r="A917">
        <v>3662</v>
      </c>
      <c r="B917">
        <v>1008311</v>
      </c>
      <c r="C917">
        <v>153.9</v>
      </c>
      <c r="D917" s="4">
        <v>3.08</v>
      </c>
      <c r="E917">
        <v>150.82</v>
      </c>
      <c r="F917">
        <v>1.54</v>
      </c>
      <c r="G917">
        <v>149.28</v>
      </c>
      <c r="H917" s="14">
        <f t="shared" si="421"/>
        <v>149.28</v>
      </c>
      <c r="I917" s="14" t="b">
        <f t="shared" si="422"/>
        <v>1</v>
      </c>
      <c r="J917" s="2">
        <v>46003</v>
      </c>
      <c r="K917" s="5">
        <v>1008311</v>
      </c>
      <c r="L917" s="5">
        <v>3662</v>
      </c>
      <c r="M917" s="5">
        <v>3.08</v>
      </c>
      <c r="N917" s="5">
        <v>153.9</v>
      </c>
      <c r="O917" s="7">
        <v>45996</v>
      </c>
      <c r="P917" s="5">
        <v>150.82</v>
      </c>
      <c r="Q917" s="5">
        <v>3.08</v>
      </c>
      <c r="R917" s="5" t="s">
        <v>522</v>
      </c>
      <c r="S917" s="5" t="s">
        <v>265</v>
      </c>
      <c r="T917" s="5">
        <v>1.54</v>
      </c>
      <c r="U917" s="5">
        <v>149.28</v>
      </c>
      <c r="V917" s="5" t="s">
        <v>34</v>
      </c>
      <c r="W917" s="5">
        <v>2</v>
      </c>
      <c r="X917" s="5">
        <v>2262487959176</v>
      </c>
      <c r="Y917" s="7">
        <v>46003</v>
      </c>
      <c r="Z917" s="7">
        <v>45996</v>
      </c>
      <c r="AB917" s="6">
        <v>46003</v>
      </c>
      <c r="AC917" s="7">
        <v>46001.532638888886</v>
      </c>
      <c r="AD917" s="5">
        <v>36621008311</v>
      </c>
      <c r="AE917" s="8">
        <v>45996</v>
      </c>
      <c r="AF917" s="5">
        <v>203452</v>
      </c>
      <c r="AG917" s="5" t="s">
        <v>37</v>
      </c>
      <c r="AH917" s="5" t="s">
        <v>522</v>
      </c>
      <c r="AI917" s="6">
        <v>45996</v>
      </c>
      <c r="AJ917" s="6">
        <v>46003</v>
      </c>
      <c r="AK917" s="1">
        <f t="shared" si="423"/>
        <v>3.0780000000000003</v>
      </c>
    </row>
    <row r="918" spans="1:37" x14ac:dyDescent="0.55000000000000004">
      <c r="A918">
        <v>3662</v>
      </c>
      <c r="B918">
        <v>1008312</v>
      </c>
      <c r="C918">
        <v>115.43</v>
      </c>
      <c r="D918" s="4">
        <v>2.31</v>
      </c>
      <c r="E918">
        <v>113.12</v>
      </c>
      <c r="F918">
        <v>1.1499999999999999</v>
      </c>
      <c r="G918">
        <v>111.97</v>
      </c>
      <c r="H918" s="14">
        <f t="shared" si="421"/>
        <v>111.97</v>
      </c>
      <c r="I918" s="14" t="b">
        <f t="shared" si="422"/>
        <v>1</v>
      </c>
      <c r="J918" s="2">
        <v>46003</v>
      </c>
      <c r="K918" s="5">
        <v>1008312</v>
      </c>
      <c r="L918" s="5">
        <v>3662</v>
      </c>
      <c r="M918" s="5">
        <v>2.31</v>
      </c>
      <c r="N918" s="5">
        <v>115.43</v>
      </c>
      <c r="O918" s="7">
        <v>45996</v>
      </c>
      <c r="P918" s="5">
        <v>113.12</v>
      </c>
      <c r="Q918" s="5">
        <v>2.31</v>
      </c>
      <c r="R918" s="5" t="s">
        <v>523</v>
      </c>
      <c r="S918" s="5" t="s">
        <v>265</v>
      </c>
      <c r="T918" s="5">
        <v>1.1499999999999999</v>
      </c>
      <c r="U918" s="5">
        <v>111.97</v>
      </c>
      <c r="V918" s="5" t="s">
        <v>34</v>
      </c>
      <c r="W918" s="5">
        <v>2</v>
      </c>
      <c r="X918" s="5">
        <v>2262487959176</v>
      </c>
      <c r="Y918" s="7">
        <v>46003</v>
      </c>
      <c r="Z918" s="7">
        <v>45996</v>
      </c>
      <c r="AB918" s="6">
        <v>46003</v>
      </c>
      <c r="AC918" s="7">
        <v>46001.532638888886</v>
      </c>
      <c r="AD918" s="5">
        <v>36621008312</v>
      </c>
      <c r="AE918" s="8">
        <v>45996</v>
      </c>
      <c r="AF918" s="5">
        <v>203453</v>
      </c>
      <c r="AG918" s="5" t="s">
        <v>37</v>
      </c>
      <c r="AH918" s="5" t="s">
        <v>523</v>
      </c>
      <c r="AI918" s="6">
        <v>45996</v>
      </c>
      <c r="AJ918" s="6">
        <v>46003</v>
      </c>
      <c r="AK918" s="1">
        <f t="shared" si="423"/>
        <v>2.3086000000000002</v>
      </c>
    </row>
    <row r="919" spans="1:37" hidden="1" x14ac:dyDescent="0.55000000000000004">
      <c r="A919">
        <v>3662</v>
      </c>
      <c r="B919">
        <v>1008378</v>
      </c>
      <c r="C919" s="1">
        <v>1198.45</v>
      </c>
      <c r="E919" s="1">
        <v>1198.45</v>
      </c>
      <c r="F919">
        <v>11.98</v>
      </c>
      <c r="G919" s="1">
        <v>1186.47</v>
      </c>
      <c r="H919" s="1"/>
      <c r="I919" s="1"/>
      <c r="J919" s="2">
        <v>46003</v>
      </c>
      <c r="K919" s="5">
        <v>1008378</v>
      </c>
      <c r="L919" s="5">
        <v>3662</v>
      </c>
      <c r="M919" s="5">
        <v>0</v>
      </c>
      <c r="N919" s="5">
        <v>1198.45</v>
      </c>
      <c r="O919" s="7">
        <v>45996</v>
      </c>
      <c r="P919" s="5">
        <v>1198.45</v>
      </c>
      <c r="Q919" s="5">
        <v>0</v>
      </c>
      <c r="R919" s="5" t="s">
        <v>524</v>
      </c>
      <c r="S919" s="5" t="s">
        <v>138</v>
      </c>
      <c r="T919" s="5">
        <v>11.98</v>
      </c>
      <c r="U919" s="5">
        <v>1186.47</v>
      </c>
      <c r="V919" s="5" t="s">
        <v>34</v>
      </c>
      <c r="W919" s="5">
        <v>2</v>
      </c>
      <c r="X919" s="5">
        <v>2262487959176</v>
      </c>
      <c r="Y919" s="7">
        <v>46003</v>
      </c>
      <c r="Z919" s="7">
        <v>45996</v>
      </c>
      <c r="AB919" s="6">
        <v>46003</v>
      </c>
      <c r="AC919" s="7">
        <v>46001.532638888886</v>
      </c>
      <c r="AD919" s="5">
        <v>36621008378</v>
      </c>
      <c r="AE919" s="8">
        <v>45996</v>
      </c>
      <c r="AF919" s="5" t="s">
        <v>525</v>
      </c>
      <c r="AG919" s="5" t="s">
        <v>38</v>
      </c>
      <c r="AH919" s="5" t="s">
        <v>524</v>
      </c>
      <c r="AI919" s="6">
        <v>45996</v>
      </c>
      <c r="AJ919" s="6">
        <v>46003</v>
      </c>
    </row>
    <row r="920" spans="1:37" x14ac:dyDescent="0.55000000000000004">
      <c r="A920">
        <v>3662</v>
      </c>
      <c r="B920">
        <v>1008443</v>
      </c>
      <c r="C920">
        <v>995</v>
      </c>
      <c r="D920" s="4">
        <v>19.899999999999999</v>
      </c>
      <c r="E920">
        <v>975.1</v>
      </c>
      <c r="F920">
        <v>9.9499999999999993</v>
      </c>
      <c r="G920">
        <v>965.15</v>
      </c>
      <c r="H920" s="14">
        <f t="shared" ref="H920:H922" si="424">C920-D920-F920</f>
        <v>965.15</v>
      </c>
      <c r="I920" s="14" t="b">
        <f t="shared" ref="I920:I922" si="425">G920=H920</f>
        <v>1</v>
      </c>
      <c r="J920" s="2">
        <v>46003</v>
      </c>
      <c r="K920" s="5">
        <v>1008443</v>
      </c>
      <c r="L920" s="5">
        <v>3662</v>
      </c>
      <c r="M920" s="5">
        <v>19.899999999999999</v>
      </c>
      <c r="N920" s="5">
        <v>995</v>
      </c>
      <c r="O920" s="7">
        <v>45996</v>
      </c>
      <c r="P920" s="5">
        <v>975.1</v>
      </c>
      <c r="Q920" s="5">
        <v>19.899999999999999</v>
      </c>
      <c r="R920" s="5" t="s">
        <v>32</v>
      </c>
      <c r="S920" s="5" t="s">
        <v>33</v>
      </c>
      <c r="T920" s="5">
        <v>9.9499999999999993</v>
      </c>
      <c r="U920" s="5">
        <v>965.15</v>
      </c>
      <c r="V920" s="5" t="s">
        <v>34</v>
      </c>
      <c r="W920" s="5">
        <v>2</v>
      </c>
      <c r="X920" s="5">
        <v>2262487959176</v>
      </c>
      <c r="Y920" s="7">
        <v>46003</v>
      </c>
      <c r="Z920" s="7">
        <v>45996</v>
      </c>
      <c r="AB920" s="6">
        <v>46003</v>
      </c>
      <c r="AC920" s="7">
        <v>46001.532638888886</v>
      </c>
      <c r="AD920" s="5">
        <v>36621008443</v>
      </c>
      <c r="AE920" s="8">
        <v>45996</v>
      </c>
      <c r="AF920" s="5" t="s">
        <v>526</v>
      </c>
      <c r="AG920" s="5" t="s">
        <v>37</v>
      </c>
      <c r="AH920" s="5">
        <v>206617</v>
      </c>
      <c r="AI920" s="6">
        <v>45996</v>
      </c>
      <c r="AJ920" s="6">
        <v>46003</v>
      </c>
      <c r="AK920" s="1">
        <f t="shared" ref="AK920:AK922" si="426">0.02*C920</f>
        <v>19.900000000000002</v>
      </c>
    </row>
    <row r="921" spans="1:37" x14ac:dyDescent="0.55000000000000004">
      <c r="A921">
        <v>3662</v>
      </c>
      <c r="B921">
        <v>1008446</v>
      </c>
      <c r="C921">
        <v>995</v>
      </c>
      <c r="D921" s="4">
        <v>19.899999999999999</v>
      </c>
      <c r="E921">
        <v>975.1</v>
      </c>
      <c r="F921">
        <v>9.9499999999999993</v>
      </c>
      <c r="G921">
        <v>965.15</v>
      </c>
      <c r="H921" s="14">
        <f t="shared" si="424"/>
        <v>965.15</v>
      </c>
      <c r="I921" s="14" t="b">
        <f t="shared" si="425"/>
        <v>1</v>
      </c>
      <c r="J921" s="2">
        <v>46003</v>
      </c>
      <c r="K921" s="5">
        <v>1008446</v>
      </c>
      <c r="L921" s="5">
        <v>3662</v>
      </c>
      <c r="M921" s="5">
        <v>19.899999999999999</v>
      </c>
      <c r="N921" s="5">
        <v>995</v>
      </c>
      <c r="O921" s="7">
        <v>45996</v>
      </c>
      <c r="P921" s="5">
        <v>975.1</v>
      </c>
      <c r="Q921" s="5">
        <v>19.899999999999999</v>
      </c>
      <c r="R921" s="5" t="s">
        <v>32</v>
      </c>
      <c r="S921" s="5" t="s">
        <v>33</v>
      </c>
      <c r="T921" s="5">
        <v>9.9499999999999993</v>
      </c>
      <c r="U921" s="5">
        <v>965.15</v>
      </c>
      <c r="V921" s="5" t="s">
        <v>34</v>
      </c>
      <c r="W921" s="5">
        <v>2</v>
      </c>
      <c r="X921" s="5">
        <v>2262487959176</v>
      </c>
      <c r="Y921" s="7">
        <v>46003</v>
      </c>
      <c r="Z921" s="7">
        <v>45996</v>
      </c>
      <c r="AB921" s="6">
        <v>46003</v>
      </c>
      <c r="AC921" s="7">
        <v>46001.532638888886</v>
      </c>
      <c r="AD921" s="5">
        <v>36621008446</v>
      </c>
      <c r="AE921" s="8">
        <v>45996</v>
      </c>
      <c r="AF921" s="5" t="s">
        <v>527</v>
      </c>
      <c r="AG921" s="5" t="s">
        <v>37</v>
      </c>
      <c r="AH921" s="5">
        <v>206616</v>
      </c>
      <c r="AI921" s="6">
        <v>45996</v>
      </c>
      <c r="AJ921" s="6">
        <v>46003</v>
      </c>
      <c r="AK921" s="1">
        <f t="shared" si="426"/>
        <v>19.900000000000002</v>
      </c>
    </row>
    <row r="922" spans="1:37" x14ac:dyDescent="0.55000000000000004">
      <c r="A922">
        <v>3662</v>
      </c>
      <c r="B922">
        <v>1008447</v>
      </c>
      <c r="C922">
        <v>398</v>
      </c>
      <c r="D922" s="4">
        <v>7.96</v>
      </c>
      <c r="E922">
        <v>390.04</v>
      </c>
      <c r="F922">
        <v>3.98</v>
      </c>
      <c r="G922">
        <v>386.06</v>
      </c>
      <c r="H922" s="14">
        <f t="shared" si="424"/>
        <v>386.06</v>
      </c>
      <c r="I922" s="14" t="b">
        <f t="shared" si="425"/>
        <v>1</v>
      </c>
      <c r="J922" s="2">
        <v>46003</v>
      </c>
      <c r="K922" s="5">
        <v>1008447</v>
      </c>
      <c r="L922" s="5">
        <v>3662</v>
      </c>
      <c r="M922" s="5">
        <v>7.96</v>
      </c>
      <c r="N922" s="5">
        <v>398</v>
      </c>
      <c r="O922" s="7">
        <v>45996</v>
      </c>
      <c r="P922" s="5">
        <v>390.04</v>
      </c>
      <c r="Q922" s="5">
        <v>7.96</v>
      </c>
      <c r="R922" s="5" t="s">
        <v>32</v>
      </c>
      <c r="S922" s="5" t="s">
        <v>33</v>
      </c>
      <c r="T922" s="5">
        <v>3.98</v>
      </c>
      <c r="U922" s="5">
        <v>386.06</v>
      </c>
      <c r="V922" s="5" t="s">
        <v>34</v>
      </c>
      <c r="W922" s="5">
        <v>2</v>
      </c>
      <c r="X922" s="5">
        <v>2262487959176</v>
      </c>
      <c r="Y922" s="7">
        <v>46003</v>
      </c>
      <c r="Z922" s="7">
        <v>45996</v>
      </c>
      <c r="AB922" s="6">
        <v>46003</v>
      </c>
      <c r="AC922" s="7">
        <v>46001.532638888886</v>
      </c>
      <c r="AD922" s="5">
        <v>36621008447</v>
      </c>
      <c r="AE922" s="8">
        <v>45996</v>
      </c>
      <c r="AF922" s="5" t="s">
        <v>528</v>
      </c>
      <c r="AG922" s="5" t="s">
        <v>37</v>
      </c>
      <c r="AH922" s="5">
        <v>206618</v>
      </c>
      <c r="AI922" s="6">
        <v>45996</v>
      </c>
      <c r="AJ922" s="6">
        <v>46003</v>
      </c>
      <c r="AK922" s="1">
        <f t="shared" si="426"/>
        <v>7.96</v>
      </c>
    </row>
    <row r="923" spans="1:37" hidden="1" x14ac:dyDescent="0.55000000000000004">
      <c r="A923">
        <v>3662</v>
      </c>
      <c r="B923">
        <v>1009035</v>
      </c>
      <c r="C923" s="1">
        <v>-16270</v>
      </c>
      <c r="E923" s="1">
        <v>-16270</v>
      </c>
      <c r="G923" s="1">
        <v>-16270</v>
      </c>
      <c r="H923" s="1"/>
      <c r="I923" s="1"/>
      <c r="J923" s="2">
        <v>46003</v>
      </c>
      <c r="K923" s="5">
        <v>1009035</v>
      </c>
      <c r="L923" s="5">
        <v>3662</v>
      </c>
      <c r="M923" s="5">
        <v>0</v>
      </c>
      <c r="N923" s="5">
        <v>-16270</v>
      </c>
      <c r="O923" s="7">
        <v>46000</v>
      </c>
      <c r="P923" s="5">
        <v>-16270</v>
      </c>
      <c r="Q923" s="5">
        <v>0</v>
      </c>
      <c r="R923" s="5">
        <v>1009035</v>
      </c>
      <c r="S923" s="5" t="s">
        <v>33</v>
      </c>
      <c r="T923" s="5">
        <v>0</v>
      </c>
      <c r="U923" s="5">
        <v>-16270</v>
      </c>
      <c r="V923" s="5" t="s">
        <v>34</v>
      </c>
      <c r="W923" s="5">
        <v>2</v>
      </c>
      <c r="X923" s="5">
        <v>2262487959176</v>
      </c>
      <c r="Y923" s="7">
        <v>46003</v>
      </c>
      <c r="Z923" s="7">
        <v>46000</v>
      </c>
      <c r="AB923" s="6">
        <v>46003</v>
      </c>
      <c r="AC923" s="7">
        <v>46001.532638888886</v>
      </c>
      <c r="AD923" s="5">
        <v>36621009035</v>
      </c>
      <c r="AE923" s="8">
        <v>46000</v>
      </c>
      <c r="AF923" s="5" t="s">
        <v>529</v>
      </c>
      <c r="AG923" s="5" t="s">
        <v>38</v>
      </c>
      <c r="AH923" s="5" t="s">
        <v>530</v>
      </c>
      <c r="AI923" s="6">
        <v>46000</v>
      </c>
      <c r="AJ923" s="6">
        <v>46003</v>
      </c>
    </row>
    <row r="924" spans="1:37" hidden="1" x14ac:dyDescent="0.55000000000000004">
      <c r="A924">
        <v>3662</v>
      </c>
      <c r="B924">
        <v>1009066</v>
      </c>
      <c r="C924">
        <v>-75</v>
      </c>
      <c r="E924">
        <v>-75</v>
      </c>
      <c r="G924">
        <v>-75</v>
      </c>
      <c r="H924"/>
      <c r="I924"/>
      <c r="J924" s="2">
        <v>46003</v>
      </c>
      <c r="K924" s="5">
        <v>1009066</v>
      </c>
      <c r="L924" s="5">
        <v>3662</v>
      </c>
      <c r="M924" s="5">
        <v>0</v>
      </c>
      <c r="N924" s="5">
        <v>-75</v>
      </c>
      <c r="O924" s="7">
        <v>46000</v>
      </c>
      <c r="P924" s="5">
        <v>-75</v>
      </c>
      <c r="Q924" s="5">
        <v>0</v>
      </c>
      <c r="R924" s="5">
        <v>1009066</v>
      </c>
      <c r="S924" s="5" t="s">
        <v>33</v>
      </c>
      <c r="T924" s="5">
        <v>0</v>
      </c>
      <c r="U924" s="5">
        <v>-75</v>
      </c>
      <c r="V924" s="5" t="s">
        <v>34</v>
      </c>
      <c r="W924" s="5">
        <v>2</v>
      </c>
      <c r="X924" s="5">
        <v>2262487959176</v>
      </c>
      <c r="Y924" s="7">
        <v>46003</v>
      </c>
      <c r="Z924" s="7">
        <v>46000</v>
      </c>
      <c r="AB924" s="6">
        <v>46003</v>
      </c>
      <c r="AC924" s="7">
        <v>46001.532638888886</v>
      </c>
      <c r="AD924" s="5">
        <v>36621009066</v>
      </c>
      <c r="AE924" s="8">
        <v>46000</v>
      </c>
      <c r="AF924" s="5" t="s">
        <v>531</v>
      </c>
      <c r="AG924" s="5" t="s">
        <v>38</v>
      </c>
      <c r="AH924" s="5" t="s">
        <v>532</v>
      </c>
      <c r="AI924" s="6">
        <v>46000</v>
      </c>
      <c r="AJ924" s="6">
        <v>46003</v>
      </c>
    </row>
    <row r="925" spans="1:37" hidden="1" x14ac:dyDescent="0.55000000000000004">
      <c r="A925">
        <v>3669</v>
      </c>
      <c r="B925">
        <v>999393</v>
      </c>
      <c r="C925">
        <v>236.6</v>
      </c>
      <c r="E925">
        <v>236.6</v>
      </c>
      <c r="G925">
        <v>236.6</v>
      </c>
      <c r="H925"/>
      <c r="I925"/>
      <c r="J925" s="2">
        <v>46003</v>
      </c>
      <c r="K925" s="5">
        <v>999393</v>
      </c>
      <c r="L925" s="5">
        <v>3669</v>
      </c>
      <c r="M925" s="5">
        <v>0</v>
      </c>
      <c r="N925" s="5">
        <v>236.6</v>
      </c>
      <c r="O925" s="7">
        <v>45952</v>
      </c>
      <c r="P925" s="5">
        <v>236.6</v>
      </c>
      <c r="Q925" s="5">
        <v>0</v>
      </c>
      <c r="R925" s="5" t="s">
        <v>32</v>
      </c>
      <c r="S925" s="5" t="s">
        <v>33</v>
      </c>
      <c r="T925" s="5">
        <v>0</v>
      </c>
      <c r="U925" s="5">
        <v>236.6</v>
      </c>
      <c r="V925" s="5" t="s">
        <v>34</v>
      </c>
      <c r="W925" s="5">
        <v>2</v>
      </c>
      <c r="X925" s="5">
        <v>1155970513601</v>
      </c>
      <c r="Y925" s="7">
        <v>46003</v>
      </c>
      <c r="Z925" s="7">
        <v>45952</v>
      </c>
      <c r="AB925" s="6">
        <v>46003</v>
      </c>
      <c r="AC925" s="7">
        <v>46002.456250000003</v>
      </c>
      <c r="AD925" s="5">
        <v>3669999393</v>
      </c>
      <c r="AE925" s="8">
        <v>45952</v>
      </c>
      <c r="AF925" s="5">
        <v>10212501</v>
      </c>
      <c r="AG925" s="5" t="s">
        <v>65</v>
      </c>
      <c r="AH925" s="5">
        <v>199219</v>
      </c>
      <c r="AI925" s="6">
        <v>45952</v>
      </c>
      <c r="AJ925" s="6">
        <v>46003</v>
      </c>
    </row>
    <row r="926" spans="1:37" x14ac:dyDescent="0.55000000000000004">
      <c r="A926">
        <v>3669</v>
      </c>
      <c r="B926">
        <v>999554</v>
      </c>
      <c r="C926" s="1">
        <v>1249.5</v>
      </c>
      <c r="D926" s="4">
        <v>24.99</v>
      </c>
      <c r="E926" s="1">
        <v>1224.51</v>
      </c>
      <c r="G926" s="1">
        <v>1224.51</v>
      </c>
      <c r="H926" s="14">
        <f>C926-D926-F926</f>
        <v>1224.51</v>
      </c>
      <c r="I926" s="14" t="b">
        <f>G926=H926</f>
        <v>1</v>
      </c>
      <c r="J926" s="2">
        <v>46003</v>
      </c>
      <c r="K926" s="5">
        <v>999554</v>
      </c>
      <c r="L926" s="5">
        <v>3669</v>
      </c>
      <c r="M926" s="5">
        <v>24.99</v>
      </c>
      <c r="N926" s="5">
        <v>1249.5</v>
      </c>
      <c r="O926" s="7">
        <v>45952</v>
      </c>
      <c r="P926" s="5">
        <v>1224.51</v>
      </c>
      <c r="Q926" s="5">
        <v>24.99</v>
      </c>
      <c r="R926" s="5" t="s">
        <v>32</v>
      </c>
      <c r="S926" s="5" t="s">
        <v>33</v>
      </c>
      <c r="T926" s="5">
        <v>0</v>
      </c>
      <c r="U926" s="5">
        <v>1224.51</v>
      </c>
      <c r="V926" s="5" t="s">
        <v>34</v>
      </c>
      <c r="W926" s="5">
        <v>2</v>
      </c>
      <c r="X926" s="5">
        <v>1155970513601</v>
      </c>
      <c r="Y926" s="7">
        <v>46003</v>
      </c>
      <c r="Z926" s="7">
        <v>45952</v>
      </c>
      <c r="AB926" s="6">
        <v>46003</v>
      </c>
      <c r="AC926" s="7">
        <v>46002.456250000003</v>
      </c>
      <c r="AD926" s="5">
        <v>3669999554</v>
      </c>
      <c r="AE926" s="8">
        <v>45952</v>
      </c>
      <c r="AF926" s="5">
        <v>9202509</v>
      </c>
      <c r="AG926" s="5" t="s">
        <v>71</v>
      </c>
      <c r="AH926" s="5">
        <v>199301</v>
      </c>
      <c r="AI926" s="6">
        <v>45952</v>
      </c>
      <c r="AJ926" s="6">
        <v>46003</v>
      </c>
      <c r="AK926" s="1">
        <f t="shared" ref="AK926" si="427">0.02*C926</f>
        <v>24.990000000000002</v>
      </c>
    </row>
    <row r="927" spans="1:37" hidden="1" x14ac:dyDescent="0.55000000000000004">
      <c r="A927">
        <v>3669</v>
      </c>
      <c r="B927">
        <v>999850</v>
      </c>
      <c r="C927" s="1">
        <v>1511.96</v>
      </c>
      <c r="E927" s="1">
        <v>1511.96</v>
      </c>
      <c r="G927" s="1">
        <v>1511.96</v>
      </c>
      <c r="H927" s="1"/>
      <c r="I927" s="1"/>
      <c r="J927" s="2">
        <v>46003</v>
      </c>
      <c r="K927" s="5">
        <v>999850</v>
      </c>
      <c r="L927" s="5">
        <v>3669</v>
      </c>
      <c r="M927" s="5">
        <v>0</v>
      </c>
      <c r="N927" s="5">
        <v>1511.96</v>
      </c>
      <c r="O927" s="7">
        <v>45953</v>
      </c>
      <c r="P927" s="5">
        <v>1511.96</v>
      </c>
      <c r="Q927" s="5">
        <v>0</v>
      </c>
      <c r="R927" s="5" t="s">
        <v>32</v>
      </c>
      <c r="S927" s="5" t="s">
        <v>33</v>
      </c>
      <c r="T927" s="5">
        <v>0</v>
      </c>
      <c r="U927" s="5">
        <v>1511.96</v>
      </c>
      <c r="V927" s="5" t="s">
        <v>34</v>
      </c>
      <c r="W927" s="5">
        <v>2</v>
      </c>
      <c r="X927" s="5">
        <v>1155970513601</v>
      </c>
      <c r="Y927" s="7">
        <v>46003</v>
      </c>
      <c r="Z927" s="7">
        <v>45953</v>
      </c>
      <c r="AB927" s="6">
        <v>46003</v>
      </c>
      <c r="AC927" s="7">
        <v>46002.456250000003</v>
      </c>
      <c r="AD927" s="5">
        <v>3669999850</v>
      </c>
      <c r="AE927" s="8">
        <v>45953</v>
      </c>
      <c r="AF927" s="5">
        <v>8272501</v>
      </c>
      <c r="AG927" s="5" t="s">
        <v>65</v>
      </c>
      <c r="AH927" s="5">
        <v>199689</v>
      </c>
      <c r="AI927" s="6">
        <v>45953</v>
      </c>
      <c r="AJ927" s="6">
        <v>46003</v>
      </c>
    </row>
    <row r="928" spans="1:37" hidden="1" x14ac:dyDescent="0.55000000000000004">
      <c r="A928">
        <v>3669</v>
      </c>
      <c r="B928">
        <v>999907</v>
      </c>
      <c r="C928">
        <v>293.01</v>
      </c>
      <c r="E928">
        <v>293.01</v>
      </c>
      <c r="G928">
        <v>293.01</v>
      </c>
      <c r="H928"/>
      <c r="I928"/>
      <c r="J928" s="2">
        <v>46003</v>
      </c>
      <c r="K928" s="5">
        <v>999907</v>
      </c>
      <c r="L928" s="5">
        <v>3669</v>
      </c>
      <c r="M928" s="5">
        <v>0</v>
      </c>
      <c r="N928" s="5">
        <v>293.01</v>
      </c>
      <c r="O928" s="7">
        <v>45953</v>
      </c>
      <c r="P928" s="5">
        <v>293.01</v>
      </c>
      <c r="Q928" s="5">
        <v>0</v>
      </c>
      <c r="R928" s="5" t="s">
        <v>32</v>
      </c>
      <c r="S928" s="5" t="s">
        <v>33</v>
      </c>
      <c r="T928" s="5">
        <v>0</v>
      </c>
      <c r="U928" s="5">
        <v>293.01</v>
      </c>
      <c r="V928" s="5" t="s">
        <v>34</v>
      </c>
      <c r="W928" s="5">
        <v>2</v>
      </c>
      <c r="X928" s="5">
        <v>1155970513601</v>
      </c>
      <c r="Y928" s="7">
        <v>46003</v>
      </c>
      <c r="Z928" s="7">
        <v>45953</v>
      </c>
      <c r="AB928" s="6">
        <v>46003</v>
      </c>
      <c r="AC928" s="7">
        <v>46002.456250000003</v>
      </c>
      <c r="AD928" s="5">
        <v>3669999907</v>
      </c>
      <c r="AE928" s="8">
        <v>45953</v>
      </c>
      <c r="AF928" s="5">
        <v>9262503</v>
      </c>
      <c r="AG928" s="5" t="s">
        <v>65</v>
      </c>
      <c r="AH928" s="5">
        <v>199690</v>
      </c>
      <c r="AI928" s="6">
        <v>45953</v>
      </c>
      <c r="AJ928" s="6">
        <v>46003</v>
      </c>
    </row>
    <row r="929" spans="1:37" hidden="1" x14ac:dyDescent="0.55000000000000004">
      <c r="A929">
        <v>3669</v>
      </c>
      <c r="B929">
        <v>1000663</v>
      </c>
      <c r="C929">
        <v>647.72</v>
      </c>
      <c r="E929">
        <v>647.72</v>
      </c>
      <c r="G929">
        <v>647.72</v>
      </c>
      <c r="H929"/>
      <c r="I929"/>
      <c r="J929" s="2">
        <v>46003</v>
      </c>
      <c r="K929" s="5">
        <v>1000663</v>
      </c>
      <c r="L929" s="5">
        <v>3669</v>
      </c>
      <c r="M929" s="5">
        <v>0</v>
      </c>
      <c r="N929" s="5">
        <v>647.72</v>
      </c>
      <c r="O929" s="7">
        <v>45958</v>
      </c>
      <c r="P929" s="5">
        <v>647.72</v>
      </c>
      <c r="Q929" s="5">
        <v>0</v>
      </c>
      <c r="R929" s="5" t="s">
        <v>32</v>
      </c>
      <c r="S929" s="5" t="s">
        <v>33</v>
      </c>
      <c r="T929" s="5">
        <v>0</v>
      </c>
      <c r="U929" s="5">
        <v>647.72</v>
      </c>
      <c r="V929" s="5" t="s">
        <v>34</v>
      </c>
      <c r="W929" s="5">
        <v>2</v>
      </c>
      <c r="X929" s="5">
        <v>1155970513601</v>
      </c>
      <c r="Y929" s="7">
        <v>46003</v>
      </c>
      <c r="Z929" s="7">
        <v>45958</v>
      </c>
      <c r="AB929" s="6">
        <v>46003</v>
      </c>
      <c r="AC929" s="7">
        <v>46002.456250000003</v>
      </c>
      <c r="AD929" s="5">
        <v>36691000663</v>
      </c>
      <c r="AE929" s="8">
        <v>45958</v>
      </c>
      <c r="AF929" s="5">
        <v>6122503</v>
      </c>
      <c r="AG929" s="5" t="s">
        <v>65</v>
      </c>
      <c r="AH929" s="5">
        <v>200263</v>
      </c>
      <c r="AI929" s="6">
        <v>45958</v>
      </c>
      <c r="AJ929" s="6">
        <v>46003</v>
      </c>
    </row>
    <row r="930" spans="1:37" hidden="1" x14ac:dyDescent="0.55000000000000004">
      <c r="A930">
        <v>3669</v>
      </c>
      <c r="B930">
        <v>1000778</v>
      </c>
      <c r="C930">
        <v>245</v>
      </c>
      <c r="E930">
        <v>245</v>
      </c>
      <c r="G930">
        <v>245</v>
      </c>
      <c r="H930"/>
      <c r="I930"/>
      <c r="J930" s="2">
        <v>46003</v>
      </c>
      <c r="K930" s="5">
        <v>1000778</v>
      </c>
      <c r="L930" s="5">
        <v>3669</v>
      </c>
      <c r="M930" s="5">
        <v>0</v>
      </c>
      <c r="N930" s="5">
        <v>245</v>
      </c>
      <c r="O930" s="7">
        <v>45957</v>
      </c>
      <c r="P930" s="5">
        <v>245</v>
      </c>
      <c r="Q930" s="5">
        <v>0</v>
      </c>
      <c r="R930" s="5" t="s">
        <v>533</v>
      </c>
      <c r="S930" s="5" t="s">
        <v>191</v>
      </c>
      <c r="T930" s="5">
        <v>0</v>
      </c>
      <c r="U930" s="5">
        <v>245</v>
      </c>
      <c r="V930" s="5" t="s">
        <v>34</v>
      </c>
      <c r="W930" s="5">
        <v>2</v>
      </c>
      <c r="X930" s="5">
        <v>1155970513601</v>
      </c>
      <c r="Y930" s="7">
        <v>46003</v>
      </c>
      <c r="Z930" s="7">
        <v>45958</v>
      </c>
      <c r="AB930" s="6">
        <v>46003</v>
      </c>
      <c r="AC930" s="7">
        <v>46002.456250000003</v>
      </c>
      <c r="AD930" s="5">
        <v>36691000778</v>
      </c>
      <c r="AE930" s="8">
        <v>45957</v>
      </c>
      <c r="AF930" s="5">
        <v>920251</v>
      </c>
      <c r="AG930" s="5" t="s">
        <v>65</v>
      </c>
      <c r="AH930" s="5" t="s">
        <v>533</v>
      </c>
      <c r="AI930" s="6">
        <v>45958</v>
      </c>
      <c r="AJ930" s="6">
        <v>46003</v>
      </c>
    </row>
    <row r="931" spans="1:37" hidden="1" x14ac:dyDescent="0.55000000000000004">
      <c r="A931">
        <v>3669</v>
      </c>
      <c r="B931">
        <v>1001092</v>
      </c>
      <c r="C931" s="1">
        <v>1511.96</v>
      </c>
      <c r="E931" s="1">
        <v>1511.96</v>
      </c>
      <c r="G931" s="1">
        <v>1511.96</v>
      </c>
      <c r="H931" s="1"/>
      <c r="I931" s="1"/>
      <c r="J931" s="2">
        <v>46003</v>
      </c>
      <c r="K931" s="5">
        <v>1001092</v>
      </c>
      <c r="L931" s="5">
        <v>3669</v>
      </c>
      <c r="M931" s="5">
        <v>0</v>
      </c>
      <c r="N931" s="5">
        <v>1511.96</v>
      </c>
      <c r="O931" s="7">
        <v>45960</v>
      </c>
      <c r="P931" s="5">
        <v>1511.96</v>
      </c>
      <c r="Q931" s="5">
        <v>0</v>
      </c>
      <c r="R931" s="5" t="s">
        <v>32</v>
      </c>
      <c r="S931" s="5" t="s">
        <v>33</v>
      </c>
      <c r="T931" s="5">
        <v>0</v>
      </c>
      <c r="U931" s="5">
        <v>1511.96</v>
      </c>
      <c r="V931" s="5" t="s">
        <v>34</v>
      </c>
      <c r="W931" s="5">
        <v>2</v>
      </c>
      <c r="X931" s="5">
        <v>1155970513601</v>
      </c>
      <c r="Y931" s="7">
        <v>46003</v>
      </c>
      <c r="Z931" s="7">
        <v>45960</v>
      </c>
      <c r="AB931" s="6">
        <v>46003</v>
      </c>
      <c r="AC931" s="7">
        <v>46002.456250000003</v>
      </c>
      <c r="AD931" s="5">
        <v>36691001092</v>
      </c>
      <c r="AE931" s="8">
        <v>45960</v>
      </c>
      <c r="AF931" s="5">
        <v>10142502</v>
      </c>
      <c r="AG931" s="5" t="s">
        <v>65</v>
      </c>
      <c r="AH931" s="5">
        <v>200891</v>
      </c>
      <c r="AI931" s="6">
        <v>45960</v>
      </c>
      <c r="AJ931" s="6">
        <v>46003</v>
      </c>
    </row>
    <row r="932" spans="1:37" x14ac:dyDescent="0.55000000000000004">
      <c r="A932">
        <v>3669</v>
      </c>
      <c r="B932">
        <v>1001241</v>
      </c>
      <c r="C932" s="1">
        <v>1073.3399999999999</v>
      </c>
      <c r="D932" s="4">
        <v>21.47</v>
      </c>
      <c r="E932" s="1">
        <v>1051.8699999999999</v>
      </c>
      <c r="G932" s="1">
        <v>1051.8699999999999</v>
      </c>
      <c r="H932" s="14">
        <f t="shared" ref="H932:H937" si="428">C932-D932-F932</f>
        <v>1051.8699999999999</v>
      </c>
      <c r="I932" s="14" t="b">
        <f t="shared" ref="I932:I937" si="429">G932=H932</f>
        <v>1</v>
      </c>
      <c r="J932" s="2">
        <v>46003</v>
      </c>
      <c r="K932" s="5">
        <v>1001241</v>
      </c>
      <c r="L932" s="5">
        <v>3669</v>
      </c>
      <c r="M932" s="5">
        <v>21.47</v>
      </c>
      <c r="N932" s="5">
        <v>1073.3399999999999</v>
      </c>
      <c r="O932" s="7">
        <v>45960</v>
      </c>
      <c r="P932" s="5">
        <v>1051.8699999999999</v>
      </c>
      <c r="Q932" s="5">
        <v>21.47</v>
      </c>
      <c r="R932" s="5" t="s">
        <v>32</v>
      </c>
      <c r="S932" s="5" t="s">
        <v>33</v>
      </c>
      <c r="T932" s="5">
        <v>0</v>
      </c>
      <c r="U932" s="5">
        <v>1051.8699999999999</v>
      </c>
      <c r="V932" s="5" t="s">
        <v>34</v>
      </c>
      <c r="W932" s="5">
        <v>2</v>
      </c>
      <c r="X932" s="5">
        <v>1155970513601</v>
      </c>
      <c r="Y932" s="7">
        <v>46003</v>
      </c>
      <c r="Z932" s="7">
        <v>45960</v>
      </c>
      <c r="AB932" s="6">
        <v>46003</v>
      </c>
      <c r="AC932" s="7">
        <v>46002.456250000003</v>
      </c>
      <c r="AD932" s="5">
        <v>36691001241</v>
      </c>
      <c r="AE932" s="8">
        <v>45960</v>
      </c>
      <c r="AF932" s="5">
        <v>10292501</v>
      </c>
      <c r="AG932" s="5" t="s">
        <v>71</v>
      </c>
      <c r="AH932" s="5">
        <v>200741</v>
      </c>
      <c r="AI932" s="6">
        <v>45960</v>
      </c>
      <c r="AJ932" s="6">
        <v>46003</v>
      </c>
      <c r="AK932" s="1">
        <f t="shared" ref="AK932:AK937" si="430">0.02*C932</f>
        <v>21.466799999999999</v>
      </c>
    </row>
    <row r="933" spans="1:37" x14ac:dyDescent="0.55000000000000004">
      <c r="A933">
        <v>3669</v>
      </c>
      <c r="B933">
        <v>1004404</v>
      </c>
      <c r="C933">
        <v>602.25</v>
      </c>
      <c r="D933" s="4">
        <v>12.05</v>
      </c>
      <c r="E933">
        <v>590.20000000000005</v>
      </c>
      <c r="G933">
        <v>590.20000000000005</v>
      </c>
      <c r="H933" s="14">
        <f t="shared" si="428"/>
        <v>590.20000000000005</v>
      </c>
      <c r="I933" s="14" t="b">
        <f t="shared" si="429"/>
        <v>1</v>
      </c>
      <c r="J933" s="2">
        <v>46003</v>
      </c>
      <c r="K933" s="5">
        <v>1004404</v>
      </c>
      <c r="L933" s="5">
        <v>3669</v>
      </c>
      <c r="M933" s="5">
        <v>12.05</v>
      </c>
      <c r="N933" s="5">
        <v>602.25</v>
      </c>
      <c r="O933" s="7">
        <v>45978</v>
      </c>
      <c r="P933" s="5">
        <v>590.20000000000005</v>
      </c>
      <c r="Q933" s="5">
        <v>12.05</v>
      </c>
      <c r="R933" s="5" t="s">
        <v>32</v>
      </c>
      <c r="S933" s="5" t="s">
        <v>33</v>
      </c>
      <c r="T933" s="5">
        <v>0</v>
      </c>
      <c r="U933" s="5">
        <v>590.20000000000005</v>
      </c>
      <c r="V933" s="5" t="s">
        <v>34</v>
      </c>
      <c r="W933" s="5">
        <v>2</v>
      </c>
      <c r="X933" s="5">
        <v>1155970513601</v>
      </c>
      <c r="Y933" s="7">
        <v>46003</v>
      </c>
      <c r="Z933" s="7">
        <v>45978</v>
      </c>
      <c r="AB933" s="6">
        <v>46003</v>
      </c>
      <c r="AC933" s="7">
        <v>46002.456250000003</v>
      </c>
      <c r="AD933" s="5">
        <v>36691004404</v>
      </c>
      <c r="AE933" s="8">
        <v>45978</v>
      </c>
      <c r="AF933" s="5">
        <v>11150203</v>
      </c>
      <c r="AG933" s="5" t="s">
        <v>71</v>
      </c>
      <c r="AH933" s="5">
        <v>203557</v>
      </c>
      <c r="AI933" s="6">
        <v>45978</v>
      </c>
      <c r="AJ933" s="6">
        <v>46003</v>
      </c>
      <c r="AK933" s="1">
        <f t="shared" si="430"/>
        <v>12.045</v>
      </c>
    </row>
    <row r="934" spans="1:37" x14ac:dyDescent="0.55000000000000004">
      <c r="A934">
        <v>3669</v>
      </c>
      <c r="B934">
        <v>1004412</v>
      </c>
      <c r="C934">
        <v>517.32000000000005</v>
      </c>
      <c r="D934" s="4">
        <v>10.35</v>
      </c>
      <c r="E934">
        <v>506.97</v>
      </c>
      <c r="G934">
        <v>506.97</v>
      </c>
      <c r="H934" s="14">
        <f t="shared" si="428"/>
        <v>506.97</v>
      </c>
      <c r="I934" s="14" t="b">
        <f t="shared" si="429"/>
        <v>1</v>
      </c>
      <c r="J934" s="2">
        <v>46003</v>
      </c>
      <c r="K934" s="5">
        <v>1004412</v>
      </c>
      <c r="L934" s="5">
        <v>3669</v>
      </c>
      <c r="M934" s="5">
        <v>10.35</v>
      </c>
      <c r="N934" s="5">
        <v>517.32000000000005</v>
      </c>
      <c r="O934" s="7">
        <v>45978</v>
      </c>
      <c r="P934" s="5">
        <v>506.97</v>
      </c>
      <c r="Q934" s="5">
        <v>10.35</v>
      </c>
      <c r="R934" s="5" t="s">
        <v>32</v>
      </c>
      <c r="S934" s="5" t="s">
        <v>33</v>
      </c>
      <c r="T934" s="5">
        <v>0</v>
      </c>
      <c r="U934" s="5">
        <v>506.97</v>
      </c>
      <c r="V934" s="5" t="s">
        <v>34</v>
      </c>
      <c r="W934" s="5">
        <v>2</v>
      </c>
      <c r="X934" s="5">
        <v>1155970513601</v>
      </c>
      <c r="Y934" s="7">
        <v>46003</v>
      </c>
      <c r="Z934" s="7">
        <v>45978</v>
      </c>
      <c r="AB934" s="6">
        <v>46003</v>
      </c>
      <c r="AC934" s="7">
        <v>46002.456250000003</v>
      </c>
      <c r="AD934" s="5">
        <v>36691004412</v>
      </c>
      <c r="AE934" s="8">
        <v>45978</v>
      </c>
      <c r="AF934" s="5">
        <v>11150203</v>
      </c>
      <c r="AG934" s="5" t="s">
        <v>71</v>
      </c>
      <c r="AH934" s="5">
        <v>203535</v>
      </c>
      <c r="AI934" s="6">
        <v>45978</v>
      </c>
      <c r="AJ934" s="6">
        <v>46003</v>
      </c>
      <c r="AK934" s="1">
        <f t="shared" si="430"/>
        <v>10.346400000000001</v>
      </c>
    </row>
    <row r="935" spans="1:37" x14ac:dyDescent="0.55000000000000004">
      <c r="A935">
        <v>3669</v>
      </c>
      <c r="B935">
        <v>1004669</v>
      </c>
      <c r="C935">
        <v>212.05</v>
      </c>
      <c r="D935" s="4">
        <v>4.24</v>
      </c>
      <c r="E935">
        <v>207.81</v>
      </c>
      <c r="G935">
        <v>207.81</v>
      </c>
      <c r="H935" s="14">
        <f t="shared" si="428"/>
        <v>207.81</v>
      </c>
      <c r="I935" s="14" t="b">
        <f t="shared" si="429"/>
        <v>1</v>
      </c>
      <c r="J935" s="2">
        <v>46003</v>
      </c>
      <c r="K935" s="5">
        <v>1004669</v>
      </c>
      <c r="L935" s="5">
        <v>3669</v>
      </c>
      <c r="M935" s="5">
        <v>4.24</v>
      </c>
      <c r="N935" s="5">
        <v>212.05</v>
      </c>
      <c r="O935" s="7">
        <v>45979</v>
      </c>
      <c r="P935" s="5">
        <v>207.81</v>
      </c>
      <c r="Q935" s="5">
        <v>4.24</v>
      </c>
      <c r="R935" s="5" t="s">
        <v>32</v>
      </c>
      <c r="S935" s="5" t="s">
        <v>33</v>
      </c>
      <c r="T935" s="5">
        <v>0</v>
      </c>
      <c r="U935" s="5">
        <v>207.81</v>
      </c>
      <c r="V935" s="5" t="s">
        <v>34</v>
      </c>
      <c r="W935" s="5">
        <v>2</v>
      </c>
      <c r="X935" s="5">
        <v>1155970513601</v>
      </c>
      <c r="Y935" s="7">
        <v>46003</v>
      </c>
      <c r="Z935" s="7">
        <v>45979</v>
      </c>
      <c r="AB935" s="6">
        <v>46003</v>
      </c>
      <c r="AC935" s="7">
        <v>46002.456250000003</v>
      </c>
      <c r="AD935" s="5">
        <v>36691004669</v>
      </c>
      <c r="AE935" s="8">
        <v>45979</v>
      </c>
      <c r="AF935" s="5">
        <v>10212501</v>
      </c>
      <c r="AG935" s="5" t="s">
        <v>71</v>
      </c>
      <c r="AH935" s="5">
        <v>203777</v>
      </c>
      <c r="AI935" s="6">
        <v>45979</v>
      </c>
      <c r="AJ935" s="6">
        <v>46003</v>
      </c>
      <c r="AK935" s="1">
        <f t="shared" si="430"/>
        <v>4.2410000000000005</v>
      </c>
    </row>
    <row r="936" spans="1:37" x14ac:dyDescent="0.55000000000000004">
      <c r="A936">
        <v>3669</v>
      </c>
      <c r="B936">
        <v>1004851</v>
      </c>
      <c r="C936">
        <v>69.22</v>
      </c>
      <c r="D936" s="4">
        <v>1.38</v>
      </c>
      <c r="E936">
        <v>67.84</v>
      </c>
      <c r="G936">
        <v>67.84</v>
      </c>
      <c r="H936" s="14">
        <f t="shared" si="428"/>
        <v>67.84</v>
      </c>
      <c r="I936" s="14" t="b">
        <f t="shared" si="429"/>
        <v>1</v>
      </c>
      <c r="J936" s="2">
        <v>46003</v>
      </c>
      <c r="K936" s="5">
        <v>1004851</v>
      </c>
      <c r="L936" s="5">
        <v>3669</v>
      </c>
      <c r="M936" s="5">
        <v>1.38</v>
      </c>
      <c r="N936" s="5">
        <v>69.22</v>
      </c>
      <c r="O936" s="7">
        <v>45975</v>
      </c>
      <c r="P936" s="5">
        <v>67.84</v>
      </c>
      <c r="Q936" s="5">
        <v>1.38</v>
      </c>
      <c r="R936" s="5">
        <v>336059</v>
      </c>
      <c r="S936" s="5" t="s">
        <v>186</v>
      </c>
      <c r="T936" s="5">
        <v>0</v>
      </c>
      <c r="U936" s="5">
        <v>67.84</v>
      </c>
      <c r="V936" s="5" t="s">
        <v>34</v>
      </c>
      <c r="W936" s="5">
        <v>2</v>
      </c>
      <c r="X936" s="5">
        <v>1155970513601</v>
      </c>
      <c r="Y936" s="7">
        <v>46003</v>
      </c>
      <c r="Z936" s="7">
        <v>45979</v>
      </c>
      <c r="AB936" s="6">
        <v>46003</v>
      </c>
      <c r="AC936" s="7">
        <v>46002.456250000003</v>
      </c>
      <c r="AD936" s="5">
        <v>36691004851</v>
      </c>
      <c r="AE936" s="8">
        <v>45975</v>
      </c>
      <c r="AF936" s="5">
        <v>9202501</v>
      </c>
      <c r="AG936" s="5" t="s">
        <v>71</v>
      </c>
      <c r="AH936" s="5">
        <v>336059</v>
      </c>
      <c r="AI936" s="6">
        <v>45979</v>
      </c>
      <c r="AJ936" s="6">
        <v>46003</v>
      </c>
      <c r="AK936" s="1">
        <f t="shared" si="430"/>
        <v>1.3844000000000001</v>
      </c>
    </row>
    <row r="937" spans="1:37" x14ac:dyDescent="0.55000000000000004">
      <c r="A937">
        <v>3669</v>
      </c>
      <c r="B937">
        <v>1005196</v>
      </c>
      <c r="C937">
        <v>102</v>
      </c>
      <c r="D937" s="4">
        <v>2.04</v>
      </c>
      <c r="E937">
        <v>99.96</v>
      </c>
      <c r="G937">
        <v>99.96</v>
      </c>
      <c r="H937" s="14">
        <f t="shared" si="428"/>
        <v>99.96</v>
      </c>
      <c r="I937" s="14" t="b">
        <f t="shared" si="429"/>
        <v>1</v>
      </c>
      <c r="J937" s="2">
        <v>46003</v>
      </c>
      <c r="K937" s="5">
        <v>1005196</v>
      </c>
      <c r="L937" s="5">
        <v>3669</v>
      </c>
      <c r="M937" s="5">
        <v>2.04</v>
      </c>
      <c r="N937" s="5">
        <v>102</v>
      </c>
      <c r="O937" s="7">
        <v>45980</v>
      </c>
      <c r="P937" s="5">
        <v>99.96</v>
      </c>
      <c r="Q937" s="5">
        <v>2.04</v>
      </c>
      <c r="R937" s="5" t="s">
        <v>32</v>
      </c>
      <c r="S937" s="5" t="s">
        <v>33</v>
      </c>
      <c r="T937" s="5">
        <v>0</v>
      </c>
      <c r="U937" s="5">
        <v>99.96</v>
      </c>
      <c r="V937" s="5" t="s">
        <v>34</v>
      </c>
      <c r="W937" s="5">
        <v>2</v>
      </c>
      <c r="X937" s="5">
        <v>1155970513601</v>
      </c>
      <c r="Y937" s="7">
        <v>46003</v>
      </c>
      <c r="Z937" s="7">
        <v>45980</v>
      </c>
      <c r="AB937" s="6">
        <v>46003</v>
      </c>
      <c r="AC937" s="7">
        <v>46002.456250000003</v>
      </c>
      <c r="AD937" s="5">
        <v>36691005196</v>
      </c>
      <c r="AE937" s="8">
        <v>45980</v>
      </c>
      <c r="AF937" s="5">
        <v>10292501</v>
      </c>
      <c r="AG937" s="5" t="s">
        <v>71</v>
      </c>
      <c r="AH937" s="5">
        <v>203875</v>
      </c>
      <c r="AI937" s="6">
        <v>45980</v>
      </c>
      <c r="AJ937" s="6">
        <v>46003</v>
      </c>
      <c r="AK937" s="1">
        <f t="shared" si="430"/>
        <v>2.04</v>
      </c>
    </row>
    <row r="938" spans="1:37" hidden="1" x14ac:dyDescent="0.55000000000000004">
      <c r="A938">
        <v>3669</v>
      </c>
      <c r="B938">
        <v>1005628</v>
      </c>
      <c r="C938" s="1">
        <v>1511.96</v>
      </c>
      <c r="E938" s="1">
        <v>1511.96</v>
      </c>
      <c r="G938" s="1">
        <v>1511.96</v>
      </c>
      <c r="H938" s="1"/>
      <c r="I938" s="1"/>
      <c r="J938" s="2">
        <v>46003</v>
      </c>
      <c r="K938" s="5">
        <v>1005628</v>
      </c>
      <c r="L938" s="5">
        <v>3669</v>
      </c>
      <c r="M938" s="5">
        <v>0</v>
      </c>
      <c r="N938" s="5">
        <v>1511.96</v>
      </c>
      <c r="O938" s="7">
        <v>45982</v>
      </c>
      <c r="P938" s="5">
        <v>1511.96</v>
      </c>
      <c r="Q938" s="5">
        <v>0</v>
      </c>
      <c r="R938" s="5" t="s">
        <v>32</v>
      </c>
      <c r="S938" s="5" t="s">
        <v>33</v>
      </c>
      <c r="T938" s="5">
        <v>0</v>
      </c>
      <c r="U938" s="5">
        <v>1511.96</v>
      </c>
      <c r="V938" s="5" t="s">
        <v>34</v>
      </c>
      <c r="W938" s="5">
        <v>2</v>
      </c>
      <c r="X938" s="5">
        <v>1155970513601</v>
      </c>
      <c r="Y938" s="7">
        <v>46003</v>
      </c>
      <c r="Z938" s="7">
        <v>45982</v>
      </c>
      <c r="AB938" s="6">
        <v>46003</v>
      </c>
      <c r="AC938" s="7">
        <v>46002.456250000003</v>
      </c>
      <c r="AD938" s="5">
        <v>36691005628</v>
      </c>
      <c r="AE938" s="8">
        <v>45982</v>
      </c>
      <c r="AF938" s="5">
        <v>10142502</v>
      </c>
      <c r="AG938" s="5" t="s">
        <v>65</v>
      </c>
      <c r="AH938" s="5">
        <v>204505</v>
      </c>
      <c r="AI938" s="6">
        <v>45982</v>
      </c>
      <c r="AJ938" s="6">
        <v>46003</v>
      </c>
    </row>
    <row r="939" spans="1:37" hidden="1" x14ac:dyDescent="0.55000000000000004">
      <c r="A939">
        <v>3669</v>
      </c>
      <c r="B939">
        <v>1007583</v>
      </c>
      <c r="C939">
        <v>350</v>
      </c>
      <c r="E939">
        <v>350</v>
      </c>
      <c r="F939">
        <v>3.5</v>
      </c>
      <c r="G939">
        <v>346.5</v>
      </c>
      <c r="H939"/>
      <c r="I939"/>
      <c r="J939" s="2">
        <v>46003</v>
      </c>
      <c r="K939" s="5">
        <v>1007583</v>
      </c>
      <c r="L939" s="5">
        <v>3669</v>
      </c>
      <c r="M939" s="5">
        <v>0</v>
      </c>
      <c r="N939" s="5">
        <v>350</v>
      </c>
      <c r="O939" s="7">
        <v>45993</v>
      </c>
      <c r="P939" s="5">
        <v>350</v>
      </c>
      <c r="Q939" s="5">
        <v>0</v>
      </c>
      <c r="R939" s="5" t="s">
        <v>32</v>
      </c>
      <c r="S939" s="5" t="s">
        <v>33</v>
      </c>
      <c r="T939" s="5">
        <v>3.5</v>
      </c>
      <c r="U939" s="5">
        <v>346.5</v>
      </c>
      <c r="V939" s="5" t="s">
        <v>34</v>
      </c>
      <c r="W939" s="5">
        <v>2</v>
      </c>
      <c r="X939" s="5">
        <v>1155970513601</v>
      </c>
      <c r="Y939" s="7">
        <v>46003</v>
      </c>
      <c r="Z939" s="7">
        <v>45993</v>
      </c>
      <c r="AB939" s="6">
        <v>46003</v>
      </c>
      <c r="AC939" s="7">
        <v>46002.456250000003</v>
      </c>
      <c r="AD939" s="5">
        <v>36691007583</v>
      </c>
      <c r="AE939" s="8">
        <v>45993</v>
      </c>
      <c r="AF939" s="5" t="s">
        <v>32</v>
      </c>
      <c r="AG939" s="5" t="s">
        <v>82</v>
      </c>
      <c r="AH939" s="5" t="s">
        <v>32</v>
      </c>
      <c r="AI939" s="6">
        <v>45993</v>
      </c>
      <c r="AJ939" s="6">
        <v>46003</v>
      </c>
    </row>
    <row r="940" spans="1:37" hidden="1" x14ac:dyDescent="0.55000000000000004">
      <c r="A940">
        <v>3676</v>
      </c>
      <c r="B940">
        <v>1007613</v>
      </c>
      <c r="C940" s="1">
        <v>3990</v>
      </c>
      <c r="E940" s="1">
        <v>3990</v>
      </c>
      <c r="F940">
        <v>39.9</v>
      </c>
      <c r="G940" s="1">
        <v>3950.1</v>
      </c>
      <c r="H940" s="1"/>
      <c r="I940" s="1"/>
      <c r="J940" s="2">
        <v>46003</v>
      </c>
      <c r="K940" s="5">
        <v>1007613</v>
      </c>
      <c r="L940" s="5">
        <v>3676</v>
      </c>
      <c r="M940" s="5">
        <v>0</v>
      </c>
      <c r="N940" s="5">
        <v>3990</v>
      </c>
      <c r="O940" s="7">
        <v>45993</v>
      </c>
      <c r="P940" s="5">
        <v>3990</v>
      </c>
      <c r="Q940" s="5">
        <v>0</v>
      </c>
      <c r="R940" s="5" t="s">
        <v>32</v>
      </c>
      <c r="S940" s="5" t="s">
        <v>33</v>
      </c>
      <c r="T940" s="5">
        <v>39.9</v>
      </c>
      <c r="U940" s="5">
        <v>3950.1</v>
      </c>
      <c r="V940" s="5" t="s">
        <v>34</v>
      </c>
      <c r="W940" s="5">
        <v>2</v>
      </c>
      <c r="X940" s="5">
        <v>8134173053326</v>
      </c>
      <c r="Y940" s="7">
        <v>46003</v>
      </c>
      <c r="Z940" s="7">
        <v>45993</v>
      </c>
      <c r="AB940" s="6">
        <v>46003</v>
      </c>
      <c r="AC940" s="7">
        <v>46002.421527777777</v>
      </c>
      <c r="AD940" s="5">
        <v>36761007613</v>
      </c>
      <c r="AE940" s="8">
        <v>45993</v>
      </c>
      <c r="AF940" s="5" t="s">
        <v>32</v>
      </c>
      <c r="AG940" s="5" t="s">
        <v>35</v>
      </c>
      <c r="AH940" s="5" t="s">
        <v>32</v>
      </c>
      <c r="AI940" s="6">
        <v>45993</v>
      </c>
      <c r="AJ940" s="6">
        <v>46003</v>
      </c>
    </row>
    <row r="941" spans="1:37" x14ac:dyDescent="0.55000000000000004">
      <c r="A941">
        <v>3676</v>
      </c>
      <c r="B941">
        <v>1007831</v>
      </c>
      <c r="C941">
        <v>146.27000000000001</v>
      </c>
      <c r="D941" s="4">
        <v>2.93</v>
      </c>
      <c r="E941">
        <v>143.34</v>
      </c>
      <c r="F941">
        <v>1.46</v>
      </c>
      <c r="G941">
        <v>141.88</v>
      </c>
      <c r="H941" s="14">
        <f>C941-D941-F941</f>
        <v>141.88</v>
      </c>
      <c r="I941" s="14" t="b">
        <f>G941=H941</f>
        <v>1</v>
      </c>
      <c r="J941" s="2">
        <v>46003</v>
      </c>
      <c r="K941" s="5">
        <v>1007831</v>
      </c>
      <c r="L941" s="5">
        <v>3676</v>
      </c>
      <c r="M941" s="5">
        <v>2.93</v>
      </c>
      <c r="N941" s="5">
        <v>146.27000000000001</v>
      </c>
      <c r="O941" s="7">
        <v>45993</v>
      </c>
      <c r="P941" s="5">
        <v>143.34</v>
      </c>
      <c r="Q941" s="5">
        <v>2.93</v>
      </c>
      <c r="R941" s="5" t="s">
        <v>32</v>
      </c>
      <c r="S941" s="5" t="s">
        <v>33</v>
      </c>
      <c r="T941" s="5">
        <v>1.46</v>
      </c>
      <c r="U941" s="5">
        <v>141.88</v>
      </c>
      <c r="V941" s="5" t="s">
        <v>34</v>
      </c>
      <c r="W941" s="5">
        <v>2</v>
      </c>
      <c r="X941" s="5">
        <v>8134173053326</v>
      </c>
      <c r="Y941" s="7">
        <v>46003</v>
      </c>
      <c r="Z941" s="7">
        <v>45993</v>
      </c>
      <c r="AB941" s="6">
        <v>46003</v>
      </c>
      <c r="AC941" s="7">
        <v>46002.421527777777</v>
      </c>
      <c r="AD941" s="5">
        <v>36761007831</v>
      </c>
      <c r="AE941" s="8">
        <v>45993</v>
      </c>
      <c r="AF941" s="5">
        <v>103505</v>
      </c>
      <c r="AG941" s="5" t="s">
        <v>37</v>
      </c>
      <c r="AH941" s="5">
        <v>206167</v>
      </c>
      <c r="AI941" s="6">
        <v>45993</v>
      </c>
      <c r="AJ941" s="6">
        <v>46003</v>
      </c>
      <c r="AK941" s="1">
        <f t="shared" ref="AK941" si="431">0.02*C941</f>
        <v>2.9254000000000002</v>
      </c>
    </row>
    <row r="942" spans="1:37" hidden="1" x14ac:dyDescent="0.55000000000000004">
      <c r="A942">
        <v>3676</v>
      </c>
      <c r="B942">
        <v>1007891</v>
      </c>
      <c r="C942">
        <v>404.96</v>
      </c>
      <c r="E942">
        <v>404.96</v>
      </c>
      <c r="F942">
        <v>4.05</v>
      </c>
      <c r="G942">
        <v>400.91</v>
      </c>
      <c r="H942"/>
      <c r="I942"/>
      <c r="J942" s="2">
        <v>46003</v>
      </c>
      <c r="K942" s="5">
        <v>1007891</v>
      </c>
      <c r="L942" s="5">
        <v>3676</v>
      </c>
      <c r="M942" s="5">
        <v>0</v>
      </c>
      <c r="N942" s="5">
        <v>404.96</v>
      </c>
      <c r="O942" s="7">
        <v>45994</v>
      </c>
      <c r="P942" s="5">
        <v>404.96</v>
      </c>
      <c r="Q942" s="5">
        <v>0</v>
      </c>
      <c r="R942" s="5" t="s">
        <v>32</v>
      </c>
      <c r="S942" s="5" t="s">
        <v>33</v>
      </c>
      <c r="T942" s="5">
        <v>4.05</v>
      </c>
      <c r="U942" s="5">
        <v>400.91</v>
      </c>
      <c r="V942" s="5" t="s">
        <v>34</v>
      </c>
      <c r="W942" s="5">
        <v>2</v>
      </c>
      <c r="X942" s="5">
        <v>8134173053326</v>
      </c>
      <c r="Y942" s="7">
        <v>46003</v>
      </c>
      <c r="Z942" s="7">
        <v>45994</v>
      </c>
      <c r="AB942" s="6">
        <v>46003</v>
      </c>
      <c r="AC942" s="7">
        <v>46002.421527777777</v>
      </c>
      <c r="AD942" s="5">
        <v>36761007891</v>
      </c>
      <c r="AE942" s="8">
        <v>45994</v>
      </c>
      <c r="AF942" s="5">
        <v>103485</v>
      </c>
      <c r="AG942" s="5" t="s">
        <v>38</v>
      </c>
      <c r="AH942" s="5">
        <v>206474</v>
      </c>
      <c r="AI942" s="6">
        <v>45994</v>
      </c>
      <c r="AJ942" s="6">
        <v>46003</v>
      </c>
    </row>
    <row r="943" spans="1:37" hidden="1" x14ac:dyDescent="0.55000000000000004">
      <c r="A943">
        <v>3676</v>
      </c>
      <c r="B943">
        <v>1007981</v>
      </c>
      <c r="C943">
        <v>57.48</v>
      </c>
      <c r="E943">
        <v>57.48</v>
      </c>
      <c r="F943">
        <v>0.56999999999999995</v>
      </c>
      <c r="G943">
        <v>56.91</v>
      </c>
      <c r="H943"/>
      <c r="I943"/>
      <c r="J943" s="2">
        <v>46003</v>
      </c>
      <c r="K943" s="5">
        <v>1007981</v>
      </c>
      <c r="L943" s="5">
        <v>3676</v>
      </c>
      <c r="M943" s="5">
        <v>0</v>
      </c>
      <c r="N943" s="5">
        <v>57.48</v>
      </c>
      <c r="O943" s="7">
        <v>45994</v>
      </c>
      <c r="P943" s="5">
        <v>57.48</v>
      </c>
      <c r="Q943" s="5">
        <v>0</v>
      </c>
      <c r="R943" s="5" t="s">
        <v>32</v>
      </c>
      <c r="S943" s="5" t="s">
        <v>33</v>
      </c>
      <c r="T943" s="5">
        <v>0.56999999999999995</v>
      </c>
      <c r="U943" s="5">
        <v>56.91</v>
      </c>
      <c r="V943" s="5" t="s">
        <v>34</v>
      </c>
      <c r="W943" s="5">
        <v>2</v>
      </c>
      <c r="X943" s="5">
        <v>8134173053326</v>
      </c>
      <c r="Y943" s="7">
        <v>46003</v>
      </c>
      <c r="Z943" s="7">
        <v>45994</v>
      </c>
      <c r="AB943" s="6">
        <v>46003</v>
      </c>
      <c r="AC943" s="7">
        <v>46002.421527777777</v>
      </c>
      <c r="AD943" s="5">
        <v>36761007981</v>
      </c>
      <c r="AE943" s="8">
        <v>45994</v>
      </c>
      <c r="AF943" s="5">
        <v>103505</v>
      </c>
      <c r="AG943" s="5" t="s">
        <v>38</v>
      </c>
      <c r="AH943" s="5">
        <v>206259</v>
      </c>
      <c r="AI943" s="6">
        <v>45994</v>
      </c>
      <c r="AJ943" s="6">
        <v>46003</v>
      </c>
    </row>
    <row r="944" spans="1:37" x14ac:dyDescent="0.55000000000000004">
      <c r="A944">
        <v>3676</v>
      </c>
      <c r="B944">
        <v>1007984</v>
      </c>
      <c r="C944">
        <v>611.45000000000005</v>
      </c>
      <c r="D944" s="4">
        <v>12.23</v>
      </c>
      <c r="E944">
        <v>599.22</v>
      </c>
      <c r="F944">
        <v>6.11</v>
      </c>
      <c r="G944">
        <v>593.11</v>
      </c>
      <c r="H944" s="14">
        <f t="shared" ref="H944:H946" si="432">C944-D944-F944</f>
        <v>593.11</v>
      </c>
      <c r="I944" s="14" t="b">
        <f t="shared" ref="I944:I946" si="433">G944=H944</f>
        <v>1</v>
      </c>
      <c r="J944" s="2">
        <v>46003</v>
      </c>
      <c r="K944" s="5">
        <v>1007984</v>
      </c>
      <c r="L944" s="5">
        <v>3676</v>
      </c>
      <c r="M944" s="5">
        <v>12.23</v>
      </c>
      <c r="N944" s="5">
        <v>611.45000000000005</v>
      </c>
      <c r="O944" s="7">
        <v>45994</v>
      </c>
      <c r="P944" s="5">
        <v>599.22</v>
      </c>
      <c r="Q944" s="5">
        <v>12.23</v>
      </c>
      <c r="R944" s="5" t="s">
        <v>32</v>
      </c>
      <c r="S944" s="5" t="s">
        <v>33</v>
      </c>
      <c r="T944" s="5">
        <v>6.11</v>
      </c>
      <c r="U944" s="5">
        <v>593.11</v>
      </c>
      <c r="V944" s="5" t="s">
        <v>34</v>
      </c>
      <c r="W944" s="5">
        <v>2</v>
      </c>
      <c r="X944" s="5">
        <v>8134173053326</v>
      </c>
      <c r="Y944" s="7">
        <v>46003</v>
      </c>
      <c r="Z944" s="7">
        <v>45994</v>
      </c>
      <c r="AB944" s="6">
        <v>46003</v>
      </c>
      <c r="AC944" s="7">
        <v>46002.421527777777</v>
      </c>
      <c r="AD944" s="5">
        <v>36761007984</v>
      </c>
      <c r="AE944" s="8">
        <v>45994</v>
      </c>
      <c r="AF944" s="5">
        <v>103505</v>
      </c>
      <c r="AG944" s="5" t="s">
        <v>37</v>
      </c>
      <c r="AH944" s="5">
        <v>206258</v>
      </c>
      <c r="AI944" s="6">
        <v>45994</v>
      </c>
      <c r="AJ944" s="6">
        <v>46003</v>
      </c>
      <c r="AK944" s="1">
        <f t="shared" ref="AK944:AK946" si="434">0.02*C944</f>
        <v>12.229000000000001</v>
      </c>
    </row>
    <row r="945" spans="1:37" x14ac:dyDescent="0.55000000000000004">
      <c r="A945">
        <v>3676</v>
      </c>
      <c r="B945">
        <v>1008042</v>
      </c>
      <c r="C945">
        <v>672.93</v>
      </c>
      <c r="D945" s="4">
        <v>13.46</v>
      </c>
      <c r="E945">
        <v>659.47</v>
      </c>
      <c r="F945">
        <v>6.73</v>
      </c>
      <c r="G945">
        <v>652.74</v>
      </c>
      <c r="H945" s="14">
        <f t="shared" si="432"/>
        <v>652.7399999999999</v>
      </c>
      <c r="I945" s="14" t="b">
        <f t="shared" si="433"/>
        <v>1</v>
      </c>
      <c r="J945" s="2">
        <v>46003</v>
      </c>
      <c r="K945" s="5">
        <v>1008042</v>
      </c>
      <c r="L945" s="5">
        <v>3676</v>
      </c>
      <c r="M945" s="5">
        <v>13.46</v>
      </c>
      <c r="N945" s="5">
        <v>672.93</v>
      </c>
      <c r="O945" s="7">
        <v>45994</v>
      </c>
      <c r="P945" s="5">
        <v>659.47</v>
      </c>
      <c r="Q945" s="5">
        <v>13.46</v>
      </c>
      <c r="R945" s="5" t="s">
        <v>32</v>
      </c>
      <c r="S945" s="5" t="s">
        <v>33</v>
      </c>
      <c r="T945" s="5">
        <v>6.73</v>
      </c>
      <c r="U945" s="5">
        <v>652.74</v>
      </c>
      <c r="V945" s="5" t="s">
        <v>34</v>
      </c>
      <c r="W945" s="5">
        <v>2</v>
      </c>
      <c r="X945" s="5">
        <v>8134173053326</v>
      </c>
      <c r="Y945" s="7">
        <v>46003</v>
      </c>
      <c r="Z945" s="7">
        <v>45994</v>
      </c>
      <c r="AB945" s="6">
        <v>46003</v>
      </c>
      <c r="AC945" s="7">
        <v>46002.421527777777</v>
      </c>
      <c r="AD945" s="5">
        <v>36761008042</v>
      </c>
      <c r="AE945" s="8">
        <v>45994</v>
      </c>
      <c r="AF945" s="5">
        <v>103391</v>
      </c>
      <c r="AG945" s="5" t="s">
        <v>37</v>
      </c>
      <c r="AH945" s="5">
        <v>206074</v>
      </c>
      <c r="AI945" s="6">
        <v>45994</v>
      </c>
      <c r="AJ945" s="6">
        <v>46003</v>
      </c>
      <c r="AK945" s="1">
        <f t="shared" si="434"/>
        <v>13.458599999999999</v>
      </c>
    </row>
    <row r="946" spans="1:37" x14ac:dyDescent="0.55000000000000004">
      <c r="A946">
        <v>3676</v>
      </c>
      <c r="B946">
        <v>1008159</v>
      </c>
      <c r="C946">
        <v>56.66</v>
      </c>
      <c r="D946" s="4">
        <v>1.1299999999999999</v>
      </c>
      <c r="E946">
        <v>55.53</v>
      </c>
      <c r="F946">
        <v>0.56999999999999995</v>
      </c>
      <c r="G946">
        <v>54.96</v>
      </c>
      <c r="H946" s="14">
        <f t="shared" si="432"/>
        <v>54.959999999999994</v>
      </c>
      <c r="I946" s="14" t="b">
        <f t="shared" si="433"/>
        <v>1</v>
      </c>
      <c r="J946" s="2">
        <v>46003</v>
      </c>
      <c r="K946" s="5">
        <v>1008159</v>
      </c>
      <c r="L946" s="5">
        <v>3676</v>
      </c>
      <c r="M946" s="5">
        <v>1.1299999999999999</v>
      </c>
      <c r="N946" s="5">
        <v>56.66</v>
      </c>
      <c r="O946" s="7">
        <v>45995</v>
      </c>
      <c r="P946" s="5">
        <v>55.53</v>
      </c>
      <c r="Q946" s="5">
        <v>1.1299999999999999</v>
      </c>
      <c r="R946" s="5" t="s">
        <v>32</v>
      </c>
      <c r="S946" s="5" t="s">
        <v>33</v>
      </c>
      <c r="T946" s="5">
        <v>0.56999999999999995</v>
      </c>
      <c r="U946" s="5">
        <v>54.96</v>
      </c>
      <c r="V946" s="5" t="s">
        <v>34</v>
      </c>
      <c r="W946" s="5">
        <v>2</v>
      </c>
      <c r="X946" s="5">
        <v>8134173053326</v>
      </c>
      <c r="Y946" s="7">
        <v>46003</v>
      </c>
      <c r="Z946" s="7">
        <v>45995</v>
      </c>
      <c r="AB946" s="6">
        <v>46003</v>
      </c>
      <c r="AC946" s="7">
        <v>46002.421527777777</v>
      </c>
      <c r="AD946" s="5">
        <v>36761008159</v>
      </c>
      <c r="AE946" s="8">
        <v>45995</v>
      </c>
      <c r="AF946" s="5">
        <v>103516</v>
      </c>
      <c r="AG946" s="5" t="s">
        <v>37</v>
      </c>
      <c r="AH946" s="5">
        <v>206694</v>
      </c>
      <c r="AI946" s="6">
        <v>45995</v>
      </c>
      <c r="AJ946" s="6">
        <v>46003</v>
      </c>
      <c r="AK946" s="1">
        <f t="shared" si="434"/>
        <v>1.1332</v>
      </c>
    </row>
    <row r="947" spans="1:37" hidden="1" x14ac:dyDescent="0.55000000000000004">
      <c r="A947">
        <v>3676</v>
      </c>
      <c r="B947">
        <v>1008165</v>
      </c>
      <c r="C947">
        <v>224.83</v>
      </c>
      <c r="E947">
        <v>224.83</v>
      </c>
      <c r="F947">
        <v>2.25</v>
      </c>
      <c r="G947">
        <v>222.58</v>
      </c>
      <c r="H947"/>
      <c r="I947"/>
      <c r="J947" s="2">
        <v>46003</v>
      </c>
      <c r="K947" s="5">
        <v>1008165</v>
      </c>
      <c r="L947" s="5">
        <v>3676</v>
      </c>
      <c r="M947" s="5">
        <v>0</v>
      </c>
      <c r="N947" s="5">
        <v>224.83</v>
      </c>
      <c r="O947" s="7">
        <v>45995</v>
      </c>
      <c r="P947" s="5">
        <v>224.83</v>
      </c>
      <c r="Q947" s="5">
        <v>0</v>
      </c>
      <c r="R947" s="5" t="s">
        <v>32</v>
      </c>
      <c r="S947" s="5" t="s">
        <v>33</v>
      </c>
      <c r="T947" s="5">
        <v>2.25</v>
      </c>
      <c r="U947" s="5">
        <v>222.58</v>
      </c>
      <c r="V947" s="5" t="s">
        <v>34</v>
      </c>
      <c r="W947" s="5">
        <v>2</v>
      </c>
      <c r="X947" s="5">
        <v>8134173053326</v>
      </c>
      <c r="Y947" s="7">
        <v>46003</v>
      </c>
      <c r="Z947" s="7">
        <v>45995</v>
      </c>
      <c r="AB947" s="6">
        <v>46003</v>
      </c>
      <c r="AC947" s="7">
        <v>46002.421527777777</v>
      </c>
      <c r="AD947" s="5">
        <v>36761008165</v>
      </c>
      <c r="AE947" s="8">
        <v>45995</v>
      </c>
      <c r="AF947" s="5">
        <v>103516</v>
      </c>
      <c r="AG947" s="5" t="s">
        <v>38</v>
      </c>
      <c r="AH947" s="5">
        <v>206695</v>
      </c>
      <c r="AI947" s="6">
        <v>45995</v>
      </c>
      <c r="AJ947" s="6">
        <v>46003</v>
      </c>
    </row>
    <row r="948" spans="1:37" hidden="1" x14ac:dyDescent="0.55000000000000004">
      <c r="A948">
        <v>3676</v>
      </c>
      <c r="B948">
        <v>1008200</v>
      </c>
      <c r="C948">
        <v>37.46</v>
      </c>
      <c r="E948">
        <v>37.46</v>
      </c>
      <c r="F948">
        <v>0.37</v>
      </c>
      <c r="G948">
        <v>37.090000000000003</v>
      </c>
      <c r="H948"/>
      <c r="I948"/>
      <c r="J948" s="2">
        <v>46003</v>
      </c>
      <c r="K948" s="5">
        <v>1008200</v>
      </c>
      <c r="L948" s="5">
        <v>3676</v>
      </c>
      <c r="M948" s="5">
        <v>0</v>
      </c>
      <c r="N948" s="5">
        <v>37.46</v>
      </c>
      <c r="O948" s="7">
        <v>45995</v>
      </c>
      <c r="P948" s="5">
        <v>37.46</v>
      </c>
      <c r="Q948" s="5">
        <v>0</v>
      </c>
      <c r="R948" s="5" t="s">
        <v>32</v>
      </c>
      <c r="S948" s="5" t="s">
        <v>33</v>
      </c>
      <c r="T948" s="5">
        <v>0.37</v>
      </c>
      <c r="U948" s="5">
        <v>37.090000000000003</v>
      </c>
      <c r="V948" s="5" t="s">
        <v>34</v>
      </c>
      <c r="W948" s="5">
        <v>2</v>
      </c>
      <c r="X948" s="5">
        <v>8134173053326</v>
      </c>
      <c r="Y948" s="7">
        <v>46003</v>
      </c>
      <c r="Z948" s="7">
        <v>45995</v>
      </c>
      <c r="AB948" s="6">
        <v>46003</v>
      </c>
      <c r="AC948" s="7">
        <v>46002.421527777777</v>
      </c>
      <c r="AD948" s="5">
        <v>36761008200</v>
      </c>
      <c r="AE948" s="8">
        <v>45995</v>
      </c>
      <c r="AF948" s="5">
        <v>103505</v>
      </c>
      <c r="AG948" s="5" t="s">
        <v>38</v>
      </c>
      <c r="AH948" s="5">
        <v>206666</v>
      </c>
      <c r="AI948" s="6">
        <v>45995</v>
      </c>
      <c r="AJ948" s="6">
        <v>46003</v>
      </c>
    </row>
    <row r="949" spans="1:37" hidden="1" x14ac:dyDescent="0.55000000000000004">
      <c r="A949">
        <v>3676</v>
      </c>
      <c r="B949">
        <v>1008338</v>
      </c>
      <c r="C949">
        <v>84.18</v>
      </c>
      <c r="E949">
        <v>84.18</v>
      </c>
      <c r="F949">
        <v>0.84</v>
      </c>
      <c r="G949">
        <v>83.34</v>
      </c>
      <c r="H949"/>
      <c r="I949"/>
      <c r="J949" s="2">
        <v>46003</v>
      </c>
      <c r="K949" s="5">
        <v>1008338</v>
      </c>
      <c r="L949" s="5">
        <v>3676</v>
      </c>
      <c r="M949" s="5">
        <v>0</v>
      </c>
      <c r="N949" s="5">
        <v>84.18</v>
      </c>
      <c r="O949" s="7">
        <v>45996</v>
      </c>
      <c r="P949" s="5">
        <v>84.18</v>
      </c>
      <c r="Q949" s="5">
        <v>0</v>
      </c>
      <c r="R949" s="5">
        <v>1043701</v>
      </c>
      <c r="S949" s="5" t="s">
        <v>59</v>
      </c>
      <c r="T949" s="5">
        <v>0.84</v>
      </c>
      <c r="U949" s="5">
        <v>83.34</v>
      </c>
      <c r="V949" s="5" t="s">
        <v>34</v>
      </c>
      <c r="W949" s="5">
        <v>2</v>
      </c>
      <c r="X949" s="5">
        <v>8134173053326</v>
      </c>
      <c r="Y949" s="7">
        <v>46003</v>
      </c>
      <c r="Z949" s="7">
        <v>45996</v>
      </c>
      <c r="AB949" s="6">
        <v>46003</v>
      </c>
      <c r="AC949" s="7">
        <v>46002.421527777777</v>
      </c>
      <c r="AD949" s="5">
        <v>36761008338</v>
      </c>
      <c r="AE949" s="8">
        <v>45996</v>
      </c>
      <c r="AF949" s="5">
        <v>215378</v>
      </c>
      <c r="AG949" s="5" t="s">
        <v>38</v>
      </c>
      <c r="AH949" s="5">
        <v>1043701</v>
      </c>
      <c r="AI949" s="6">
        <v>45996</v>
      </c>
      <c r="AJ949" s="6">
        <v>46003</v>
      </c>
    </row>
    <row r="950" spans="1:37" hidden="1" x14ac:dyDescent="0.55000000000000004">
      <c r="A950">
        <v>3676</v>
      </c>
      <c r="B950">
        <v>1008396</v>
      </c>
      <c r="C950">
        <v>245.04</v>
      </c>
      <c r="E950">
        <v>245.04</v>
      </c>
      <c r="F950">
        <v>2.4500000000000002</v>
      </c>
      <c r="G950">
        <v>242.59</v>
      </c>
      <c r="H950"/>
      <c r="I950"/>
      <c r="J950" s="2">
        <v>46003</v>
      </c>
      <c r="K950" s="5">
        <v>1008396</v>
      </c>
      <c r="L950" s="5">
        <v>3676</v>
      </c>
      <c r="M950" s="5">
        <v>0</v>
      </c>
      <c r="N950" s="5">
        <v>245.04</v>
      </c>
      <c r="O950" s="7">
        <v>45996</v>
      </c>
      <c r="P950" s="5">
        <v>245.04</v>
      </c>
      <c r="Q950" s="5">
        <v>0</v>
      </c>
      <c r="R950" s="5">
        <v>102408</v>
      </c>
      <c r="S950" s="5" t="s">
        <v>122</v>
      </c>
      <c r="T950" s="5">
        <v>2.4500000000000002</v>
      </c>
      <c r="U950" s="5">
        <v>242.59</v>
      </c>
      <c r="V950" s="5" t="s">
        <v>34</v>
      </c>
      <c r="W950" s="5">
        <v>2</v>
      </c>
      <c r="X950" s="5">
        <v>8134173053326</v>
      </c>
      <c r="Y950" s="7">
        <v>46003</v>
      </c>
      <c r="Z950" s="7">
        <v>45996</v>
      </c>
      <c r="AB950" s="6">
        <v>46003</v>
      </c>
      <c r="AC950" s="7">
        <v>46002.421527777777</v>
      </c>
      <c r="AD950" s="5">
        <v>36761008396</v>
      </c>
      <c r="AE950" s="8">
        <v>45996</v>
      </c>
      <c r="AF950" s="5">
        <v>102408</v>
      </c>
      <c r="AG950" s="5" t="s">
        <v>38</v>
      </c>
      <c r="AH950" s="5">
        <v>102408</v>
      </c>
      <c r="AI950" s="6">
        <v>45996</v>
      </c>
      <c r="AJ950" s="6">
        <v>46003</v>
      </c>
    </row>
    <row r="951" spans="1:37" x14ac:dyDescent="0.55000000000000004">
      <c r="A951">
        <v>3676</v>
      </c>
      <c r="B951">
        <v>1008489</v>
      </c>
      <c r="C951">
        <v>55.56</v>
      </c>
      <c r="D951" s="4">
        <v>1.1100000000000001</v>
      </c>
      <c r="E951">
        <v>54.45</v>
      </c>
      <c r="F951">
        <v>0.56000000000000005</v>
      </c>
      <c r="G951">
        <v>53.89</v>
      </c>
      <c r="H951" s="14">
        <f>C951-D951-F951</f>
        <v>53.89</v>
      </c>
      <c r="I951" s="14" t="b">
        <f>G951=H951</f>
        <v>1</v>
      </c>
      <c r="J951" s="2">
        <v>46003</v>
      </c>
      <c r="K951" s="5">
        <v>1008489</v>
      </c>
      <c r="L951" s="5">
        <v>3676</v>
      </c>
      <c r="M951" s="5">
        <v>1.1100000000000001</v>
      </c>
      <c r="N951" s="5">
        <v>55.56</v>
      </c>
      <c r="O951" s="7">
        <v>45996</v>
      </c>
      <c r="P951" s="5">
        <v>54.45</v>
      </c>
      <c r="Q951" s="5">
        <v>1.1100000000000001</v>
      </c>
      <c r="R951" s="5" t="s">
        <v>32</v>
      </c>
      <c r="S951" s="5" t="s">
        <v>33</v>
      </c>
      <c r="T951" s="5">
        <v>0.56000000000000005</v>
      </c>
      <c r="U951" s="5">
        <v>53.89</v>
      </c>
      <c r="V951" s="5" t="s">
        <v>34</v>
      </c>
      <c r="W951" s="5">
        <v>2</v>
      </c>
      <c r="X951" s="5">
        <v>8134173053326</v>
      </c>
      <c r="Y951" s="7">
        <v>46003</v>
      </c>
      <c r="Z951" s="7">
        <v>45996</v>
      </c>
      <c r="AB951" s="6">
        <v>46003</v>
      </c>
      <c r="AC951" s="7">
        <v>46002.421527777777</v>
      </c>
      <c r="AD951" s="5">
        <v>36761008489</v>
      </c>
      <c r="AE951" s="8">
        <v>45996</v>
      </c>
      <c r="AF951" s="5">
        <v>103521</v>
      </c>
      <c r="AG951" s="5" t="s">
        <v>37</v>
      </c>
      <c r="AH951" s="5">
        <v>206837</v>
      </c>
      <c r="AI951" s="6">
        <v>45996</v>
      </c>
      <c r="AJ951" s="6">
        <v>46003</v>
      </c>
      <c r="AK951" s="1">
        <f t="shared" ref="AK951" si="435">0.02*C951</f>
        <v>1.1112</v>
      </c>
    </row>
    <row r="952" spans="1:37" hidden="1" x14ac:dyDescent="0.55000000000000004">
      <c r="A952">
        <v>3676</v>
      </c>
      <c r="B952">
        <v>1008493</v>
      </c>
      <c r="C952">
        <v>55.99</v>
      </c>
      <c r="E952">
        <v>55.99</v>
      </c>
      <c r="F952">
        <v>0.56000000000000005</v>
      </c>
      <c r="G952">
        <v>55.43</v>
      </c>
      <c r="H952"/>
      <c r="I952"/>
      <c r="J952" s="2">
        <v>46003</v>
      </c>
      <c r="K952" s="5">
        <v>1008493</v>
      </c>
      <c r="L952" s="5">
        <v>3676</v>
      </c>
      <c r="M952" s="5">
        <v>0</v>
      </c>
      <c r="N952" s="5">
        <v>55.99</v>
      </c>
      <c r="O952" s="7">
        <v>45996</v>
      </c>
      <c r="P952" s="5">
        <v>55.99</v>
      </c>
      <c r="Q952" s="5">
        <v>0</v>
      </c>
      <c r="R952" s="5" t="s">
        <v>32</v>
      </c>
      <c r="S952" s="5" t="s">
        <v>33</v>
      </c>
      <c r="T952" s="5">
        <v>0.56000000000000005</v>
      </c>
      <c r="U952" s="5">
        <v>55.43</v>
      </c>
      <c r="V952" s="5" t="s">
        <v>34</v>
      </c>
      <c r="W952" s="5">
        <v>2</v>
      </c>
      <c r="X952" s="5">
        <v>8134173053326</v>
      </c>
      <c r="Y952" s="7">
        <v>46003</v>
      </c>
      <c r="Z952" s="7">
        <v>45996</v>
      </c>
      <c r="AB952" s="6">
        <v>46003</v>
      </c>
      <c r="AC952" s="7">
        <v>46002.421527777777</v>
      </c>
      <c r="AD952" s="5">
        <v>36761008493</v>
      </c>
      <c r="AE952" s="8">
        <v>45996</v>
      </c>
      <c r="AF952" s="5">
        <v>103521</v>
      </c>
      <c r="AG952" s="5" t="s">
        <v>38</v>
      </c>
      <c r="AH952" s="5">
        <v>206838</v>
      </c>
      <c r="AI952" s="6">
        <v>45996</v>
      </c>
      <c r="AJ952" s="6">
        <v>46003</v>
      </c>
    </row>
    <row r="953" spans="1:37" x14ac:dyDescent="0.55000000000000004">
      <c r="A953">
        <v>3676</v>
      </c>
      <c r="B953">
        <v>1008534</v>
      </c>
      <c r="C953">
        <v>127.8</v>
      </c>
      <c r="D953" s="4">
        <v>2.56</v>
      </c>
      <c r="E953">
        <v>125.24</v>
      </c>
      <c r="F953">
        <v>1.28</v>
      </c>
      <c r="G953">
        <v>123.96</v>
      </c>
      <c r="H953" s="14">
        <f>C953-D953-F953</f>
        <v>123.96</v>
      </c>
      <c r="I953" s="14" t="b">
        <f>G953=H953</f>
        <v>1</v>
      </c>
      <c r="J953" s="2">
        <v>46003</v>
      </c>
      <c r="K953" s="5">
        <v>1008534</v>
      </c>
      <c r="L953" s="5">
        <v>3676</v>
      </c>
      <c r="M953" s="5">
        <v>2.56</v>
      </c>
      <c r="N953" s="5">
        <v>127.8</v>
      </c>
      <c r="O953" s="7">
        <v>45996</v>
      </c>
      <c r="P953" s="5">
        <v>125.24</v>
      </c>
      <c r="Q953" s="5">
        <v>2.56</v>
      </c>
      <c r="R953" s="5" t="s">
        <v>32</v>
      </c>
      <c r="S953" s="5" t="s">
        <v>33</v>
      </c>
      <c r="T953" s="5">
        <v>1.28</v>
      </c>
      <c r="U953" s="5">
        <v>123.96</v>
      </c>
      <c r="V953" s="5" t="s">
        <v>34</v>
      </c>
      <c r="W953" s="5">
        <v>2</v>
      </c>
      <c r="X953" s="5">
        <v>8134173053326</v>
      </c>
      <c r="Y953" s="7">
        <v>46003</v>
      </c>
      <c r="Z953" s="7">
        <v>45996</v>
      </c>
      <c r="AB953" s="6">
        <v>46003</v>
      </c>
      <c r="AC953" s="7">
        <v>46002.421527777777</v>
      </c>
      <c r="AD953" s="5">
        <v>36761008534</v>
      </c>
      <c r="AE953" s="8">
        <v>45996</v>
      </c>
      <c r="AF953" s="5">
        <v>103521</v>
      </c>
      <c r="AG953" s="5" t="s">
        <v>37</v>
      </c>
      <c r="AH953" s="5">
        <v>206825</v>
      </c>
      <c r="AI953" s="6">
        <v>45996</v>
      </c>
      <c r="AJ953" s="6">
        <v>46003</v>
      </c>
      <c r="AK953" s="1">
        <f t="shared" ref="AK953" si="436">0.02*C953</f>
        <v>2.556</v>
      </c>
    </row>
    <row r="954" spans="1:37" hidden="1" x14ac:dyDescent="0.55000000000000004">
      <c r="A954">
        <v>3676</v>
      </c>
      <c r="B954">
        <v>1008974</v>
      </c>
      <c r="C954">
        <v>-931.5</v>
      </c>
      <c r="E954">
        <v>-931.5</v>
      </c>
      <c r="G954">
        <v>-931.5</v>
      </c>
      <c r="H954"/>
      <c r="I954"/>
      <c r="J954" s="2">
        <v>46003</v>
      </c>
      <c r="K954" s="5">
        <v>1008974</v>
      </c>
      <c r="L954" s="5">
        <v>3676</v>
      </c>
      <c r="M954" s="5">
        <v>0</v>
      </c>
      <c r="N954" s="5">
        <v>-931.5</v>
      </c>
      <c r="O954" s="7">
        <v>46000</v>
      </c>
      <c r="P954" s="5">
        <v>-931.5</v>
      </c>
      <c r="Q954" s="5">
        <v>0</v>
      </c>
      <c r="R954" s="5">
        <v>1008974</v>
      </c>
      <c r="S954" s="5" t="s">
        <v>33</v>
      </c>
      <c r="T954" s="5">
        <v>0</v>
      </c>
      <c r="U954" s="5">
        <v>-931.5</v>
      </c>
      <c r="V954" s="5" t="s">
        <v>34</v>
      </c>
      <c r="W954" s="5">
        <v>2</v>
      </c>
      <c r="X954" s="5">
        <v>8134173053326</v>
      </c>
      <c r="Y954" s="7">
        <v>46003</v>
      </c>
      <c r="Z954" s="7">
        <v>46000</v>
      </c>
      <c r="AB954" s="6">
        <v>46003</v>
      </c>
      <c r="AC954" s="7">
        <v>46002.421527777777</v>
      </c>
      <c r="AD954" s="5">
        <v>36761008974</v>
      </c>
      <c r="AE954" s="8">
        <v>46000</v>
      </c>
      <c r="AF954" s="5" t="s">
        <v>534</v>
      </c>
      <c r="AG954" s="5" t="s">
        <v>38</v>
      </c>
      <c r="AH954" s="5" t="s">
        <v>535</v>
      </c>
      <c r="AI954" s="6">
        <v>46000</v>
      </c>
      <c r="AJ954" s="6">
        <v>46003</v>
      </c>
    </row>
    <row r="955" spans="1:37" x14ac:dyDescent="0.55000000000000004">
      <c r="A955">
        <v>3683</v>
      </c>
      <c r="B955">
        <v>1007214</v>
      </c>
      <c r="C955">
        <v>89.58</v>
      </c>
      <c r="D955" s="4">
        <v>1.79</v>
      </c>
      <c r="E955">
        <v>87.79</v>
      </c>
      <c r="F955">
        <v>0.9</v>
      </c>
      <c r="G955">
        <v>86.89</v>
      </c>
      <c r="H955" s="14">
        <f t="shared" ref="H955:H957" si="437">C955-D955-F955</f>
        <v>86.889999999999986</v>
      </c>
      <c r="I955" s="14" t="b">
        <f t="shared" ref="I955:I957" si="438">G955=H955</f>
        <v>1</v>
      </c>
      <c r="J955" s="2">
        <v>46003</v>
      </c>
      <c r="K955" s="5">
        <v>1007214</v>
      </c>
      <c r="L955" s="5">
        <v>3683</v>
      </c>
      <c r="M955" s="5">
        <v>1.79</v>
      </c>
      <c r="N955" s="5">
        <v>89.58</v>
      </c>
      <c r="O955" s="7">
        <v>45992</v>
      </c>
      <c r="P955" s="5">
        <v>87.79</v>
      </c>
      <c r="Q955" s="5">
        <v>1.79</v>
      </c>
      <c r="R955" s="5" t="s">
        <v>32</v>
      </c>
      <c r="S955" s="5" t="s">
        <v>33</v>
      </c>
      <c r="T955" s="5">
        <v>0.9</v>
      </c>
      <c r="U955" s="5">
        <v>86.89</v>
      </c>
      <c r="V955" s="5" t="s">
        <v>34</v>
      </c>
      <c r="W955" s="5">
        <v>2</v>
      </c>
      <c r="X955" s="5">
        <v>1562033415853</v>
      </c>
      <c r="Y955" s="7">
        <v>46003</v>
      </c>
      <c r="Z955" s="7">
        <v>45992</v>
      </c>
      <c r="AB955" s="6">
        <v>46003</v>
      </c>
      <c r="AC955" s="7">
        <v>46001.708333333336</v>
      </c>
      <c r="AD955" s="5">
        <v>36831007214</v>
      </c>
      <c r="AE955" s="8">
        <v>45992</v>
      </c>
      <c r="AF955" s="5" t="s">
        <v>536</v>
      </c>
      <c r="AG955" s="5" t="s">
        <v>37</v>
      </c>
      <c r="AH955" s="5">
        <v>205795</v>
      </c>
      <c r="AI955" s="6">
        <v>45992</v>
      </c>
      <c r="AJ955" s="6">
        <v>46003</v>
      </c>
      <c r="AK955" s="1">
        <f t="shared" ref="AK955:AK957" si="439">0.02*C955</f>
        <v>1.7916000000000001</v>
      </c>
    </row>
    <row r="956" spans="1:37" x14ac:dyDescent="0.55000000000000004">
      <c r="A956">
        <v>3683</v>
      </c>
      <c r="B956">
        <v>1007289</v>
      </c>
      <c r="C956">
        <v>542.94000000000005</v>
      </c>
      <c r="D956" s="4">
        <v>10.86</v>
      </c>
      <c r="E956">
        <v>532.08000000000004</v>
      </c>
      <c r="F956">
        <v>5.43</v>
      </c>
      <c r="G956">
        <v>526.65</v>
      </c>
      <c r="H956" s="14">
        <f t="shared" si="437"/>
        <v>526.65000000000009</v>
      </c>
      <c r="I956" s="14" t="b">
        <f t="shared" si="438"/>
        <v>1</v>
      </c>
      <c r="J956" s="2">
        <v>46003</v>
      </c>
      <c r="K956" s="5">
        <v>1007289</v>
      </c>
      <c r="L956" s="5">
        <v>3683</v>
      </c>
      <c r="M956" s="5">
        <v>10.86</v>
      </c>
      <c r="N956" s="5">
        <v>542.94000000000005</v>
      </c>
      <c r="O956" s="7">
        <v>45992</v>
      </c>
      <c r="P956" s="5">
        <v>532.08000000000004</v>
      </c>
      <c r="Q956" s="5">
        <v>10.86</v>
      </c>
      <c r="R956" s="5" t="s">
        <v>32</v>
      </c>
      <c r="S956" s="5" t="s">
        <v>33</v>
      </c>
      <c r="T956" s="5">
        <v>5.43</v>
      </c>
      <c r="U956" s="5">
        <v>526.65</v>
      </c>
      <c r="V956" s="5" t="s">
        <v>34</v>
      </c>
      <c r="W956" s="5">
        <v>2</v>
      </c>
      <c r="X956" s="5">
        <v>1562033415853</v>
      </c>
      <c r="Y956" s="7">
        <v>46003</v>
      </c>
      <c r="Z956" s="7">
        <v>45992</v>
      </c>
      <c r="AB956" s="6">
        <v>46003</v>
      </c>
      <c r="AC956" s="7">
        <v>46001.708333333336</v>
      </c>
      <c r="AD956" s="5">
        <v>36831007289</v>
      </c>
      <c r="AE956" s="8">
        <v>45992</v>
      </c>
      <c r="AF956" s="5" t="s">
        <v>537</v>
      </c>
      <c r="AG956" s="5" t="s">
        <v>37</v>
      </c>
      <c r="AH956" s="5">
        <v>205894</v>
      </c>
      <c r="AI956" s="6">
        <v>45992</v>
      </c>
      <c r="AJ956" s="6">
        <v>46003</v>
      </c>
      <c r="AK956" s="1">
        <f t="shared" si="439"/>
        <v>10.8588</v>
      </c>
    </row>
    <row r="957" spans="1:37" x14ac:dyDescent="0.55000000000000004">
      <c r="A957">
        <v>3683</v>
      </c>
      <c r="B957">
        <v>1007292</v>
      </c>
      <c r="C957" s="1">
        <v>1200.5</v>
      </c>
      <c r="D957" s="4">
        <v>24.01</v>
      </c>
      <c r="E957" s="1">
        <v>1176.49</v>
      </c>
      <c r="F957">
        <v>12.01</v>
      </c>
      <c r="G957" s="1">
        <v>1164.48</v>
      </c>
      <c r="H957" s="14">
        <f t="shared" si="437"/>
        <v>1164.48</v>
      </c>
      <c r="I957" s="14" t="b">
        <f t="shared" si="438"/>
        <v>1</v>
      </c>
      <c r="J957" s="2">
        <v>46003</v>
      </c>
      <c r="K957" s="5">
        <v>1007292</v>
      </c>
      <c r="L957" s="5">
        <v>3683</v>
      </c>
      <c r="M957" s="5">
        <v>24.01</v>
      </c>
      <c r="N957" s="5">
        <v>1200.5</v>
      </c>
      <c r="O957" s="7">
        <v>45992</v>
      </c>
      <c r="P957" s="5">
        <v>1176.49</v>
      </c>
      <c r="Q957" s="5">
        <v>24.01</v>
      </c>
      <c r="R957" s="5" t="s">
        <v>32</v>
      </c>
      <c r="S957" s="5" t="s">
        <v>33</v>
      </c>
      <c r="T957" s="5">
        <v>12.01</v>
      </c>
      <c r="U957" s="5">
        <v>1164.48</v>
      </c>
      <c r="V957" s="5" t="s">
        <v>34</v>
      </c>
      <c r="W957" s="5">
        <v>2</v>
      </c>
      <c r="X957" s="5">
        <v>1562033415853</v>
      </c>
      <c r="Y957" s="7">
        <v>46003</v>
      </c>
      <c r="Z957" s="7">
        <v>45992</v>
      </c>
      <c r="AB957" s="6">
        <v>46003</v>
      </c>
      <c r="AC957" s="7">
        <v>46001.708333333336</v>
      </c>
      <c r="AD957" s="5">
        <v>36831007292</v>
      </c>
      <c r="AE957" s="8">
        <v>45992</v>
      </c>
      <c r="AF957" s="5" t="s">
        <v>538</v>
      </c>
      <c r="AG957" s="5" t="s">
        <v>37</v>
      </c>
      <c r="AH957" s="5">
        <v>205893</v>
      </c>
      <c r="AI957" s="6">
        <v>45992</v>
      </c>
      <c r="AJ957" s="6">
        <v>46003</v>
      </c>
      <c r="AK957" s="1">
        <f t="shared" si="439"/>
        <v>24.01</v>
      </c>
    </row>
    <row r="958" spans="1:37" hidden="1" x14ac:dyDescent="0.55000000000000004">
      <c r="A958">
        <v>3683</v>
      </c>
      <c r="B958">
        <v>1007404</v>
      </c>
      <c r="C958">
        <v>667.8</v>
      </c>
      <c r="E958">
        <v>667.8</v>
      </c>
      <c r="F958">
        <v>6.68</v>
      </c>
      <c r="G958">
        <v>661.12</v>
      </c>
      <c r="H958"/>
      <c r="I958"/>
      <c r="J958" s="2">
        <v>46003</v>
      </c>
      <c r="K958" s="5">
        <v>1007404</v>
      </c>
      <c r="L958" s="5">
        <v>3683</v>
      </c>
      <c r="M958" s="5">
        <v>0</v>
      </c>
      <c r="N958" s="5">
        <v>667.8</v>
      </c>
      <c r="O958" s="7">
        <v>45992</v>
      </c>
      <c r="P958" s="5">
        <v>667.8</v>
      </c>
      <c r="Q958" s="5">
        <v>0</v>
      </c>
      <c r="R958" s="5" t="s">
        <v>32</v>
      </c>
      <c r="S958" s="5" t="s">
        <v>33</v>
      </c>
      <c r="T958" s="5">
        <v>6.68</v>
      </c>
      <c r="U958" s="5">
        <v>661.12</v>
      </c>
      <c r="V958" s="5" t="s">
        <v>34</v>
      </c>
      <c r="W958" s="5">
        <v>2</v>
      </c>
      <c r="X958" s="5">
        <v>1562033415853</v>
      </c>
      <c r="Y958" s="7">
        <v>46003</v>
      </c>
      <c r="Z958" s="7">
        <v>45992</v>
      </c>
      <c r="AB958" s="6">
        <v>46003</v>
      </c>
      <c r="AC958" s="7">
        <v>46001.708333333336</v>
      </c>
      <c r="AD958" s="5">
        <v>36831007404</v>
      </c>
      <c r="AE958" s="8">
        <v>45992</v>
      </c>
      <c r="AF958" s="5" t="s">
        <v>538</v>
      </c>
      <c r="AG958" s="5" t="s">
        <v>38</v>
      </c>
      <c r="AH958" s="5">
        <v>205918</v>
      </c>
      <c r="AI958" s="6">
        <v>45992</v>
      </c>
      <c r="AJ958" s="6">
        <v>46003</v>
      </c>
    </row>
    <row r="959" spans="1:37" x14ac:dyDescent="0.55000000000000004">
      <c r="A959">
        <v>3683</v>
      </c>
      <c r="B959">
        <v>1007407</v>
      </c>
      <c r="C959">
        <v>168.67</v>
      </c>
      <c r="D959" s="4">
        <v>3.37</v>
      </c>
      <c r="E959">
        <v>165.3</v>
      </c>
      <c r="F959">
        <v>1.69</v>
      </c>
      <c r="G959">
        <v>163.61000000000001</v>
      </c>
      <c r="H959" s="14">
        <f>C959-D959-F959</f>
        <v>163.60999999999999</v>
      </c>
      <c r="I959" s="14" t="b">
        <f>G959=H959</f>
        <v>1</v>
      </c>
      <c r="J959" s="2">
        <v>46003</v>
      </c>
      <c r="K959" s="5">
        <v>1007407</v>
      </c>
      <c r="L959" s="5">
        <v>3683</v>
      </c>
      <c r="M959" s="5">
        <v>3.37</v>
      </c>
      <c r="N959" s="5">
        <v>168.67</v>
      </c>
      <c r="O959" s="7">
        <v>45992</v>
      </c>
      <c r="P959" s="5">
        <v>165.3</v>
      </c>
      <c r="Q959" s="5">
        <v>3.37</v>
      </c>
      <c r="R959" s="5" t="s">
        <v>32</v>
      </c>
      <c r="S959" s="5" t="s">
        <v>33</v>
      </c>
      <c r="T959" s="5">
        <v>1.69</v>
      </c>
      <c r="U959" s="5">
        <v>163.61000000000001</v>
      </c>
      <c r="V959" s="5" t="s">
        <v>34</v>
      </c>
      <c r="W959" s="5">
        <v>2</v>
      </c>
      <c r="X959" s="5">
        <v>1562033415853</v>
      </c>
      <c r="Y959" s="7">
        <v>46003</v>
      </c>
      <c r="Z959" s="7">
        <v>45992</v>
      </c>
      <c r="AB959" s="6">
        <v>46003</v>
      </c>
      <c r="AC959" s="7">
        <v>46001.708333333336</v>
      </c>
      <c r="AD959" s="5">
        <v>36831007407</v>
      </c>
      <c r="AE959" s="8">
        <v>45992</v>
      </c>
      <c r="AF959" s="5" t="s">
        <v>538</v>
      </c>
      <c r="AG959" s="5" t="s">
        <v>37</v>
      </c>
      <c r="AH959" s="5">
        <v>205916</v>
      </c>
      <c r="AI959" s="6">
        <v>45992</v>
      </c>
      <c r="AJ959" s="6">
        <v>46003</v>
      </c>
      <c r="AK959" s="1">
        <f t="shared" ref="AK959" si="440">0.02*C959</f>
        <v>3.3733999999999997</v>
      </c>
    </row>
    <row r="960" spans="1:37" hidden="1" x14ac:dyDescent="0.55000000000000004">
      <c r="A960">
        <v>3683</v>
      </c>
      <c r="B960">
        <v>1007408</v>
      </c>
      <c r="C960">
        <v>795.3</v>
      </c>
      <c r="E960">
        <v>795.3</v>
      </c>
      <c r="F960">
        <v>7.95</v>
      </c>
      <c r="G960">
        <v>787.35</v>
      </c>
      <c r="H960"/>
      <c r="I960"/>
      <c r="J960" s="2">
        <v>46003</v>
      </c>
      <c r="K960" s="5">
        <v>1007408</v>
      </c>
      <c r="L960" s="5">
        <v>3683</v>
      </c>
      <c r="M960" s="5">
        <v>0</v>
      </c>
      <c r="N960" s="5">
        <v>795.3</v>
      </c>
      <c r="O960" s="7">
        <v>45992</v>
      </c>
      <c r="P960" s="5">
        <v>795.3</v>
      </c>
      <c r="Q960" s="5">
        <v>0</v>
      </c>
      <c r="R960" s="5" t="s">
        <v>32</v>
      </c>
      <c r="S960" s="5" t="s">
        <v>33</v>
      </c>
      <c r="T960" s="5">
        <v>7.95</v>
      </c>
      <c r="U960" s="5">
        <v>787.35</v>
      </c>
      <c r="V960" s="5" t="s">
        <v>34</v>
      </c>
      <c r="W960" s="5">
        <v>2</v>
      </c>
      <c r="X960" s="5">
        <v>1562033415853</v>
      </c>
      <c r="Y960" s="7">
        <v>46003</v>
      </c>
      <c r="Z960" s="7">
        <v>45992</v>
      </c>
      <c r="AB960" s="6">
        <v>46003</v>
      </c>
      <c r="AC960" s="7">
        <v>46001.708333333336</v>
      </c>
      <c r="AD960" s="5">
        <v>36831007408</v>
      </c>
      <c r="AE960" s="8">
        <v>45992</v>
      </c>
      <c r="AF960" s="5" t="s">
        <v>537</v>
      </c>
      <c r="AG960" s="5" t="s">
        <v>38</v>
      </c>
      <c r="AH960" s="5">
        <v>205919</v>
      </c>
      <c r="AI960" s="6">
        <v>45992</v>
      </c>
      <c r="AJ960" s="6">
        <v>46003</v>
      </c>
    </row>
    <row r="961" spans="1:39" x14ac:dyDescent="0.55000000000000004">
      <c r="A961">
        <v>3683</v>
      </c>
      <c r="B961">
        <v>1007411</v>
      </c>
      <c r="C961">
        <v>8.8699999999999992</v>
      </c>
      <c r="D961" s="4">
        <v>0.18</v>
      </c>
      <c r="E961">
        <v>8.69</v>
      </c>
      <c r="F961">
        <v>0.09</v>
      </c>
      <c r="G961">
        <v>8.6</v>
      </c>
      <c r="H961" s="14">
        <f>C961-D961-F961</f>
        <v>8.6</v>
      </c>
      <c r="I961" s="14" t="b">
        <f>G961=H961</f>
        <v>1</v>
      </c>
      <c r="J961" s="2">
        <v>46003</v>
      </c>
      <c r="K961" s="5">
        <v>1007411</v>
      </c>
      <c r="L961" s="5">
        <v>3683</v>
      </c>
      <c r="M961" s="5">
        <v>0.18</v>
      </c>
      <c r="N961" s="5">
        <v>8.8699999999999992</v>
      </c>
      <c r="O961" s="7">
        <v>45992</v>
      </c>
      <c r="P961" s="5">
        <v>8.69</v>
      </c>
      <c r="Q961" s="5">
        <v>0.18</v>
      </c>
      <c r="R961" s="5" t="s">
        <v>32</v>
      </c>
      <c r="S961" s="5" t="s">
        <v>33</v>
      </c>
      <c r="T961" s="5">
        <v>0.09</v>
      </c>
      <c r="U961" s="5">
        <v>8.6</v>
      </c>
      <c r="V961" s="5" t="s">
        <v>34</v>
      </c>
      <c r="W961" s="5">
        <v>2</v>
      </c>
      <c r="X961" s="5">
        <v>1562033415853</v>
      </c>
      <c r="Y961" s="7">
        <v>46003</v>
      </c>
      <c r="Z961" s="7">
        <v>45992</v>
      </c>
      <c r="AB961" s="6">
        <v>46003</v>
      </c>
      <c r="AC961" s="7">
        <v>46001.708333333336</v>
      </c>
      <c r="AD961" s="5">
        <v>36831007411</v>
      </c>
      <c r="AE961" s="8">
        <v>45992</v>
      </c>
      <c r="AF961" s="5" t="s">
        <v>537</v>
      </c>
      <c r="AG961" s="5" t="s">
        <v>37</v>
      </c>
      <c r="AH961" s="5">
        <v>205917</v>
      </c>
      <c r="AI961" s="6">
        <v>45992</v>
      </c>
      <c r="AJ961" s="6">
        <v>46003</v>
      </c>
      <c r="AK961" s="1">
        <f t="shared" ref="AK961" si="441">0.02*C961</f>
        <v>0.17739999999999997</v>
      </c>
    </row>
    <row r="962" spans="1:39" hidden="1" x14ac:dyDescent="0.55000000000000004">
      <c r="A962">
        <v>3683</v>
      </c>
      <c r="B962">
        <v>1007645</v>
      </c>
      <c r="C962" s="1">
        <v>3990</v>
      </c>
      <c r="E962" s="1">
        <v>3990</v>
      </c>
      <c r="F962">
        <v>39.9</v>
      </c>
      <c r="G962" s="1">
        <v>3950.1</v>
      </c>
      <c r="H962" s="1"/>
      <c r="I962" s="1"/>
      <c r="J962" s="2">
        <v>46003</v>
      </c>
      <c r="K962" s="5">
        <v>1007645</v>
      </c>
      <c r="L962" s="5">
        <v>3683</v>
      </c>
      <c r="M962" s="5">
        <v>0</v>
      </c>
      <c r="N962" s="5">
        <v>3990</v>
      </c>
      <c r="O962" s="7">
        <v>45993</v>
      </c>
      <c r="P962" s="5">
        <v>3990</v>
      </c>
      <c r="Q962" s="5">
        <v>0</v>
      </c>
      <c r="R962" s="5" t="s">
        <v>32</v>
      </c>
      <c r="S962" s="5" t="s">
        <v>33</v>
      </c>
      <c r="T962" s="5">
        <v>39.9</v>
      </c>
      <c r="U962" s="5">
        <v>3950.1</v>
      </c>
      <c r="V962" s="5" t="s">
        <v>34</v>
      </c>
      <c r="W962" s="5">
        <v>2</v>
      </c>
      <c r="X962" s="5">
        <v>1562033415853</v>
      </c>
      <c r="Y962" s="7">
        <v>46003</v>
      </c>
      <c r="Z962" s="7">
        <v>45993</v>
      </c>
      <c r="AB962" s="6">
        <v>46003</v>
      </c>
      <c r="AC962" s="7">
        <v>46001.708333333336</v>
      </c>
      <c r="AD962" s="5">
        <v>36831007645</v>
      </c>
      <c r="AE962" s="8">
        <v>45993</v>
      </c>
      <c r="AF962" s="5" t="s">
        <v>32</v>
      </c>
      <c r="AG962" s="5" t="s">
        <v>35</v>
      </c>
      <c r="AH962" s="5" t="s">
        <v>32</v>
      </c>
      <c r="AI962" s="6">
        <v>45993</v>
      </c>
      <c r="AJ962" s="6">
        <v>46003</v>
      </c>
    </row>
    <row r="963" spans="1:39" hidden="1" x14ac:dyDescent="0.55000000000000004">
      <c r="A963">
        <v>3683</v>
      </c>
      <c r="B963">
        <v>1007913</v>
      </c>
      <c r="C963" s="1">
        <v>4676.1000000000004</v>
      </c>
      <c r="E963" s="1">
        <v>4676.1000000000004</v>
      </c>
      <c r="F963">
        <v>46.76</v>
      </c>
      <c r="G963" s="1">
        <v>4629.34</v>
      </c>
      <c r="H963" s="1"/>
      <c r="I963" s="1"/>
      <c r="J963" s="2">
        <v>46003</v>
      </c>
      <c r="K963" s="5">
        <v>1007913</v>
      </c>
      <c r="L963" s="5">
        <v>3683</v>
      </c>
      <c r="M963" s="5">
        <v>0</v>
      </c>
      <c r="N963" s="5">
        <v>4676.1000000000004</v>
      </c>
      <c r="O963" s="7">
        <v>45994</v>
      </c>
      <c r="P963" s="5">
        <v>4676.1000000000004</v>
      </c>
      <c r="Q963" s="5">
        <v>0</v>
      </c>
      <c r="R963" s="5" t="s">
        <v>32</v>
      </c>
      <c r="S963" s="5" t="s">
        <v>33</v>
      </c>
      <c r="T963" s="5">
        <v>46.76</v>
      </c>
      <c r="U963" s="5">
        <v>4629.34</v>
      </c>
      <c r="V963" s="5" t="s">
        <v>34</v>
      </c>
      <c r="W963" s="5">
        <v>2</v>
      </c>
      <c r="X963" s="5">
        <v>1562033415853</v>
      </c>
      <c r="Y963" s="7">
        <v>46003</v>
      </c>
      <c r="Z963" s="7">
        <v>45994</v>
      </c>
      <c r="AB963" s="6">
        <v>46003</v>
      </c>
      <c r="AC963" s="7">
        <v>46001.708333333336</v>
      </c>
      <c r="AD963" s="5">
        <v>36831007913</v>
      </c>
      <c r="AE963" s="8">
        <v>45994</v>
      </c>
      <c r="AF963" s="5" t="s">
        <v>538</v>
      </c>
      <c r="AG963" s="5" t="s">
        <v>38</v>
      </c>
      <c r="AH963" s="5">
        <v>206444</v>
      </c>
      <c r="AI963" s="6">
        <v>45994</v>
      </c>
      <c r="AJ963" s="6">
        <v>46003</v>
      </c>
    </row>
    <row r="964" spans="1:39" hidden="1" x14ac:dyDescent="0.55000000000000004">
      <c r="A964">
        <v>3697</v>
      </c>
      <c r="B964">
        <v>1001843</v>
      </c>
      <c r="C964">
        <v>350</v>
      </c>
      <c r="E964">
        <v>350</v>
      </c>
      <c r="G964">
        <v>350</v>
      </c>
      <c r="H964"/>
      <c r="I964"/>
      <c r="J964" s="2">
        <v>46003</v>
      </c>
      <c r="K964" s="5">
        <v>1001843</v>
      </c>
      <c r="L964" s="5">
        <v>3697</v>
      </c>
      <c r="M964" s="5">
        <v>0</v>
      </c>
      <c r="N964" s="5">
        <v>350</v>
      </c>
      <c r="O964" s="7">
        <v>45964</v>
      </c>
      <c r="P964" s="5">
        <v>350</v>
      </c>
      <c r="Q964" s="5">
        <v>0</v>
      </c>
      <c r="R964" s="5" t="s">
        <v>32</v>
      </c>
      <c r="S964" s="5" t="s">
        <v>33</v>
      </c>
      <c r="T964" s="5">
        <v>0</v>
      </c>
      <c r="U964" s="5">
        <v>350</v>
      </c>
      <c r="V964" s="5" t="s">
        <v>34</v>
      </c>
      <c r="W964" s="5">
        <v>2</v>
      </c>
      <c r="X964" s="5">
        <v>9545832938949</v>
      </c>
      <c r="Y964" s="7">
        <v>46003</v>
      </c>
      <c r="Z964" s="7">
        <v>45964</v>
      </c>
      <c r="AB964" s="6">
        <v>46003</v>
      </c>
      <c r="AC964" s="7">
        <v>46000.347222222219</v>
      </c>
      <c r="AD964" s="5">
        <v>36971001843</v>
      </c>
      <c r="AE964" s="8">
        <v>45964</v>
      </c>
      <c r="AF964" s="5" t="s">
        <v>32</v>
      </c>
      <c r="AG964" s="5" t="s">
        <v>82</v>
      </c>
      <c r="AH964" s="5" t="s">
        <v>32</v>
      </c>
      <c r="AI964" s="6">
        <v>45964</v>
      </c>
      <c r="AJ964" s="6">
        <v>46003</v>
      </c>
    </row>
    <row r="965" spans="1:39" x14ac:dyDescent="0.55000000000000004">
      <c r="A965">
        <v>3711</v>
      </c>
      <c r="B965">
        <v>1007299</v>
      </c>
      <c r="C965">
        <v>155.47999999999999</v>
      </c>
      <c r="E965">
        <v>155.47999999999999</v>
      </c>
      <c r="F965">
        <v>1.55</v>
      </c>
      <c r="G965">
        <v>155.47999999999999</v>
      </c>
      <c r="H965" s="14">
        <f t="shared" ref="H965:H967" si="442">C965-D965-F965</f>
        <v>153.92999999999998</v>
      </c>
      <c r="I965" s="14" t="b">
        <f t="shared" ref="I965:I967" si="443">G965=H965</f>
        <v>0</v>
      </c>
      <c r="J965" s="2">
        <v>46003</v>
      </c>
      <c r="K965" s="5">
        <v>1007299</v>
      </c>
      <c r="L965" s="5">
        <v>3711</v>
      </c>
      <c r="M965" s="5">
        <v>0</v>
      </c>
      <c r="N965" s="5">
        <v>155.47999999999999</v>
      </c>
      <c r="O965" s="7">
        <v>45992</v>
      </c>
      <c r="P965" s="5">
        <v>155.47999999999999</v>
      </c>
      <c r="Q965" s="5">
        <v>0</v>
      </c>
      <c r="R965" s="5" t="s">
        <v>32</v>
      </c>
      <c r="S965" s="5" t="s">
        <v>33</v>
      </c>
      <c r="T965" s="5">
        <v>1.55</v>
      </c>
      <c r="U965" s="5">
        <v>155.47999999999999</v>
      </c>
      <c r="V965" s="5" t="s">
        <v>34</v>
      </c>
      <c r="W965" s="5">
        <v>2</v>
      </c>
      <c r="X965" s="5">
        <v>7551801600556</v>
      </c>
      <c r="Y965" s="7">
        <v>46003</v>
      </c>
      <c r="Z965" s="7">
        <v>45992</v>
      </c>
      <c r="AB965" s="6">
        <v>46003</v>
      </c>
      <c r="AC965" s="7">
        <v>46003.40902777778</v>
      </c>
      <c r="AD965" s="5">
        <v>37111007299</v>
      </c>
      <c r="AE965" s="8">
        <v>45992</v>
      </c>
      <c r="AF965" s="5">
        <v>1111</v>
      </c>
      <c r="AG965" s="5" t="s">
        <v>37</v>
      </c>
      <c r="AH965" s="5">
        <v>205859</v>
      </c>
      <c r="AI965" s="6">
        <v>45992</v>
      </c>
      <c r="AJ965" s="6">
        <v>46003</v>
      </c>
      <c r="AK965" s="1">
        <f t="shared" ref="AK965:AK967" si="444">0.02*C965</f>
        <v>3.1095999999999999</v>
      </c>
      <c r="AL965" t="s">
        <v>673</v>
      </c>
      <c r="AM965">
        <f t="shared" ref="AM965:AM967" si="445">F965</f>
        <v>1.55</v>
      </c>
    </row>
    <row r="966" spans="1:39" x14ac:dyDescent="0.55000000000000004">
      <c r="A966">
        <v>3711</v>
      </c>
      <c r="B966">
        <v>1007308</v>
      </c>
      <c r="C966">
        <v>312.3</v>
      </c>
      <c r="E966">
        <v>312.3</v>
      </c>
      <c r="F966">
        <v>3.12</v>
      </c>
      <c r="G966">
        <v>312.3</v>
      </c>
      <c r="H966" s="14">
        <f t="shared" si="442"/>
        <v>309.18</v>
      </c>
      <c r="I966" s="14" t="b">
        <f t="shared" si="443"/>
        <v>0</v>
      </c>
      <c r="J966" s="2">
        <v>46003</v>
      </c>
      <c r="K966" s="5">
        <v>1007308</v>
      </c>
      <c r="L966" s="5">
        <v>3711</v>
      </c>
      <c r="M966" s="5">
        <v>0</v>
      </c>
      <c r="N966" s="5">
        <v>312.3</v>
      </c>
      <c r="O966" s="7">
        <v>45992</v>
      </c>
      <c r="P966" s="5">
        <v>312.3</v>
      </c>
      <c r="Q966" s="5">
        <v>0</v>
      </c>
      <c r="R966" s="5" t="s">
        <v>32</v>
      </c>
      <c r="S966" s="5" t="s">
        <v>33</v>
      </c>
      <c r="T966" s="5">
        <v>3.12</v>
      </c>
      <c r="U966" s="5">
        <v>312.3</v>
      </c>
      <c r="V966" s="5" t="s">
        <v>34</v>
      </c>
      <c r="W966" s="5">
        <v>2</v>
      </c>
      <c r="X966" s="5">
        <v>7551801600556</v>
      </c>
      <c r="Y966" s="7">
        <v>46003</v>
      </c>
      <c r="Z966" s="7">
        <v>45992</v>
      </c>
      <c r="AB966" s="6">
        <v>46003</v>
      </c>
      <c r="AC966" s="7">
        <v>46003.40902777778</v>
      </c>
      <c r="AD966" s="5">
        <v>37111007308</v>
      </c>
      <c r="AE966" s="8">
        <v>45992</v>
      </c>
      <c r="AF966" s="5" t="s">
        <v>539</v>
      </c>
      <c r="AG966" s="5" t="s">
        <v>37</v>
      </c>
      <c r="AH966" s="5">
        <v>205876</v>
      </c>
      <c r="AI966" s="6">
        <v>45992</v>
      </c>
      <c r="AJ966" s="6">
        <v>46003</v>
      </c>
      <c r="AK966" s="1">
        <f t="shared" si="444"/>
        <v>6.2460000000000004</v>
      </c>
      <c r="AL966" t="s">
        <v>673</v>
      </c>
      <c r="AM966">
        <f t="shared" si="445"/>
        <v>3.12</v>
      </c>
    </row>
    <row r="967" spans="1:39" x14ac:dyDescent="0.55000000000000004">
      <c r="A967">
        <v>3711</v>
      </c>
      <c r="B967">
        <v>1007356</v>
      </c>
      <c r="C967">
        <v>265.91000000000003</v>
      </c>
      <c r="E967">
        <v>265.91000000000003</v>
      </c>
      <c r="F967">
        <v>2.66</v>
      </c>
      <c r="G967">
        <v>265.91000000000003</v>
      </c>
      <c r="H967" s="14">
        <f t="shared" si="442"/>
        <v>263.25</v>
      </c>
      <c r="I967" s="14" t="b">
        <f t="shared" si="443"/>
        <v>0</v>
      </c>
      <c r="J967" s="2">
        <v>46003</v>
      </c>
      <c r="K967" s="5">
        <v>1007356</v>
      </c>
      <c r="L967" s="5">
        <v>3711</v>
      </c>
      <c r="M967" s="5">
        <v>0</v>
      </c>
      <c r="N967" s="5">
        <v>265.91000000000003</v>
      </c>
      <c r="O967" s="7">
        <v>45992</v>
      </c>
      <c r="P967" s="5">
        <v>265.91000000000003</v>
      </c>
      <c r="Q967" s="5">
        <v>0</v>
      </c>
      <c r="R967" s="5" t="s">
        <v>32</v>
      </c>
      <c r="S967" s="5" t="s">
        <v>33</v>
      </c>
      <c r="T967" s="5">
        <v>2.66</v>
      </c>
      <c r="U967" s="5">
        <v>265.91000000000003</v>
      </c>
      <c r="V967" s="5" t="s">
        <v>34</v>
      </c>
      <c r="W967" s="5">
        <v>2</v>
      </c>
      <c r="X967" s="5">
        <v>7551801600556</v>
      </c>
      <c r="Y967" s="7">
        <v>46003</v>
      </c>
      <c r="Z967" s="7">
        <v>45992</v>
      </c>
      <c r="AB967" s="6">
        <v>46003</v>
      </c>
      <c r="AC967" s="7">
        <v>46003.40902777778</v>
      </c>
      <c r="AD967" s="5">
        <v>37111007356</v>
      </c>
      <c r="AE967" s="8">
        <v>45992</v>
      </c>
      <c r="AF967" s="5" t="s">
        <v>539</v>
      </c>
      <c r="AG967" s="5" t="s">
        <v>37</v>
      </c>
      <c r="AH967" s="5">
        <v>205886</v>
      </c>
      <c r="AI967" s="6">
        <v>45992</v>
      </c>
      <c r="AJ967" s="6">
        <v>46003</v>
      </c>
      <c r="AK967" s="1">
        <f t="shared" si="444"/>
        <v>5.3182000000000009</v>
      </c>
      <c r="AL967" t="s">
        <v>673</v>
      </c>
      <c r="AM967">
        <f t="shared" si="445"/>
        <v>2.66</v>
      </c>
    </row>
    <row r="968" spans="1:39" hidden="1" x14ac:dyDescent="0.55000000000000004">
      <c r="A968">
        <v>3711</v>
      </c>
      <c r="B968">
        <v>1007360</v>
      </c>
      <c r="C968">
        <v>487.48</v>
      </c>
      <c r="E968">
        <v>487.48</v>
      </c>
      <c r="F968">
        <v>4.87</v>
      </c>
      <c r="G968">
        <v>482.61</v>
      </c>
      <c r="H968"/>
      <c r="I968"/>
      <c r="J968" s="2">
        <v>46003</v>
      </c>
      <c r="K968" s="5">
        <v>1007360</v>
      </c>
      <c r="L968" s="5">
        <v>3711</v>
      </c>
      <c r="M968" s="5">
        <v>0</v>
      </c>
      <c r="N968" s="5">
        <v>487.48</v>
      </c>
      <c r="O968" s="7">
        <v>45992</v>
      </c>
      <c r="P968" s="5">
        <v>487.48</v>
      </c>
      <c r="Q968" s="5">
        <v>0</v>
      </c>
      <c r="R968" s="5" t="s">
        <v>32</v>
      </c>
      <c r="S968" s="5" t="s">
        <v>33</v>
      </c>
      <c r="T968" s="5">
        <v>4.87</v>
      </c>
      <c r="U968" s="5">
        <v>482.61</v>
      </c>
      <c r="V968" s="5" t="s">
        <v>34</v>
      </c>
      <c r="W968" s="5">
        <v>2</v>
      </c>
      <c r="X968" s="5">
        <v>7551801600556</v>
      </c>
      <c r="Y968" s="7">
        <v>46003</v>
      </c>
      <c r="Z968" s="7">
        <v>45992</v>
      </c>
      <c r="AB968" s="6">
        <v>46003</v>
      </c>
      <c r="AC968" s="7">
        <v>46003.40902777778</v>
      </c>
      <c r="AD968" s="5">
        <v>37111007360</v>
      </c>
      <c r="AE968" s="8">
        <v>45992</v>
      </c>
      <c r="AF968" s="5" t="s">
        <v>539</v>
      </c>
      <c r="AG968" s="5" t="s">
        <v>38</v>
      </c>
      <c r="AH968" s="5">
        <v>205887</v>
      </c>
      <c r="AI968" s="6">
        <v>45992</v>
      </c>
      <c r="AJ968" s="6">
        <v>46003</v>
      </c>
    </row>
    <row r="969" spans="1:39" x14ac:dyDescent="0.55000000000000004">
      <c r="A969">
        <v>3711</v>
      </c>
      <c r="B969">
        <v>1008053</v>
      </c>
      <c r="C969">
        <v>520.12</v>
      </c>
      <c r="E969">
        <v>520.12</v>
      </c>
      <c r="F969">
        <v>5.2</v>
      </c>
      <c r="G969">
        <v>520.12</v>
      </c>
      <c r="H969" s="14">
        <f t="shared" ref="H969:H975" si="446">C969-D969-F969</f>
        <v>514.91999999999996</v>
      </c>
      <c r="I969" s="14" t="b">
        <f t="shared" ref="I969:I975" si="447">G969=H969</f>
        <v>0</v>
      </c>
      <c r="J969" s="2">
        <v>46003</v>
      </c>
      <c r="K969" s="5">
        <v>1008053</v>
      </c>
      <c r="L969" s="5">
        <v>3711</v>
      </c>
      <c r="M969" s="5">
        <v>0</v>
      </c>
      <c r="N969" s="5">
        <v>520.12</v>
      </c>
      <c r="O969" s="7">
        <v>45994</v>
      </c>
      <c r="P969" s="5">
        <v>520.12</v>
      </c>
      <c r="Q969" s="5">
        <v>0</v>
      </c>
      <c r="R969" s="5" t="s">
        <v>32</v>
      </c>
      <c r="S969" s="5" t="s">
        <v>33</v>
      </c>
      <c r="T969" s="5">
        <v>5.2</v>
      </c>
      <c r="U969" s="5">
        <v>520.12</v>
      </c>
      <c r="V969" s="5" t="s">
        <v>34</v>
      </c>
      <c r="W969" s="5">
        <v>2</v>
      </c>
      <c r="X969" s="5">
        <v>7551801600556</v>
      </c>
      <c r="Y969" s="7">
        <v>46003</v>
      </c>
      <c r="Z969" s="7">
        <v>45994</v>
      </c>
      <c r="AB969" s="6">
        <v>46003</v>
      </c>
      <c r="AC969" s="7">
        <v>46003.40902777778</v>
      </c>
      <c r="AD969" s="5">
        <v>37111008053</v>
      </c>
      <c r="AE969" s="8">
        <v>45994</v>
      </c>
      <c r="AF969" s="5" t="s">
        <v>540</v>
      </c>
      <c r="AG969" s="5" t="s">
        <v>37</v>
      </c>
      <c r="AH969" s="5">
        <v>206549</v>
      </c>
      <c r="AI969" s="6">
        <v>45994</v>
      </c>
      <c r="AJ969" s="6">
        <v>46003</v>
      </c>
      <c r="AK969" s="1">
        <f t="shared" ref="AK969:AK975" si="448">0.02*C969</f>
        <v>10.4024</v>
      </c>
      <c r="AL969" t="s">
        <v>673</v>
      </c>
      <c r="AM969">
        <f t="shared" ref="AM969:AM975" si="449">F969</f>
        <v>5.2</v>
      </c>
    </row>
    <row r="970" spans="1:39" x14ac:dyDescent="0.55000000000000004">
      <c r="A970">
        <v>3711</v>
      </c>
      <c r="B970">
        <v>1008218</v>
      </c>
      <c r="C970">
        <v>605.67999999999995</v>
      </c>
      <c r="E970">
        <v>605.67999999999995</v>
      </c>
      <c r="F970">
        <v>6.06</v>
      </c>
      <c r="G970">
        <v>605.67999999999995</v>
      </c>
      <c r="H970" s="14">
        <f t="shared" si="446"/>
        <v>599.62</v>
      </c>
      <c r="I970" s="14" t="b">
        <f t="shared" si="447"/>
        <v>0</v>
      </c>
      <c r="J970" s="2">
        <v>46003</v>
      </c>
      <c r="K970" s="5">
        <v>1008218</v>
      </c>
      <c r="L970" s="5">
        <v>3711</v>
      </c>
      <c r="M970" s="5">
        <v>0</v>
      </c>
      <c r="N970" s="5">
        <v>605.67999999999995</v>
      </c>
      <c r="O970" s="7">
        <v>45995</v>
      </c>
      <c r="P970" s="5">
        <v>605.67999999999995</v>
      </c>
      <c r="Q970" s="5">
        <v>0</v>
      </c>
      <c r="R970" s="5" t="s">
        <v>32</v>
      </c>
      <c r="S970" s="5" t="s">
        <v>33</v>
      </c>
      <c r="T970" s="5">
        <v>6.06</v>
      </c>
      <c r="U970" s="5">
        <v>605.67999999999995</v>
      </c>
      <c r="V970" s="5" t="s">
        <v>34</v>
      </c>
      <c r="W970" s="5">
        <v>2</v>
      </c>
      <c r="X970" s="5">
        <v>7551801600556</v>
      </c>
      <c r="Y970" s="7">
        <v>46003</v>
      </c>
      <c r="Z970" s="7">
        <v>45995</v>
      </c>
      <c r="AB970" s="6">
        <v>46003</v>
      </c>
      <c r="AC970" s="7">
        <v>46003.40902777778</v>
      </c>
      <c r="AD970" s="5">
        <v>37111008218</v>
      </c>
      <c r="AE970" s="8">
        <v>45995</v>
      </c>
      <c r="AF970" s="5" t="s">
        <v>540</v>
      </c>
      <c r="AG970" s="5" t="s">
        <v>37</v>
      </c>
      <c r="AH970" s="5">
        <v>206562</v>
      </c>
      <c r="AI970" s="6">
        <v>45995</v>
      </c>
      <c r="AJ970" s="6">
        <v>46003</v>
      </c>
      <c r="AK970" s="1">
        <f t="shared" si="448"/>
        <v>12.1136</v>
      </c>
      <c r="AL970" t="s">
        <v>673</v>
      </c>
      <c r="AM970">
        <f t="shared" si="449"/>
        <v>6.06</v>
      </c>
    </row>
    <row r="971" spans="1:39" x14ac:dyDescent="0.55000000000000004">
      <c r="A971">
        <v>3711</v>
      </c>
      <c r="B971">
        <v>1008417</v>
      </c>
      <c r="C971">
        <v>83.37</v>
      </c>
      <c r="E971">
        <v>83.37</v>
      </c>
      <c r="F971">
        <v>0.83</v>
      </c>
      <c r="G971">
        <v>83.37</v>
      </c>
      <c r="H971" s="14">
        <f t="shared" si="446"/>
        <v>82.54</v>
      </c>
      <c r="I971" s="14" t="b">
        <f t="shared" si="447"/>
        <v>0</v>
      </c>
      <c r="J971" s="2">
        <v>46003</v>
      </c>
      <c r="K971" s="5">
        <v>1008417</v>
      </c>
      <c r="L971" s="5">
        <v>3711</v>
      </c>
      <c r="M971" s="5">
        <v>0</v>
      </c>
      <c r="N971" s="5">
        <v>83.37</v>
      </c>
      <c r="O971" s="7">
        <v>45996</v>
      </c>
      <c r="P971" s="5">
        <v>83.37</v>
      </c>
      <c r="Q971" s="5">
        <v>0</v>
      </c>
      <c r="R971" s="5" t="s">
        <v>32</v>
      </c>
      <c r="S971" s="5" t="s">
        <v>33</v>
      </c>
      <c r="T971" s="5">
        <v>0.83</v>
      </c>
      <c r="U971" s="5">
        <v>83.37</v>
      </c>
      <c r="V971" s="5" t="s">
        <v>34</v>
      </c>
      <c r="W971" s="5">
        <v>2</v>
      </c>
      <c r="X971" s="5">
        <v>7551801600556</v>
      </c>
      <c r="Y971" s="7">
        <v>46003</v>
      </c>
      <c r="Z971" s="7">
        <v>45996</v>
      </c>
      <c r="AB971" s="6">
        <v>46003</v>
      </c>
      <c r="AC971" s="7">
        <v>46003.40902777778</v>
      </c>
      <c r="AD971" s="5">
        <v>37111008417</v>
      </c>
      <c r="AE971" s="8">
        <v>45996</v>
      </c>
      <c r="AF971" s="5" t="s">
        <v>541</v>
      </c>
      <c r="AG971" s="5" t="s">
        <v>37</v>
      </c>
      <c r="AH971" s="5">
        <v>206630</v>
      </c>
      <c r="AI971" s="6">
        <v>45996</v>
      </c>
      <c r="AJ971" s="6">
        <v>46003</v>
      </c>
      <c r="AK971" s="1">
        <f t="shared" si="448"/>
        <v>1.6674000000000002</v>
      </c>
      <c r="AL971" t="s">
        <v>673</v>
      </c>
      <c r="AM971">
        <f t="shared" si="449"/>
        <v>0.83</v>
      </c>
    </row>
    <row r="972" spans="1:39" x14ac:dyDescent="0.55000000000000004">
      <c r="A972">
        <v>3718</v>
      </c>
      <c r="B972">
        <v>1007317</v>
      </c>
      <c r="C972">
        <v>331.8</v>
      </c>
      <c r="E972">
        <v>331.8</v>
      </c>
      <c r="F972">
        <v>3.32</v>
      </c>
      <c r="G972">
        <v>331.8</v>
      </c>
      <c r="H972" s="14">
        <f t="shared" si="446"/>
        <v>328.48</v>
      </c>
      <c r="I972" s="14" t="b">
        <f t="shared" si="447"/>
        <v>0</v>
      </c>
      <c r="J972" s="2">
        <v>46003</v>
      </c>
      <c r="K972" s="5">
        <v>1007317</v>
      </c>
      <c r="L972" s="5">
        <v>3718</v>
      </c>
      <c r="M972" s="5">
        <v>0</v>
      </c>
      <c r="N972" s="5">
        <v>331.8</v>
      </c>
      <c r="O972" s="7">
        <v>45992</v>
      </c>
      <c r="P972" s="5">
        <v>331.8</v>
      </c>
      <c r="Q972" s="5">
        <v>0</v>
      </c>
      <c r="R972" s="5" t="s">
        <v>32</v>
      </c>
      <c r="S972" s="5" t="s">
        <v>33</v>
      </c>
      <c r="T972" s="5">
        <v>3.32</v>
      </c>
      <c r="U972" s="5">
        <v>331.8</v>
      </c>
      <c r="V972" s="5" t="s">
        <v>34</v>
      </c>
      <c r="W972" s="5">
        <v>2</v>
      </c>
      <c r="X972" s="5">
        <v>4376932055925</v>
      </c>
      <c r="Y972" s="7">
        <v>46003</v>
      </c>
      <c r="Z972" s="7">
        <v>45992</v>
      </c>
      <c r="AB972" s="6">
        <v>46003</v>
      </c>
      <c r="AC972" s="7">
        <v>46003.488888888889</v>
      </c>
      <c r="AD972" s="5">
        <v>37181007317</v>
      </c>
      <c r="AE972" s="8">
        <v>45992</v>
      </c>
      <c r="AF972" s="5">
        <v>20976</v>
      </c>
      <c r="AG972" s="5" t="s">
        <v>37</v>
      </c>
      <c r="AH972" s="5">
        <v>205833</v>
      </c>
      <c r="AI972" s="6">
        <v>45992</v>
      </c>
      <c r="AJ972" s="6">
        <v>46003</v>
      </c>
      <c r="AK972" s="1">
        <f t="shared" si="448"/>
        <v>6.6360000000000001</v>
      </c>
      <c r="AL972" t="s">
        <v>673</v>
      </c>
      <c r="AM972">
        <f t="shared" si="449"/>
        <v>3.32</v>
      </c>
    </row>
    <row r="973" spans="1:39" x14ac:dyDescent="0.55000000000000004">
      <c r="A973">
        <v>3718</v>
      </c>
      <c r="B973">
        <v>1007320</v>
      </c>
      <c r="C973">
        <v>331.8</v>
      </c>
      <c r="E973">
        <v>331.8</v>
      </c>
      <c r="F973">
        <v>3.32</v>
      </c>
      <c r="G973">
        <v>331.8</v>
      </c>
      <c r="H973" s="14">
        <f t="shared" si="446"/>
        <v>328.48</v>
      </c>
      <c r="I973" s="14" t="b">
        <f t="shared" si="447"/>
        <v>0</v>
      </c>
      <c r="J973" s="2">
        <v>46003</v>
      </c>
      <c r="K973" s="5">
        <v>1007320</v>
      </c>
      <c r="L973" s="5">
        <v>3718</v>
      </c>
      <c r="M973" s="5">
        <v>0</v>
      </c>
      <c r="N973" s="5">
        <v>331.8</v>
      </c>
      <c r="O973" s="7">
        <v>45992</v>
      </c>
      <c r="P973" s="5">
        <v>331.8</v>
      </c>
      <c r="Q973" s="5">
        <v>0</v>
      </c>
      <c r="R973" s="5" t="s">
        <v>32</v>
      </c>
      <c r="S973" s="5" t="s">
        <v>33</v>
      </c>
      <c r="T973" s="5">
        <v>3.32</v>
      </c>
      <c r="U973" s="5">
        <v>331.8</v>
      </c>
      <c r="V973" s="5" t="s">
        <v>34</v>
      </c>
      <c r="W973" s="5">
        <v>2</v>
      </c>
      <c r="X973" s="5">
        <v>4376932055925</v>
      </c>
      <c r="Y973" s="7">
        <v>46003</v>
      </c>
      <c r="Z973" s="7">
        <v>45992</v>
      </c>
      <c r="AB973" s="6">
        <v>46003</v>
      </c>
      <c r="AC973" s="7">
        <v>46003.488888888889</v>
      </c>
      <c r="AD973" s="5">
        <v>37181007320</v>
      </c>
      <c r="AE973" s="8">
        <v>45992</v>
      </c>
      <c r="AF973" s="5">
        <v>20977</v>
      </c>
      <c r="AG973" s="5" t="s">
        <v>37</v>
      </c>
      <c r="AH973" s="5">
        <v>205831</v>
      </c>
      <c r="AI973" s="6">
        <v>45992</v>
      </c>
      <c r="AJ973" s="6">
        <v>46003</v>
      </c>
      <c r="AK973" s="1">
        <f t="shared" si="448"/>
        <v>6.6360000000000001</v>
      </c>
      <c r="AL973" t="s">
        <v>673</v>
      </c>
      <c r="AM973">
        <f t="shared" si="449"/>
        <v>3.32</v>
      </c>
    </row>
    <row r="974" spans="1:39" x14ac:dyDescent="0.55000000000000004">
      <c r="A974">
        <v>3718</v>
      </c>
      <c r="B974">
        <v>1007323</v>
      </c>
      <c r="C974">
        <v>61.71</v>
      </c>
      <c r="E974">
        <v>61.71</v>
      </c>
      <c r="F974">
        <v>0.62</v>
      </c>
      <c r="G974">
        <v>61.71</v>
      </c>
      <c r="H974" s="14">
        <f t="shared" si="446"/>
        <v>61.09</v>
      </c>
      <c r="I974" s="14" t="b">
        <f t="shared" si="447"/>
        <v>0</v>
      </c>
      <c r="J974" s="2">
        <v>46003</v>
      </c>
      <c r="K974" s="5">
        <v>1007323</v>
      </c>
      <c r="L974" s="5">
        <v>3718</v>
      </c>
      <c r="M974" s="5">
        <v>0</v>
      </c>
      <c r="N974" s="5">
        <v>61.71</v>
      </c>
      <c r="O974" s="7">
        <v>45992</v>
      </c>
      <c r="P974" s="5">
        <v>61.71</v>
      </c>
      <c r="Q974" s="5">
        <v>0</v>
      </c>
      <c r="R974" s="5" t="s">
        <v>32</v>
      </c>
      <c r="S974" s="5" t="s">
        <v>33</v>
      </c>
      <c r="T974" s="5">
        <v>0.62</v>
      </c>
      <c r="U974" s="5">
        <v>61.71</v>
      </c>
      <c r="V974" s="5" t="s">
        <v>34</v>
      </c>
      <c r="W974" s="5">
        <v>2</v>
      </c>
      <c r="X974" s="5">
        <v>4376932055925</v>
      </c>
      <c r="Y974" s="7">
        <v>46003</v>
      </c>
      <c r="Z974" s="7">
        <v>45992</v>
      </c>
      <c r="AB974" s="6">
        <v>46003</v>
      </c>
      <c r="AC974" s="7">
        <v>46003.488888888889</v>
      </c>
      <c r="AD974" s="5">
        <v>37181007323</v>
      </c>
      <c r="AE974" s="8">
        <v>45992</v>
      </c>
      <c r="AF974" s="5">
        <v>20998</v>
      </c>
      <c r="AG974" s="5" t="s">
        <v>37</v>
      </c>
      <c r="AH974" s="5">
        <v>205834</v>
      </c>
      <c r="AI974" s="6">
        <v>45992</v>
      </c>
      <c r="AJ974" s="6">
        <v>46003</v>
      </c>
      <c r="AK974" s="1">
        <f t="shared" si="448"/>
        <v>1.2342</v>
      </c>
      <c r="AL974" t="s">
        <v>673</v>
      </c>
      <c r="AM974">
        <f t="shared" si="449"/>
        <v>0.62</v>
      </c>
    </row>
    <row r="975" spans="1:39" x14ac:dyDescent="0.55000000000000004">
      <c r="A975">
        <v>3718</v>
      </c>
      <c r="B975">
        <v>1007325</v>
      </c>
      <c r="C975">
        <v>20.57</v>
      </c>
      <c r="E975">
        <v>20.57</v>
      </c>
      <c r="F975">
        <v>0.21</v>
      </c>
      <c r="G975">
        <v>20.57</v>
      </c>
      <c r="H975" s="14">
        <f t="shared" si="446"/>
        <v>20.36</v>
      </c>
      <c r="I975" s="14" t="b">
        <f t="shared" si="447"/>
        <v>0</v>
      </c>
      <c r="J975" s="2">
        <v>46003</v>
      </c>
      <c r="K975" s="5">
        <v>1007325</v>
      </c>
      <c r="L975" s="5">
        <v>3718</v>
      </c>
      <c r="M975" s="5">
        <v>0</v>
      </c>
      <c r="N975" s="5">
        <v>20.57</v>
      </c>
      <c r="O975" s="7">
        <v>45992</v>
      </c>
      <c r="P975" s="5">
        <v>20.57</v>
      </c>
      <c r="Q975" s="5">
        <v>0</v>
      </c>
      <c r="R975" s="5" t="s">
        <v>32</v>
      </c>
      <c r="S975" s="5" t="s">
        <v>33</v>
      </c>
      <c r="T975" s="5">
        <v>0.21</v>
      </c>
      <c r="U975" s="5">
        <v>20.57</v>
      </c>
      <c r="V975" s="5" t="s">
        <v>34</v>
      </c>
      <c r="W975" s="5">
        <v>2</v>
      </c>
      <c r="X975" s="5">
        <v>4376932055925</v>
      </c>
      <c r="Y975" s="7">
        <v>46003</v>
      </c>
      <c r="Z975" s="7">
        <v>45992</v>
      </c>
      <c r="AB975" s="6">
        <v>46003</v>
      </c>
      <c r="AC975" s="7">
        <v>46003.488888888889</v>
      </c>
      <c r="AD975" s="5">
        <v>37181007325</v>
      </c>
      <c r="AE975" s="8">
        <v>45992</v>
      </c>
      <c r="AF975" s="5">
        <v>21014</v>
      </c>
      <c r="AG975" s="5" t="s">
        <v>37</v>
      </c>
      <c r="AH975" s="5">
        <v>205832</v>
      </c>
      <c r="AI975" s="6">
        <v>45992</v>
      </c>
      <c r="AJ975" s="6">
        <v>46003</v>
      </c>
      <c r="AK975" s="1">
        <f t="shared" si="448"/>
        <v>0.41139999999999999</v>
      </c>
      <c r="AL975" t="s">
        <v>673</v>
      </c>
      <c r="AM975">
        <f t="shared" si="449"/>
        <v>0.21</v>
      </c>
    </row>
    <row r="976" spans="1:39" hidden="1" x14ac:dyDescent="0.55000000000000004">
      <c r="A976">
        <v>3718</v>
      </c>
      <c r="B976">
        <v>1007639</v>
      </c>
      <c r="C976" s="1">
        <v>3990</v>
      </c>
      <c r="E976" s="1">
        <v>3990</v>
      </c>
      <c r="F976">
        <v>39.9</v>
      </c>
      <c r="G976" s="1">
        <v>3950.1</v>
      </c>
      <c r="H976" s="1"/>
      <c r="I976" s="1"/>
      <c r="J976" s="2">
        <v>46003</v>
      </c>
      <c r="K976" s="5">
        <v>1007639</v>
      </c>
      <c r="L976" s="5">
        <v>3718</v>
      </c>
      <c r="M976" s="5">
        <v>0</v>
      </c>
      <c r="N976" s="5">
        <v>3990</v>
      </c>
      <c r="O976" s="7">
        <v>45993</v>
      </c>
      <c r="P976" s="5">
        <v>3990</v>
      </c>
      <c r="Q976" s="5">
        <v>0</v>
      </c>
      <c r="R976" s="5" t="s">
        <v>32</v>
      </c>
      <c r="S976" s="5" t="s">
        <v>33</v>
      </c>
      <c r="T976" s="5">
        <v>39.9</v>
      </c>
      <c r="U976" s="5">
        <v>3950.1</v>
      </c>
      <c r="V976" s="5" t="s">
        <v>34</v>
      </c>
      <c r="W976" s="5">
        <v>2</v>
      </c>
      <c r="X976" s="5">
        <v>4376932055925</v>
      </c>
      <c r="Y976" s="7">
        <v>46003</v>
      </c>
      <c r="Z976" s="7">
        <v>45993</v>
      </c>
      <c r="AB976" s="6">
        <v>46003</v>
      </c>
      <c r="AC976" s="7">
        <v>46003.488888888889</v>
      </c>
      <c r="AD976" s="5">
        <v>37181007639</v>
      </c>
      <c r="AE976" s="8">
        <v>45993</v>
      </c>
      <c r="AF976" s="5" t="s">
        <v>32</v>
      </c>
      <c r="AG976" s="5" t="s">
        <v>35</v>
      </c>
      <c r="AH976" s="5" t="s">
        <v>32</v>
      </c>
      <c r="AI976" s="6">
        <v>45993</v>
      </c>
      <c r="AJ976" s="6">
        <v>46003</v>
      </c>
    </row>
    <row r="977" spans="1:39" hidden="1" x14ac:dyDescent="0.55000000000000004">
      <c r="A977">
        <v>3718</v>
      </c>
      <c r="B977">
        <v>1007716</v>
      </c>
      <c r="C977">
        <v>769.46</v>
      </c>
      <c r="E977">
        <v>769.46</v>
      </c>
      <c r="F977">
        <v>7.69</v>
      </c>
      <c r="G977">
        <v>761.77</v>
      </c>
      <c r="H977"/>
      <c r="I977"/>
      <c r="J977" s="2">
        <v>46003</v>
      </c>
      <c r="K977" s="5">
        <v>1007716</v>
      </c>
      <c r="L977" s="5">
        <v>3718</v>
      </c>
      <c r="M977" s="5">
        <v>0</v>
      </c>
      <c r="N977" s="5">
        <v>769.46</v>
      </c>
      <c r="O977" s="7">
        <v>45993</v>
      </c>
      <c r="P977" s="5">
        <v>769.46</v>
      </c>
      <c r="Q977" s="5">
        <v>0</v>
      </c>
      <c r="R977" s="5" t="s">
        <v>32</v>
      </c>
      <c r="S977" s="5" t="s">
        <v>33</v>
      </c>
      <c r="T977" s="5">
        <v>7.69</v>
      </c>
      <c r="U977" s="5">
        <v>761.77</v>
      </c>
      <c r="V977" s="5" t="s">
        <v>34</v>
      </c>
      <c r="W977" s="5">
        <v>2</v>
      </c>
      <c r="X977" s="5">
        <v>4376932055925</v>
      </c>
      <c r="Y977" s="7">
        <v>46003</v>
      </c>
      <c r="Z977" s="7">
        <v>45993</v>
      </c>
      <c r="AB977" s="6">
        <v>46003</v>
      </c>
      <c r="AC977" s="7">
        <v>46003.488888888889</v>
      </c>
      <c r="AD977" s="5">
        <v>37181007716</v>
      </c>
      <c r="AE977" s="8">
        <v>45993</v>
      </c>
      <c r="AF977" s="5" t="s">
        <v>542</v>
      </c>
      <c r="AG977" s="5" t="s">
        <v>38</v>
      </c>
      <c r="AH977" s="5">
        <v>206119</v>
      </c>
      <c r="AI977" s="6">
        <v>45993</v>
      </c>
      <c r="AJ977" s="6">
        <v>46003</v>
      </c>
    </row>
    <row r="978" spans="1:39" hidden="1" x14ac:dyDescent="0.55000000000000004">
      <c r="A978">
        <v>3718</v>
      </c>
      <c r="B978">
        <v>1007719</v>
      </c>
      <c r="C978" s="1">
        <v>1656.38</v>
      </c>
      <c r="E978" s="1">
        <v>1656.38</v>
      </c>
      <c r="F978">
        <v>16.559999999999999</v>
      </c>
      <c r="G978" s="1">
        <v>1639.82</v>
      </c>
      <c r="H978" s="1"/>
      <c r="I978" s="1"/>
      <c r="J978" s="2">
        <v>46003</v>
      </c>
      <c r="K978" s="5">
        <v>1007719</v>
      </c>
      <c r="L978" s="5">
        <v>3718</v>
      </c>
      <c r="M978" s="5">
        <v>0</v>
      </c>
      <c r="N978" s="5">
        <v>1656.38</v>
      </c>
      <c r="O978" s="7">
        <v>45993</v>
      </c>
      <c r="P978" s="5">
        <v>1656.38</v>
      </c>
      <c r="Q978" s="5">
        <v>0</v>
      </c>
      <c r="R978" s="5" t="s">
        <v>32</v>
      </c>
      <c r="S978" s="5" t="s">
        <v>33</v>
      </c>
      <c r="T978" s="5">
        <v>16.559999999999999</v>
      </c>
      <c r="U978" s="5">
        <v>1639.82</v>
      </c>
      <c r="V978" s="5" t="s">
        <v>34</v>
      </c>
      <c r="W978" s="5">
        <v>2</v>
      </c>
      <c r="X978" s="5">
        <v>4376932055925</v>
      </c>
      <c r="Y978" s="7">
        <v>46003</v>
      </c>
      <c r="Z978" s="7">
        <v>45993</v>
      </c>
      <c r="AB978" s="6">
        <v>46003</v>
      </c>
      <c r="AC978" s="7">
        <v>46003.488888888889</v>
      </c>
      <c r="AD978" s="5">
        <v>37181007719</v>
      </c>
      <c r="AE978" s="8">
        <v>45993</v>
      </c>
      <c r="AF978" s="5">
        <v>20792</v>
      </c>
      <c r="AG978" s="5" t="s">
        <v>38</v>
      </c>
      <c r="AH978" s="5">
        <v>206117</v>
      </c>
      <c r="AI978" s="6">
        <v>45993</v>
      </c>
      <c r="AJ978" s="6">
        <v>46003</v>
      </c>
    </row>
    <row r="979" spans="1:39" hidden="1" x14ac:dyDescent="0.55000000000000004">
      <c r="A979">
        <v>3718</v>
      </c>
      <c r="B979">
        <v>1007723</v>
      </c>
      <c r="C979" s="1">
        <v>3478.42</v>
      </c>
      <c r="E979" s="1">
        <v>3478.42</v>
      </c>
      <c r="F979">
        <v>34.78</v>
      </c>
      <c r="G979" s="1">
        <v>3443.64</v>
      </c>
      <c r="H979" s="1"/>
      <c r="I979" s="1"/>
      <c r="J979" s="2">
        <v>46003</v>
      </c>
      <c r="K979" s="5">
        <v>1007723</v>
      </c>
      <c r="L979" s="5">
        <v>3718</v>
      </c>
      <c r="M979" s="5">
        <v>0</v>
      </c>
      <c r="N979" s="5">
        <v>3478.42</v>
      </c>
      <c r="O979" s="7">
        <v>45993</v>
      </c>
      <c r="P979" s="5">
        <v>3478.42</v>
      </c>
      <c r="Q979" s="5">
        <v>0</v>
      </c>
      <c r="R979" s="5" t="s">
        <v>32</v>
      </c>
      <c r="S979" s="5" t="s">
        <v>33</v>
      </c>
      <c r="T979" s="5">
        <v>34.78</v>
      </c>
      <c r="U979" s="5">
        <v>3443.64</v>
      </c>
      <c r="V979" s="5" t="s">
        <v>34</v>
      </c>
      <c r="W979" s="5">
        <v>2</v>
      </c>
      <c r="X979" s="5">
        <v>4376932055925</v>
      </c>
      <c r="Y979" s="7">
        <v>46003</v>
      </c>
      <c r="Z979" s="7">
        <v>45993</v>
      </c>
      <c r="AB979" s="6">
        <v>46003</v>
      </c>
      <c r="AC979" s="7">
        <v>46003.488888888889</v>
      </c>
      <c r="AD979" s="5">
        <v>37181007723</v>
      </c>
      <c r="AE979" s="8">
        <v>45993</v>
      </c>
      <c r="AF979" s="5" t="s">
        <v>543</v>
      </c>
      <c r="AG979" s="5" t="s">
        <v>38</v>
      </c>
      <c r="AH979" s="5">
        <v>206118</v>
      </c>
      <c r="AI979" s="6">
        <v>45993</v>
      </c>
      <c r="AJ979" s="6">
        <v>46003</v>
      </c>
    </row>
    <row r="980" spans="1:39" hidden="1" x14ac:dyDescent="0.55000000000000004">
      <c r="A980">
        <v>3718</v>
      </c>
      <c r="B980">
        <v>1007896</v>
      </c>
      <c r="C980">
        <v>647.91999999999996</v>
      </c>
      <c r="E980">
        <v>647.91999999999996</v>
      </c>
      <c r="F980">
        <v>6.48</v>
      </c>
      <c r="G980">
        <v>641.44000000000005</v>
      </c>
      <c r="H980"/>
      <c r="I980"/>
      <c r="J980" s="2">
        <v>46003</v>
      </c>
      <c r="K980" s="5">
        <v>1007896</v>
      </c>
      <c r="L980" s="5">
        <v>3718</v>
      </c>
      <c r="M980" s="5">
        <v>0</v>
      </c>
      <c r="N980" s="5">
        <v>647.91999999999996</v>
      </c>
      <c r="O980" s="7">
        <v>45994</v>
      </c>
      <c r="P980" s="5">
        <v>647.91999999999996</v>
      </c>
      <c r="Q980" s="5">
        <v>0</v>
      </c>
      <c r="R980" s="5" t="s">
        <v>32</v>
      </c>
      <c r="S980" s="5" t="s">
        <v>33</v>
      </c>
      <c r="T980" s="5">
        <v>6.48</v>
      </c>
      <c r="U980" s="5">
        <v>641.44000000000005</v>
      </c>
      <c r="V980" s="5" t="s">
        <v>34</v>
      </c>
      <c r="W980" s="5">
        <v>2</v>
      </c>
      <c r="X980" s="5">
        <v>4376932055925</v>
      </c>
      <c r="Y980" s="7">
        <v>46003</v>
      </c>
      <c r="Z980" s="7">
        <v>45994</v>
      </c>
      <c r="AB980" s="6">
        <v>46003</v>
      </c>
      <c r="AC980" s="7">
        <v>46003.488888888889</v>
      </c>
      <c r="AD980" s="5">
        <v>37181007896</v>
      </c>
      <c r="AE980" s="8">
        <v>45994</v>
      </c>
      <c r="AF980" s="5" t="s">
        <v>544</v>
      </c>
      <c r="AG980" s="5" t="s">
        <v>38</v>
      </c>
      <c r="AH980" s="5">
        <v>206452</v>
      </c>
      <c r="AI980" s="6">
        <v>45994</v>
      </c>
      <c r="AJ980" s="6">
        <v>46003</v>
      </c>
    </row>
    <row r="981" spans="1:39" hidden="1" x14ac:dyDescent="0.55000000000000004">
      <c r="A981">
        <v>3718</v>
      </c>
      <c r="B981">
        <v>1007897</v>
      </c>
      <c r="C981" s="1">
        <v>2794.26</v>
      </c>
      <c r="E981" s="1">
        <v>2794.26</v>
      </c>
      <c r="F981">
        <v>27.94</v>
      </c>
      <c r="G981" s="1">
        <v>2766.32</v>
      </c>
      <c r="H981" s="1"/>
      <c r="I981" s="1"/>
      <c r="J981" s="2">
        <v>46003</v>
      </c>
      <c r="K981" s="5">
        <v>1007897</v>
      </c>
      <c r="L981" s="5">
        <v>3718</v>
      </c>
      <c r="M981" s="5">
        <v>0</v>
      </c>
      <c r="N981" s="5">
        <v>2794.26</v>
      </c>
      <c r="O981" s="7">
        <v>45994</v>
      </c>
      <c r="P981" s="5">
        <v>2794.26</v>
      </c>
      <c r="Q981" s="5">
        <v>0</v>
      </c>
      <c r="R981" s="5" t="s">
        <v>32</v>
      </c>
      <c r="S981" s="5" t="s">
        <v>33</v>
      </c>
      <c r="T981" s="5">
        <v>27.94</v>
      </c>
      <c r="U981" s="5">
        <v>2766.32</v>
      </c>
      <c r="V981" s="5" t="s">
        <v>34</v>
      </c>
      <c r="W981" s="5">
        <v>2</v>
      </c>
      <c r="X981" s="5">
        <v>4376932055925</v>
      </c>
      <c r="Y981" s="7">
        <v>46003</v>
      </c>
      <c r="Z981" s="7">
        <v>45994</v>
      </c>
      <c r="AB981" s="6">
        <v>46003</v>
      </c>
      <c r="AC981" s="7">
        <v>46003.488888888889</v>
      </c>
      <c r="AD981" s="5">
        <v>37181007897</v>
      </c>
      <c r="AE981" s="8">
        <v>45994</v>
      </c>
      <c r="AF981" s="5" t="s">
        <v>542</v>
      </c>
      <c r="AG981" s="5" t="s">
        <v>38</v>
      </c>
      <c r="AH981" s="5">
        <v>206456</v>
      </c>
      <c r="AI981" s="6">
        <v>45994</v>
      </c>
      <c r="AJ981" s="6">
        <v>46003</v>
      </c>
    </row>
    <row r="982" spans="1:39" hidden="1" x14ac:dyDescent="0.55000000000000004">
      <c r="A982">
        <v>3718</v>
      </c>
      <c r="B982">
        <v>1007900</v>
      </c>
      <c r="C982" s="1">
        <v>14619.2</v>
      </c>
      <c r="E982" s="1">
        <v>14619.2</v>
      </c>
      <c r="F982">
        <v>146.19</v>
      </c>
      <c r="G982" s="1">
        <v>14473.01</v>
      </c>
      <c r="H982" s="1"/>
      <c r="I982" s="1"/>
      <c r="J982" s="2">
        <v>46003</v>
      </c>
      <c r="K982" s="5">
        <v>1007900</v>
      </c>
      <c r="L982" s="5">
        <v>3718</v>
      </c>
      <c r="M982" s="5">
        <v>0</v>
      </c>
      <c r="N982" s="5">
        <v>14619.2</v>
      </c>
      <c r="O982" s="7">
        <v>45994</v>
      </c>
      <c r="P982" s="5">
        <v>14619.2</v>
      </c>
      <c r="Q982" s="5">
        <v>0</v>
      </c>
      <c r="R982" s="5" t="s">
        <v>32</v>
      </c>
      <c r="S982" s="5" t="s">
        <v>33</v>
      </c>
      <c r="T982" s="5">
        <v>146.19</v>
      </c>
      <c r="U982" s="5">
        <v>14473.01</v>
      </c>
      <c r="V982" s="5" t="s">
        <v>34</v>
      </c>
      <c r="W982" s="5">
        <v>2</v>
      </c>
      <c r="X982" s="5">
        <v>4376932055925</v>
      </c>
      <c r="Y982" s="7">
        <v>46003</v>
      </c>
      <c r="Z982" s="7">
        <v>45994</v>
      </c>
      <c r="AB982" s="6">
        <v>46003</v>
      </c>
      <c r="AC982" s="7">
        <v>46003.488888888889</v>
      </c>
      <c r="AD982" s="5">
        <v>37181007900</v>
      </c>
      <c r="AE982" s="8">
        <v>45994</v>
      </c>
      <c r="AF982" s="5" t="s">
        <v>545</v>
      </c>
      <c r="AG982" s="5" t="s">
        <v>38</v>
      </c>
      <c r="AH982" s="5">
        <v>206454</v>
      </c>
      <c r="AI982" s="6">
        <v>45994</v>
      </c>
      <c r="AJ982" s="6">
        <v>46003</v>
      </c>
    </row>
    <row r="983" spans="1:39" hidden="1" x14ac:dyDescent="0.55000000000000004">
      <c r="A983">
        <v>3718</v>
      </c>
      <c r="B983">
        <v>1007901</v>
      </c>
      <c r="C983" s="1">
        <v>4385.76</v>
      </c>
      <c r="E983" s="1">
        <v>4385.76</v>
      </c>
      <c r="F983">
        <v>43.86</v>
      </c>
      <c r="G983" s="1">
        <v>4341.8999999999996</v>
      </c>
      <c r="H983" s="1"/>
      <c r="I983" s="1"/>
      <c r="J983" s="2">
        <v>46003</v>
      </c>
      <c r="K983" s="5">
        <v>1007901</v>
      </c>
      <c r="L983" s="5">
        <v>3718</v>
      </c>
      <c r="M983" s="5">
        <v>0</v>
      </c>
      <c r="N983" s="5">
        <v>4385.76</v>
      </c>
      <c r="O983" s="7">
        <v>45994</v>
      </c>
      <c r="P983" s="5">
        <v>4385.76</v>
      </c>
      <c r="Q983" s="5">
        <v>0</v>
      </c>
      <c r="R983" s="5" t="s">
        <v>32</v>
      </c>
      <c r="S983" s="5" t="s">
        <v>33</v>
      </c>
      <c r="T983" s="5">
        <v>43.86</v>
      </c>
      <c r="U983" s="5">
        <v>4341.8999999999996</v>
      </c>
      <c r="V983" s="5" t="s">
        <v>34</v>
      </c>
      <c r="W983" s="5">
        <v>2</v>
      </c>
      <c r="X983" s="5">
        <v>4376932055925</v>
      </c>
      <c r="Y983" s="7">
        <v>46003</v>
      </c>
      <c r="Z983" s="7">
        <v>45994</v>
      </c>
      <c r="AB983" s="6">
        <v>46003</v>
      </c>
      <c r="AC983" s="7">
        <v>46003.488888888889</v>
      </c>
      <c r="AD983" s="5">
        <v>37181007901</v>
      </c>
      <c r="AE983" s="8">
        <v>45994</v>
      </c>
      <c r="AF983" s="5" t="s">
        <v>546</v>
      </c>
      <c r="AG983" s="5" t="s">
        <v>38</v>
      </c>
      <c r="AH983" s="5">
        <v>206457</v>
      </c>
      <c r="AI983" s="6">
        <v>45994</v>
      </c>
      <c r="AJ983" s="6">
        <v>46003</v>
      </c>
    </row>
    <row r="984" spans="1:39" hidden="1" x14ac:dyDescent="0.55000000000000004">
      <c r="A984">
        <v>3718</v>
      </c>
      <c r="B984">
        <v>1007902</v>
      </c>
      <c r="C984">
        <v>323.95999999999998</v>
      </c>
      <c r="E984">
        <v>323.95999999999998</v>
      </c>
      <c r="F984">
        <v>3.24</v>
      </c>
      <c r="G984">
        <v>320.72000000000003</v>
      </c>
      <c r="H984"/>
      <c r="I984"/>
      <c r="J984" s="2">
        <v>46003</v>
      </c>
      <c r="K984" s="5">
        <v>1007902</v>
      </c>
      <c r="L984" s="5">
        <v>3718</v>
      </c>
      <c r="M984" s="5">
        <v>0</v>
      </c>
      <c r="N984" s="5">
        <v>323.95999999999998</v>
      </c>
      <c r="O984" s="7">
        <v>45994</v>
      </c>
      <c r="P984" s="5">
        <v>323.95999999999998</v>
      </c>
      <c r="Q984" s="5">
        <v>0</v>
      </c>
      <c r="R984" s="5" t="s">
        <v>32</v>
      </c>
      <c r="S984" s="5" t="s">
        <v>33</v>
      </c>
      <c r="T984" s="5">
        <v>3.24</v>
      </c>
      <c r="U984" s="5">
        <v>320.72000000000003</v>
      </c>
      <c r="V984" s="5" t="s">
        <v>34</v>
      </c>
      <c r="W984" s="5">
        <v>2</v>
      </c>
      <c r="X984" s="5">
        <v>4376932055925</v>
      </c>
      <c r="Y984" s="7">
        <v>46003</v>
      </c>
      <c r="Z984" s="7">
        <v>45994</v>
      </c>
      <c r="AB984" s="6">
        <v>46003</v>
      </c>
      <c r="AC984" s="7">
        <v>46003.488888888889</v>
      </c>
      <c r="AD984" s="5">
        <v>37181007902</v>
      </c>
      <c r="AE984" s="8">
        <v>45994</v>
      </c>
      <c r="AF984" s="5">
        <v>21103</v>
      </c>
      <c r="AG984" s="5" t="s">
        <v>38</v>
      </c>
      <c r="AH984" s="5">
        <v>206453</v>
      </c>
      <c r="AI984" s="6">
        <v>45994</v>
      </c>
      <c r="AJ984" s="6">
        <v>46003</v>
      </c>
    </row>
    <row r="985" spans="1:39" hidden="1" x14ac:dyDescent="0.55000000000000004">
      <c r="A985">
        <v>3718</v>
      </c>
      <c r="B985">
        <v>1007903</v>
      </c>
      <c r="C985">
        <v>566.96</v>
      </c>
      <c r="E985">
        <v>566.96</v>
      </c>
      <c r="F985">
        <v>5.67</v>
      </c>
      <c r="G985">
        <v>561.29</v>
      </c>
      <c r="H985"/>
      <c r="I985"/>
      <c r="J985" s="2">
        <v>46003</v>
      </c>
      <c r="K985" s="5">
        <v>1007903</v>
      </c>
      <c r="L985" s="5">
        <v>3718</v>
      </c>
      <c r="M985" s="5">
        <v>0</v>
      </c>
      <c r="N985" s="5">
        <v>566.96</v>
      </c>
      <c r="O985" s="7">
        <v>45994</v>
      </c>
      <c r="P985" s="5">
        <v>566.96</v>
      </c>
      <c r="Q985" s="5">
        <v>0</v>
      </c>
      <c r="R985" s="5" t="s">
        <v>32</v>
      </c>
      <c r="S985" s="5" t="s">
        <v>33</v>
      </c>
      <c r="T985" s="5">
        <v>5.67</v>
      </c>
      <c r="U985" s="5">
        <v>561.29</v>
      </c>
      <c r="V985" s="5" t="s">
        <v>34</v>
      </c>
      <c r="W985" s="5">
        <v>2</v>
      </c>
      <c r="X985" s="5">
        <v>4376932055925</v>
      </c>
      <c r="Y985" s="7">
        <v>46003</v>
      </c>
      <c r="Z985" s="7">
        <v>45994</v>
      </c>
      <c r="AB985" s="6">
        <v>46003</v>
      </c>
      <c r="AC985" s="7">
        <v>46003.488888888889</v>
      </c>
      <c r="AD985" s="5">
        <v>37181007903</v>
      </c>
      <c r="AE985" s="8">
        <v>45994</v>
      </c>
      <c r="AF985" s="5" t="s">
        <v>547</v>
      </c>
      <c r="AG985" s="5" t="s">
        <v>38</v>
      </c>
      <c r="AH985" s="5">
        <v>206455</v>
      </c>
      <c r="AI985" s="6">
        <v>45994</v>
      </c>
      <c r="AJ985" s="6">
        <v>46003</v>
      </c>
    </row>
    <row r="986" spans="1:39" hidden="1" x14ac:dyDescent="0.55000000000000004">
      <c r="A986">
        <v>3718</v>
      </c>
      <c r="B986">
        <v>1007905</v>
      </c>
      <c r="C986">
        <v>566.96</v>
      </c>
      <c r="E986">
        <v>566.96</v>
      </c>
      <c r="F986">
        <v>5.67</v>
      </c>
      <c r="G986">
        <v>561.29</v>
      </c>
      <c r="H986"/>
      <c r="I986"/>
      <c r="J986" s="2">
        <v>46003</v>
      </c>
      <c r="K986" s="5">
        <v>1007905</v>
      </c>
      <c r="L986" s="5">
        <v>3718</v>
      </c>
      <c r="M986" s="5">
        <v>0</v>
      </c>
      <c r="N986" s="5">
        <v>566.96</v>
      </c>
      <c r="O986" s="7">
        <v>45994</v>
      </c>
      <c r="P986" s="5">
        <v>566.96</v>
      </c>
      <c r="Q986" s="5">
        <v>0</v>
      </c>
      <c r="R986" s="5" t="s">
        <v>32</v>
      </c>
      <c r="S986" s="5" t="s">
        <v>33</v>
      </c>
      <c r="T986" s="5">
        <v>5.67</v>
      </c>
      <c r="U986" s="5">
        <v>561.29</v>
      </c>
      <c r="V986" s="5" t="s">
        <v>34</v>
      </c>
      <c r="W986" s="5">
        <v>2</v>
      </c>
      <c r="X986" s="5">
        <v>4376932055925</v>
      </c>
      <c r="Y986" s="7">
        <v>46003</v>
      </c>
      <c r="Z986" s="7">
        <v>45994</v>
      </c>
      <c r="AB986" s="6">
        <v>46003</v>
      </c>
      <c r="AC986" s="7">
        <v>46003.488888888889</v>
      </c>
      <c r="AD986" s="5">
        <v>37181007905</v>
      </c>
      <c r="AE986" s="8">
        <v>45994</v>
      </c>
      <c r="AF986" s="5" t="s">
        <v>548</v>
      </c>
      <c r="AG986" s="5" t="s">
        <v>38</v>
      </c>
      <c r="AH986" s="5">
        <v>206451</v>
      </c>
      <c r="AI986" s="6">
        <v>45994</v>
      </c>
      <c r="AJ986" s="6">
        <v>46003</v>
      </c>
    </row>
    <row r="987" spans="1:39" x14ac:dyDescent="0.55000000000000004">
      <c r="A987">
        <v>3718</v>
      </c>
      <c r="B987">
        <v>1007951</v>
      </c>
      <c r="C987">
        <v>7.4</v>
      </c>
      <c r="E987">
        <v>7.4</v>
      </c>
      <c r="F987">
        <v>7.0000000000000007E-2</v>
      </c>
      <c r="G987">
        <v>7.4</v>
      </c>
      <c r="H987" s="14">
        <f t="shared" ref="H987:H989" si="450">C987-D987-F987</f>
        <v>7.33</v>
      </c>
      <c r="I987" s="14" t="b">
        <f t="shared" ref="I987:I989" si="451">G987=H987</f>
        <v>0</v>
      </c>
      <c r="J987" s="2">
        <v>46003</v>
      </c>
      <c r="K987" s="5">
        <v>1007951</v>
      </c>
      <c r="L987" s="5">
        <v>3718</v>
      </c>
      <c r="M987" s="5">
        <v>0</v>
      </c>
      <c r="N987" s="5">
        <v>7.4</v>
      </c>
      <c r="O987" s="7">
        <v>45994</v>
      </c>
      <c r="P987" s="5">
        <v>7.4</v>
      </c>
      <c r="Q987" s="5">
        <v>0</v>
      </c>
      <c r="R987" s="5" t="s">
        <v>32</v>
      </c>
      <c r="S987" s="5" t="s">
        <v>33</v>
      </c>
      <c r="T987" s="5">
        <v>7.0000000000000007E-2</v>
      </c>
      <c r="U987" s="5">
        <v>7.4</v>
      </c>
      <c r="V987" s="5" t="s">
        <v>34</v>
      </c>
      <c r="W987" s="5">
        <v>2</v>
      </c>
      <c r="X987" s="5">
        <v>4376932055925</v>
      </c>
      <c r="Y987" s="7">
        <v>46003</v>
      </c>
      <c r="Z987" s="7">
        <v>45994</v>
      </c>
      <c r="AB987" s="6">
        <v>46003</v>
      </c>
      <c r="AC987" s="7">
        <v>46003.488888888889</v>
      </c>
      <c r="AD987" s="5">
        <v>37181007951</v>
      </c>
      <c r="AE987" s="8">
        <v>45994</v>
      </c>
      <c r="AF987" s="5">
        <v>21304</v>
      </c>
      <c r="AG987" s="5" t="s">
        <v>37</v>
      </c>
      <c r="AH987" s="5">
        <v>206366</v>
      </c>
      <c r="AI987" s="6">
        <v>45994</v>
      </c>
      <c r="AJ987" s="6">
        <v>46003</v>
      </c>
      <c r="AK987" s="1">
        <f t="shared" ref="AK987:AK989" si="452">0.02*C987</f>
        <v>0.14800000000000002</v>
      </c>
      <c r="AL987" t="s">
        <v>673</v>
      </c>
      <c r="AM987">
        <f t="shared" ref="AM987:AM989" si="453">F987</f>
        <v>7.0000000000000007E-2</v>
      </c>
    </row>
    <row r="988" spans="1:39" x14ac:dyDescent="0.55000000000000004">
      <c r="A988">
        <v>3718</v>
      </c>
      <c r="B988">
        <v>1008013</v>
      </c>
      <c r="C988">
        <v>701.7</v>
      </c>
      <c r="E988">
        <v>701.7</v>
      </c>
      <c r="F988">
        <v>7.02</v>
      </c>
      <c r="G988">
        <v>701.7</v>
      </c>
      <c r="H988" s="14">
        <f t="shared" si="450"/>
        <v>694.68000000000006</v>
      </c>
      <c r="I988" s="14" t="b">
        <f t="shared" si="451"/>
        <v>0</v>
      </c>
      <c r="J988" s="2">
        <v>46003</v>
      </c>
      <c r="K988" s="5">
        <v>1008013</v>
      </c>
      <c r="L988" s="5">
        <v>3718</v>
      </c>
      <c r="M988" s="5">
        <v>0</v>
      </c>
      <c r="N988" s="5">
        <v>701.7</v>
      </c>
      <c r="O988" s="7">
        <v>45994</v>
      </c>
      <c r="P988" s="5">
        <v>701.7</v>
      </c>
      <c r="Q988" s="5">
        <v>0</v>
      </c>
      <c r="R988" s="5" t="s">
        <v>32</v>
      </c>
      <c r="S988" s="5" t="s">
        <v>33</v>
      </c>
      <c r="T988" s="5">
        <v>7.02</v>
      </c>
      <c r="U988" s="5">
        <v>701.7</v>
      </c>
      <c r="V988" s="5" t="s">
        <v>34</v>
      </c>
      <c r="W988" s="5">
        <v>2</v>
      </c>
      <c r="X988" s="5">
        <v>4376932055925</v>
      </c>
      <c r="Y988" s="7">
        <v>46003</v>
      </c>
      <c r="Z988" s="7">
        <v>45994</v>
      </c>
      <c r="AB988" s="6">
        <v>46003</v>
      </c>
      <c r="AC988" s="7">
        <v>46003.488888888889</v>
      </c>
      <c r="AD988" s="5">
        <v>37181008013</v>
      </c>
      <c r="AE988" s="8">
        <v>45994</v>
      </c>
      <c r="AF988" s="5">
        <v>21304</v>
      </c>
      <c r="AG988" s="5" t="s">
        <v>37</v>
      </c>
      <c r="AH988" s="5">
        <v>206359</v>
      </c>
      <c r="AI988" s="6">
        <v>45994</v>
      </c>
      <c r="AJ988" s="6">
        <v>46003</v>
      </c>
      <c r="AK988" s="1">
        <f t="shared" si="452"/>
        <v>14.034000000000001</v>
      </c>
      <c r="AL988" t="s">
        <v>673</v>
      </c>
      <c r="AM988">
        <f t="shared" si="453"/>
        <v>7.02</v>
      </c>
    </row>
    <row r="989" spans="1:39" x14ac:dyDescent="0.55000000000000004">
      <c r="A989">
        <v>3718</v>
      </c>
      <c r="B989">
        <v>1008056</v>
      </c>
      <c r="C989" s="1">
        <v>2931.88</v>
      </c>
      <c r="E989" s="1">
        <v>2931.88</v>
      </c>
      <c r="F989">
        <v>29.32</v>
      </c>
      <c r="G989" s="1">
        <v>2931.88</v>
      </c>
      <c r="H989" s="14">
        <f t="shared" si="450"/>
        <v>2902.56</v>
      </c>
      <c r="I989" s="14" t="b">
        <f t="shared" si="451"/>
        <v>0</v>
      </c>
      <c r="J989" s="2">
        <v>46003</v>
      </c>
      <c r="K989" s="5">
        <v>1008056</v>
      </c>
      <c r="L989" s="5">
        <v>3718</v>
      </c>
      <c r="M989" s="5">
        <v>0</v>
      </c>
      <c r="N989" s="5">
        <v>2931.88</v>
      </c>
      <c r="O989" s="7">
        <v>45994</v>
      </c>
      <c r="P989" s="5">
        <v>2931.88</v>
      </c>
      <c r="Q989" s="5">
        <v>0</v>
      </c>
      <c r="R989" s="5" t="s">
        <v>32</v>
      </c>
      <c r="S989" s="5" t="s">
        <v>33</v>
      </c>
      <c r="T989" s="5">
        <v>29.32</v>
      </c>
      <c r="U989" s="5">
        <v>2931.88</v>
      </c>
      <c r="V989" s="5" t="s">
        <v>34</v>
      </c>
      <c r="W989" s="5">
        <v>2</v>
      </c>
      <c r="X989" s="5">
        <v>4376932055925</v>
      </c>
      <c r="Y989" s="7">
        <v>46003</v>
      </c>
      <c r="Z989" s="7">
        <v>45994</v>
      </c>
      <c r="AB989" s="6">
        <v>46003</v>
      </c>
      <c r="AC989" s="7">
        <v>46003.488888888889</v>
      </c>
      <c r="AD989" s="5">
        <v>37181008056</v>
      </c>
      <c r="AE989" s="8">
        <v>45994</v>
      </c>
      <c r="AF989" s="5">
        <v>21307</v>
      </c>
      <c r="AG989" s="5" t="s">
        <v>37</v>
      </c>
      <c r="AH989" s="5">
        <v>206503</v>
      </c>
      <c r="AI989" s="6">
        <v>45994</v>
      </c>
      <c r="AJ989" s="6">
        <v>46003</v>
      </c>
      <c r="AK989" s="1">
        <f t="shared" si="452"/>
        <v>58.637600000000006</v>
      </c>
      <c r="AL989" t="s">
        <v>673</v>
      </c>
      <c r="AM989">
        <f t="shared" si="453"/>
        <v>29.32</v>
      </c>
    </row>
    <row r="990" spans="1:39" hidden="1" x14ac:dyDescent="0.55000000000000004">
      <c r="A990">
        <v>3718</v>
      </c>
      <c r="B990">
        <v>1008206</v>
      </c>
      <c r="C990" s="1">
        <v>4349.8</v>
      </c>
      <c r="E990" s="1">
        <v>4349.8</v>
      </c>
      <c r="F990">
        <v>43.5</v>
      </c>
      <c r="G990" s="1">
        <v>4306.3</v>
      </c>
      <c r="H990" s="1"/>
      <c r="I990" s="1"/>
      <c r="J990" s="2">
        <v>46003</v>
      </c>
      <c r="K990" s="5">
        <v>1008206</v>
      </c>
      <c r="L990" s="5">
        <v>3718</v>
      </c>
      <c r="M990" s="5">
        <v>0</v>
      </c>
      <c r="N990" s="5">
        <v>4349.8</v>
      </c>
      <c r="O990" s="7">
        <v>45995</v>
      </c>
      <c r="P990" s="5">
        <v>4349.8</v>
      </c>
      <c r="Q990" s="5">
        <v>0</v>
      </c>
      <c r="R990" s="5" t="s">
        <v>32</v>
      </c>
      <c r="S990" s="5" t="s">
        <v>33</v>
      </c>
      <c r="T990" s="5">
        <v>43.5</v>
      </c>
      <c r="U990" s="5">
        <v>4306.3</v>
      </c>
      <c r="V990" s="5" t="s">
        <v>34</v>
      </c>
      <c r="W990" s="5">
        <v>2</v>
      </c>
      <c r="X990" s="5">
        <v>4376932055925</v>
      </c>
      <c r="Y990" s="7">
        <v>46003</v>
      </c>
      <c r="Z990" s="7">
        <v>45995</v>
      </c>
      <c r="AB990" s="6">
        <v>46003</v>
      </c>
      <c r="AC990" s="7">
        <v>46003.488888888889</v>
      </c>
      <c r="AD990" s="5">
        <v>37181008206</v>
      </c>
      <c r="AE990" s="8">
        <v>45995</v>
      </c>
      <c r="AF990" s="5" t="s">
        <v>549</v>
      </c>
      <c r="AG990" s="5" t="s">
        <v>38</v>
      </c>
      <c r="AH990" s="5">
        <v>206661</v>
      </c>
      <c r="AI990" s="6">
        <v>45995</v>
      </c>
      <c r="AJ990" s="6">
        <v>46003</v>
      </c>
    </row>
    <row r="991" spans="1:39" x14ac:dyDescent="0.55000000000000004">
      <c r="A991">
        <v>3718</v>
      </c>
      <c r="B991">
        <v>1008231</v>
      </c>
      <c r="C991">
        <v>655</v>
      </c>
      <c r="E991">
        <v>655</v>
      </c>
      <c r="F991">
        <v>6.55</v>
      </c>
      <c r="G991">
        <v>655</v>
      </c>
      <c r="H991" s="14">
        <f>C991-D991-F991</f>
        <v>648.45000000000005</v>
      </c>
      <c r="I991" s="14" t="b">
        <f>G991=H991</f>
        <v>0</v>
      </c>
      <c r="J991" s="2">
        <v>46003</v>
      </c>
      <c r="K991" s="5">
        <v>1008231</v>
      </c>
      <c r="L991" s="5">
        <v>3718</v>
      </c>
      <c r="M991" s="5">
        <v>0</v>
      </c>
      <c r="N991" s="5">
        <v>655</v>
      </c>
      <c r="O991" s="7">
        <v>45995</v>
      </c>
      <c r="P991" s="5">
        <v>655</v>
      </c>
      <c r="Q991" s="5">
        <v>0</v>
      </c>
      <c r="R991" s="5" t="s">
        <v>32</v>
      </c>
      <c r="S991" s="5" t="s">
        <v>33</v>
      </c>
      <c r="T991" s="5">
        <v>6.55</v>
      </c>
      <c r="U991" s="5">
        <v>655</v>
      </c>
      <c r="V991" s="5" t="s">
        <v>34</v>
      </c>
      <c r="W991" s="5">
        <v>2</v>
      </c>
      <c r="X991" s="5">
        <v>4376932055925</v>
      </c>
      <c r="Y991" s="7">
        <v>46003</v>
      </c>
      <c r="Z991" s="7">
        <v>45995</v>
      </c>
      <c r="AB991" s="6">
        <v>46003</v>
      </c>
      <c r="AC991" s="7">
        <v>46003.488888888889</v>
      </c>
      <c r="AD991" s="5">
        <v>37181008231</v>
      </c>
      <c r="AE991" s="8">
        <v>45995</v>
      </c>
      <c r="AF991" s="5">
        <v>21308</v>
      </c>
      <c r="AG991" s="5" t="s">
        <v>37</v>
      </c>
      <c r="AH991" s="5">
        <v>206540</v>
      </c>
      <c r="AI991" s="6">
        <v>45995</v>
      </c>
      <c r="AJ991" s="6">
        <v>46003</v>
      </c>
      <c r="AK991" s="1">
        <f t="shared" ref="AK991" si="454">0.02*C991</f>
        <v>13.1</v>
      </c>
      <c r="AL991" t="s">
        <v>673</v>
      </c>
      <c r="AM991">
        <f>F991</f>
        <v>6.55</v>
      </c>
    </row>
    <row r="992" spans="1:39" hidden="1" x14ac:dyDescent="0.55000000000000004">
      <c r="A992">
        <v>3718</v>
      </c>
      <c r="B992">
        <v>1008255</v>
      </c>
      <c r="C992" s="1">
        <v>2118.62</v>
      </c>
      <c r="E992" s="1">
        <v>2118.62</v>
      </c>
      <c r="F992">
        <v>21.19</v>
      </c>
      <c r="G992" s="1">
        <v>2097.4299999999998</v>
      </c>
      <c r="H992" s="1"/>
      <c r="I992" s="1"/>
      <c r="J992" s="2">
        <v>46003</v>
      </c>
      <c r="K992" s="5">
        <v>1008255</v>
      </c>
      <c r="L992" s="5">
        <v>3718</v>
      </c>
      <c r="M992" s="5">
        <v>0</v>
      </c>
      <c r="N992" s="5">
        <v>2118.62</v>
      </c>
      <c r="O992" s="7">
        <v>45995</v>
      </c>
      <c r="P992" s="5">
        <v>2118.62</v>
      </c>
      <c r="Q992" s="5">
        <v>0</v>
      </c>
      <c r="R992" s="5" t="s">
        <v>32</v>
      </c>
      <c r="S992" s="5" t="s">
        <v>33</v>
      </c>
      <c r="T992" s="5">
        <v>21.19</v>
      </c>
      <c r="U992" s="5">
        <v>2097.4299999999998</v>
      </c>
      <c r="V992" s="5" t="s">
        <v>34</v>
      </c>
      <c r="W992" s="5">
        <v>2</v>
      </c>
      <c r="X992" s="5">
        <v>4376932055925</v>
      </c>
      <c r="Y992" s="7">
        <v>46003</v>
      </c>
      <c r="Z992" s="7">
        <v>45995</v>
      </c>
      <c r="AB992" s="6">
        <v>46003</v>
      </c>
      <c r="AC992" s="7">
        <v>46003.488888888889</v>
      </c>
      <c r="AD992" s="5">
        <v>37181008255</v>
      </c>
      <c r="AE992" s="8">
        <v>45995</v>
      </c>
      <c r="AF992" s="5">
        <v>21307</v>
      </c>
      <c r="AG992" s="5" t="s">
        <v>38</v>
      </c>
      <c r="AH992" s="5">
        <v>206513</v>
      </c>
      <c r="AI992" s="6">
        <v>45995</v>
      </c>
      <c r="AJ992" s="6">
        <v>46003</v>
      </c>
    </row>
    <row r="993" spans="1:39" x14ac:dyDescent="0.55000000000000004">
      <c r="A993">
        <v>3718</v>
      </c>
      <c r="B993">
        <v>1008262</v>
      </c>
      <c r="C993" s="1">
        <v>2966.26</v>
      </c>
      <c r="E993" s="1">
        <v>2966.26</v>
      </c>
      <c r="F993">
        <v>29.66</v>
      </c>
      <c r="G993" s="1">
        <v>2966.26</v>
      </c>
      <c r="H993" s="14">
        <f>C993-D993-F993</f>
        <v>2936.6000000000004</v>
      </c>
      <c r="I993" s="14" t="b">
        <f>G993=H993</f>
        <v>0</v>
      </c>
      <c r="J993" s="2">
        <v>46003</v>
      </c>
      <c r="K993" s="5">
        <v>1008262</v>
      </c>
      <c r="L993" s="5">
        <v>3718</v>
      </c>
      <c r="M993" s="5">
        <v>0</v>
      </c>
      <c r="N993" s="5">
        <v>2966.26</v>
      </c>
      <c r="O993" s="7">
        <v>45995</v>
      </c>
      <c r="P993" s="5">
        <v>2966.26</v>
      </c>
      <c r="Q993" s="5">
        <v>0</v>
      </c>
      <c r="R993" s="5" t="s">
        <v>32</v>
      </c>
      <c r="S993" s="5" t="s">
        <v>33</v>
      </c>
      <c r="T993" s="5">
        <v>29.66</v>
      </c>
      <c r="U993" s="5">
        <v>2966.26</v>
      </c>
      <c r="V993" s="5" t="s">
        <v>34</v>
      </c>
      <c r="W993" s="5">
        <v>2</v>
      </c>
      <c r="X993" s="5">
        <v>4376932055925</v>
      </c>
      <c r="Y993" s="7">
        <v>46003</v>
      </c>
      <c r="Z993" s="7">
        <v>45995</v>
      </c>
      <c r="AB993" s="6">
        <v>46003</v>
      </c>
      <c r="AC993" s="7">
        <v>46003.488888888889</v>
      </c>
      <c r="AD993" s="5">
        <v>37181008262</v>
      </c>
      <c r="AE993" s="8">
        <v>45995</v>
      </c>
      <c r="AF993" s="5">
        <v>21307</v>
      </c>
      <c r="AG993" s="5" t="s">
        <v>37</v>
      </c>
      <c r="AH993" s="5">
        <v>206512</v>
      </c>
      <c r="AI993" s="6">
        <v>45995</v>
      </c>
      <c r="AJ993" s="6">
        <v>46003</v>
      </c>
      <c r="AK993" s="1">
        <f t="shared" ref="AK993" si="455">0.02*C993</f>
        <v>59.325200000000002</v>
      </c>
      <c r="AL993" t="s">
        <v>673</v>
      </c>
      <c r="AM993">
        <f>F993</f>
        <v>29.66</v>
      </c>
    </row>
    <row r="994" spans="1:39" hidden="1" x14ac:dyDescent="0.55000000000000004">
      <c r="A994">
        <v>3718</v>
      </c>
      <c r="B994">
        <v>1008366</v>
      </c>
      <c r="C994">
        <v>260.87</v>
      </c>
      <c r="E994">
        <v>260.87</v>
      </c>
      <c r="F994">
        <v>2.61</v>
      </c>
      <c r="G994">
        <v>258.26</v>
      </c>
      <c r="H994"/>
      <c r="I994"/>
      <c r="J994" s="2">
        <v>46003</v>
      </c>
      <c r="K994" s="5">
        <v>1008366</v>
      </c>
      <c r="L994" s="5">
        <v>3718</v>
      </c>
      <c r="M994" s="5">
        <v>0</v>
      </c>
      <c r="N994" s="5">
        <v>260.87</v>
      </c>
      <c r="O994" s="7">
        <v>45996</v>
      </c>
      <c r="P994" s="5">
        <v>260.87</v>
      </c>
      <c r="Q994" s="5">
        <v>0</v>
      </c>
      <c r="R994" s="5" t="s">
        <v>550</v>
      </c>
      <c r="S994" s="5" t="s">
        <v>138</v>
      </c>
      <c r="T994" s="5">
        <v>2.61</v>
      </c>
      <c r="U994" s="5">
        <v>258.26</v>
      </c>
      <c r="V994" s="5" t="s">
        <v>34</v>
      </c>
      <c r="W994" s="5">
        <v>2</v>
      </c>
      <c r="X994" s="5">
        <v>4376932055925</v>
      </c>
      <c r="Y994" s="7">
        <v>46003</v>
      </c>
      <c r="Z994" s="7">
        <v>45996</v>
      </c>
      <c r="AB994" s="6">
        <v>46003</v>
      </c>
      <c r="AC994" s="7">
        <v>46003.488888888889</v>
      </c>
      <c r="AD994" s="5">
        <v>37181008366</v>
      </c>
      <c r="AE994" s="8">
        <v>45996</v>
      </c>
      <c r="AF994" s="5">
        <v>21158</v>
      </c>
      <c r="AG994" s="5" t="s">
        <v>38</v>
      </c>
      <c r="AH994" s="5" t="s">
        <v>550</v>
      </c>
      <c r="AI994" s="6">
        <v>45996</v>
      </c>
      <c r="AJ994" s="6">
        <v>46003</v>
      </c>
    </row>
    <row r="995" spans="1:39" hidden="1" x14ac:dyDescent="0.55000000000000004">
      <c r="A995">
        <v>3718</v>
      </c>
      <c r="B995">
        <v>1008430</v>
      </c>
      <c r="C995" s="1">
        <v>11258.52</v>
      </c>
      <c r="E995" s="1">
        <v>11258.52</v>
      </c>
      <c r="F995">
        <v>112.59</v>
      </c>
      <c r="G995" s="1">
        <v>11145.93</v>
      </c>
      <c r="H995" s="1"/>
      <c r="I995" s="1"/>
      <c r="J995" s="2">
        <v>46003</v>
      </c>
      <c r="K995" s="5">
        <v>1008430</v>
      </c>
      <c r="L995" s="5">
        <v>3718</v>
      </c>
      <c r="M995" s="5">
        <v>0</v>
      </c>
      <c r="N995" s="5">
        <v>11258.52</v>
      </c>
      <c r="O995" s="7">
        <v>45996</v>
      </c>
      <c r="P995" s="5">
        <v>11258.52</v>
      </c>
      <c r="Q995" s="5">
        <v>0</v>
      </c>
      <c r="R995" s="5" t="s">
        <v>32</v>
      </c>
      <c r="S995" s="5" t="s">
        <v>33</v>
      </c>
      <c r="T995" s="5">
        <v>112.59</v>
      </c>
      <c r="U995" s="5">
        <v>11145.93</v>
      </c>
      <c r="V995" s="5" t="s">
        <v>34</v>
      </c>
      <c r="W995" s="5">
        <v>2</v>
      </c>
      <c r="X995" s="5">
        <v>4376932055925</v>
      </c>
      <c r="Y995" s="7">
        <v>46003</v>
      </c>
      <c r="Z995" s="7">
        <v>45996</v>
      </c>
      <c r="AB995" s="6">
        <v>46003</v>
      </c>
      <c r="AC995" s="7">
        <v>46003.488888888889</v>
      </c>
      <c r="AD995" s="5">
        <v>37181008430</v>
      </c>
      <c r="AE995" s="8">
        <v>45996</v>
      </c>
      <c r="AF995" s="5" t="s">
        <v>551</v>
      </c>
      <c r="AG995" s="5" t="s">
        <v>38</v>
      </c>
      <c r="AH995" s="5">
        <v>206776</v>
      </c>
      <c r="AI995" s="6">
        <v>45996</v>
      </c>
      <c r="AJ995" s="6">
        <v>46003</v>
      </c>
    </row>
    <row r="996" spans="1:39" hidden="1" x14ac:dyDescent="0.55000000000000004">
      <c r="A996">
        <v>3718</v>
      </c>
      <c r="B996">
        <v>1008576</v>
      </c>
      <c r="C996" s="1">
        <v>-1600</v>
      </c>
      <c r="E996" s="1">
        <v>-1600</v>
      </c>
      <c r="G996" s="1">
        <v>-1600</v>
      </c>
      <c r="H996" s="1"/>
      <c r="I996" s="1"/>
      <c r="J996" s="2">
        <v>46003</v>
      </c>
      <c r="K996" s="5">
        <v>1008576</v>
      </c>
      <c r="L996" s="5">
        <v>3718</v>
      </c>
      <c r="M996" s="5">
        <v>0</v>
      </c>
      <c r="N996" s="5">
        <v>-1600</v>
      </c>
      <c r="O996" s="7">
        <v>45999</v>
      </c>
      <c r="P996" s="5">
        <v>-1600</v>
      </c>
      <c r="Q996" s="5">
        <v>0</v>
      </c>
      <c r="R996" s="5">
        <v>1008576</v>
      </c>
      <c r="S996" s="5" t="s">
        <v>33</v>
      </c>
      <c r="T996" s="5">
        <v>0</v>
      </c>
      <c r="U996" s="5">
        <v>-1600</v>
      </c>
      <c r="V996" s="5" t="s">
        <v>34</v>
      </c>
      <c r="W996" s="5">
        <v>2</v>
      </c>
      <c r="X996" s="5">
        <v>4376932055925</v>
      </c>
      <c r="Y996" s="7">
        <v>46003</v>
      </c>
      <c r="Z996" s="7">
        <v>45999</v>
      </c>
      <c r="AB996" s="6">
        <v>46003</v>
      </c>
      <c r="AC996" s="7">
        <v>46003.488888888889</v>
      </c>
      <c r="AD996" s="5">
        <v>37181008576</v>
      </c>
      <c r="AE996" s="8">
        <v>45999</v>
      </c>
      <c r="AF996" s="5" t="s">
        <v>41</v>
      </c>
      <c r="AG996" s="5" t="s">
        <v>38</v>
      </c>
      <c r="AH996" s="5" t="s">
        <v>552</v>
      </c>
      <c r="AI996" s="6">
        <v>45999</v>
      </c>
      <c r="AJ996" s="6">
        <v>46003</v>
      </c>
    </row>
    <row r="997" spans="1:39" hidden="1" x14ac:dyDescent="0.55000000000000004">
      <c r="A997">
        <v>3718</v>
      </c>
      <c r="B997">
        <v>1008595</v>
      </c>
      <c r="C997">
        <v>-466.61</v>
      </c>
      <c r="E997">
        <v>-466.61</v>
      </c>
      <c r="G997">
        <v>-466.61</v>
      </c>
      <c r="H997"/>
      <c r="I997"/>
      <c r="J997" s="2">
        <v>46003</v>
      </c>
      <c r="K997" s="5">
        <v>1008595</v>
      </c>
      <c r="L997" s="5">
        <v>3718</v>
      </c>
      <c r="M997" s="5">
        <v>0</v>
      </c>
      <c r="N997" s="5">
        <v>-466.61</v>
      </c>
      <c r="O997" s="7">
        <v>45999</v>
      </c>
      <c r="P997" s="5">
        <v>-466.61</v>
      </c>
      <c r="Q997" s="5">
        <v>0</v>
      </c>
      <c r="R997" s="5">
        <v>1008595</v>
      </c>
      <c r="S997" s="5" t="s">
        <v>33</v>
      </c>
      <c r="T997" s="5">
        <v>0</v>
      </c>
      <c r="U997" s="5">
        <v>-466.61</v>
      </c>
      <c r="V997" s="5" t="s">
        <v>34</v>
      </c>
      <c r="W997" s="5">
        <v>2</v>
      </c>
      <c r="X997" s="5">
        <v>4376932055925</v>
      </c>
      <c r="Y997" s="7">
        <v>46003</v>
      </c>
      <c r="Z997" s="7">
        <v>45999</v>
      </c>
      <c r="AB997" s="6">
        <v>46003</v>
      </c>
      <c r="AC997" s="7">
        <v>46003.488888888889</v>
      </c>
      <c r="AD997" s="5">
        <v>37181008595</v>
      </c>
      <c r="AE997" s="8">
        <v>45999</v>
      </c>
      <c r="AF997" s="5">
        <v>142046</v>
      </c>
      <c r="AG997" s="5" t="s">
        <v>38</v>
      </c>
      <c r="AH997" s="5">
        <v>53515</v>
      </c>
      <c r="AI997" s="6">
        <v>45999</v>
      </c>
      <c r="AJ997" s="6">
        <v>46003</v>
      </c>
    </row>
    <row r="998" spans="1:39" hidden="1" x14ac:dyDescent="0.55000000000000004">
      <c r="A998">
        <v>3718</v>
      </c>
      <c r="B998">
        <v>1008939</v>
      </c>
      <c r="C998">
        <v>-809.96</v>
      </c>
      <c r="E998">
        <v>-809.96</v>
      </c>
      <c r="G998">
        <v>-809.96</v>
      </c>
      <c r="H998"/>
      <c r="I998"/>
      <c r="J998" s="2">
        <v>46003</v>
      </c>
      <c r="K998" s="5">
        <v>1008939</v>
      </c>
      <c r="L998" s="5">
        <v>3718</v>
      </c>
      <c r="M998" s="5">
        <v>0</v>
      </c>
      <c r="N998" s="5">
        <v>-809.96</v>
      </c>
      <c r="O998" s="7">
        <v>46000</v>
      </c>
      <c r="P998" s="5">
        <v>-809.96</v>
      </c>
      <c r="Q998" s="5">
        <v>0</v>
      </c>
      <c r="R998" s="5">
        <v>1008939</v>
      </c>
      <c r="S998" s="5" t="s">
        <v>33</v>
      </c>
      <c r="T998" s="5">
        <v>0</v>
      </c>
      <c r="U998" s="5">
        <v>-809.96</v>
      </c>
      <c r="V998" s="5" t="s">
        <v>34</v>
      </c>
      <c r="W998" s="5">
        <v>2</v>
      </c>
      <c r="X998" s="5">
        <v>4376932055925</v>
      </c>
      <c r="Y998" s="7">
        <v>46003</v>
      </c>
      <c r="Z998" s="7">
        <v>46000</v>
      </c>
      <c r="AB998" s="6">
        <v>46003</v>
      </c>
      <c r="AC998" s="7">
        <v>46003.488888888889</v>
      </c>
      <c r="AD998" s="5">
        <v>37181008939</v>
      </c>
      <c r="AE998" s="8">
        <v>46000</v>
      </c>
      <c r="AF998" s="5">
        <v>142047</v>
      </c>
      <c r="AG998" s="5" t="s">
        <v>38</v>
      </c>
      <c r="AH998" s="5">
        <v>53531</v>
      </c>
      <c r="AI998" s="6">
        <v>46000</v>
      </c>
      <c r="AJ998" s="6">
        <v>46003</v>
      </c>
    </row>
    <row r="999" spans="1:39" hidden="1" x14ac:dyDescent="0.55000000000000004">
      <c r="A999">
        <v>3718</v>
      </c>
      <c r="B999">
        <v>1008954</v>
      </c>
      <c r="C999" s="1">
        <v>-2162.5</v>
      </c>
      <c r="E999" s="1">
        <v>-2162.5</v>
      </c>
      <c r="G999" s="1">
        <v>-2162.5</v>
      </c>
      <c r="H999" s="1"/>
      <c r="I999" s="1"/>
      <c r="J999" s="2">
        <v>46003</v>
      </c>
      <c r="K999" s="5">
        <v>1008954</v>
      </c>
      <c r="L999" s="5">
        <v>3718</v>
      </c>
      <c r="M999" s="5">
        <v>0</v>
      </c>
      <c r="N999" s="5">
        <v>-2162.5</v>
      </c>
      <c r="O999" s="7">
        <v>46000</v>
      </c>
      <c r="P999" s="5">
        <v>-2162.5</v>
      </c>
      <c r="Q999" s="5">
        <v>0</v>
      </c>
      <c r="R999" s="5">
        <v>1008954</v>
      </c>
      <c r="S999" s="5" t="s">
        <v>33</v>
      </c>
      <c r="T999" s="5">
        <v>0</v>
      </c>
      <c r="U999" s="5">
        <v>-2162.5</v>
      </c>
      <c r="V999" s="5" t="s">
        <v>34</v>
      </c>
      <c r="W999" s="5">
        <v>2</v>
      </c>
      <c r="X999" s="5">
        <v>4376932055925</v>
      </c>
      <c r="Y999" s="7">
        <v>46003</v>
      </c>
      <c r="Z999" s="7">
        <v>46000</v>
      </c>
      <c r="AB999" s="6">
        <v>46003</v>
      </c>
      <c r="AC999" s="7">
        <v>46003.488888888889</v>
      </c>
      <c r="AD999" s="5">
        <v>37181008954</v>
      </c>
      <c r="AE999" s="8">
        <v>46000</v>
      </c>
      <c r="AF999" s="5" t="s">
        <v>553</v>
      </c>
      <c r="AG999" s="5" t="s">
        <v>38</v>
      </c>
      <c r="AH999" s="5" t="s">
        <v>554</v>
      </c>
      <c r="AI999" s="6">
        <v>46000</v>
      </c>
      <c r="AJ999" s="6">
        <v>46003</v>
      </c>
    </row>
    <row r="1000" spans="1:39" hidden="1" x14ac:dyDescent="0.55000000000000004">
      <c r="A1000">
        <v>3718</v>
      </c>
      <c r="B1000">
        <v>1008958</v>
      </c>
      <c r="C1000">
        <v>-47.33</v>
      </c>
      <c r="E1000">
        <v>-47.33</v>
      </c>
      <c r="G1000">
        <v>-47.33</v>
      </c>
      <c r="H1000"/>
      <c r="I1000"/>
      <c r="J1000" s="2">
        <v>46003</v>
      </c>
      <c r="K1000" s="5">
        <v>1008958</v>
      </c>
      <c r="L1000" s="5">
        <v>3718</v>
      </c>
      <c r="M1000" s="5">
        <v>0</v>
      </c>
      <c r="N1000" s="5">
        <v>-47.33</v>
      </c>
      <c r="O1000" s="7">
        <v>46000</v>
      </c>
      <c r="P1000" s="5">
        <v>-47.33</v>
      </c>
      <c r="Q1000" s="5">
        <v>0</v>
      </c>
      <c r="R1000" s="5">
        <v>1008958</v>
      </c>
      <c r="S1000" s="5" t="s">
        <v>33</v>
      </c>
      <c r="T1000" s="5">
        <v>0</v>
      </c>
      <c r="U1000" s="5">
        <v>-47.33</v>
      </c>
      <c r="V1000" s="5" t="s">
        <v>34</v>
      </c>
      <c r="W1000" s="5">
        <v>2</v>
      </c>
      <c r="X1000" s="5">
        <v>4376932055925</v>
      </c>
      <c r="Y1000" s="7">
        <v>46003</v>
      </c>
      <c r="Z1000" s="7">
        <v>46000</v>
      </c>
      <c r="AB1000" s="6">
        <v>46003</v>
      </c>
      <c r="AC1000" s="7">
        <v>46003.488888888889</v>
      </c>
      <c r="AD1000" s="5">
        <v>37181008958</v>
      </c>
      <c r="AE1000" s="8">
        <v>46000</v>
      </c>
      <c r="AF1000" s="5" t="s">
        <v>555</v>
      </c>
      <c r="AG1000" s="5" t="s">
        <v>38</v>
      </c>
      <c r="AH1000" s="5" t="s">
        <v>556</v>
      </c>
      <c r="AI1000" s="6">
        <v>46000</v>
      </c>
      <c r="AJ1000" s="6">
        <v>46003</v>
      </c>
    </row>
    <row r="1001" spans="1:39" x14ac:dyDescent="0.55000000000000004">
      <c r="A1001">
        <v>3732</v>
      </c>
      <c r="B1001">
        <v>1007261</v>
      </c>
      <c r="C1001">
        <v>205.7</v>
      </c>
      <c r="E1001">
        <v>205.7</v>
      </c>
      <c r="F1001">
        <v>2.06</v>
      </c>
      <c r="G1001">
        <v>205.7</v>
      </c>
      <c r="H1001" s="14">
        <f>C1001-D1001-F1001</f>
        <v>203.64</v>
      </c>
      <c r="I1001" s="14" t="b">
        <f>G1001=H1001</f>
        <v>0</v>
      </c>
      <c r="J1001" s="2">
        <v>46003</v>
      </c>
      <c r="K1001" s="5">
        <v>1007261</v>
      </c>
      <c r="L1001" s="5">
        <v>3732</v>
      </c>
      <c r="M1001" s="5">
        <v>0</v>
      </c>
      <c r="N1001" s="5">
        <v>205.7</v>
      </c>
      <c r="O1001" s="7">
        <v>45992</v>
      </c>
      <c r="P1001" s="5">
        <v>205.7</v>
      </c>
      <c r="Q1001" s="5">
        <v>0</v>
      </c>
      <c r="R1001" s="5" t="s">
        <v>32</v>
      </c>
      <c r="S1001" s="5" t="s">
        <v>33</v>
      </c>
      <c r="T1001" s="5">
        <v>2.06</v>
      </c>
      <c r="U1001" s="5">
        <v>205.7</v>
      </c>
      <c r="V1001" s="5" t="s">
        <v>34</v>
      </c>
      <c r="W1001" s="5">
        <v>2</v>
      </c>
      <c r="X1001" s="5">
        <v>9560245446554</v>
      </c>
      <c r="Y1001" s="7">
        <v>46003</v>
      </c>
      <c r="Z1001" s="7">
        <v>45992</v>
      </c>
      <c r="AB1001" s="6">
        <v>46003</v>
      </c>
      <c r="AC1001" s="7">
        <v>46003.45416666667</v>
      </c>
      <c r="AD1001" s="5">
        <v>37321007261</v>
      </c>
      <c r="AE1001" s="8">
        <v>45992</v>
      </c>
      <c r="AF1001" s="5">
        <v>3002</v>
      </c>
      <c r="AG1001" s="5" t="s">
        <v>37</v>
      </c>
      <c r="AH1001" s="5">
        <v>205768</v>
      </c>
      <c r="AI1001" s="6">
        <v>45992</v>
      </c>
      <c r="AJ1001" s="6">
        <v>46003</v>
      </c>
      <c r="AK1001" s="1">
        <f t="shared" ref="AK1001" si="456">0.02*C1001</f>
        <v>4.1139999999999999</v>
      </c>
      <c r="AL1001" t="s">
        <v>673</v>
      </c>
      <c r="AM1001">
        <f>F1001</f>
        <v>2.06</v>
      </c>
    </row>
    <row r="1002" spans="1:39" hidden="1" x14ac:dyDescent="0.55000000000000004">
      <c r="A1002">
        <v>3732</v>
      </c>
      <c r="B1002">
        <v>1007527</v>
      </c>
      <c r="C1002" s="1">
        <v>3990</v>
      </c>
      <c r="E1002" s="1">
        <v>3990</v>
      </c>
      <c r="F1002">
        <v>39.9</v>
      </c>
      <c r="G1002" s="1">
        <v>3950.1</v>
      </c>
      <c r="H1002" s="1"/>
      <c r="I1002" s="1"/>
      <c r="J1002" s="2">
        <v>46003</v>
      </c>
      <c r="K1002" s="5">
        <v>1007527</v>
      </c>
      <c r="L1002" s="5">
        <v>3732</v>
      </c>
      <c r="M1002" s="5">
        <v>0</v>
      </c>
      <c r="N1002" s="5">
        <v>3990</v>
      </c>
      <c r="O1002" s="7">
        <v>45993</v>
      </c>
      <c r="P1002" s="5">
        <v>3990</v>
      </c>
      <c r="Q1002" s="5">
        <v>0</v>
      </c>
      <c r="R1002" s="5" t="s">
        <v>32</v>
      </c>
      <c r="S1002" s="5" t="s">
        <v>33</v>
      </c>
      <c r="T1002" s="5">
        <v>39.9</v>
      </c>
      <c r="U1002" s="5">
        <v>3950.1</v>
      </c>
      <c r="V1002" s="5" t="s">
        <v>34</v>
      </c>
      <c r="W1002" s="5">
        <v>2</v>
      </c>
      <c r="X1002" s="5">
        <v>9560245446554</v>
      </c>
      <c r="Y1002" s="7">
        <v>46003</v>
      </c>
      <c r="Z1002" s="7">
        <v>45993</v>
      </c>
      <c r="AB1002" s="6">
        <v>46003</v>
      </c>
      <c r="AC1002" s="7">
        <v>46003.45416666667</v>
      </c>
      <c r="AD1002" s="5">
        <v>37321007527</v>
      </c>
      <c r="AE1002" s="8">
        <v>45993</v>
      </c>
      <c r="AF1002" s="5" t="s">
        <v>32</v>
      </c>
      <c r="AG1002" s="5" t="s">
        <v>35</v>
      </c>
      <c r="AH1002" s="5" t="s">
        <v>32</v>
      </c>
      <c r="AI1002" s="6">
        <v>45993</v>
      </c>
      <c r="AJ1002" s="6">
        <v>46003</v>
      </c>
    </row>
    <row r="1003" spans="1:39" x14ac:dyDescent="0.55000000000000004">
      <c r="A1003">
        <v>3732</v>
      </c>
      <c r="B1003">
        <v>1007746</v>
      </c>
      <c r="C1003">
        <v>213.6</v>
      </c>
      <c r="E1003">
        <v>213.6</v>
      </c>
      <c r="F1003">
        <v>2.14</v>
      </c>
      <c r="G1003">
        <v>213.6</v>
      </c>
      <c r="H1003" s="14">
        <f t="shared" ref="H1003:H1004" si="457">C1003-D1003-F1003</f>
        <v>211.46</v>
      </c>
      <c r="I1003" s="14" t="b">
        <f t="shared" ref="I1003:I1004" si="458">G1003=H1003</f>
        <v>0</v>
      </c>
      <c r="J1003" s="2">
        <v>46003</v>
      </c>
      <c r="K1003" s="5">
        <v>1007746</v>
      </c>
      <c r="L1003" s="5">
        <v>3732</v>
      </c>
      <c r="M1003" s="5">
        <v>0</v>
      </c>
      <c r="N1003" s="5">
        <v>213.6</v>
      </c>
      <c r="O1003" s="7">
        <v>45993</v>
      </c>
      <c r="P1003" s="5">
        <v>213.6</v>
      </c>
      <c r="Q1003" s="5">
        <v>0</v>
      </c>
      <c r="R1003" s="5" t="s">
        <v>32</v>
      </c>
      <c r="S1003" s="5" t="s">
        <v>33</v>
      </c>
      <c r="T1003" s="5">
        <v>2.14</v>
      </c>
      <c r="U1003" s="5">
        <v>213.6</v>
      </c>
      <c r="V1003" s="5" t="s">
        <v>34</v>
      </c>
      <c r="W1003" s="5">
        <v>2</v>
      </c>
      <c r="X1003" s="5">
        <v>9560245446554</v>
      </c>
      <c r="Y1003" s="7">
        <v>46003</v>
      </c>
      <c r="Z1003" s="7">
        <v>45993</v>
      </c>
      <c r="AB1003" s="6">
        <v>46003</v>
      </c>
      <c r="AC1003" s="7">
        <v>46003.45416666667</v>
      </c>
      <c r="AD1003" s="5">
        <v>37321007746</v>
      </c>
      <c r="AE1003" s="8">
        <v>45993</v>
      </c>
      <c r="AF1003" s="5">
        <v>3048</v>
      </c>
      <c r="AG1003" s="5" t="s">
        <v>37</v>
      </c>
      <c r="AH1003" s="5">
        <v>206209</v>
      </c>
      <c r="AI1003" s="6">
        <v>45993</v>
      </c>
      <c r="AJ1003" s="6">
        <v>46003</v>
      </c>
      <c r="AK1003" s="1">
        <f t="shared" ref="AK1003:AK1004" si="459">0.02*C1003</f>
        <v>4.2720000000000002</v>
      </c>
      <c r="AL1003" t="s">
        <v>673</v>
      </c>
      <c r="AM1003">
        <f t="shared" ref="AM1003:AM1004" si="460">F1003</f>
        <v>2.14</v>
      </c>
    </row>
    <row r="1004" spans="1:39" x14ac:dyDescent="0.55000000000000004">
      <c r="A1004">
        <v>3732</v>
      </c>
      <c r="B1004">
        <v>1007857</v>
      </c>
      <c r="C1004" s="1">
        <v>2765.76</v>
      </c>
      <c r="E1004" s="1">
        <v>2765.76</v>
      </c>
      <c r="F1004">
        <v>27.66</v>
      </c>
      <c r="G1004" s="1">
        <v>2765.76</v>
      </c>
      <c r="H1004" s="14">
        <f t="shared" si="457"/>
        <v>2738.1000000000004</v>
      </c>
      <c r="I1004" s="14" t="b">
        <f t="shared" si="458"/>
        <v>0</v>
      </c>
      <c r="J1004" s="2">
        <v>46003</v>
      </c>
      <c r="K1004" s="5">
        <v>1007857</v>
      </c>
      <c r="L1004" s="5">
        <v>3732</v>
      </c>
      <c r="M1004" s="5">
        <v>0</v>
      </c>
      <c r="N1004" s="5">
        <v>2765.76</v>
      </c>
      <c r="O1004" s="7">
        <v>45993</v>
      </c>
      <c r="P1004" s="5">
        <v>2765.76</v>
      </c>
      <c r="Q1004" s="5">
        <v>0</v>
      </c>
      <c r="R1004" s="5" t="s">
        <v>32</v>
      </c>
      <c r="S1004" s="5" t="s">
        <v>33</v>
      </c>
      <c r="T1004" s="5">
        <v>27.66</v>
      </c>
      <c r="U1004" s="5">
        <v>2765.76</v>
      </c>
      <c r="V1004" s="5" t="s">
        <v>34</v>
      </c>
      <c r="W1004" s="5">
        <v>2</v>
      </c>
      <c r="X1004" s="5">
        <v>9560245446554</v>
      </c>
      <c r="Y1004" s="7">
        <v>46003</v>
      </c>
      <c r="Z1004" s="7">
        <v>45993</v>
      </c>
      <c r="AB1004" s="6">
        <v>46003</v>
      </c>
      <c r="AC1004" s="7">
        <v>46003.45416666667</v>
      </c>
      <c r="AD1004" s="5">
        <v>37321007857</v>
      </c>
      <c r="AE1004" s="8">
        <v>45993</v>
      </c>
      <c r="AF1004" s="5">
        <v>3048</v>
      </c>
      <c r="AG1004" s="5" t="s">
        <v>37</v>
      </c>
      <c r="AH1004" s="5">
        <v>206148</v>
      </c>
      <c r="AI1004" s="6">
        <v>45993</v>
      </c>
      <c r="AJ1004" s="6">
        <v>46003</v>
      </c>
      <c r="AK1004" s="1">
        <f t="shared" si="459"/>
        <v>55.315200000000004</v>
      </c>
      <c r="AL1004" t="s">
        <v>673</v>
      </c>
      <c r="AM1004">
        <f t="shared" si="460"/>
        <v>27.66</v>
      </c>
    </row>
    <row r="1005" spans="1:39" hidden="1" x14ac:dyDescent="0.55000000000000004">
      <c r="A1005">
        <v>3732</v>
      </c>
      <c r="B1005">
        <v>1007882</v>
      </c>
      <c r="C1005">
        <v>187.3</v>
      </c>
      <c r="E1005">
        <v>187.3</v>
      </c>
      <c r="F1005">
        <v>1.87</v>
      </c>
      <c r="G1005">
        <v>185.43</v>
      </c>
      <c r="H1005"/>
      <c r="I1005"/>
      <c r="J1005" s="2">
        <v>46003</v>
      </c>
      <c r="K1005" s="5">
        <v>1007882</v>
      </c>
      <c r="L1005" s="5">
        <v>3732</v>
      </c>
      <c r="M1005" s="5">
        <v>0</v>
      </c>
      <c r="N1005" s="5">
        <v>187.3</v>
      </c>
      <c r="O1005" s="7">
        <v>45994</v>
      </c>
      <c r="P1005" s="5">
        <v>187.3</v>
      </c>
      <c r="Q1005" s="5">
        <v>0</v>
      </c>
      <c r="R1005" s="5" t="s">
        <v>32</v>
      </c>
      <c r="S1005" s="5" t="s">
        <v>33</v>
      </c>
      <c r="T1005" s="5">
        <v>1.87</v>
      </c>
      <c r="U1005" s="5">
        <v>185.43</v>
      </c>
      <c r="V1005" s="5" t="s">
        <v>34</v>
      </c>
      <c r="W1005" s="5">
        <v>2</v>
      </c>
      <c r="X1005" s="5">
        <v>9560245446554</v>
      </c>
      <c r="Y1005" s="7">
        <v>46003</v>
      </c>
      <c r="Z1005" s="7">
        <v>45994</v>
      </c>
      <c r="AB1005" s="6">
        <v>46003</v>
      </c>
      <c r="AC1005" s="7">
        <v>46003.45416666667</v>
      </c>
      <c r="AD1005" s="5">
        <v>37321007882</v>
      </c>
      <c r="AE1005" s="8">
        <v>45994</v>
      </c>
      <c r="AF1005" s="5">
        <v>3041</v>
      </c>
      <c r="AG1005" s="5" t="s">
        <v>38</v>
      </c>
      <c r="AH1005" s="5">
        <v>206439</v>
      </c>
      <c r="AI1005" s="6">
        <v>45994</v>
      </c>
      <c r="AJ1005" s="6">
        <v>46003</v>
      </c>
    </row>
    <row r="1006" spans="1:39" x14ac:dyDescent="0.55000000000000004">
      <c r="A1006">
        <v>3732</v>
      </c>
      <c r="B1006">
        <v>1008023</v>
      </c>
      <c r="C1006">
        <v>212.84</v>
      </c>
      <c r="E1006">
        <v>212.84</v>
      </c>
      <c r="F1006">
        <v>2.13</v>
      </c>
      <c r="G1006">
        <v>212.84</v>
      </c>
      <c r="H1006" s="14">
        <f>C1006-D1006-F1006</f>
        <v>210.71</v>
      </c>
      <c r="I1006" s="14" t="b">
        <f>G1006=H1006</f>
        <v>0</v>
      </c>
      <c r="J1006" s="2">
        <v>46003</v>
      </c>
      <c r="K1006" s="5">
        <v>1008023</v>
      </c>
      <c r="L1006" s="5">
        <v>3732</v>
      </c>
      <c r="M1006" s="5">
        <v>0</v>
      </c>
      <c r="N1006" s="5">
        <v>212.84</v>
      </c>
      <c r="O1006" s="7">
        <v>45994</v>
      </c>
      <c r="P1006" s="5">
        <v>212.84</v>
      </c>
      <c r="Q1006" s="5">
        <v>0</v>
      </c>
      <c r="R1006" s="5" t="s">
        <v>32</v>
      </c>
      <c r="S1006" s="5" t="s">
        <v>33</v>
      </c>
      <c r="T1006" s="5">
        <v>2.13</v>
      </c>
      <c r="U1006" s="5">
        <v>212.84</v>
      </c>
      <c r="V1006" s="5" t="s">
        <v>34</v>
      </c>
      <c r="W1006" s="5">
        <v>2</v>
      </c>
      <c r="X1006" s="5">
        <v>9560245446554</v>
      </c>
      <c r="Y1006" s="7">
        <v>46003</v>
      </c>
      <c r="Z1006" s="7">
        <v>45994</v>
      </c>
      <c r="AB1006" s="6">
        <v>46003</v>
      </c>
      <c r="AC1006" s="7">
        <v>46003.45416666667</v>
      </c>
      <c r="AD1006" s="5">
        <v>37321008023</v>
      </c>
      <c r="AE1006" s="8">
        <v>45994</v>
      </c>
      <c r="AF1006" s="5">
        <v>3002</v>
      </c>
      <c r="AG1006" s="5" t="s">
        <v>37</v>
      </c>
      <c r="AH1006" s="5">
        <v>206062</v>
      </c>
      <c r="AI1006" s="6">
        <v>45994</v>
      </c>
      <c r="AJ1006" s="6">
        <v>46003</v>
      </c>
      <c r="AK1006" s="1">
        <f t="shared" ref="AK1006" si="461">0.02*C1006</f>
        <v>4.2568000000000001</v>
      </c>
      <c r="AL1006" t="s">
        <v>673</v>
      </c>
      <c r="AM1006">
        <f>F1006</f>
        <v>2.13</v>
      </c>
    </row>
    <row r="1007" spans="1:39" hidden="1" x14ac:dyDescent="0.55000000000000004">
      <c r="A1007">
        <v>3732</v>
      </c>
      <c r="B1007">
        <v>1008280</v>
      </c>
      <c r="C1007">
        <v>-150</v>
      </c>
      <c r="E1007">
        <v>-150</v>
      </c>
      <c r="G1007">
        <v>-150</v>
      </c>
      <c r="H1007"/>
      <c r="I1007"/>
      <c r="J1007" s="2">
        <v>46003</v>
      </c>
      <c r="K1007" s="5">
        <v>1008280</v>
      </c>
      <c r="L1007" s="5">
        <v>3732</v>
      </c>
      <c r="M1007" s="5">
        <v>0</v>
      </c>
      <c r="N1007" s="5">
        <v>-150</v>
      </c>
      <c r="O1007" s="7">
        <v>45995</v>
      </c>
      <c r="P1007" s="5">
        <v>-150</v>
      </c>
      <c r="Q1007" s="5">
        <v>0</v>
      </c>
      <c r="R1007" s="5" t="s">
        <v>40</v>
      </c>
      <c r="S1007" s="5" t="s">
        <v>33</v>
      </c>
      <c r="T1007" s="5">
        <v>0</v>
      </c>
      <c r="U1007" s="5">
        <v>-150</v>
      </c>
      <c r="V1007" s="5" t="s">
        <v>34</v>
      </c>
      <c r="W1007" s="5">
        <v>2</v>
      </c>
      <c r="X1007" s="5">
        <v>9560245446554</v>
      </c>
      <c r="Y1007" s="7">
        <v>46003</v>
      </c>
      <c r="Z1007" s="7">
        <v>45995</v>
      </c>
      <c r="AB1007" s="6">
        <v>46003</v>
      </c>
      <c r="AC1007" s="7">
        <v>46003.45416666667</v>
      </c>
      <c r="AD1007" s="5">
        <v>37321008280</v>
      </c>
      <c r="AE1007" s="8">
        <v>45995</v>
      </c>
      <c r="AF1007" s="5" t="s">
        <v>41</v>
      </c>
      <c r="AG1007" s="5" t="s">
        <v>38</v>
      </c>
      <c r="AH1007" s="5" t="s">
        <v>40</v>
      </c>
      <c r="AI1007" s="6">
        <v>45995</v>
      </c>
      <c r="AJ1007" s="6">
        <v>46003</v>
      </c>
    </row>
    <row r="1008" spans="1:39" hidden="1" x14ac:dyDescent="0.55000000000000004">
      <c r="A1008">
        <v>3732</v>
      </c>
      <c r="B1008">
        <v>1008368</v>
      </c>
      <c r="C1008" s="1">
        <v>1980</v>
      </c>
      <c r="E1008" s="1">
        <v>1980</v>
      </c>
      <c r="F1008">
        <v>19.8</v>
      </c>
      <c r="G1008" s="1">
        <v>1960.2</v>
      </c>
      <c r="H1008" s="1"/>
      <c r="I1008" s="1"/>
      <c r="J1008" s="2">
        <v>46003</v>
      </c>
      <c r="K1008" s="5">
        <v>1008368</v>
      </c>
      <c r="L1008" s="5">
        <v>3732</v>
      </c>
      <c r="M1008" s="5">
        <v>0</v>
      </c>
      <c r="N1008" s="5">
        <v>1980</v>
      </c>
      <c r="O1008" s="7">
        <v>45996</v>
      </c>
      <c r="P1008" s="5">
        <v>1980</v>
      </c>
      <c r="Q1008" s="5">
        <v>0</v>
      </c>
      <c r="R1008" s="5" t="s">
        <v>557</v>
      </c>
      <c r="S1008" s="5" t="s">
        <v>138</v>
      </c>
      <c r="T1008" s="5">
        <v>19.8</v>
      </c>
      <c r="U1008" s="5">
        <v>1960.2</v>
      </c>
      <c r="V1008" s="5" t="s">
        <v>34</v>
      </c>
      <c r="W1008" s="5">
        <v>2</v>
      </c>
      <c r="X1008" s="5">
        <v>9560245446554</v>
      </c>
      <c r="Y1008" s="7">
        <v>46003</v>
      </c>
      <c r="Z1008" s="7">
        <v>45996</v>
      </c>
      <c r="AB1008" s="6">
        <v>46003</v>
      </c>
      <c r="AC1008" s="7">
        <v>46003.45416666667</v>
      </c>
      <c r="AD1008" s="5">
        <v>37321008368</v>
      </c>
      <c r="AE1008" s="8">
        <v>45996</v>
      </c>
      <c r="AF1008" s="5" t="s">
        <v>32</v>
      </c>
      <c r="AG1008" s="5" t="s">
        <v>38</v>
      </c>
      <c r="AH1008" s="5" t="s">
        <v>557</v>
      </c>
      <c r="AI1008" s="6">
        <v>45996</v>
      </c>
      <c r="AJ1008" s="6">
        <v>46003</v>
      </c>
    </row>
    <row r="1009" spans="1:39" hidden="1" x14ac:dyDescent="0.55000000000000004">
      <c r="A1009">
        <v>3732</v>
      </c>
      <c r="B1009">
        <v>1008382</v>
      </c>
      <c r="C1009">
        <v>580</v>
      </c>
      <c r="E1009">
        <v>580</v>
      </c>
      <c r="F1009">
        <v>5.8</v>
      </c>
      <c r="G1009">
        <v>574.20000000000005</v>
      </c>
      <c r="H1009"/>
      <c r="I1009"/>
      <c r="J1009" s="2">
        <v>46003</v>
      </c>
      <c r="K1009" s="5">
        <v>1008382</v>
      </c>
      <c r="L1009" s="5">
        <v>3732</v>
      </c>
      <c r="M1009" s="5">
        <v>0</v>
      </c>
      <c r="N1009" s="5">
        <v>580</v>
      </c>
      <c r="O1009" s="7">
        <v>45996</v>
      </c>
      <c r="P1009" s="5">
        <v>580</v>
      </c>
      <c r="Q1009" s="5">
        <v>0</v>
      </c>
      <c r="R1009" s="5" t="s">
        <v>558</v>
      </c>
      <c r="S1009" s="5" t="s">
        <v>138</v>
      </c>
      <c r="T1009" s="5">
        <v>5.8</v>
      </c>
      <c r="U1009" s="5">
        <v>574.20000000000005</v>
      </c>
      <c r="V1009" s="5" t="s">
        <v>34</v>
      </c>
      <c r="W1009" s="5">
        <v>2</v>
      </c>
      <c r="X1009" s="5">
        <v>9560245446554</v>
      </c>
      <c r="Y1009" s="7">
        <v>46003</v>
      </c>
      <c r="Z1009" s="7">
        <v>45996</v>
      </c>
      <c r="AB1009" s="6">
        <v>46003</v>
      </c>
      <c r="AC1009" s="7">
        <v>46003.45416666667</v>
      </c>
      <c r="AD1009" s="5">
        <v>37321008382</v>
      </c>
      <c r="AE1009" s="8">
        <v>45996</v>
      </c>
      <c r="AF1009" s="5" t="s">
        <v>32</v>
      </c>
      <c r="AG1009" s="5" t="s">
        <v>38</v>
      </c>
      <c r="AH1009" s="5" t="s">
        <v>558</v>
      </c>
      <c r="AI1009" s="6">
        <v>45996</v>
      </c>
      <c r="AJ1009" s="6">
        <v>46003</v>
      </c>
    </row>
    <row r="1010" spans="1:39" x14ac:dyDescent="0.55000000000000004">
      <c r="A1010">
        <v>3732</v>
      </c>
      <c r="B1010">
        <v>1008451</v>
      </c>
      <c r="C1010">
        <v>597</v>
      </c>
      <c r="E1010">
        <v>597</v>
      </c>
      <c r="F1010">
        <v>5.97</v>
      </c>
      <c r="G1010">
        <v>597</v>
      </c>
      <c r="H1010" s="14">
        <f t="shared" ref="H1010:H1016" si="462">C1010-D1010-F1010</f>
        <v>591.03</v>
      </c>
      <c r="I1010" s="14" t="b">
        <f t="shared" ref="I1010:I1016" si="463">G1010=H1010</f>
        <v>0</v>
      </c>
      <c r="J1010" s="2">
        <v>46003</v>
      </c>
      <c r="K1010" s="5">
        <v>1008451</v>
      </c>
      <c r="L1010" s="5">
        <v>3732</v>
      </c>
      <c r="M1010" s="5">
        <v>0</v>
      </c>
      <c r="N1010" s="5">
        <v>597</v>
      </c>
      <c r="O1010" s="7">
        <v>45996</v>
      </c>
      <c r="P1010" s="5">
        <v>597</v>
      </c>
      <c r="Q1010" s="5">
        <v>0</v>
      </c>
      <c r="R1010" s="5" t="s">
        <v>32</v>
      </c>
      <c r="S1010" s="5" t="s">
        <v>33</v>
      </c>
      <c r="T1010" s="5">
        <v>5.97</v>
      </c>
      <c r="U1010" s="5">
        <v>597</v>
      </c>
      <c r="V1010" s="5" t="s">
        <v>34</v>
      </c>
      <c r="W1010" s="5">
        <v>2</v>
      </c>
      <c r="X1010" s="5">
        <v>9560245446554</v>
      </c>
      <c r="Y1010" s="7">
        <v>46003</v>
      </c>
      <c r="Z1010" s="7">
        <v>45996</v>
      </c>
      <c r="AB1010" s="6">
        <v>46003</v>
      </c>
      <c r="AC1010" s="7">
        <v>46003.45416666667</v>
      </c>
      <c r="AD1010" s="5">
        <v>37321008451</v>
      </c>
      <c r="AE1010" s="8">
        <v>45996</v>
      </c>
      <c r="AF1010" s="5" t="s">
        <v>559</v>
      </c>
      <c r="AG1010" s="5" t="s">
        <v>37</v>
      </c>
      <c r="AH1010" s="5">
        <v>206606</v>
      </c>
      <c r="AI1010" s="6">
        <v>45996</v>
      </c>
      <c r="AJ1010" s="6">
        <v>46003</v>
      </c>
      <c r="AK1010" s="1">
        <f t="shared" ref="AK1010:AK1016" si="464">0.02*C1010</f>
        <v>11.94</v>
      </c>
      <c r="AL1010" t="s">
        <v>673</v>
      </c>
      <c r="AM1010">
        <f t="shared" ref="AM1010:AM1011" si="465">F1010</f>
        <v>5.97</v>
      </c>
    </row>
    <row r="1011" spans="1:39" x14ac:dyDescent="0.55000000000000004">
      <c r="A1011">
        <v>3732</v>
      </c>
      <c r="B1011">
        <v>1008456</v>
      </c>
      <c r="C1011">
        <v>199</v>
      </c>
      <c r="E1011">
        <v>199</v>
      </c>
      <c r="F1011">
        <v>1.99</v>
      </c>
      <c r="G1011">
        <v>199</v>
      </c>
      <c r="H1011" s="14">
        <f t="shared" si="462"/>
        <v>197.01</v>
      </c>
      <c r="I1011" s="14" t="b">
        <f t="shared" si="463"/>
        <v>0</v>
      </c>
      <c r="J1011" s="2">
        <v>46003</v>
      </c>
      <c r="K1011" s="5">
        <v>1008456</v>
      </c>
      <c r="L1011" s="5">
        <v>3732</v>
      </c>
      <c r="M1011" s="5">
        <v>0</v>
      </c>
      <c r="N1011" s="5">
        <v>199</v>
      </c>
      <c r="O1011" s="7">
        <v>45996</v>
      </c>
      <c r="P1011" s="5">
        <v>199</v>
      </c>
      <c r="Q1011" s="5">
        <v>0</v>
      </c>
      <c r="R1011" s="5" t="s">
        <v>32</v>
      </c>
      <c r="S1011" s="5" t="s">
        <v>33</v>
      </c>
      <c r="T1011" s="5">
        <v>1.99</v>
      </c>
      <c r="U1011" s="5">
        <v>199</v>
      </c>
      <c r="V1011" s="5" t="s">
        <v>34</v>
      </c>
      <c r="W1011" s="5">
        <v>2</v>
      </c>
      <c r="X1011" s="5">
        <v>9560245446554</v>
      </c>
      <c r="Y1011" s="7">
        <v>46003</v>
      </c>
      <c r="Z1011" s="7">
        <v>45996</v>
      </c>
      <c r="AB1011" s="6">
        <v>46003</v>
      </c>
      <c r="AC1011" s="7">
        <v>46003.45416666667</v>
      </c>
      <c r="AD1011" s="5">
        <v>37321008456</v>
      </c>
      <c r="AE1011" s="8">
        <v>45996</v>
      </c>
      <c r="AF1011" s="5">
        <v>2957</v>
      </c>
      <c r="AG1011" s="5" t="s">
        <v>37</v>
      </c>
      <c r="AH1011" s="5">
        <v>206605</v>
      </c>
      <c r="AI1011" s="6">
        <v>45996</v>
      </c>
      <c r="AJ1011" s="6">
        <v>46003</v>
      </c>
      <c r="AK1011" s="1">
        <f t="shared" si="464"/>
        <v>3.98</v>
      </c>
      <c r="AL1011" t="s">
        <v>673</v>
      </c>
      <c r="AM1011">
        <f t="shared" si="465"/>
        <v>1.99</v>
      </c>
    </row>
    <row r="1012" spans="1:39" x14ac:dyDescent="0.55000000000000004">
      <c r="A1012">
        <v>3739</v>
      </c>
      <c r="B1012">
        <v>999696</v>
      </c>
      <c r="C1012" s="1">
        <v>2037.29</v>
      </c>
      <c r="D1012" s="4">
        <v>40.75</v>
      </c>
      <c r="E1012" s="1">
        <v>1996.54</v>
      </c>
      <c r="G1012" s="1">
        <v>1996.54</v>
      </c>
      <c r="H1012" s="14">
        <f t="shared" si="462"/>
        <v>1996.54</v>
      </c>
      <c r="I1012" s="14" t="b">
        <f t="shared" si="463"/>
        <v>1</v>
      </c>
      <c r="J1012" s="2">
        <v>46003</v>
      </c>
      <c r="K1012" s="5">
        <v>999696</v>
      </c>
      <c r="L1012" s="5">
        <v>3739</v>
      </c>
      <c r="M1012" s="5">
        <v>40.75</v>
      </c>
      <c r="N1012" s="5">
        <v>2037.29</v>
      </c>
      <c r="O1012" s="7">
        <v>45953</v>
      </c>
      <c r="P1012" s="5">
        <v>1996.54</v>
      </c>
      <c r="Q1012" s="5">
        <v>40.75</v>
      </c>
      <c r="R1012" s="5" t="s">
        <v>32</v>
      </c>
      <c r="S1012" s="5" t="s">
        <v>33</v>
      </c>
      <c r="T1012" s="5">
        <v>0</v>
      </c>
      <c r="U1012" s="5">
        <v>1996.54</v>
      </c>
      <c r="V1012" s="5" t="s">
        <v>34</v>
      </c>
      <c r="W1012" s="5">
        <v>2</v>
      </c>
      <c r="X1012" s="5">
        <v>8406739413759</v>
      </c>
      <c r="Y1012" s="7">
        <v>46003</v>
      </c>
      <c r="Z1012" s="7">
        <v>45953</v>
      </c>
      <c r="AB1012" s="6">
        <v>46003</v>
      </c>
      <c r="AC1012" s="7">
        <v>46000.349305555559</v>
      </c>
      <c r="AD1012" s="5">
        <v>3739999696</v>
      </c>
      <c r="AE1012" s="8">
        <v>45953</v>
      </c>
      <c r="AF1012" s="5" t="s">
        <v>563</v>
      </c>
      <c r="AG1012" s="5" t="s">
        <v>71</v>
      </c>
      <c r="AH1012" s="5">
        <v>199891</v>
      </c>
      <c r="AI1012" s="6">
        <v>45953</v>
      </c>
      <c r="AJ1012" s="6">
        <v>46003</v>
      </c>
      <c r="AK1012" s="1">
        <f t="shared" si="464"/>
        <v>40.745800000000003</v>
      </c>
    </row>
    <row r="1013" spans="1:39" x14ac:dyDescent="0.55000000000000004">
      <c r="A1013">
        <v>3739</v>
      </c>
      <c r="B1013">
        <v>1006282</v>
      </c>
      <c r="C1013">
        <v>794.93</v>
      </c>
      <c r="D1013" s="4">
        <v>15.9</v>
      </c>
      <c r="E1013">
        <v>779.03</v>
      </c>
      <c r="G1013">
        <v>779.03</v>
      </c>
      <c r="H1013" s="14">
        <f t="shared" si="462"/>
        <v>779.03</v>
      </c>
      <c r="I1013" s="14" t="b">
        <f t="shared" si="463"/>
        <v>1</v>
      </c>
      <c r="J1013" s="2">
        <v>46003</v>
      </c>
      <c r="K1013" s="5">
        <v>1006282</v>
      </c>
      <c r="L1013" s="5">
        <v>3739</v>
      </c>
      <c r="M1013" s="5">
        <v>15.9</v>
      </c>
      <c r="N1013" s="5">
        <v>794.93</v>
      </c>
      <c r="O1013" s="7">
        <v>45986</v>
      </c>
      <c r="P1013" s="5">
        <v>779.03</v>
      </c>
      <c r="Q1013" s="5">
        <v>15.9</v>
      </c>
      <c r="R1013" s="5" t="s">
        <v>32</v>
      </c>
      <c r="S1013" s="5" t="s">
        <v>33</v>
      </c>
      <c r="T1013" s="5">
        <v>0</v>
      </c>
      <c r="U1013" s="5">
        <v>779.03</v>
      </c>
      <c r="V1013" s="5" t="s">
        <v>34</v>
      </c>
      <c r="W1013" s="5">
        <v>2</v>
      </c>
      <c r="X1013" s="5">
        <v>8406739413759</v>
      </c>
      <c r="Y1013" s="7">
        <v>46003</v>
      </c>
      <c r="Z1013" s="7">
        <v>45986</v>
      </c>
      <c r="AB1013" s="6">
        <v>46003</v>
      </c>
      <c r="AC1013" s="7">
        <v>46000.349305555559</v>
      </c>
      <c r="AD1013" s="5">
        <v>37391006282</v>
      </c>
      <c r="AE1013" s="8">
        <v>45986</v>
      </c>
      <c r="AF1013" s="5" t="s">
        <v>560</v>
      </c>
      <c r="AG1013" s="5" t="s">
        <v>37</v>
      </c>
      <c r="AH1013" s="5">
        <v>204419</v>
      </c>
      <c r="AI1013" s="6">
        <v>45986</v>
      </c>
      <c r="AJ1013" s="6">
        <v>46003</v>
      </c>
      <c r="AK1013" s="1">
        <f t="shared" si="464"/>
        <v>15.8986</v>
      </c>
    </row>
    <row r="1014" spans="1:39" x14ac:dyDescent="0.55000000000000004">
      <c r="A1014">
        <v>3739</v>
      </c>
      <c r="B1014">
        <v>1006283</v>
      </c>
      <c r="C1014">
        <v>922.3</v>
      </c>
      <c r="D1014" s="4">
        <v>18.45</v>
      </c>
      <c r="E1014">
        <v>903.85</v>
      </c>
      <c r="G1014">
        <v>903.85</v>
      </c>
      <c r="H1014" s="14">
        <f t="shared" si="462"/>
        <v>903.84999999999991</v>
      </c>
      <c r="I1014" s="14" t="b">
        <f t="shared" si="463"/>
        <v>1</v>
      </c>
      <c r="J1014" s="2">
        <v>46003</v>
      </c>
      <c r="K1014" s="5">
        <v>1006283</v>
      </c>
      <c r="L1014" s="5">
        <v>3739</v>
      </c>
      <c r="M1014" s="5">
        <v>18.45</v>
      </c>
      <c r="N1014" s="5">
        <v>922.3</v>
      </c>
      <c r="O1014" s="7">
        <v>45986</v>
      </c>
      <c r="P1014" s="5">
        <v>903.85</v>
      </c>
      <c r="Q1014" s="5">
        <v>18.45</v>
      </c>
      <c r="R1014" s="5" t="s">
        <v>32</v>
      </c>
      <c r="S1014" s="5" t="s">
        <v>33</v>
      </c>
      <c r="T1014" s="5">
        <v>0</v>
      </c>
      <c r="U1014" s="5">
        <v>903.85</v>
      </c>
      <c r="V1014" s="5" t="s">
        <v>34</v>
      </c>
      <c r="W1014" s="5">
        <v>2</v>
      </c>
      <c r="X1014" s="5">
        <v>8406739413759</v>
      </c>
      <c r="Y1014" s="7">
        <v>46003</v>
      </c>
      <c r="Z1014" s="7">
        <v>45986</v>
      </c>
      <c r="AB1014" s="6">
        <v>46003</v>
      </c>
      <c r="AC1014" s="7">
        <v>46000.349305555559</v>
      </c>
      <c r="AD1014" s="5">
        <v>37391006283</v>
      </c>
      <c r="AE1014" s="8">
        <v>45986</v>
      </c>
      <c r="AF1014" s="5" t="s">
        <v>561</v>
      </c>
      <c r="AG1014" s="5" t="s">
        <v>37</v>
      </c>
      <c r="AH1014" s="5">
        <v>204430</v>
      </c>
      <c r="AI1014" s="6">
        <v>45986</v>
      </c>
      <c r="AJ1014" s="6">
        <v>46003</v>
      </c>
      <c r="AK1014" s="1">
        <f t="shared" si="464"/>
        <v>18.445999999999998</v>
      </c>
    </row>
    <row r="1015" spans="1:39" x14ac:dyDescent="0.55000000000000004">
      <c r="A1015">
        <v>3739</v>
      </c>
      <c r="B1015">
        <v>1006288</v>
      </c>
      <c r="C1015">
        <v>410.42</v>
      </c>
      <c r="D1015" s="4">
        <v>8.2100000000000009</v>
      </c>
      <c r="E1015">
        <v>402.21</v>
      </c>
      <c r="G1015">
        <v>402.21</v>
      </c>
      <c r="H1015" s="14">
        <f t="shared" si="462"/>
        <v>402.21000000000004</v>
      </c>
      <c r="I1015" s="14" t="b">
        <f t="shared" si="463"/>
        <v>1</v>
      </c>
      <c r="J1015" s="2">
        <v>46003</v>
      </c>
      <c r="K1015" s="5">
        <v>1006288</v>
      </c>
      <c r="L1015" s="5">
        <v>3739</v>
      </c>
      <c r="M1015" s="5">
        <v>8.2100000000000009</v>
      </c>
      <c r="N1015" s="5">
        <v>410.42</v>
      </c>
      <c r="O1015" s="7">
        <v>45986</v>
      </c>
      <c r="P1015" s="5">
        <v>402.21</v>
      </c>
      <c r="Q1015" s="5">
        <v>8.2100000000000009</v>
      </c>
      <c r="R1015" s="5" t="s">
        <v>32</v>
      </c>
      <c r="S1015" s="5" t="s">
        <v>33</v>
      </c>
      <c r="T1015" s="5">
        <v>0</v>
      </c>
      <c r="U1015" s="5">
        <v>402.21</v>
      </c>
      <c r="V1015" s="5" t="s">
        <v>34</v>
      </c>
      <c r="W1015" s="5">
        <v>2</v>
      </c>
      <c r="X1015" s="5">
        <v>8406739413759</v>
      </c>
      <c r="Y1015" s="7">
        <v>46003</v>
      </c>
      <c r="Z1015" s="7">
        <v>45986</v>
      </c>
      <c r="AB1015" s="6">
        <v>46003</v>
      </c>
      <c r="AC1015" s="7">
        <v>46000.349305555559</v>
      </c>
      <c r="AD1015" s="5">
        <v>37391006288</v>
      </c>
      <c r="AE1015" s="8">
        <v>45986</v>
      </c>
      <c r="AF1015" s="5" t="s">
        <v>562</v>
      </c>
      <c r="AG1015" s="5" t="s">
        <v>37</v>
      </c>
      <c r="AH1015" s="5">
        <v>204420</v>
      </c>
      <c r="AI1015" s="6">
        <v>45986</v>
      </c>
      <c r="AJ1015" s="6">
        <v>46003</v>
      </c>
      <c r="AK1015" s="1">
        <f t="shared" si="464"/>
        <v>8.208400000000001</v>
      </c>
    </row>
    <row r="1016" spans="1:39" x14ac:dyDescent="0.55000000000000004">
      <c r="A1016">
        <v>3739</v>
      </c>
      <c r="B1016">
        <v>1006291</v>
      </c>
      <c r="C1016">
        <v>562.4</v>
      </c>
      <c r="D1016" s="4">
        <v>11.25</v>
      </c>
      <c r="E1016">
        <v>551.15</v>
      </c>
      <c r="G1016">
        <v>551.15</v>
      </c>
      <c r="H1016" s="14">
        <f t="shared" si="462"/>
        <v>551.15</v>
      </c>
      <c r="I1016" s="14" t="b">
        <f t="shared" si="463"/>
        <v>1</v>
      </c>
      <c r="J1016" s="2">
        <v>46003</v>
      </c>
      <c r="K1016" s="5">
        <v>1006291</v>
      </c>
      <c r="L1016" s="5">
        <v>3739</v>
      </c>
      <c r="M1016" s="5">
        <v>11.25</v>
      </c>
      <c r="N1016" s="5">
        <v>562.4</v>
      </c>
      <c r="O1016" s="7">
        <v>45986</v>
      </c>
      <c r="P1016" s="5">
        <v>551.15</v>
      </c>
      <c r="Q1016" s="5">
        <v>11.25</v>
      </c>
      <c r="R1016" s="5" t="s">
        <v>32</v>
      </c>
      <c r="S1016" s="5" t="s">
        <v>33</v>
      </c>
      <c r="T1016" s="5">
        <v>0</v>
      </c>
      <c r="U1016" s="5">
        <v>551.15</v>
      </c>
      <c r="V1016" s="5" t="s">
        <v>34</v>
      </c>
      <c r="W1016" s="5">
        <v>2</v>
      </c>
      <c r="X1016" s="5">
        <v>8406739413759</v>
      </c>
      <c r="Y1016" s="7">
        <v>46003</v>
      </c>
      <c r="Z1016" s="7">
        <v>45986</v>
      </c>
      <c r="AB1016" s="6">
        <v>46003</v>
      </c>
      <c r="AC1016" s="7">
        <v>46000.349305555559</v>
      </c>
      <c r="AD1016" s="5">
        <v>37391006291</v>
      </c>
      <c r="AE1016" s="8">
        <v>45986</v>
      </c>
      <c r="AF1016" s="5" t="s">
        <v>562</v>
      </c>
      <c r="AG1016" s="5" t="s">
        <v>37</v>
      </c>
      <c r="AH1016" s="5">
        <v>204429</v>
      </c>
      <c r="AI1016" s="6">
        <v>45986</v>
      </c>
      <c r="AJ1016" s="6">
        <v>46003</v>
      </c>
      <c r="AK1016" s="1">
        <f t="shared" si="464"/>
        <v>11.247999999999999</v>
      </c>
    </row>
    <row r="1017" spans="1:39" hidden="1" x14ac:dyDescent="0.55000000000000004">
      <c r="A1017">
        <v>3739</v>
      </c>
      <c r="B1017">
        <v>1007163</v>
      </c>
      <c r="C1017">
        <v>-4.3499999999999996</v>
      </c>
      <c r="E1017">
        <v>-4.3499999999999996</v>
      </c>
      <c r="G1017">
        <v>-4.3499999999999996</v>
      </c>
      <c r="H1017"/>
      <c r="I1017"/>
      <c r="J1017" s="2">
        <v>46003</v>
      </c>
      <c r="K1017" s="5">
        <v>1007163</v>
      </c>
      <c r="L1017" s="5">
        <v>3739</v>
      </c>
      <c r="M1017" s="5">
        <v>0</v>
      </c>
      <c r="N1017" s="5">
        <v>-4.3499999999999996</v>
      </c>
      <c r="O1017" s="7">
        <v>45990</v>
      </c>
      <c r="P1017" s="5">
        <v>-4.3499999999999996</v>
      </c>
      <c r="Q1017" s="5">
        <v>0</v>
      </c>
      <c r="R1017" s="5">
        <v>1007163</v>
      </c>
      <c r="S1017" s="5" t="s">
        <v>33</v>
      </c>
      <c r="T1017" s="5">
        <v>0</v>
      </c>
      <c r="U1017" s="5">
        <v>-4.3499999999999996</v>
      </c>
      <c r="V1017" s="5" t="s">
        <v>34</v>
      </c>
      <c r="W1017" s="5">
        <v>2</v>
      </c>
      <c r="X1017" s="5">
        <v>8406739413759</v>
      </c>
      <c r="Y1017" s="7">
        <v>46003</v>
      </c>
      <c r="Z1017" s="7">
        <v>45990</v>
      </c>
      <c r="AB1017" s="6">
        <v>46003</v>
      </c>
      <c r="AC1017" s="7">
        <v>46000.349305555559</v>
      </c>
      <c r="AD1017" s="5">
        <v>37391007163</v>
      </c>
      <c r="AE1017" s="8">
        <v>45990</v>
      </c>
      <c r="AF1017" s="5" t="s">
        <v>32</v>
      </c>
      <c r="AG1017" s="5" t="s">
        <v>65</v>
      </c>
      <c r="AH1017" s="5" t="s">
        <v>32</v>
      </c>
      <c r="AI1017" s="6">
        <v>45990</v>
      </c>
      <c r="AJ1017" s="6">
        <v>46003</v>
      </c>
    </row>
    <row r="1018" spans="1:39" hidden="1" x14ac:dyDescent="0.55000000000000004">
      <c r="A1018">
        <v>3739</v>
      </c>
      <c r="B1018">
        <v>1008283</v>
      </c>
      <c r="C1018">
        <v>-300</v>
      </c>
      <c r="E1018">
        <v>-300</v>
      </c>
      <c r="G1018">
        <v>-300</v>
      </c>
      <c r="H1018"/>
      <c r="I1018"/>
      <c r="J1018" s="2">
        <v>46003</v>
      </c>
      <c r="K1018" s="5">
        <v>1008283</v>
      </c>
      <c r="L1018" s="5">
        <v>3739</v>
      </c>
      <c r="M1018" s="5">
        <v>0</v>
      </c>
      <c r="N1018" s="5">
        <v>-300</v>
      </c>
      <c r="O1018" s="7">
        <v>45995</v>
      </c>
      <c r="P1018" s="5">
        <v>-300</v>
      </c>
      <c r="Q1018" s="5">
        <v>0</v>
      </c>
      <c r="R1018" s="5" t="s">
        <v>40</v>
      </c>
      <c r="S1018" s="5" t="s">
        <v>33</v>
      </c>
      <c r="T1018" s="5">
        <v>0</v>
      </c>
      <c r="U1018" s="5">
        <v>-300</v>
      </c>
      <c r="V1018" s="5" t="s">
        <v>34</v>
      </c>
      <c r="W1018" s="5">
        <v>2</v>
      </c>
      <c r="X1018" s="5">
        <v>8406739413759</v>
      </c>
      <c r="Y1018" s="7">
        <v>46003</v>
      </c>
      <c r="Z1018" s="7">
        <v>45995</v>
      </c>
      <c r="AB1018" s="6">
        <v>46003</v>
      </c>
      <c r="AC1018" s="7">
        <v>46000.349305555559</v>
      </c>
      <c r="AD1018" s="5">
        <v>37391008283</v>
      </c>
      <c r="AE1018" s="8">
        <v>45995</v>
      </c>
      <c r="AF1018" s="5" t="s">
        <v>41</v>
      </c>
      <c r="AG1018" s="5" t="s">
        <v>38</v>
      </c>
      <c r="AH1018" s="5" t="s">
        <v>40</v>
      </c>
      <c r="AI1018" s="6">
        <v>45995</v>
      </c>
      <c r="AJ1018" s="6">
        <v>46003</v>
      </c>
    </row>
    <row r="1019" spans="1:39" hidden="1" x14ac:dyDescent="0.55000000000000004">
      <c r="A1019">
        <v>3746</v>
      </c>
      <c r="B1019">
        <v>1007595</v>
      </c>
      <c r="C1019">
        <v>350</v>
      </c>
      <c r="E1019">
        <v>350</v>
      </c>
      <c r="F1019">
        <v>3.5</v>
      </c>
      <c r="G1019">
        <v>346.5</v>
      </c>
      <c r="H1019"/>
      <c r="I1019"/>
      <c r="J1019" s="2">
        <v>46003</v>
      </c>
      <c r="K1019" s="5">
        <v>1007595</v>
      </c>
      <c r="L1019" s="5">
        <v>3746</v>
      </c>
      <c r="M1019" s="5">
        <v>0</v>
      </c>
      <c r="N1019" s="5">
        <v>350</v>
      </c>
      <c r="O1019" s="7">
        <v>45993</v>
      </c>
      <c r="P1019" s="5">
        <v>350</v>
      </c>
      <c r="Q1019" s="5">
        <v>0</v>
      </c>
      <c r="R1019" s="5" t="s">
        <v>32</v>
      </c>
      <c r="S1019" s="5" t="s">
        <v>33</v>
      </c>
      <c r="T1019" s="5">
        <v>3.5</v>
      </c>
      <c r="U1019" s="5">
        <v>346.5</v>
      </c>
      <c r="V1019" s="5" t="s">
        <v>34</v>
      </c>
      <c r="W1019" s="5">
        <v>2</v>
      </c>
      <c r="X1019" s="5">
        <v>1168129805592</v>
      </c>
      <c r="Y1019" s="7">
        <v>46003</v>
      </c>
      <c r="Z1019" s="7">
        <v>45993</v>
      </c>
      <c r="AB1019" s="6">
        <v>46003</v>
      </c>
      <c r="AC1019" s="7">
        <v>45999.419444444444</v>
      </c>
      <c r="AD1019" s="5">
        <v>37461007595</v>
      </c>
      <c r="AE1019" s="8">
        <v>45993</v>
      </c>
      <c r="AF1019" s="5" t="s">
        <v>32</v>
      </c>
      <c r="AG1019" s="5" t="s">
        <v>82</v>
      </c>
      <c r="AH1019" s="5" t="s">
        <v>32</v>
      </c>
      <c r="AI1019" s="6">
        <v>45993</v>
      </c>
      <c r="AJ1019" s="6">
        <v>46003</v>
      </c>
    </row>
    <row r="1020" spans="1:39" x14ac:dyDescent="0.55000000000000004">
      <c r="A1020">
        <v>3753</v>
      </c>
      <c r="B1020">
        <v>1007336</v>
      </c>
      <c r="C1020">
        <v>82.28</v>
      </c>
      <c r="E1020">
        <v>82.28</v>
      </c>
      <c r="F1020">
        <v>0.82</v>
      </c>
      <c r="G1020">
        <v>82.28</v>
      </c>
      <c r="H1020" s="14">
        <f t="shared" ref="H1020:H1022" si="466">C1020-D1020-F1020</f>
        <v>81.460000000000008</v>
      </c>
      <c r="I1020" s="14" t="b">
        <f t="shared" ref="I1020:I1022" si="467">G1020=H1020</f>
        <v>0</v>
      </c>
      <c r="J1020" s="2">
        <v>46003</v>
      </c>
      <c r="K1020" s="5">
        <v>1007336</v>
      </c>
      <c r="L1020" s="5">
        <v>3753</v>
      </c>
      <c r="M1020" s="5">
        <v>0</v>
      </c>
      <c r="N1020" s="5">
        <v>82.28</v>
      </c>
      <c r="O1020" s="7">
        <v>45992</v>
      </c>
      <c r="P1020" s="5">
        <v>82.28</v>
      </c>
      <c r="Q1020" s="5">
        <v>0</v>
      </c>
      <c r="R1020" s="5" t="s">
        <v>32</v>
      </c>
      <c r="S1020" s="5" t="s">
        <v>33</v>
      </c>
      <c r="T1020" s="5">
        <v>0.82</v>
      </c>
      <c r="U1020" s="5">
        <v>82.28</v>
      </c>
      <c r="V1020" s="5" t="s">
        <v>34</v>
      </c>
      <c r="W1020" s="5">
        <v>2</v>
      </c>
      <c r="X1020" s="5">
        <v>8557217166295</v>
      </c>
      <c r="Y1020" s="7">
        <v>46003</v>
      </c>
      <c r="Z1020" s="7">
        <v>45992</v>
      </c>
      <c r="AB1020" s="6">
        <v>46003</v>
      </c>
      <c r="AC1020" s="7">
        <v>46002.850694444445</v>
      </c>
      <c r="AD1020" s="5">
        <v>37531007336</v>
      </c>
      <c r="AE1020" s="8">
        <v>45992</v>
      </c>
      <c r="AF1020" s="5" t="s">
        <v>564</v>
      </c>
      <c r="AG1020" s="5" t="s">
        <v>37</v>
      </c>
      <c r="AH1020" s="5">
        <v>205860</v>
      </c>
      <c r="AI1020" s="6">
        <v>45992</v>
      </c>
      <c r="AJ1020" s="6">
        <v>46003</v>
      </c>
      <c r="AK1020" s="1">
        <f t="shared" ref="AK1020:AK1022" si="468">0.02*C1020</f>
        <v>1.6456</v>
      </c>
      <c r="AL1020" t="s">
        <v>673</v>
      </c>
      <c r="AM1020">
        <f t="shared" ref="AM1020:AM1022" si="469">F1020</f>
        <v>0.82</v>
      </c>
    </row>
    <row r="1021" spans="1:39" x14ac:dyDescent="0.55000000000000004">
      <c r="A1021">
        <v>3753</v>
      </c>
      <c r="B1021">
        <v>1007340</v>
      </c>
      <c r="C1021">
        <v>96.48</v>
      </c>
      <c r="E1021">
        <v>96.48</v>
      </c>
      <c r="F1021">
        <v>0.96</v>
      </c>
      <c r="G1021">
        <v>96.48</v>
      </c>
      <c r="H1021" s="14">
        <f t="shared" si="466"/>
        <v>95.52000000000001</v>
      </c>
      <c r="I1021" s="14" t="b">
        <f t="shared" si="467"/>
        <v>0</v>
      </c>
      <c r="J1021" s="2">
        <v>46003</v>
      </c>
      <c r="K1021" s="5">
        <v>1007340</v>
      </c>
      <c r="L1021" s="5">
        <v>3753</v>
      </c>
      <c r="M1021" s="5">
        <v>0</v>
      </c>
      <c r="N1021" s="5">
        <v>96.48</v>
      </c>
      <c r="O1021" s="7">
        <v>45992</v>
      </c>
      <c r="P1021" s="5">
        <v>96.48</v>
      </c>
      <c r="Q1021" s="5">
        <v>0</v>
      </c>
      <c r="R1021" s="5" t="s">
        <v>32</v>
      </c>
      <c r="S1021" s="5" t="s">
        <v>33</v>
      </c>
      <c r="T1021" s="5">
        <v>0.96</v>
      </c>
      <c r="U1021" s="5">
        <v>96.48</v>
      </c>
      <c r="V1021" s="5" t="s">
        <v>34</v>
      </c>
      <c r="W1021" s="5">
        <v>2</v>
      </c>
      <c r="X1021" s="5">
        <v>8557217166295</v>
      </c>
      <c r="Y1021" s="7">
        <v>46003</v>
      </c>
      <c r="Z1021" s="7">
        <v>45992</v>
      </c>
      <c r="AB1021" s="6">
        <v>46003</v>
      </c>
      <c r="AC1021" s="7">
        <v>46002.850694444445</v>
      </c>
      <c r="AD1021" s="5">
        <v>37531007340</v>
      </c>
      <c r="AE1021" s="8">
        <v>45992</v>
      </c>
      <c r="AF1021" s="5">
        <v>11252025</v>
      </c>
      <c r="AG1021" s="5" t="s">
        <v>37</v>
      </c>
      <c r="AH1021" s="5">
        <v>205861</v>
      </c>
      <c r="AI1021" s="6">
        <v>45992</v>
      </c>
      <c r="AJ1021" s="6">
        <v>46003</v>
      </c>
      <c r="AK1021" s="1">
        <f t="shared" si="468"/>
        <v>1.9296000000000002</v>
      </c>
      <c r="AL1021" t="s">
        <v>673</v>
      </c>
      <c r="AM1021">
        <f t="shared" si="469"/>
        <v>0.96</v>
      </c>
    </row>
    <row r="1022" spans="1:39" x14ac:dyDescent="0.55000000000000004">
      <c r="A1022">
        <v>3753</v>
      </c>
      <c r="B1022">
        <v>1007488</v>
      </c>
      <c r="C1022">
        <v>507.44</v>
      </c>
      <c r="E1022">
        <v>507.44</v>
      </c>
      <c r="F1022">
        <v>5.07</v>
      </c>
      <c r="G1022">
        <v>507.44</v>
      </c>
      <c r="H1022" s="14">
        <f t="shared" si="466"/>
        <v>502.37</v>
      </c>
      <c r="I1022" s="14" t="b">
        <f t="shared" si="467"/>
        <v>0</v>
      </c>
      <c r="J1022" s="2">
        <v>46003</v>
      </c>
      <c r="K1022" s="5">
        <v>1007488</v>
      </c>
      <c r="L1022" s="5">
        <v>3753</v>
      </c>
      <c r="M1022" s="5">
        <v>0</v>
      </c>
      <c r="N1022" s="5">
        <v>507.44</v>
      </c>
      <c r="O1022" s="7">
        <v>45992</v>
      </c>
      <c r="P1022" s="5">
        <v>507.44</v>
      </c>
      <c r="Q1022" s="5">
        <v>0</v>
      </c>
      <c r="R1022" s="5" t="s">
        <v>32</v>
      </c>
      <c r="S1022" s="5" t="s">
        <v>33</v>
      </c>
      <c r="T1022" s="5">
        <v>5.07</v>
      </c>
      <c r="U1022" s="5">
        <v>507.44</v>
      </c>
      <c r="V1022" s="5" t="s">
        <v>34</v>
      </c>
      <c r="W1022" s="5">
        <v>2</v>
      </c>
      <c r="X1022" s="5">
        <v>8557217166295</v>
      </c>
      <c r="Y1022" s="7">
        <v>46003</v>
      </c>
      <c r="Z1022" s="7">
        <v>45992</v>
      </c>
      <c r="AB1022" s="6">
        <v>46003</v>
      </c>
      <c r="AC1022" s="7">
        <v>46002.850694444445</v>
      </c>
      <c r="AD1022" s="5">
        <v>37531007488</v>
      </c>
      <c r="AE1022" s="8">
        <v>45992</v>
      </c>
      <c r="AF1022" s="5">
        <v>10232025</v>
      </c>
      <c r="AG1022" s="5" t="s">
        <v>37</v>
      </c>
      <c r="AH1022" s="5">
        <v>206019</v>
      </c>
      <c r="AI1022" s="6">
        <v>45992</v>
      </c>
      <c r="AJ1022" s="6">
        <v>46003</v>
      </c>
      <c r="AK1022" s="1">
        <f t="shared" si="468"/>
        <v>10.1488</v>
      </c>
      <c r="AL1022" t="s">
        <v>673</v>
      </c>
      <c r="AM1022">
        <f t="shared" si="469"/>
        <v>5.07</v>
      </c>
    </row>
    <row r="1023" spans="1:39" hidden="1" x14ac:dyDescent="0.55000000000000004">
      <c r="A1023">
        <v>3753</v>
      </c>
      <c r="B1023">
        <v>1007623</v>
      </c>
      <c r="C1023">
        <v>350</v>
      </c>
      <c r="E1023">
        <v>350</v>
      </c>
      <c r="F1023">
        <v>3.5</v>
      </c>
      <c r="G1023">
        <v>346.5</v>
      </c>
      <c r="H1023"/>
      <c r="I1023"/>
      <c r="J1023" s="2">
        <v>46003</v>
      </c>
      <c r="K1023" s="5">
        <v>1007623</v>
      </c>
      <c r="L1023" s="5">
        <v>3753</v>
      </c>
      <c r="M1023" s="5">
        <v>0</v>
      </c>
      <c r="N1023" s="5">
        <v>350</v>
      </c>
      <c r="O1023" s="7">
        <v>45993</v>
      </c>
      <c r="P1023" s="5">
        <v>350</v>
      </c>
      <c r="Q1023" s="5">
        <v>0</v>
      </c>
      <c r="R1023" s="5" t="s">
        <v>32</v>
      </c>
      <c r="S1023" s="5" t="s">
        <v>33</v>
      </c>
      <c r="T1023" s="5">
        <v>3.5</v>
      </c>
      <c r="U1023" s="5">
        <v>346.5</v>
      </c>
      <c r="V1023" s="5" t="s">
        <v>34</v>
      </c>
      <c r="W1023" s="5">
        <v>2</v>
      </c>
      <c r="X1023" s="5">
        <v>8557217166295</v>
      </c>
      <c r="Y1023" s="7">
        <v>46003</v>
      </c>
      <c r="Z1023" s="7">
        <v>45993</v>
      </c>
      <c r="AB1023" s="6">
        <v>46003</v>
      </c>
      <c r="AC1023" s="7">
        <v>46002.850694444445</v>
      </c>
      <c r="AD1023" s="5">
        <v>37531007623</v>
      </c>
      <c r="AE1023" s="8">
        <v>45993</v>
      </c>
      <c r="AF1023" s="5" t="s">
        <v>32</v>
      </c>
      <c r="AG1023" s="5" t="s">
        <v>82</v>
      </c>
      <c r="AH1023" s="5" t="s">
        <v>32</v>
      </c>
      <c r="AI1023" s="6">
        <v>45993</v>
      </c>
      <c r="AJ1023" s="6">
        <v>46003</v>
      </c>
    </row>
    <row r="1024" spans="1:39" hidden="1" x14ac:dyDescent="0.55000000000000004">
      <c r="A1024">
        <v>3753</v>
      </c>
      <c r="B1024">
        <v>1007703</v>
      </c>
      <c r="C1024" s="1">
        <v>1739.21</v>
      </c>
      <c r="E1024" s="1">
        <v>1739.21</v>
      </c>
      <c r="F1024">
        <v>17.39</v>
      </c>
      <c r="G1024" s="1">
        <v>1721.82</v>
      </c>
      <c r="H1024" s="1"/>
      <c r="I1024" s="1"/>
      <c r="J1024" s="2">
        <v>46003</v>
      </c>
      <c r="K1024" s="5">
        <v>1007703</v>
      </c>
      <c r="L1024" s="5">
        <v>3753</v>
      </c>
      <c r="M1024" s="5">
        <v>0</v>
      </c>
      <c r="N1024" s="5">
        <v>1739.21</v>
      </c>
      <c r="O1024" s="7">
        <v>45993</v>
      </c>
      <c r="P1024" s="5">
        <v>1739.21</v>
      </c>
      <c r="Q1024" s="5">
        <v>0</v>
      </c>
      <c r="R1024" s="5" t="s">
        <v>32</v>
      </c>
      <c r="S1024" s="5" t="s">
        <v>33</v>
      </c>
      <c r="T1024" s="5">
        <v>17.39</v>
      </c>
      <c r="U1024" s="5">
        <v>1721.82</v>
      </c>
      <c r="V1024" s="5" t="s">
        <v>34</v>
      </c>
      <c r="W1024" s="5">
        <v>2</v>
      </c>
      <c r="X1024" s="5">
        <v>8557217166295</v>
      </c>
      <c r="Y1024" s="7">
        <v>46003</v>
      </c>
      <c r="Z1024" s="7">
        <v>45993</v>
      </c>
      <c r="AB1024" s="6">
        <v>46003</v>
      </c>
      <c r="AC1024" s="7">
        <v>46002.850694444445</v>
      </c>
      <c r="AD1024" s="5">
        <v>37531007703</v>
      </c>
      <c r="AE1024" s="8">
        <v>45993</v>
      </c>
      <c r="AF1024" s="5">
        <v>9252025</v>
      </c>
      <c r="AG1024" s="5" t="s">
        <v>38</v>
      </c>
      <c r="AH1024" s="5">
        <v>206130</v>
      </c>
      <c r="AI1024" s="6">
        <v>45993</v>
      </c>
      <c r="AJ1024" s="6">
        <v>46003</v>
      </c>
    </row>
    <row r="1025" spans="1:39" x14ac:dyDescent="0.55000000000000004">
      <c r="A1025">
        <v>3753</v>
      </c>
      <c r="B1025">
        <v>1007776</v>
      </c>
      <c r="C1025" s="1">
        <v>2286.7800000000002</v>
      </c>
      <c r="E1025" s="1">
        <v>2286.7800000000002</v>
      </c>
      <c r="F1025">
        <v>22.87</v>
      </c>
      <c r="G1025" s="1">
        <v>2286.7800000000002</v>
      </c>
      <c r="H1025" s="14">
        <f>C1025-D1025-F1025</f>
        <v>2263.9100000000003</v>
      </c>
      <c r="I1025" s="14" t="b">
        <f>G1025=H1025</f>
        <v>0</v>
      </c>
      <c r="J1025" s="2">
        <v>46003</v>
      </c>
      <c r="K1025" s="5">
        <v>1007776</v>
      </c>
      <c r="L1025" s="5">
        <v>3753</v>
      </c>
      <c r="M1025" s="5">
        <v>0</v>
      </c>
      <c r="N1025" s="5">
        <v>2286.7800000000002</v>
      </c>
      <c r="O1025" s="7">
        <v>45993</v>
      </c>
      <c r="P1025" s="5">
        <v>2286.7800000000002</v>
      </c>
      <c r="Q1025" s="5">
        <v>0</v>
      </c>
      <c r="R1025" s="5" t="s">
        <v>32</v>
      </c>
      <c r="S1025" s="5" t="s">
        <v>33</v>
      </c>
      <c r="T1025" s="5">
        <v>22.87</v>
      </c>
      <c r="U1025" s="5">
        <v>2286.7800000000002</v>
      </c>
      <c r="V1025" s="5" t="s">
        <v>34</v>
      </c>
      <c r="W1025" s="5">
        <v>2</v>
      </c>
      <c r="X1025" s="5">
        <v>8557217166295</v>
      </c>
      <c r="Y1025" s="7">
        <v>46003</v>
      </c>
      <c r="Z1025" s="7">
        <v>45993</v>
      </c>
      <c r="AB1025" s="6">
        <v>46003</v>
      </c>
      <c r="AC1025" s="7">
        <v>46002.850694444445</v>
      </c>
      <c r="AD1025" s="5">
        <v>37531007776</v>
      </c>
      <c r="AE1025" s="8">
        <v>45993</v>
      </c>
      <c r="AF1025" s="5">
        <v>10232025</v>
      </c>
      <c r="AG1025" s="5" t="s">
        <v>37</v>
      </c>
      <c r="AH1025" s="5">
        <v>205979</v>
      </c>
      <c r="AI1025" s="6">
        <v>45993</v>
      </c>
      <c r="AJ1025" s="6">
        <v>46003</v>
      </c>
      <c r="AK1025" s="1">
        <f t="shared" ref="AK1025" si="470">0.02*C1025</f>
        <v>45.735600000000005</v>
      </c>
      <c r="AL1025" t="s">
        <v>673</v>
      </c>
      <c r="AM1025">
        <f>F1025</f>
        <v>22.87</v>
      </c>
    </row>
    <row r="1026" spans="1:39" hidden="1" x14ac:dyDescent="0.55000000000000004">
      <c r="A1026">
        <v>3753</v>
      </c>
      <c r="B1026">
        <v>1007884</v>
      </c>
      <c r="C1026">
        <v>566.96</v>
      </c>
      <c r="E1026">
        <v>566.96</v>
      </c>
      <c r="F1026">
        <v>5.67</v>
      </c>
      <c r="G1026">
        <v>561.29</v>
      </c>
      <c r="H1026"/>
      <c r="I1026"/>
      <c r="J1026" s="2">
        <v>46003</v>
      </c>
      <c r="K1026" s="5">
        <v>1007884</v>
      </c>
      <c r="L1026" s="5">
        <v>3753</v>
      </c>
      <c r="M1026" s="5">
        <v>0</v>
      </c>
      <c r="N1026" s="5">
        <v>566.96</v>
      </c>
      <c r="O1026" s="7">
        <v>45994</v>
      </c>
      <c r="P1026" s="5">
        <v>566.96</v>
      </c>
      <c r="Q1026" s="5">
        <v>0</v>
      </c>
      <c r="R1026" s="5" t="s">
        <v>32</v>
      </c>
      <c r="S1026" s="5" t="s">
        <v>33</v>
      </c>
      <c r="T1026" s="5">
        <v>5.67</v>
      </c>
      <c r="U1026" s="5">
        <v>561.29</v>
      </c>
      <c r="V1026" s="5" t="s">
        <v>34</v>
      </c>
      <c r="W1026" s="5">
        <v>2</v>
      </c>
      <c r="X1026" s="5">
        <v>8557217166295</v>
      </c>
      <c r="Y1026" s="7">
        <v>46003</v>
      </c>
      <c r="Z1026" s="7">
        <v>45994</v>
      </c>
      <c r="AB1026" s="6">
        <v>46003</v>
      </c>
      <c r="AC1026" s="7">
        <v>46002.850694444445</v>
      </c>
      <c r="AD1026" s="5">
        <v>37531007884</v>
      </c>
      <c r="AE1026" s="8">
        <v>45994</v>
      </c>
      <c r="AF1026" s="5">
        <v>11272024</v>
      </c>
      <c r="AG1026" s="5" t="s">
        <v>38</v>
      </c>
      <c r="AH1026" s="5">
        <v>206475</v>
      </c>
      <c r="AI1026" s="6">
        <v>45994</v>
      </c>
      <c r="AJ1026" s="6">
        <v>46003</v>
      </c>
    </row>
    <row r="1027" spans="1:39" x14ac:dyDescent="0.55000000000000004">
      <c r="A1027">
        <v>3753</v>
      </c>
      <c r="B1027">
        <v>1008048</v>
      </c>
      <c r="C1027" s="1">
        <v>1783.24</v>
      </c>
      <c r="E1027" s="1">
        <v>1783.24</v>
      </c>
      <c r="F1027">
        <v>17.829999999999998</v>
      </c>
      <c r="G1027" s="1">
        <v>1783.24</v>
      </c>
      <c r="H1027" s="14">
        <f t="shared" ref="H1027:H1028" si="471">C1027-D1027-F1027</f>
        <v>1765.41</v>
      </c>
      <c r="I1027" s="14" t="b">
        <f t="shared" ref="I1027:I1028" si="472">G1027=H1027</f>
        <v>0</v>
      </c>
      <c r="J1027" s="2">
        <v>46003</v>
      </c>
      <c r="K1027" s="5">
        <v>1008048</v>
      </c>
      <c r="L1027" s="5">
        <v>3753</v>
      </c>
      <c r="M1027" s="5">
        <v>0</v>
      </c>
      <c r="N1027" s="5">
        <v>1783.24</v>
      </c>
      <c r="O1027" s="7">
        <v>45994</v>
      </c>
      <c r="P1027" s="5">
        <v>1783.24</v>
      </c>
      <c r="Q1027" s="5">
        <v>0</v>
      </c>
      <c r="R1027" s="5" t="s">
        <v>32</v>
      </c>
      <c r="S1027" s="5" t="s">
        <v>33</v>
      </c>
      <c r="T1027" s="5">
        <v>17.829999999999998</v>
      </c>
      <c r="U1027" s="5">
        <v>1783.24</v>
      </c>
      <c r="V1027" s="5" t="s">
        <v>34</v>
      </c>
      <c r="W1027" s="5">
        <v>2</v>
      </c>
      <c r="X1027" s="5">
        <v>8557217166295</v>
      </c>
      <c r="Y1027" s="7">
        <v>46003</v>
      </c>
      <c r="Z1027" s="7">
        <v>45994</v>
      </c>
      <c r="AB1027" s="6">
        <v>46003</v>
      </c>
      <c r="AC1027" s="7">
        <v>46002.850694444445</v>
      </c>
      <c r="AD1027" s="5">
        <v>37531008048</v>
      </c>
      <c r="AE1027" s="8">
        <v>45994</v>
      </c>
      <c r="AF1027" s="5" t="s">
        <v>565</v>
      </c>
      <c r="AG1027" s="5" t="s">
        <v>37</v>
      </c>
      <c r="AH1027" s="5">
        <v>206522</v>
      </c>
      <c r="AI1027" s="6">
        <v>45994</v>
      </c>
      <c r="AJ1027" s="6">
        <v>46003</v>
      </c>
      <c r="AK1027" s="1">
        <f t="shared" ref="AK1027:AK1028" si="473">0.02*C1027</f>
        <v>35.6648</v>
      </c>
      <c r="AL1027" t="s">
        <v>673</v>
      </c>
      <c r="AM1027">
        <f t="shared" ref="AM1027:AM1028" si="474">F1027</f>
        <v>17.829999999999998</v>
      </c>
    </row>
    <row r="1028" spans="1:39" x14ac:dyDescent="0.55000000000000004">
      <c r="A1028">
        <v>3753</v>
      </c>
      <c r="B1028">
        <v>1008241</v>
      </c>
      <c r="C1028">
        <v>54</v>
      </c>
      <c r="E1028">
        <v>54</v>
      </c>
      <c r="F1028">
        <v>0.54</v>
      </c>
      <c r="G1028">
        <v>54</v>
      </c>
      <c r="H1028" s="14">
        <f t="shared" si="471"/>
        <v>53.46</v>
      </c>
      <c r="I1028" s="14" t="b">
        <f t="shared" si="472"/>
        <v>0</v>
      </c>
      <c r="J1028" s="2">
        <v>46003</v>
      </c>
      <c r="K1028" s="5">
        <v>1008241</v>
      </c>
      <c r="L1028" s="5">
        <v>3753</v>
      </c>
      <c r="M1028" s="5">
        <v>0</v>
      </c>
      <c r="N1028" s="5">
        <v>54</v>
      </c>
      <c r="O1028" s="7">
        <v>45995</v>
      </c>
      <c r="P1028" s="5">
        <v>54</v>
      </c>
      <c r="Q1028" s="5">
        <v>0</v>
      </c>
      <c r="R1028" s="5" t="s">
        <v>32</v>
      </c>
      <c r="S1028" s="5" t="s">
        <v>33</v>
      </c>
      <c r="T1028" s="5">
        <v>0.54</v>
      </c>
      <c r="U1028" s="5">
        <v>54</v>
      </c>
      <c r="V1028" s="5" t="s">
        <v>34</v>
      </c>
      <c r="W1028" s="5">
        <v>2</v>
      </c>
      <c r="X1028" s="5">
        <v>8557217166295</v>
      </c>
      <c r="Y1028" s="7">
        <v>46003</v>
      </c>
      <c r="Z1028" s="7">
        <v>45995</v>
      </c>
      <c r="AB1028" s="6">
        <v>46003</v>
      </c>
      <c r="AC1028" s="7">
        <v>46002.850694444445</v>
      </c>
      <c r="AD1028" s="5">
        <v>37531008241</v>
      </c>
      <c r="AE1028" s="8">
        <v>45995</v>
      </c>
      <c r="AF1028" s="5" t="s">
        <v>565</v>
      </c>
      <c r="AG1028" s="5" t="s">
        <v>37</v>
      </c>
      <c r="AH1028" s="5">
        <v>206532</v>
      </c>
      <c r="AI1028" s="6">
        <v>45995</v>
      </c>
      <c r="AJ1028" s="6">
        <v>46003</v>
      </c>
      <c r="AK1028" s="1">
        <f t="shared" si="473"/>
        <v>1.08</v>
      </c>
      <c r="AL1028" t="s">
        <v>673</v>
      </c>
      <c r="AM1028">
        <f t="shared" si="474"/>
        <v>0.54</v>
      </c>
    </row>
    <row r="1029" spans="1:39" hidden="1" x14ac:dyDescent="0.55000000000000004">
      <c r="A1029">
        <v>3753</v>
      </c>
      <c r="B1029">
        <v>1008273</v>
      </c>
      <c r="C1029">
        <v>-50</v>
      </c>
      <c r="E1029">
        <v>-50</v>
      </c>
      <c r="G1029">
        <v>-50</v>
      </c>
      <c r="H1029"/>
      <c r="I1029"/>
      <c r="J1029" s="2">
        <v>46003</v>
      </c>
      <c r="K1029" s="5">
        <v>1008273</v>
      </c>
      <c r="L1029" s="5">
        <v>3753</v>
      </c>
      <c r="M1029" s="5">
        <v>0</v>
      </c>
      <c r="N1029" s="5">
        <v>-50</v>
      </c>
      <c r="O1029" s="7">
        <v>45995</v>
      </c>
      <c r="P1029" s="5">
        <v>-50</v>
      </c>
      <c r="Q1029" s="5">
        <v>0</v>
      </c>
      <c r="R1029" s="5" t="s">
        <v>40</v>
      </c>
      <c r="S1029" s="5" t="s">
        <v>33</v>
      </c>
      <c r="T1029" s="5">
        <v>0</v>
      </c>
      <c r="U1029" s="5">
        <v>-50</v>
      </c>
      <c r="V1029" s="5" t="s">
        <v>34</v>
      </c>
      <c r="W1029" s="5">
        <v>2</v>
      </c>
      <c r="X1029" s="5">
        <v>8557217166295</v>
      </c>
      <c r="Y1029" s="7">
        <v>46003</v>
      </c>
      <c r="Z1029" s="7">
        <v>45995</v>
      </c>
      <c r="AB1029" s="6">
        <v>46003</v>
      </c>
      <c r="AC1029" s="7">
        <v>46002.850694444445</v>
      </c>
      <c r="AD1029" s="5">
        <v>37531008273</v>
      </c>
      <c r="AE1029" s="8">
        <v>45995</v>
      </c>
      <c r="AF1029" s="5" t="s">
        <v>41</v>
      </c>
      <c r="AG1029" s="5" t="s">
        <v>38</v>
      </c>
      <c r="AH1029" s="5" t="s">
        <v>40</v>
      </c>
      <c r="AI1029" s="6">
        <v>45995</v>
      </c>
      <c r="AJ1029" s="6">
        <v>46003</v>
      </c>
    </row>
    <row r="1030" spans="1:39" x14ac:dyDescent="0.55000000000000004">
      <c r="A1030">
        <v>3753</v>
      </c>
      <c r="B1030">
        <v>1008306</v>
      </c>
      <c r="C1030" s="1">
        <v>4223.1499999999996</v>
      </c>
      <c r="E1030" s="1">
        <v>4223.1499999999996</v>
      </c>
      <c r="F1030">
        <v>42.23</v>
      </c>
      <c r="G1030" s="1">
        <v>4223.1499999999996</v>
      </c>
      <c r="H1030" s="14">
        <f>C1030-D1030-F1030</f>
        <v>4180.92</v>
      </c>
      <c r="I1030" s="14" t="b">
        <f>G1030=H1030</f>
        <v>0</v>
      </c>
      <c r="J1030" s="2">
        <v>46003</v>
      </c>
      <c r="K1030" s="5">
        <v>1008306</v>
      </c>
      <c r="L1030" s="5">
        <v>3753</v>
      </c>
      <c r="M1030" s="5">
        <v>0</v>
      </c>
      <c r="N1030" s="5">
        <v>4223.1499999999996</v>
      </c>
      <c r="O1030" s="7">
        <v>45996</v>
      </c>
      <c r="P1030" s="5">
        <v>4223.1499999999996</v>
      </c>
      <c r="Q1030" s="5">
        <v>0</v>
      </c>
      <c r="R1030" s="5" t="s">
        <v>566</v>
      </c>
      <c r="S1030" s="5" t="s">
        <v>265</v>
      </c>
      <c r="T1030" s="5">
        <v>42.23</v>
      </c>
      <c r="U1030" s="5">
        <v>4223.1499999999996</v>
      </c>
      <c r="V1030" s="5" t="s">
        <v>34</v>
      </c>
      <c r="W1030" s="5">
        <v>2</v>
      </c>
      <c r="X1030" s="5">
        <v>8557217166295</v>
      </c>
      <c r="Y1030" s="7">
        <v>46003</v>
      </c>
      <c r="Z1030" s="7">
        <v>45996</v>
      </c>
      <c r="AB1030" s="6">
        <v>46003</v>
      </c>
      <c r="AC1030" s="7">
        <v>46002.850694444445</v>
      </c>
      <c r="AD1030" s="5">
        <v>37531008306</v>
      </c>
      <c r="AE1030" s="8">
        <v>45996</v>
      </c>
      <c r="AF1030" s="5" t="s">
        <v>567</v>
      </c>
      <c r="AG1030" s="5" t="s">
        <v>37</v>
      </c>
      <c r="AH1030" s="5" t="s">
        <v>566</v>
      </c>
      <c r="AI1030" s="6">
        <v>45996</v>
      </c>
      <c r="AJ1030" s="6">
        <v>46003</v>
      </c>
      <c r="AK1030" s="1">
        <f t="shared" ref="AK1030" si="475">0.02*C1030</f>
        <v>84.462999999999994</v>
      </c>
      <c r="AL1030" t="s">
        <v>673</v>
      </c>
      <c r="AM1030">
        <f>F1030</f>
        <v>42.23</v>
      </c>
    </row>
    <row r="1031" spans="1:39" hidden="1" x14ac:dyDescent="0.55000000000000004">
      <c r="A1031">
        <v>3753</v>
      </c>
      <c r="B1031">
        <v>1008978</v>
      </c>
      <c r="C1031">
        <v>-300</v>
      </c>
      <c r="E1031">
        <v>-300</v>
      </c>
      <c r="G1031">
        <v>-300</v>
      </c>
      <c r="H1031"/>
      <c r="I1031"/>
      <c r="J1031" s="2">
        <v>46003</v>
      </c>
      <c r="K1031" s="5">
        <v>1008978</v>
      </c>
      <c r="L1031" s="5">
        <v>3753</v>
      </c>
      <c r="M1031" s="5">
        <v>0</v>
      </c>
      <c r="N1031" s="5">
        <v>-300</v>
      </c>
      <c r="O1031" s="7">
        <v>46000</v>
      </c>
      <c r="P1031" s="5">
        <v>-300</v>
      </c>
      <c r="Q1031" s="5">
        <v>0</v>
      </c>
      <c r="R1031" s="5">
        <v>1008978</v>
      </c>
      <c r="S1031" s="5" t="s">
        <v>33</v>
      </c>
      <c r="T1031" s="5">
        <v>0</v>
      </c>
      <c r="U1031" s="5">
        <v>-300</v>
      </c>
      <c r="V1031" s="5" t="s">
        <v>34</v>
      </c>
      <c r="W1031" s="5">
        <v>2</v>
      </c>
      <c r="X1031" s="5">
        <v>8557217166295</v>
      </c>
      <c r="Y1031" s="7">
        <v>46003</v>
      </c>
      <c r="Z1031" s="7">
        <v>46000</v>
      </c>
      <c r="AB1031" s="6">
        <v>46003</v>
      </c>
      <c r="AC1031" s="7">
        <v>46002.850694444445</v>
      </c>
      <c r="AD1031" s="5">
        <v>37531008978</v>
      </c>
      <c r="AE1031" s="8">
        <v>46000</v>
      </c>
      <c r="AF1031" s="5" t="s">
        <v>568</v>
      </c>
      <c r="AG1031" s="5" t="s">
        <v>38</v>
      </c>
      <c r="AH1031" s="5" t="s">
        <v>569</v>
      </c>
      <c r="AI1031" s="6">
        <v>46000</v>
      </c>
      <c r="AJ1031" s="6">
        <v>46003</v>
      </c>
    </row>
    <row r="1032" spans="1:39" hidden="1" x14ac:dyDescent="0.55000000000000004">
      <c r="A1032">
        <v>3760</v>
      </c>
      <c r="B1032">
        <v>1007660</v>
      </c>
      <c r="C1032" s="1">
        <v>3990</v>
      </c>
      <c r="E1032" s="1">
        <v>3990</v>
      </c>
      <c r="F1032">
        <v>39.9</v>
      </c>
      <c r="G1032" s="1">
        <v>3950.1</v>
      </c>
      <c r="H1032" s="1"/>
      <c r="I1032" s="1"/>
      <c r="J1032" s="2">
        <v>46003</v>
      </c>
      <c r="K1032" s="5">
        <v>1007660</v>
      </c>
      <c r="L1032" s="5">
        <v>3760</v>
      </c>
      <c r="M1032" s="5">
        <v>0</v>
      </c>
      <c r="N1032" s="5">
        <v>3990</v>
      </c>
      <c r="O1032" s="7">
        <v>45993</v>
      </c>
      <c r="P1032" s="5">
        <v>3990</v>
      </c>
      <c r="Q1032" s="5">
        <v>0</v>
      </c>
      <c r="R1032" s="5" t="s">
        <v>32</v>
      </c>
      <c r="S1032" s="5" t="s">
        <v>33</v>
      </c>
      <c r="T1032" s="5">
        <v>39.9</v>
      </c>
      <c r="U1032" s="5">
        <v>3950.1</v>
      </c>
      <c r="V1032" s="5" t="s">
        <v>34</v>
      </c>
      <c r="W1032" s="5">
        <v>2</v>
      </c>
      <c r="X1032" s="5">
        <v>8691061538147</v>
      </c>
      <c r="Y1032" s="7">
        <v>46003</v>
      </c>
      <c r="Z1032" s="7">
        <v>45993</v>
      </c>
      <c r="AB1032" s="6">
        <v>46003</v>
      </c>
      <c r="AC1032" s="7">
        <v>45999.623611111114</v>
      </c>
      <c r="AD1032" s="5">
        <v>37601007660</v>
      </c>
      <c r="AE1032" s="8">
        <v>45993</v>
      </c>
      <c r="AF1032" s="5" t="s">
        <v>32</v>
      </c>
      <c r="AG1032" s="5" t="s">
        <v>35</v>
      </c>
      <c r="AH1032" s="5" t="s">
        <v>32</v>
      </c>
      <c r="AI1032" s="6">
        <v>45993</v>
      </c>
      <c r="AJ1032" s="6">
        <v>46003</v>
      </c>
    </row>
    <row r="1033" spans="1:39" hidden="1" x14ac:dyDescent="0.55000000000000004">
      <c r="A1033">
        <v>3760</v>
      </c>
      <c r="B1033">
        <v>1007691</v>
      </c>
      <c r="C1033">
        <v>190.1</v>
      </c>
      <c r="E1033">
        <v>190.1</v>
      </c>
      <c r="F1033">
        <v>1.9</v>
      </c>
      <c r="G1033">
        <v>188.2</v>
      </c>
      <c r="H1033"/>
      <c r="I1033"/>
      <c r="J1033" s="2">
        <v>46003</v>
      </c>
      <c r="K1033" s="5">
        <v>1007691</v>
      </c>
      <c r="L1033" s="5">
        <v>3760</v>
      </c>
      <c r="M1033" s="5">
        <v>0</v>
      </c>
      <c r="N1033" s="5">
        <v>190.1</v>
      </c>
      <c r="O1033" s="7">
        <v>45993</v>
      </c>
      <c r="P1033" s="5">
        <v>190.1</v>
      </c>
      <c r="Q1033" s="5">
        <v>0</v>
      </c>
      <c r="R1033" s="5" t="s">
        <v>32</v>
      </c>
      <c r="S1033" s="5" t="s">
        <v>33</v>
      </c>
      <c r="T1033" s="5">
        <v>1.9</v>
      </c>
      <c r="U1033" s="5">
        <v>188.2</v>
      </c>
      <c r="V1033" s="5" t="s">
        <v>34</v>
      </c>
      <c r="W1033" s="5">
        <v>2</v>
      </c>
      <c r="X1033" s="5">
        <v>8691061538147</v>
      </c>
      <c r="Y1033" s="7">
        <v>46003</v>
      </c>
      <c r="Z1033" s="7">
        <v>45993</v>
      </c>
      <c r="AB1033" s="6">
        <v>46003</v>
      </c>
      <c r="AC1033" s="7">
        <v>45999.623611111114</v>
      </c>
      <c r="AD1033" s="5">
        <v>37601007691</v>
      </c>
      <c r="AE1033" s="8">
        <v>45993</v>
      </c>
      <c r="AF1033" s="5">
        <v>4205</v>
      </c>
      <c r="AG1033" s="5" t="s">
        <v>38</v>
      </c>
      <c r="AH1033" s="5">
        <v>206180</v>
      </c>
      <c r="AI1033" s="6">
        <v>45993</v>
      </c>
      <c r="AJ1033" s="6">
        <v>46003</v>
      </c>
    </row>
    <row r="1034" spans="1:39" x14ac:dyDescent="0.55000000000000004">
      <c r="A1034">
        <v>3760</v>
      </c>
      <c r="B1034">
        <v>1007706</v>
      </c>
      <c r="C1034" s="1">
        <v>1235.4100000000001</v>
      </c>
      <c r="D1034" s="4">
        <v>24.71</v>
      </c>
      <c r="E1034" s="1">
        <v>1210.7</v>
      </c>
      <c r="F1034">
        <v>12.35</v>
      </c>
      <c r="G1034" s="1">
        <v>1198.3499999999999</v>
      </c>
      <c r="H1034" s="14">
        <f t="shared" ref="H1034:H1036" si="476">C1034-D1034-F1034</f>
        <v>1198.3500000000001</v>
      </c>
      <c r="I1034" s="14" t="b">
        <f t="shared" ref="I1034:I1036" si="477">G1034=H1034</f>
        <v>1</v>
      </c>
      <c r="J1034" s="2">
        <v>46003</v>
      </c>
      <c r="K1034" s="5">
        <v>1007706</v>
      </c>
      <c r="L1034" s="5">
        <v>3760</v>
      </c>
      <c r="M1034" s="5">
        <v>24.71</v>
      </c>
      <c r="N1034" s="5">
        <v>1235.4100000000001</v>
      </c>
      <c r="O1034" s="7">
        <v>45993</v>
      </c>
      <c r="P1034" s="5">
        <v>1210.7</v>
      </c>
      <c r="Q1034" s="5">
        <v>24.71</v>
      </c>
      <c r="R1034" s="5" t="s">
        <v>32</v>
      </c>
      <c r="S1034" s="5" t="s">
        <v>33</v>
      </c>
      <c r="T1034" s="5">
        <v>12.35</v>
      </c>
      <c r="U1034" s="5">
        <v>1198.3499999999999</v>
      </c>
      <c r="V1034" s="5" t="s">
        <v>34</v>
      </c>
      <c r="W1034" s="5">
        <v>2</v>
      </c>
      <c r="X1034" s="5">
        <v>8691061538147</v>
      </c>
      <c r="Y1034" s="7">
        <v>46003</v>
      </c>
      <c r="Z1034" s="7">
        <v>45993</v>
      </c>
      <c r="AB1034" s="6">
        <v>46003</v>
      </c>
      <c r="AC1034" s="7">
        <v>45999.623611111114</v>
      </c>
      <c r="AD1034" s="5">
        <v>37601007706</v>
      </c>
      <c r="AE1034" s="8">
        <v>45993</v>
      </c>
      <c r="AF1034" s="5">
        <v>4205</v>
      </c>
      <c r="AG1034" s="5" t="s">
        <v>37</v>
      </c>
      <c r="AH1034" s="5">
        <v>206179</v>
      </c>
      <c r="AI1034" s="6">
        <v>45993</v>
      </c>
      <c r="AJ1034" s="6">
        <v>46003</v>
      </c>
      <c r="AK1034" s="1">
        <f t="shared" ref="AK1034:AK1036" si="478">0.02*C1034</f>
        <v>24.708200000000001</v>
      </c>
    </row>
    <row r="1035" spans="1:39" x14ac:dyDescent="0.55000000000000004">
      <c r="A1035">
        <v>3760</v>
      </c>
      <c r="B1035">
        <v>1007854</v>
      </c>
      <c r="C1035">
        <v>193.53</v>
      </c>
      <c r="D1035" s="4">
        <v>3.87</v>
      </c>
      <c r="E1035">
        <v>189.66</v>
      </c>
      <c r="F1035">
        <v>1.94</v>
      </c>
      <c r="G1035">
        <v>187.72</v>
      </c>
      <c r="H1035" s="14">
        <f t="shared" si="476"/>
        <v>187.72</v>
      </c>
      <c r="I1035" s="14" t="b">
        <f t="shared" si="477"/>
        <v>1</v>
      </c>
      <c r="J1035" s="2">
        <v>46003</v>
      </c>
      <c r="K1035" s="5">
        <v>1007854</v>
      </c>
      <c r="L1035" s="5">
        <v>3760</v>
      </c>
      <c r="M1035" s="5">
        <v>3.87</v>
      </c>
      <c r="N1035" s="5">
        <v>193.53</v>
      </c>
      <c r="O1035" s="7">
        <v>45993</v>
      </c>
      <c r="P1035" s="5">
        <v>189.66</v>
      </c>
      <c r="Q1035" s="5">
        <v>3.87</v>
      </c>
      <c r="R1035" s="5" t="s">
        <v>32</v>
      </c>
      <c r="S1035" s="5" t="s">
        <v>33</v>
      </c>
      <c r="T1035" s="5">
        <v>1.94</v>
      </c>
      <c r="U1035" s="5">
        <v>187.72</v>
      </c>
      <c r="V1035" s="5" t="s">
        <v>34</v>
      </c>
      <c r="W1035" s="5">
        <v>2</v>
      </c>
      <c r="X1035" s="5">
        <v>8691061538147</v>
      </c>
      <c r="Y1035" s="7">
        <v>46003</v>
      </c>
      <c r="Z1035" s="7">
        <v>45993</v>
      </c>
      <c r="AB1035" s="6">
        <v>46003</v>
      </c>
      <c r="AC1035" s="7">
        <v>45999.623611111114</v>
      </c>
      <c r="AD1035" s="5">
        <v>37601007854</v>
      </c>
      <c r="AE1035" s="8">
        <v>45993</v>
      </c>
      <c r="AF1035" s="5">
        <v>4205</v>
      </c>
      <c r="AG1035" s="5" t="s">
        <v>37</v>
      </c>
      <c r="AH1035" s="5">
        <v>206141</v>
      </c>
      <c r="AI1035" s="6">
        <v>45993</v>
      </c>
      <c r="AJ1035" s="6">
        <v>46003</v>
      </c>
      <c r="AK1035" s="1">
        <f t="shared" si="478"/>
        <v>3.8706</v>
      </c>
    </row>
    <row r="1036" spans="1:39" x14ac:dyDescent="0.55000000000000004">
      <c r="A1036">
        <v>3760</v>
      </c>
      <c r="B1036">
        <v>1008212</v>
      </c>
      <c r="C1036">
        <v>652.58000000000004</v>
      </c>
      <c r="D1036" s="4">
        <v>13.05</v>
      </c>
      <c r="E1036">
        <v>639.53</v>
      </c>
      <c r="F1036">
        <v>6.53</v>
      </c>
      <c r="G1036">
        <v>633</v>
      </c>
      <c r="H1036" s="14">
        <f t="shared" si="476"/>
        <v>633.00000000000011</v>
      </c>
      <c r="I1036" s="14" t="b">
        <f t="shared" si="477"/>
        <v>1</v>
      </c>
      <c r="J1036" s="2">
        <v>46003</v>
      </c>
      <c r="K1036" s="5">
        <v>1008212</v>
      </c>
      <c r="L1036" s="5">
        <v>3760</v>
      </c>
      <c r="M1036" s="5">
        <v>13.05</v>
      </c>
      <c r="N1036" s="5">
        <v>652.58000000000004</v>
      </c>
      <c r="O1036" s="7">
        <v>45995</v>
      </c>
      <c r="P1036" s="5">
        <v>639.53</v>
      </c>
      <c r="Q1036" s="5">
        <v>13.05</v>
      </c>
      <c r="R1036" s="5" t="s">
        <v>32</v>
      </c>
      <c r="S1036" s="5" t="s">
        <v>33</v>
      </c>
      <c r="T1036" s="5">
        <v>6.53</v>
      </c>
      <c r="U1036" s="5">
        <v>633</v>
      </c>
      <c r="V1036" s="5" t="s">
        <v>34</v>
      </c>
      <c r="W1036" s="5">
        <v>2</v>
      </c>
      <c r="X1036" s="5">
        <v>8691061538147</v>
      </c>
      <c r="Y1036" s="7">
        <v>46003</v>
      </c>
      <c r="Z1036" s="7">
        <v>45995</v>
      </c>
      <c r="AB1036" s="6">
        <v>46003</v>
      </c>
      <c r="AC1036" s="7">
        <v>45999.623611111114</v>
      </c>
      <c r="AD1036" s="5">
        <v>37601008212</v>
      </c>
      <c r="AE1036" s="8">
        <v>45995</v>
      </c>
      <c r="AF1036" s="5">
        <v>4215</v>
      </c>
      <c r="AG1036" s="5" t="s">
        <v>37</v>
      </c>
      <c r="AH1036" s="5">
        <v>206709</v>
      </c>
      <c r="AI1036" s="6">
        <v>45995</v>
      </c>
      <c r="AJ1036" s="6">
        <v>46003</v>
      </c>
      <c r="AK1036" s="1">
        <f t="shared" si="478"/>
        <v>13.051600000000001</v>
      </c>
    </row>
    <row r="1037" spans="1:39" hidden="1" x14ac:dyDescent="0.55000000000000004">
      <c r="A1037">
        <v>3760</v>
      </c>
      <c r="B1037">
        <v>1008295</v>
      </c>
      <c r="C1037">
        <v>-100</v>
      </c>
      <c r="E1037">
        <v>-100</v>
      </c>
      <c r="G1037">
        <v>-100</v>
      </c>
      <c r="H1037"/>
      <c r="I1037"/>
      <c r="J1037" s="2">
        <v>46003</v>
      </c>
      <c r="K1037" s="5">
        <v>1008295</v>
      </c>
      <c r="L1037" s="5">
        <v>3760</v>
      </c>
      <c r="M1037" s="5">
        <v>0</v>
      </c>
      <c r="N1037" s="5">
        <v>-100</v>
      </c>
      <c r="O1037" s="7">
        <v>45995</v>
      </c>
      <c r="P1037" s="5">
        <v>-100</v>
      </c>
      <c r="Q1037" s="5">
        <v>0</v>
      </c>
      <c r="R1037" s="5" t="s">
        <v>40</v>
      </c>
      <c r="S1037" s="5" t="s">
        <v>33</v>
      </c>
      <c r="T1037" s="5">
        <v>0</v>
      </c>
      <c r="U1037" s="5">
        <v>-100</v>
      </c>
      <c r="V1037" s="5" t="s">
        <v>34</v>
      </c>
      <c r="W1037" s="5">
        <v>2</v>
      </c>
      <c r="X1037" s="5">
        <v>8691061538147</v>
      </c>
      <c r="Y1037" s="7">
        <v>46003</v>
      </c>
      <c r="Z1037" s="7">
        <v>45995</v>
      </c>
      <c r="AB1037" s="6">
        <v>46003</v>
      </c>
      <c r="AC1037" s="7">
        <v>45999.623611111114</v>
      </c>
      <c r="AD1037" s="5">
        <v>37601008295</v>
      </c>
      <c r="AE1037" s="8">
        <v>45995</v>
      </c>
      <c r="AF1037" s="5" t="s">
        <v>41</v>
      </c>
      <c r="AG1037" s="5" t="s">
        <v>38</v>
      </c>
      <c r="AH1037" s="5" t="s">
        <v>40</v>
      </c>
      <c r="AI1037" s="6">
        <v>45995</v>
      </c>
      <c r="AJ1037" s="6">
        <v>46003</v>
      </c>
    </row>
    <row r="1038" spans="1:39" hidden="1" x14ac:dyDescent="0.55000000000000004">
      <c r="A1038">
        <v>3760</v>
      </c>
      <c r="B1038">
        <v>1008330</v>
      </c>
      <c r="C1038">
        <v>-80</v>
      </c>
      <c r="E1038">
        <v>-80</v>
      </c>
      <c r="G1038">
        <v>-80</v>
      </c>
      <c r="H1038"/>
      <c r="I1038"/>
      <c r="J1038" s="2">
        <v>46003</v>
      </c>
      <c r="K1038" s="5">
        <v>1008330</v>
      </c>
      <c r="L1038" s="5">
        <v>3760</v>
      </c>
      <c r="M1038" s="5">
        <v>0</v>
      </c>
      <c r="N1038" s="5">
        <v>-80</v>
      </c>
      <c r="O1038" s="7">
        <v>45996</v>
      </c>
      <c r="P1038" s="5">
        <v>-80</v>
      </c>
      <c r="Q1038" s="5">
        <v>0</v>
      </c>
      <c r="R1038" s="5" t="s">
        <v>570</v>
      </c>
      <c r="S1038" s="5" t="s">
        <v>191</v>
      </c>
      <c r="T1038" s="5">
        <v>0</v>
      </c>
      <c r="U1038" s="5">
        <v>-80</v>
      </c>
      <c r="V1038" s="5" t="s">
        <v>34</v>
      </c>
      <c r="W1038" s="5">
        <v>2</v>
      </c>
      <c r="X1038" s="5">
        <v>8691061538147</v>
      </c>
      <c r="Y1038" s="7">
        <v>46003</v>
      </c>
      <c r="Z1038" s="7">
        <v>45996</v>
      </c>
      <c r="AB1038" s="6">
        <v>46003</v>
      </c>
      <c r="AC1038" s="7">
        <v>45999.623611111114</v>
      </c>
      <c r="AD1038" s="5">
        <v>37601008330</v>
      </c>
      <c r="AE1038" s="8">
        <v>45996</v>
      </c>
      <c r="AF1038" s="5" t="s">
        <v>192</v>
      </c>
      <c r="AG1038" s="5" t="s">
        <v>38</v>
      </c>
      <c r="AH1038" s="5" t="s">
        <v>570</v>
      </c>
      <c r="AI1038" s="6">
        <v>45996</v>
      </c>
      <c r="AJ1038" s="6">
        <v>46003</v>
      </c>
    </row>
    <row r="1039" spans="1:39" x14ac:dyDescent="0.55000000000000004">
      <c r="A1039">
        <v>3760</v>
      </c>
      <c r="B1039">
        <v>1008415</v>
      </c>
      <c r="C1039">
        <v>210.83</v>
      </c>
      <c r="D1039" s="4">
        <v>4.22</v>
      </c>
      <c r="E1039">
        <v>206.61</v>
      </c>
      <c r="F1039">
        <v>2.11</v>
      </c>
      <c r="G1039">
        <v>204.5</v>
      </c>
      <c r="H1039" s="14">
        <f t="shared" ref="H1039:H1043" si="479">C1039-D1039-F1039</f>
        <v>204.5</v>
      </c>
      <c r="I1039" s="14" t="b">
        <f t="shared" ref="I1039:I1043" si="480">G1039=H1039</f>
        <v>1</v>
      </c>
      <c r="J1039" s="2">
        <v>46003</v>
      </c>
      <c r="K1039" s="5">
        <v>1008415</v>
      </c>
      <c r="L1039" s="5">
        <v>3760</v>
      </c>
      <c r="M1039" s="5">
        <v>4.22</v>
      </c>
      <c r="N1039" s="5">
        <v>210.83</v>
      </c>
      <c r="O1039" s="7">
        <v>45996</v>
      </c>
      <c r="P1039" s="5">
        <v>206.61</v>
      </c>
      <c r="Q1039" s="5">
        <v>4.22</v>
      </c>
      <c r="R1039" s="5" t="s">
        <v>32</v>
      </c>
      <c r="S1039" s="5" t="s">
        <v>33</v>
      </c>
      <c r="T1039" s="5">
        <v>2.11</v>
      </c>
      <c r="U1039" s="5">
        <v>204.5</v>
      </c>
      <c r="V1039" s="5" t="s">
        <v>34</v>
      </c>
      <c r="W1039" s="5">
        <v>2</v>
      </c>
      <c r="X1039" s="5">
        <v>8691061538147</v>
      </c>
      <c r="Y1039" s="7">
        <v>46003</v>
      </c>
      <c r="Z1039" s="7">
        <v>45996</v>
      </c>
      <c r="AB1039" s="6">
        <v>46003</v>
      </c>
      <c r="AC1039" s="7">
        <v>45999.623611111114</v>
      </c>
      <c r="AD1039" s="5">
        <v>37601008415</v>
      </c>
      <c r="AE1039" s="8">
        <v>45996</v>
      </c>
      <c r="AF1039" s="5">
        <v>4215</v>
      </c>
      <c r="AG1039" s="5" t="s">
        <v>37</v>
      </c>
      <c r="AH1039" s="5">
        <v>206712</v>
      </c>
      <c r="AI1039" s="6">
        <v>45996</v>
      </c>
      <c r="AJ1039" s="6">
        <v>46003</v>
      </c>
      <c r="AK1039" s="1">
        <f t="shared" ref="AK1039:AK1043" si="481">0.02*C1039</f>
        <v>4.2166000000000006</v>
      </c>
    </row>
    <row r="1040" spans="1:39" x14ac:dyDescent="0.55000000000000004">
      <c r="A1040">
        <v>3760</v>
      </c>
      <c r="B1040">
        <v>1008500</v>
      </c>
      <c r="C1040">
        <v>41.14</v>
      </c>
      <c r="D1040" s="4">
        <v>0.82</v>
      </c>
      <c r="E1040">
        <v>40.32</v>
      </c>
      <c r="F1040">
        <v>0.41</v>
      </c>
      <c r="G1040">
        <v>39.909999999999997</v>
      </c>
      <c r="H1040" s="14">
        <f t="shared" si="479"/>
        <v>39.910000000000004</v>
      </c>
      <c r="I1040" s="14" t="b">
        <f t="shared" si="480"/>
        <v>1</v>
      </c>
      <c r="J1040" s="2">
        <v>46003</v>
      </c>
      <c r="K1040" s="5">
        <v>1008500</v>
      </c>
      <c r="L1040" s="5">
        <v>3760</v>
      </c>
      <c r="M1040" s="5">
        <v>0.82</v>
      </c>
      <c r="N1040" s="5">
        <v>41.14</v>
      </c>
      <c r="O1040" s="7">
        <v>45996</v>
      </c>
      <c r="P1040" s="5">
        <v>40.32</v>
      </c>
      <c r="Q1040" s="5">
        <v>0.82</v>
      </c>
      <c r="R1040" s="5" t="s">
        <v>32</v>
      </c>
      <c r="S1040" s="5" t="s">
        <v>33</v>
      </c>
      <c r="T1040" s="5">
        <v>0.41</v>
      </c>
      <c r="U1040" s="5">
        <v>39.909999999999997</v>
      </c>
      <c r="V1040" s="5" t="s">
        <v>34</v>
      </c>
      <c r="W1040" s="5">
        <v>2</v>
      </c>
      <c r="X1040" s="5">
        <v>8691061538147</v>
      </c>
      <c r="Y1040" s="7">
        <v>46003</v>
      </c>
      <c r="Z1040" s="7">
        <v>45996</v>
      </c>
      <c r="AB1040" s="6">
        <v>46003</v>
      </c>
      <c r="AC1040" s="7">
        <v>45999.623611111114</v>
      </c>
      <c r="AD1040" s="5">
        <v>37601008500</v>
      </c>
      <c r="AE1040" s="8">
        <v>45996</v>
      </c>
      <c r="AF1040" s="5">
        <v>4106</v>
      </c>
      <c r="AG1040" s="5" t="s">
        <v>37</v>
      </c>
      <c r="AH1040" s="5">
        <v>206817</v>
      </c>
      <c r="AI1040" s="6">
        <v>45996</v>
      </c>
      <c r="AJ1040" s="6">
        <v>46003</v>
      </c>
      <c r="AK1040" s="1">
        <f t="shared" si="481"/>
        <v>0.82279999999999998</v>
      </c>
    </row>
    <row r="1041" spans="1:37" x14ac:dyDescent="0.55000000000000004">
      <c r="A1041">
        <v>3760</v>
      </c>
      <c r="B1041">
        <v>1008501</v>
      </c>
      <c r="C1041">
        <v>226.28</v>
      </c>
      <c r="D1041" s="4">
        <v>4.53</v>
      </c>
      <c r="E1041">
        <v>221.75</v>
      </c>
      <c r="F1041">
        <v>2.2599999999999998</v>
      </c>
      <c r="G1041">
        <v>219.49</v>
      </c>
      <c r="H1041" s="14">
        <f t="shared" si="479"/>
        <v>219.49</v>
      </c>
      <c r="I1041" s="14" t="b">
        <f t="shared" si="480"/>
        <v>1</v>
      </c>
      <c r="J1041" s="2">
        <v>46003</v>
      </c>
      <c r="K1041" s="5">
        <v>1008501</v>
      </c>
      <c r="L1041" s="5">
        <v>3760</v>
      </c>
      <c r="M1041" s="5">
        <v>4.53</v>
      </c>
      <c r="N1041" s="5">
        <v>226.28</v>
      </c>
      <c r="O1041" s="7">
        <v>45996</v>
      </c>
      <c r="P1041" s="5">
        <v>221.75</v>
      </c>
      <c r="Q1041" s="5">
        <v>4.53</v>
      </c>
      <c r="R1041" s="5" t="s">
        <v>32</v>
      </c>
      <c r="S1041" s="5" t="s">
        <v>33</v>
      </c>
      <c r="T1041" s="5">
        <v>2.2599999999999998</v>
      </c>
      <c r="U1041" s="5">
        <v>219.49</v>
      </c>
      <c r="V1041" s="5" t="s">
        <v>34</v>
      </c>
      <c r="W1041" s="5">
        <v>2</v>
      </c>
      <c r="X1041" s="5">
        <v>8691061538147</v>
      </c>
      <c r="Y1041" s="7">
        <v>46003</v>
      </c>
      <c r="Z1041" s="7">
        <v>45996</v>
      </c>
      <c r="AB1041" s="6">
        <v>46003</v>
      </c>
      <c r="AC1041" s="7">
        <v>45999.623611111114</v>
      </c>
      <c r="AD1041" s="5">
        <v>37601008501</v>
      </c>
      <c r="AE1041" s="8">
        <v>45996</v>
      </c>
      <c r="AF1041" s="5">
        <v>4178</v>
      </c>
      <c r="AG1041" s="5" t="s">
        <v>37</v>
      </c>
      <c r="AH1041" s="5">
        <v>206819</v>
      </c>
      <c r="AI1041" s="6">
        <v>45996</v>
      </c>
      <c r="AJ1041" s="6">
        <v>46003</v>
      </c>
      <c r="AK1041" s="1">
        <f t="shared" si="481"/>
        <v>4.5255999999999998</v>
      </c>
    </row>
    <row r="1042" spans="1:37" x14ac:dyDescent="0.55000000000000004">
      <c r="A1042">
        <v>3760</v>
      </c>
      <c r="B1042">
        <v>1008504</v>
      </c>
      <c r="C1042">
        <v>73.75</v>
      </c>
      <c r="D1042" s="4">
        <v>1.48</v>
      </c>
      <c r="E1042">
        <v>72.27</v>
      </c>
      <c r="F1042">
        <v>0.74</v>
      </c>
      <c r="G1042">
        <v>71.53</v>
      </c>
      <c r="H1042" s="14">
        <f t="shared" si="479"/>
        <v>71.53</v>
      </c>
      <c r="I1042" s="14" t="b">
        <f t="shared" si="480"/>
        <v>1</v>
      </c>
      <c r="J1042" s="2">
        <v>46003</v>
      </c>
      <c r="K1042" s="5">
        <v>1008504</v>
      </c>
      <c r="L1042" s="5">
        <v>3760</v>
      </c>
      <c r="M1042" s="5">
        <v>1.48</v>
      </c>
      <c r="N1042" s="5">
        <v>73.75</v>
      </c>
      <c r="O1042" s="7">
        <v>45996</v>
      </c>
      <c r="P1042" s="5">
        <v>72.27</v>
      </c>
      <c r="Q1042" s="5">
        <v>1.48</v>
      </c>
      <c r="R1042" s="5" t="s">
        <v>32</v>
      </c>
      <c r="S1042" s="5" t="s">
        <v>33</v>
      </c>
      <c r="T1042" s="5">
        <v>0.74</v>
      </c>
      <c r="U1042" s="5">
        <v>71.53</v>
      </c>
      <c r="V1042" s="5" t="s">
        <v>34</v>
      </c>
      <c r="W1042" s="5">
        <v>2</v>
      </c>
      <c r="X1042" s="5">
        <v>8691061538147</v>
      </c>
      <c r="Y1042" s="7">
        <v>46003</v>
      </c>
      <c r="Z1042" s="7">
        <v>45996</v>
      </c>
      <c r="AB1042" s="6">
        <v>46003</v>
      </c>
      <c r="AC1042" s="7">
        <v>45999.623611111114</v>
      </c>
      <c r="AD1042" s="5">
        <v>37601008504</v>
      </c>
      <c r="AE1042" s="8">
        <v>45996</v>
      </c>
      <c r="AF1042" s="5">
        <v>4135</v>
      </c>
      <c r="AG1042" s="5" t="s">
        <v>37</v>
      </c>
      <c r="AH1042" s="5">
        <v>206818</v>
      </c>
      <c r="AI1042" s="6">
        <v>45996</v>
      </c>
      <c r="AJ1042" s="6">
        <v>46003</v>
      </c>
      <c r="AK1042" s="1">
        <f t="shared" si="481"/>
        <v>1.4750000000000001</v>
      </c>
    </row>
    <row r="1043" spans="1:37" x14ac:dyDescent="0.55000000000000004">
      <c r="A1043">
        <v>3760</v>
      </c>
      <c r="B1043">
        <v>1008507</v>
      </c>
      <c r="C1043">
        <v>44.77</v>
      </c>
      <c r="D1043" s="4">
        <v>0.9</v>
      </c>
      <c r="E1043">
        <v>43.87</v>
      </c>
      <c r="F1043">
        <v>0.45</v>
      </c>
      <c r="G1043">
        <v>43.42</v>
      </c>
      <c r="H1043" s="14">
        <f t="shared" si="479"/>
        <v>43.42</v>
      </c>
      <c r="I1043" s="14" t="b">
        <f t="shared" si="480"/>
        <v>1</v>
      </c>
      <c r="J1043" s="2">
        <v>46003</v>
      </c>
      <c r="K1043" s="5">
        <v>1008507</v>
      </c>
      <c r="L1043" s="5">
        <v>3760</v>
      </c>
      <c r="M1043" s="5">
        <v>0.9</v>
      </c>
      <c r="N1043" s="5">
        <v>44.77</v>
      </c>
      <c r="O1043" s="7">
        <v>45996</v>
      </c>
      <c r="P1043" s="5">
        <v>43.87</v>
      </c>
      <c r="Q1043" s="5">
        <v>0.9</v>
      </c>
      <c r="R1043" s="5" t="s">
        <v>32</v>
      </c>
      <c r="S1043" s="5" t="s">
        <v>33</v>
      </c>
      <c r="T1043" s="5">
        <v>0.45</v>
      </c>
      <c r="U1043" s="5">
        <v>43.42</v>
      </c>
      <c r="V1043" s="5" t="s">
        <v>34</v>
      </c>
      <c r="W1043" s="5">
        <v>2</v>
      </c>
      <c r="X1043" s="5">
        <v>8691061538147</v>
      </c>
      <c r="Y1043" s="7">
        <v>46003</v>
      </c>
      <c r="Z1043" s="7">
        <v>45996</v>
      </c>
      <c r="AB1043" s="6">
        <v>46003</v>
      </c>
      <c r="AC1043" s="7">
        <v>45999.623611111114</v>
      </c>
      <c r="AD1043" s="5">
        <v>37601008507</v>
      </c>
      <c r="AE1043" s="8">
        <v>45996</v>
      </c>
      <c r="AF1043" s="5">
        <v>4056</v>
      </c>
      <c r="AG1043" s="5" t="s">
        <v>37</v>
      </c>
      <c r="AH1043" s="5">
        <v>206816</v>
      </c>
      <c r="AI1043" s="6">
        <v>45996</v>
      </c>
      <c r="AJ1043" s="6">
        <v>46003</v>
      </c>
      <c r="AK1043" s="1">
        <f t="shared" si="481"/>
        <v>0.89540000000000008</v>
      </c>
    </row>
    <row r="1044" spans="1:37" hidden="1" x14ac:dyDescent="0.55000000000000004">
      <c r="A1044">
        <v>3760</v>
      </c>
      <c r="B1044">
        <v>1008536</v>
      </c>
      <c r="C1044" s="1">
        <v>1478.96</v>
      </c>
      <c r="E1044" s="1">
        <v>1478.96</v>
      </c>
      <c r="F1044">
        <v>14.79</v>
      </c>
      <c r="G1044" s="1">
        <v>1464.17</v>
      </c>
      <c r="H1044" s="1"/>
      <c r="I1044" s="1"/>
      <c r="J1044" s="2">
        <v>46003</v>
      </c>
      <c r="K1044" s="5">
        <v>1008536</v>
      </c>
      <c r="L1044" s="5">
        <v>3760</v>
      </c>
      <c r="M1044" s="5">
        <v>0</v>
      </c>
      <c r="N1044" s="5">
        <v>1478.96</v>
      </c>
      <c r="O1044" s="7">
        <v>45996</v>
      </c>
      <c r="P1044" s="5">
        <v>1478.96</v>
      </c>
      <c r="Q1044" s="5">
        <v>0</v>
      </c>
      <c r="R1044" s="5" t="s">
        <v>32</v>
      </c>
      <c r="S1044" s="5" t="s">
        <v>33</v>
      </c>
      <c r="T1044" s="5">
        <v>14.79</v>
      </c>
      <c r="U1044" s="5">
        <v>1464.17</v>
      </c>
      <c r="V1044" s="5" t="s">
        <v>34</v>
      </c>
      <c r="W1044" s="5">
        <v>2</v>
      </c>
      <c r="X1044" s="5">
        <v>8691061538147</v>
      </c>
      <c r="Y1044" s="7">
        <v>46003</v>
      </c>
      <c r="Z1044" s="7">
        <v>45996</v>
      </c>
      <c r="AB1044" s="6">
        <v>46003</v>
      </c>
      <c r="AC1044" s="7">
        <v>45999.623611111114</v>
      </c>
      <c r="AD1044" s="5">
        <v>37601008536</v>
      </c>
      <c r="AE1044" s="8">
        <v>45996</v>
      </c>
      <c r="AF1044" s="5">
        <v>4076</v>
      </c>
      <c r="AG1044" s="5" t="s">
        <v>38</v>
      </c>
      <c r="AH1044" s="5">
        <v>206821</v>
      </c>
      <c r="AI1044" s="6">
        <v>45996</v>
      </c>
      <c r="AJ1044" s="6">
        <v>46003</v>
      </c>
    </row>
    <row r="1045" spans="1:37" hidden="1" x14ac:dyDescent="0.55000000000000004">
      <c r="A1045">
        <v>3760</v>
      </c>
      <c r="B1045">
        <v>1008538</v>
      </c>
      <c r="C1045">
        <v>364.46</v>
      </c>
      <c r="E1045">
        <v>364.46</v>
      </c>
      <c r="F1045">
        <v>3.64</v>
      </c>
      <c r="G1045">
        <v>360.82</v>
      </c>
      <c r="H1045"/>
      <c r="I1045"/>
      <c r="J1045" s="2">
        <v>46003</v>
      </c>
      <c r="K1045" s="5">
        <v>1008538</v>
      </c>
      <c r="L1045" s="5">
        <v>3760</v>
      </c>
      <c r="M1045" s="5">
        <v>0</v>
      </c>
      <c r="N1045" s="5">
        <v>364.46</v>
      </c>
      <c r="O1045" s="7">
        <v>45996</v>
      </c>
      <c r="P1045" s="5">
        <v>364.46</v>
      </c>
      <c r="Q1045" s="5">
        <v>0</v>
      </c>
      <c r="R1045" s="5" t="s">
        <v>32</v>
      </c>
      <c r="S1045" s="5" t="s">
        <v>33</v>
      </c>
      <c r="T1045" s="5">
        <v>3.64</v>
      </c>
      <c r="U1045" s="5">
        <v>360.82</v>
      </c>
      <c r="V1045" s="5" t="s">
        <v>34</v>
      </c>
      <c r="W1045" s="5">
        <v>2</v>
      </c>
      <c r="X1045" s="5">
        <v>8691061538147</v>
      </c>
      <c r="Y1045" s="7">
        <v>46003</v>
      </c>
      <c r="Z1045" s="7">
        <v>45996</v>
      </c>
      <c r="AB1045" s="6">
        <v>46003</v>
      </c>
      <c r="AC1045" s="7">
        <v>45999.623611111114</v>
      </c>
      <c r="AD1045" s="5">
        <v>37601008538</v>
      </c>
      <c r="AE1045" s="8">
        <v>45996</v>
      </c>
      <c r="AF1045" s="5">
        <v>4155</v>
      </c>
      <c r="AG1045" s="5" t="s">
        <v>38</v>
      </c>
      <c r="AH1045" s="5">
        <v>206822</v>
      </c>
      <c r="AI1045" s="6">
        <v>45996</v>
      </c>
      <c r="AJ1045" s="6">
        <v>46003</v>
      </c>
    </row>
    <row r="1046" spans="1:37" x14ac:dyDescent="0.55000000000000004">
      <c r="A1046">
        <v>3760</v>
      </c>
      <c r="B1046">
        <v>1008541</v>
      </c>
      <c r="C1046">
        <v>81.25</v>
      </c>
      <c r="D1046" s="4">
        <v>1.63</v>
      </c>
      <c r="E1046">
        <v>79.62</v>
      </c>
      <c r="F1046">
        <v>0.81</v>
      </c>
      <c r="G1046">
        <v>78.81</v>
      </c>
      <c r="H1046" s="14">
        <f>C1046-D1046-F1046</f>
        <v>78.81</v>
      </c>
      <c r="I1046" s="14" t="b">
        <f>G1046=H1046</f>
        <v>1</v>
      </c>
      <c r="J1046" s="2">
        <v>46003</v>
      </c>
      <c r="K1046" s="5">
        <v>1008541</v>
      </c>
      <c r="L1046" s="5">
        <v>3760</v>
      </c>
      <c r="M1046" s="5">
        <v>1.63</v>
      </c>
      <c r="N1046" s="5">
        <v>81.25</v>
      </c>
      <c r="O1046" s="7">
        <v>45996</v>
      </c>
      <c r="P1046" s="5">
        <v>79.62</v>
      </c>
      <c r="Q1046" s="5">
        <v>1.63</v>
      </c>
      <c r="R1046" s="5" t="s">
        <v>32</v>
      </c>
      <c r="S1046" s="5" t="s">
        <v>33</v>
      </c>
      <c r="T1046" s="5">
        <v>0.81</v>
      </c>
      <c r="U1046" s="5">
        <v>78.81</v>
      </c>
      <c r="V1046" s="5" t="s">
        <v>34</v>
      </c>
      <c r="W1046" s="5">
        <v>2</v>
      </c>
      <c r="X1046" s="5">
        <v>8691061538147</v>
      </c>
      <c r="Y1046" s="7">
        <v>46003</v>
      </c>
      <c r="Z1046" s="7">
        <v>45996</v>
      </c>
      <c r="AB1046" s="6">
        <v>46003</v>
      </c>
      <c r="AC1046" s="7">
        <v>45999.623611111114</v>
      </c>
      <c r="AD1046" s="5">
        <v>37601008541</v>
      </c>
      <c r="AE1046" s="8">
        <v>45996</v>
      </c>
      <c r="AF1046" s="5">
        <v>4198</v>
      </c>
      <c r="AG1046" s="5" t="s">
        <v>37</v>
      </c>
      <c r="AH1046" s="5">
        <v>206820</v>
      </c>
      <c r="AI1046" s="6">
        <v>45996</v>
      </c>
      <c r="AJ1046" s="6">
        <v>46003</v>
      </c>
      <c r="AK1046" s="1">
        <f t="shared" ref="AK1046" si="482">0.02*C1046</f>
        <v>1.625</v>
      </c>
    </row>
    <row r="1047" spans="1:37" hidden="1" x14ac:dyDescent="0.55000000000000004">
      <c r="A1047">
        <v>3767</v>
      </c>
      <c r="B1047">
        <v>1007519</v>
      </c>
      <c r="C1047" s="1">
        <v>3990</v>
      </c>
      <c r="E1047" s="1">
        <v>3990</v>
      </c>
      <c r="F1047">
        <v>39.9</v>
      </c>
      <c r="G1047" s="1">
        <v>3950.1</v>
      </c>
      <c r="H1047" s="1"/>
      <c r="I1047" s="1"/>
      <c r="J1047" s="2">
        <v>46003</v>
      </c>
      <c r="K1047" s="5">
        <v>1007519</v>
      </c>
      <c r="L1047" s="5">
        <v>3767</v>
      </c>
      <c r="M1047" s="5">
        <v>0</v>
      </c>
      <c r="N1047" s="5">
        <v>3990</v>
      </c>
      <c r="O1047" s="7">
        <v>45993</v>
      </c>
      <c r="P1047" s="5">
        <v>3990</v>
      </c>
      <c r="Q1047" s="5">
        <v>0</v>
      </c>
      <c r="R1047" s="5" t="s">
        <v>32</v>
      </c>
      <c r="S1047" s="5" t="s">
        <v>33</v>
      </c>
      <c r="T1047" s="5">
        <v>39.9</v>
      </c>
      <c r="U1047" s="5">
        <v>3950.1</v>
      </c>
      <c r="V1047" s="5" t="s">
        <v>34</v>
      </c>
      <c r="W1047" s="5">
        <v>2</v>
      </c>
      <c r="X1047" s="5">
        <v>3023767720186</v>
      </c>
      <c r="Y1047" s="7">
        <v>46003</v>
      </c>
      <c r="Z1047" s="7">
        <v>45993</v>
      </c>
      <c r="AB1047" s="6">
        <v>46003</v>
      </c>
      <c r="AC1047" s="7">
        <v>46002.731944444444</v>
      </c>
      <c r="AD1047" s="5">
        <v>37671007519</v>
      </c>
      <c r="AE1047" s="8">
        <v>45993</v>
      </c>
      <c r="AF1047" s="5" t="s">
        <v>32</v>
      </c>
      <c r="AG1047" s="5" t="s">
        <v>35</v>
      </c>
      <c r="AH1047" s="5" t="s">
        <v>32</v>
      </c>
      <c r="AI1047" s="6">
        <v>45993</v>
      </c>
      <c r="AJ1047" s="6">
        <v>46003</v>
      </c>
    </row>
    <row r="1048" spans="1:37" x14ac:dyDescent="0.55000000000000004">
      <c r="A1048">
        <v>3767</v>
      </c>
      <c r="B1048">
        <v>1007695</v>
      </c>
      <c r="C1048">
        <v>834.65</v>
      </c>
      <c r="D1048" s="4">
        <v>16.690000000000001</v>
      </c>
      <c r="E1048">
        <v>817.96</v>
      </c>
      <c r="F1048">
        <v>8.35</v>
      </c>
      <c r="G1048">
        <v>809.61</v>
      </c>
      <c r="H1048" s="14">
        <f t="shared" ref="H1048:H1050" si="483">C1048-D1048-F1048</f>
        <v>809.6099999999999</v>
      </c>
      <c r="I1048" s="14" t="b">
        <f t="shared" ref="I1048:I1050" si="484">G1048=H1048</f>
        <v>1</v>
      </c>
      <c r="J1048" s="2">
        <v>46003</v>
      </c>
      <c r="K1048" s="5">
        <v>1007695</v>
      </c>
      <c r="L1048" s="5">
        <v>3767</v>
      </c>
      <c r="M1048" s="5">
        <v>16.690000000000001</v>
      </c>
      <c r="N1048" s="5">
        <v>834.65</v>
      </c>
      <c r="O1048" s="7">
        <v>45993</v>
      </c>
      <c r="P1048" s="5">
        <v>817.96</v>
      </c>
      <c r="Q1048" s="5">
        <v>16.690000000000001</v>
      </c>
      <c r="R1048" s="5" t="s">
        <v>32</v>
      </c>
      <c r="S1048" s="5" t="s">
        <v>33</v>
      </c>
      <c r="T1048" s="5">
        <v>8.35</v>
      </c>
      <c r="U1048" s="5">
        <v>809.61</v>
      </c>
      <c r="V1048" s="5" t="s">
        <v>34</v>
      </c>
      <c r="W1048" s="5">
        <v>2</v>
      </c>
      <c r="X1048" s="5">
        <v>3023767720186</v>
      </c>
      <c r="Y1048" s="7">
        <v>46003</v>
      </c>
      <c r="Z1048" s="7">
        <v>45993</v>
      </c>
      <c r="AB1048" s="6">
        <v>46003</v>
      </c>
      <c r="AC1048" s="7">
        <v>46002.731944444444</v>
      </c>
      <c r="AD1048" s="5">
        <v>37671007695</v>
      </c>
      <c r="AE1048" s="8">
        <v>45993</v>
      </c>
      <c r="AF1048" s="5" t="s">
        <v>571</v>
      </c>
      <c r="AG1048" s="5" t="s">
        <v>37</v>
      </c>
      <c r="AH1048" s="5">
        <v>206139</v>
      </c>
      <c r="AI1048" s="6">
        <v>45993</v>
      </c>
      <c r="AJ1048" s="6">
        <v>46003</v>
      </c>
      <c r="AK1048" s="1">
        <f t="shared" ref="AK1048:AK1050" si="485">0.02*C1048</f>
        <v>16.693000000000001</v>
      </c>
    </row>
    <row r="1049" spans="1:37" x14ac:dyDescent="0.55000000000000004">
      <c r="A1049">
        <v>3767</v>
      </c>
      <c r="B1049">
        <v>1007702</v>
      </c>
      <c r="C1049">
        <v>12.79</v>
      </c>
      <c r="D1049" s="4">
        <v>0.26</v>
      </c>
      <c r="E1049">
        <v>12.53</v>
      </c>
      <c r="F1049">
        <v>0.13</v>
      </c>
      <c r="G1049">
        <v>12.4</v>
      </c>
      <c r="H1049" s="14">
        <f t="shared" si="483"/>
        <v>12.399999999999999</v>
      </c>
      <c r="I1049" s="14" t="b">
        <f t="shared" si="484"/>
        <v>1</v>
      </c>
      <c r="J1049" s="2">
        <v>46003</v>
      </c>
      <c r="K1049" s="5">
        <v>1007702</v>
      </c>
      <c r="L1049" s="5">
        <v>3767</v>
      </c>
      <c r="M1049" s="5">
        <v>0.26</v>
      </c>
      <c r="N1049" s="5">
        <v>12.79</v>
      </c>
      <c r="O1049" s="7">
        <v>45993</v>
      </c>
      <c r="P1049" s="5">
        <v>12.53</v>
      </c>
      <c r="Q1049" s="5">
        <v>0.26</v>
      </c>
      <c r="R1049" s="5" t="s">
        <v>32</v>
      </c>
      <c r="S1049" s="5" t="s">
        <v>33</v>
      </c>
      <c r="T1049" s="5">
        <v>0.13</v>
      </c>
      <c r="U1049" s="5">
        <v>12.4</v>
      </c>
      <c r="V1049" s="5" t="s">
        <v>34</v>
      </c>
      <c r="W1049" s="5">
        <v>2</v>
      </c>
      <c r="X1049" s="5">
        <v>3023767720186</v>
      </c>
      <c r="Y1049" s="7">
        <v>46003</v>
      </c>
      <c r="Z1049" s="7">
        <v>45993</v>
      </c>
      <c r="AB1049" s="6">
        <v>46003</v>
      </c>
      <c r="AC1049" s="7">
        <v>46002.731944444444</v>
      </c>
      <c r="AD1049" s="5">
        <v>37671007702</v>
      </c>
      <c r="AE1049" s="8">
        <v>45993</v>
      </c>
      <c r="AF1049" s="5" t="s">
        <v>572</v>
      </c>
      <c r="AG1049" s="5" t="s">
        <v>37</v>
      </c>
      <c r="AH1049" s="5">
        <v>206138</v>
      </c>
      <c r="AI1049" s="6">
        <v>45993</v>
      </c>
      <c r="AJ1049" s="6">
        <v>46003</v>
      </c>
      <c r="AK1049" s="1">
        <f t="shared" si="485"/>
        <v>0.25579999999999997</v>
      </c>
    </row>
    <row r="1050" spans="1:37" x14ac:dyDescent="0.55000000000000004">
      <c r="A1050">
        <v>3767</v>
      </c>
      <c r="B1050">
        <v>1007707</v>
      </c>
      <c r="C1050">
        <v>874.04</v>
      </c>
      <c r="D1050" s="4">
        <v>17.48</v>
      </c>
      <c r="E1050">
        <v>856.56</v>
      </c>
      <c r="F1050">
        <v>8.74</v>
      </c>
      <c r="G1050">
        <v>847.82</v>
      </c>
      <c r="H1050" s="14">
        <f t="shared" si="483"/>
        <v>847.81999999999994</v>
      </c>
      <c r="I1050" s="14" t="b">
        <f t="shared" si="484"/>
        <v>1</v>
      </c>
      <c r="J1050" s="2">
        <v>46003</v>
      </c>
      <c r="K1050" s="5">
        <v>1007707</v>
      </c>
      <c r="L1050" s="5">
        <v>3767</v>
      </c>
      <c r="M1050" s="5">
        <v>17.48</v>
      </c>
      <c r="N1050" s="5">
        <v>874.04</v>
      </c>
      <c r="O1050" s="7">
        <v>45993</v>
      </c>
      <c r="P1050" s="5">
        <v>856.56</v>
      </c>
      <c r="Q1050" s="5">
        <v>17.48</v>
      </c>
      <c r="R1050" s="5" t="s">
        <v>32</v>
      </c>
      <c r="S1050" s="5" t="s">
        <v>33</v>
      </c>
      <c r="T1050" s="5">
        <v>8.74</v>
      </c>
      <c r="U1050" s="5">
        <v>847.82</v>
      </c>
      <c r="V1050" s="5" t="s">
        <v>34</v>
      </c>
      <c r="W1050" s="5">
        <v>2</v>
      </c>
      <c r="X1050" s="5">
        <v>3023767720186</v>
      </c>
      <c r="Y1050" s="7">
        <v>46003</v>
      </c>
      <c r="Z1050" s="7">
        <v>45993</v>
      </c>
      <c r="AB1050" s="6">
        <v>46003</v>
      </c>
      <c r="AC1050" s="7">
        <v>46002.731944444444</v>
      </c>
      <c r="AD1050" s="5">
        <v>37671007707</v>
      </c>
      <c r="AE1050" s="8">
        <v>45993</v>
      </c>
      <c r="AF1050" s="5" t="s">
        <v>573</v>
      </c>
      <c r="AG1050" s="5" t="s">
        <v>37</v>
      </c>
      <c r="AH1050" s="5">
        <v>206175</v>
      </c>
      <c r="AI1050" s="6">
        <v>45993</v>
      </c>
      <c r="AJ1050" s="6">
        <v>46003</v>
      </c>
      <c r="AK1050" s="1">
        <f t="shared" si="485"/>
        <v>17.480799999999999</v>
      </c>
    </row>
    <row r="1051" spans="1:37" hidden="1" x14ac:dyDescent="0.55000000000000004">
      <c r="A1051">
        <v>3767</v>
      </c>
      <c r="B1051">
        <v>1007708</v>
      </c>
      <c r="C1051" s="1">
        <v>1902.87</v>
      </c>
      <c r="E1051" s="1">
        <v>1902.87</v>
      </c>
      <c r="F1051">
        <v>19.03</v>
      </c>
      <c r="G1051" s="1">
        <v>1883.84</v>
      </c>
      <c r="H1051" s="1"/>
      <c r="I1051" s="1"/>
      <c r="J1051" s="2">
        <v>46003</v>
      </c>
      <c r="K1051" s="5">
        <v>1007708</v>
      </c>
      <c r="L1051" s="5">
        <v>3767</v>
      </c>
      <c r="M1051" s="5">
        <v>0</v>
      </c>
      <c r="N1051" s="5">
        <v>1902.87</v>
      </c>
      <c r="O1051" s="7">
        <v>45993</v>
      </c>
      <c r="P1051" s="5">
        <v>1902.87</v>
      </c>
      <c r="Q1051" s="5">
        <v>0</v>
      </c>
      <c r="R1051" s="5" t="s">
        <v>32</v>
      </c>
      <c r="S1051" s="5" t="s">
        <v>33</v>
      </c>
      <c r="T1051" s="5">
        <v>19.03</v>
      </c>
      <c r="U1051" s="5">
        <v>1883.84</v>
      </c>
      <c r="V1051" s="5" t="s">
        <v>34</v>
      </c>
      <c r="W1051" s="5">
        <v>2</v>
      </c>
      <c r="X1051" s="5">
        <v>3023767720186</v>
      </c>
      <c r="Y1051" s="7">
        <v>46003</v>
      </c>
      <c r="Z1051" s="7">
        <v>45993</v>
      </c>
      <c r="AB1051" s="6">
        <v>46003</v>
      </c>
      <c r="AC1051" s="7">
        <v>46002.731944444444</v>
      </c>
      <c r="AD1051" s="5">
        <v>37671007708</v>
      </c>
      <c r="AE1051" s="8">
        <v>45993</v>
      </c>
      <c r="AF1051" s="5" t="s">
        <v>571</v>
      </c>
      <c r="AG1051" s="5" t="s">
        <v>38</v>
      </c>
      <c r="AH1051" s="5">
        <v>206177</v>
      </c>
      <c r="AI1051" s="6">
        <v>45993</v>
      </c>
      <c r="AJ1051" s="6">
        <v>46003</v>
      </c>
    </row>
    <row r="1052" spans="1:37" x14ac:dyDescent="0.55000000000000004">
      <c r="A1052">
        <v>3767</v>
      </c>
      <c r="B1052">
        <v>1007709</v>
      </c>
      <c r="C1052" s="1">
        <v>1665.8</v>
      </c>
      <c r="D1052" s="4">
        <v>33.32</v>
      </c>
      <c r="E1052" s="1">
        <v>1632.48</v>
      </c>
      <c r="F1052">
        <v>16.66</v>
      </c>
      <c r="G1052" s="1">
        <v>1615.82</v>
      </c>
      <c r="H1052" s="14">
        <f>C1052-D1052-F1052</f>
        <v>1615.82</v>
      </c>
      <c r="I1052" s="14" t="b">
        <f>G1052=H1052</f>
        <v>1</v>
      </c>
      <c r="J1052" s="2">
        <v>46003</v>
      </c>
      <c r="K1052" s="5">
        <v>1007709</v>
      </c>
      <c r="L1052" s="5">
        <v>3767</v>
      </c>
      <c r="M1052" s="5">
        <v>33.32</v>
      </c>
      <c r="N1052" s="5">
        <v>1665.8</v>
      </c>
      <c r="O1052" s="7">
        <v>45993</v>
      </c>
      <c r="P1052" s="5">
        <v>1632.48</v>
      </c>
      <c r="Q1052" s="5">
        <v>33.32</v>
      </c>
      <c r="R1052" s="5" t="s">
        <v>32</v>
      </c>
      <c r="S1052" s="5" t="s">
        <v>33</v>
      </c>
      <c r="T1052" s="5">
        <v>16.66</v>
      </c>
      <c r="U1052" s="5">
        <v>1615.82</v>
      </c>
      <c r="V1052" s="5" t="s">
        <v>34</v>
      </c>
      <c r="W1052" s="5">
        <v>2</v>
      </c>
      <c r="X1052" s="5">
        <v>3023767720186</v>
      </c>
      <c r="Y1052" s="7">
        <v>46003</v>
      </c>
      <c r="Z1052" s="7">
        <v>45993</v>
      </c>
      <c r="AB1052" s="6">
        <v>46003</v>
      </c>
      <c r="AC1052" s="7">
        <v>46002.731944444444</v>
      </c>
      <c r="AD1052" s="5">
        <v>37671007709</v>
      </c>
      <c r="AE1052" s="8">
        <v>45993</v>
      </c>
      <c r="AF1052" s="5" t="s">
        <v>572</v>
      </c>
      <c r="AG1052" s="5" t="s">
        <v>37</v>
      </c>
      <c r="AH1052" s="5">
        <v>206173</v>
      </c>
      <c r="AI1052" s="6">
        <v>45993</v>
      </c>
      <c r="AJ1052" s="6">
        <v>46003</v>
      </c>
      <c r="AK1052" s="1">
        <f t="shared" ref="AK1052" si="486">0.02*C1052</f>
        <v>33.316000000000003</v>
      </c>
    </row>
    <row r="1053" spans="1:37" hidden="1" x14ac:dyDescent="0.55000000000000004">
      <c r="A1053">
        <v>3767</v>
      </c>
      <c r="B1053">
        <v>1007711</v>
      </c>
      <c r="C1053" s="1">
        <v>3439.19</v>
      </c>
      <c r="E1053" s="1">
        <v>3439.19</v>
      </c>
      <c r="F1053">
        <v>34.39</v>
      </c>
      <c r="G1053" s="1">
        <v>3404.8</v>
      </c>
      <c r="H1053" s="1"/>
      <c r="I1053" s="1"/>
      <c r="J1053" s="2">
        <v>46003</v>
      </c>
      <c r="K1053" s="5">
        <v>1007711</v>
      </c>
      <c r="L1053" s="5">
        <v>3767</v>
      </c>
      <c r="M1053" s="5">
        <v>0</v>
      </c>
      <c r="N1053" s="5">
        <v>3439.19</v>
      </c>
      <c r="O1053" s="7">
        <v>45993</v>
      </c>
      <c r="P1053" s="5">
        <v>3439.19</v>
      </c>
      <c r="Q1053" s="5">
        <v>0</v>
      </c>
      <c r="R1053" s="5" t="s">
        <v>32</v>
      </c>
      <c r="S1053" s="5" t="s">
        <v>33</v>
      </c>
      <c r="T1053" s="5">
        <v>34.39</v>
      </c>
      <c r="U1053" s="5">
        <v>3404.8</v>
      </c>
      <c r="V1053" s="5" t="s">
        <v>34</v>
      </c>
      <c r="W1053" s="5">
        <v>2</v>
      </c>
      <c r="X1053" s="5">
        <v>3023767720186</v>
      </c>
      <c r="Y1053" s="7">
        <v>46003</v>
      </c>
      <c r="Z1053" s="7">
        <v>45993</v>
      </c>
      <c r="AB1053" s="6">
        <v>46003</v>
      </c>
      <c r="AC1053" s="7">
        <v>46002.731944444444</v>
      </c>
      <c r="AD1053" s="5">
        <v>37671007711</v>
      </c>
      <c r="AE1053" s="8">
        <v>45993</v>
      </c>
      <c r="AF1053" s="5" t="s">
        <v>572</v>
      </c>
      <c r="AG1053" s="5" t="s">
        <v>38</v>
      </c>
      <c r="AH1053" s="5">
        <v>206176</v>
      </c>
      <c r="AI1053" s="6">
        <v>45993</v>
      </c>
      <c r="AJ1053" s="6">
        <v>46003</v>
      </c>
    </row>
    <row r="1054" spans="1:37" hidden="1" x14ac:dyDescent="0.55000000000000004">
      <c r="A1054">
        <v>3767</v>
      </c>
      <c r="B1054">
        <v>1007713</v>
      </c>
      <c r="C1054">
        <v>129.26</v>
      </c>
      <c r="E1054">
        <v>129.26</v>
      </c>
      <c r="F1054">
        <v>1.29</v>
      </c>
      <c r="G1054">
        <v>127.97</v>
      </c>
      <c r="H1054"/>
      <c r="I1054"/>
      <c r="J1054" s="2">
        <v>46003</v>
      </c>
      <c r="K1054" s="5">
        <v>1007713</v>
      </c>
      <c r="L1054" s="5">
        <v>3767</v>
      </c>
      <c r="M1054" s="5">
        <v>0</v>
      </c>
      <c r="N1054" s="5">
        <v>129.26</v>
      </c>
      <c r="O1054" s="7">
        <v>45993</v>
      </c>
      <c r="P1054" s="5">
        <v>129.26</v>
      </c>
      <c r="Q1054" s="5">
        <v>0</v>
      </c>
      <c r="R1054" s="5" t="s">
        <v>32</v>
      </c>
      <c r="S1054" s="5" t="s">
        <v>33</v>
      </c>
      <c r="T1054" s="5">
        <v>1.29</v>
      </c>
      <c r="U1054" s="5">
        <v>127.97</v>
      </c>
      <c r="V1054" s="5" t="s">
        <v>34</v>
      </c>
      <c r="W1054" s="5">
        <v>2</v>
      </c>
      <c r="X1054" s="5">
        <v>3023767720186</v>
      </c>
      <c r="Y1054" s="7">
        <v>46003</v>
      </c>
      <c r="Z1054" s="7">
        <v>45993</v>
      </c>
      <c r="AB1054" s="6">
        <v>46003</v>
      </c>
      <c r="AC1054" s="7">
        <v>46002.731944444444</v>
      </c>
      <c r="AD1054" s="5">
        <v>37671007713</v>
      </c>
      <c r="AE1054" s="8">
        <v>45993</v>
      </c>
      <c r="AF1054" s="5" t="s">
        <v>573</v>
      </c>
      <c r="AG1054" s="5" t="s">
        <v>38</v>
      </c>
      <c r="AH1054" s="5">
        <v>206178</v>
      </c>
      <c r="AI1054" s="6">
        <v>45993</v>
      </c>
      <c r="AJ1054" s="6">
        <v>46003</v>
      </c>
    </row>
    <row r="1055" spans="1:37" x14ac:dyDescent="0.55000000000000004">
      <c r="A1055">
        <v>3767</v>
      </c>
      <c r="B1055">
        <v>1007714</v>
      </c>
      <c r="C1055" s="1">
        <v>1504.87</v>
      </c>
      <c r="D1055" s="4">
        <v>30.1</v>
      </c>
      <c r="E1055" s="1">
        <v>1474.77</v>
      </c>
      <c r="F1055">
        <v>15.05</v>
      </c>
      <c r="G1055" s="1">
        <v>1459.72</v>
      </c>
      <c r="H1055" s="14">
        <f t="shared" ref="H1055:H1056" si="487">C1055-D1055-F1055</f>
        <v>1459.72</v>
      </c>
      <c r="I1055" s="14" t="b">
        <f t="shared" ref="I1055:I1056" si="488">G1055=H1055</f>
        <v>1</v>
      </c>
      <c r="J1055" s="2">
        <v>46003</v>
      </c>
      <c r="K1055" s="5">
        <v>1007714</v>
      </c>
      <c r="L1055" s="5">
        <v>3767</v>
      </c>
      <c r="M1055" s="5">
        <v>30.1</v>
      </c>
      <c r="N1055" s="5">
        <v>1504.87</v>
      </c>
      <c r="O1055" s="7">
        <v>45993</v>
      </c>
      <c r="P1055" s="5">
        <v>1474.77</v>
      </c>
      <c r="Q1055" s="5">
        <v>30.1</v>
      </c>
      <c r="R1055" s="5" t="s">
        <v>32</v>
      </c>
      <c r="S1055" s="5" t="s">
        <v>33</v>
      </c>
      <c r="T1055" s="5">
        <v>15.05</v>
      </c>
      <c r="U1055" s="5">
        <v>1459.72</v>
      </c>
      <c r="V1055" s="5" t="s">
        <v>34</v>
      </c>
      <c r="W1055" s="5">
        <v>2</v>
      </c>
      <c r="X1055" s="5">
        <v>3023767720186</v>
      </c>
      <c r="Y1055" s="7">
        <v>46003</v>
      </c>
      <c r="Z1055" s="7">
        <v>45993</v>
      </c>
      <c r="AB1055" s="6">
        <v>46003</v>
      </c>
      <c r="AC1055" s="7">
        <v>46002.731944444444</v>
      </c>
      <c r="AD1055" s="5">
        <v>37671007714</v>
      </c>
      <c r="AE1055" s="8">
        <v>45993</v>
      </c>
      <c r="AF1055" s="5" t="s">
        <v>571</v>
      </c>
      <c r="AG1055" s="5" t="s">
        <v>37</v>
      </c>
      <c r="AH1055" s="5">
        <v>206174</v>
      </c>
      <c r="AI1055" s="6">
        <v>45993</v>
      </c>
      <c r="AJ1055" s="6">
        <v>46003</v>
      </c>
      <c r="AK1055" s="1">
        <f t="shared" ref="AK1055:AK1056" si="489">0.02*C1055</f>
        <v>30.097399999999997</v>
      </c>
    </row>
    <row r="1056" spans="1:37" x14ac:dyDescent="0.55000000000000004">
      <c r="A1056">
        <v>3767</v>
      </c>
      <c r="B1056">
        <v>1007760</v>
      </c>
      <c r="C1056">
        <v>698.97</v>
      </c>
      <c r="D1056" s="4">
        <v>13.98</v>
      </c>
      <c r="E1056">
        <v>684.99</v>
      </c>
      <c r="F1056">
        <v>6.99</v>
      </c>
      <c r="G1056">
        <v>678</v>
      </c>
      <c r="H1056" s="14">
        <f t="shared" si="487"/>
        <v>678</v>
      </c>
      <c r="I1056" s="14" t="b">
        <f t="shared" si="488"/>
        <v>1</v>
      </c>
      <c r="J1056" s="2">
        <v>46003</v>
      </c>
      <c r="K1056" s="5">
        <v>1007760</v>
      </c>
      <c r="L1056" s="5">
        <v>3767</v>
      </c>
      <c r="M1056" s="5">
        <v>13.98</v>
      </c>
      <c r="N1056" s="5">
        <v>698.97</v>
      </c>
      <c r="O1056" s="7">
        <v>45993</v>
      </c>
      <c r="P1056" s="5">
        <v>684.99</v>
      </c>
      <c r="Q1056" s="5">
        <v>13.98</v>
      </c>
      <c r="R1056" s="5" t="s">
        <v>32</v>
      </c>
      <c r="S1056" s="5" t="s">
        <v>33</v>
      </c>
      <c r="T1056" s="5">
        <v>6.99</v>
      </c>
      <c r="U1056" s="5">
        <v>678</v>
      </c>
      <c r="V1056" s="5" t="s">
        <v>34</v>
      </c>
      <c r="W1056" s="5">
        <v>2</v>
      </c>
      <c r="X1056" s="5">
        <v>3023767720186</v>
      </c>
      <c r="Y1056" s="7">
        <v>46003</v>
      </c>
      <c r="Z1056" s="7">
        <v>45993</v>
      </c>
      <c r="AB1056" s="6">
        <v>46003</v>
      </c>
      <c r="AC1056" s="7">
        <v>46002.731944444444</v>
      </c>
      <c r="AD1056" s="5">
        <v>37671007760</v>
      </c>
      <c r="AE1056" s="8">
        <v>45993</v>
      </c>
      <c r="AF1056" s="5" t="s">
        <v>574</v>
      </c>
      <c r="AG1056" s="5" t="s">
        <v>37</v>
      </c>
      <c r="AH1056" s="5">
        <v>205599</v>
      </c>
      <c r="AI1056" s="6">
        <v>45993</v>
      </c>
      <c r="AJ1056" s="6">
        <v>46003</v>
      </c>
      <c r="AK1056" s="1">
        <f t="shared" si="489"/>
        <v>13.9794</v>
      </c>
    </row>
    <row r="1057" spans="1:37" hidden="1" x14ac:dyDescent="0.55000000000000004">
      <c r="A1057">
        <v>3767</v>
      </c>
      <c r="B1057">
        <v>1007769</v>
      </c>
      <c r="C1057" s="1">
        <v>4087.46</v>
      </c>
      <c r="E1057" s="1">
        <v>4087.46</v>
      </c>
      <c r="F1057">
        <v>40.869999999999997</v>
      </c>
      <c r="G1057" s="1">
        <v>4046.59</v>
      </c>
      <c r="H1057" s="1"/>
      <c r="I1057" s="1"/>
      <c r="J1057" s="2">
        <v>46003</v>
      </c>
      <c r="K1057" s="5">
        <v>1007769</v>
      </c>
      <c r="L1057" s="5">
        <v>3767</v>
      </c>
      <c r="M1057" s="5">
        <v>0</v>
      </c>
      <c r="N1057" s="5">
        <v>4087.46</v>
      </c>
      <c r="O1057" s="7">
        <v>45993</v>
      </c>
      <c r="P1057" s="5">
        <v>4087.46</v>
      </c>
      <c r="Q1057" s="5">
        <v>0</v>
      </c>
      <c r="R1057" s="5" t="s">
        <v>32</v>
      </c>
      <c r="S1057" s="5" t="s">
        <v>33</v>
      </c>
      <c r="T1057" s="5">
        <v>40.869999999999997</v>
      </c>
      <c r="U1057" s="5">
        <v>4046.59</v>
      </c>
      <c r="V1057" s="5" t="s">
        <v>34</v>
      </c>
      <c r="W1057" s="5">
        <v>2</v>
      </c>
      <c r="X1057" s="5">
        <v>3023767720186</v>
      </c>
      <c r="Y1057" s="7">
        <v>46003</v>
      </c>
      <c r="Z1057" s="7">
        <v>45993</v>
      </c>
      <c r="AB1057" s="6">
        <v>46003</v>
      </c>
      <c r="AC1057" s="7">
        <v>46002.731944444444</v>
      </c>
      <c r="AD1057" s="5">
        <v>37671007769</v>
      </c>
      <c r="AE1057" s="8">
        <v>45993</v>
      </c>
      <c r="AF1057" s="5" t="s">
        <v>574</v>
      </c>
      <c r="AG1057" s="5" t="s">
        <v>38</v>
      </c>
      <c r="AH1057" s="5">
        <v>205614</v>
      </c>
      <c r="AI1057" s="6">
        <v>45993</v>
      </c>
      <c r="AJ1057" s="6">
        <v>46003</v>
      </c>
    </row>
    <row r="1058" spans="1:37" x14ac:dyDescent="0.55000000000000004">
      <c r="A1058">
        <v>3767</v>
      </c>
      <c r="B1058">
        <v>1007771</v>
      </c>
      <c r="C1058">
        <v>969.97</v>
      </c>
      <c r="D1058" s="4">
        <v>19.399999999999999</v>
      </c>
      <c r="E1058">
        <v>950.57</v>
      </c>
      <c r="F1058">
        <v>9.6999999999999993</v>
      </c>
      <c r="G1058">
        <v>940.87</v>
      </c>
      <c r="H1058" s="14">
        <f>C1058-D1058-F1058</f>
        <v>940.87</v>
      </c>
      <c r="I1058" s="14" t="b">
        <f>G1058=H1058</f>
        <v>1</v>
      </c>
      <c r="J1058" s="2">
        <v>46003</v>
      </c>
      <c r="K1058" s="5">
        <v>1007771</v>
      </c>
      <c r="L1058" s="5">
        <v>3767</v>
      </c>
      <c r="M1058" s="5">
        <v>19.399999999999999</v>
      </c>
      <c r="N1058" s="5">
        <v>969.97</v>
      </c>
      <c r="O1058" s="7">
        <v>45993</v>
      </c>
      <c r="P1058" s="5">
        <v>950.57</v>
      </c>
      <c r="Q1058" s="5">
        <v>19.399999999999999</v>
      </c>
      <c r="R1058" s="5" t="s">
        <v>32</v>
      </c>
      <c r="S1058" s="5" t="s">
        <v>33</v>
      </c>
      <c r="T1058" s="5">
        <v>9.6999999999999993</v>
      </c>
      <c r="U1058" s="5">
        <v>940.87</v>
      </c>
      <c r="V1058" s="5" t="s">
        <v>34</v>
      </c>
      <c r="W1058" s="5">
        <v>2</v>
      </c>
      <c r="X1058" s="5">
        <v>3023767720186</v>
      </c>
      <c r="Y1058" s="7">
        <v>46003</v>
      </c>
      <c r="Z1058" s="7">
        <v>45993</v>
      </c>
      <c r="AB1058" s="6">
        <v>46003</v>
      </c>
      <c r="AC1058" s="7">
        <v>46002.731944444444</v>
      </c>
      <c r="AD1058" s="5">
        <v>37671007771</v>
      </c>
      <c r="AE1058" s="8">
        <v>45993</v>
      </c>
      <c r="AF1058" s="5" t="s">
        <v>574</v>
      </c>
      <c r="AG1058" s="5" t="s">
        <v>37</v>
      </c>
      <c r="AH1058" s="5">
        <v>205612</v>
      </c>
      <c r="AI1058" s="6">
        <v>45993</v>
      </c>
      <c r="AJ1058" s="6">
        <v>46003</v>
      </c>
      <c r="AK1058" s="1">
        <f t="shared" ref="AK1058" si="490">0.02*C1058</f>
        <v>19.3994</v>
      </c>
    </row>
    <row r="1059" spans="1:37" hidden="1" x14ac:dyDescent="0.55000000000000004">
      <c r="A1059">
        <v>3767</v>
      </c>
      <c r="B1059">
        <v>1007772</v>
      </c>
      <c r="C1059" s="1">
        <v>1093.52</v>
      </c>
      <c r="E1059" s="1">
        <v>1093.52</v>
      </c>
      <c r="F1059">
        <v>10.94</v>
      </c>
      <c r="G1059" s="1">
        <v>1082.58</v>
      </c>
      <c r="H1059" s="1"/>
      <c r="I1059" s="1"/>
      <c r="J1059" s="2">
        <v>46003</v>
      </c>
      <c r="K1059" s="5">
        <v>1007772</v>
      </c>
      <c r="L1059" s="5">
        <v>3767</v>
      </c>
      <c r="M1059" s="5">
        <v>0</v>
      </c>
      <c r="N1059" s="5">
        <v>1093.52</v>
      </c>
      <c r="O1059" s="7">
        <v>45993</v>
      </c>
      <c r="P1059" s="5">
        <v>1093.52</v>
      </c>
      <c r="Q1059" s="5">
        <v>0</v>
      </c>
      <c r="R1059" s="5" t="s">
        <v>32</v>
      </c>
      <c r="S1059" s="5" t="s">
        <v>33</v>
      </c>
      <c r="T1059" s="5">
        <v>10.94</v>
      </c>
      <c r="U1059" s="5">
        <v>1082.58</v>
      </c>
      <c r="V1059" s="5" t="s">
        <v>34</v>
      </c>
      <c r="W1059" s="5">
        <v>2</v>
      </c>
      <c r="X1059" s="5">
        <v>3023767720186</v>
      </c>
      <c r="Y1059" s="7">
        <v>46003</v>
      </c>
      <c r="Z1059" s="7">
        <v>45993</v>
      </c>
      <c r="AB1059" s="6">
        <v>46003</v>
      </c>
      <c r="AC1059" s="7">
        <v>46002.731944444444</v>
      </c>
      <c r="AD1059" s="5">
        <v>37671007772</v>
      </c>
      <c r="AE1059" s="8">
        <v>45993</v>
      </c>
      <c r="AF1059" s="5" t="s">
        <v>575</v>
      </c>
      <c r="AG1059" s="5" t="s">
        <v>38</v>
      </c>
      <c r="AH1059" s="5">
        <v>205616</v>
      </c>
      <c r="AI1059" s="6">
        <v>45993</v>
      </c>
      <c r="AJ1059" s="6">
        <v>46003</v>
      </c>
    </row>
    <row r="1060" spans="1:37" hidden="1" x14ac:dyDescent="0.55000000000000004">
      <c r="A1060">
        <v>3767</v>
      </c>
      <c r="B1060">
        <v>1007773</v>
      </c>
      <c r="C1060">
        <v>646.79</v>
      </c>
      <c r="E1060">
        <v>646.79</v>
      </c>
      <c r="F1060">
        <v>6.47</v>
      </c>
      <c r="G1060">
        <v>640.32000000000005</v>
      </c>
      <c r="H1060"/>
      <c r="I1060"/>
      <c r="J1060" s="2">
        <v>46003</v>
      </c>
      <c r="K1060" s="5">
        <v>1007773</v>
      </c>
      <c r="L1060" s="5">
        <v>3767</v>
      </c>
      <c r="M1060" s="5">
        <v>0</v>
      </c>
      <c r="N1060" s="5">
        <v>646.79</v>
      </c>
      <c r="O1060" s="7">
        <v>45993</v>
      </c>
      <c r="P1060" s="5">
        <v>646.79</v>
      </c>
      <c r="Q1060" s="5">
        <v>0</v>
      </c>
      <c r="R1060" s="5" t="s">
        <v>32</v>
      </c>
      <c r="S1060" s="5" t="s">
        <v>33</v>
      </c>
      <c r="T1060" s="5">
        <v>6.47</v>
      </c>
      <c r="U1060" s="5">
        <v>640.32000000000005</v>
      </c>
      <c r="V1060" s="5" t="s">
        <v>34</v>
      </c>
      <c r="W1060" s="5">
        <v>2</v>
      </c>
      <c r="X1060" s="5">
        <v>3023767720186</v>
      </c>
      <c r="Y1060" s="7">
        <v>46003</v>
      </c>
      <c r="Z1060" s="7">
        <v>45993</v>
      </c>
      <c r="AB1060" s="6">
        <v>46003</v>
      </c>
      <c r="AC1060" s="7">
        <v>46002.731944444444</v>
      </c>
      <c r="AD1060" s="5">
        <v>37671007773</v>
      </c>
      <c r="AE1060" s="8">
        <v>45993</v>
      </c>
      <c r="AF1060" s="5" t="s">
        <v>576</v>
      </c>
      <c r="AG1060" s="5" t="s">
        <v>38</v>
      </c>
      <c r="AH1060" s="5">
        <v>205615</v>
      </c>
      <c r="AI1060" s="6">
        <v>45993</v>
      </c>
      <c r="AJ1060" s="6">
        <v>46003</v>
      </c>
    </row>
    <row r="1061" spans="1:37" x14ac:dyDescent="0.55000000000000004">
      <c r="A1061">
        <v>3767</v>
      </c>
      <c r="B1061">
        <v>1007775</v>
      </c>
      <c r="C1061">
        <v>227.86</v>
      </c>
      <c r="D1061" s="4">
        <v>4.5599999999999996</v>
      </c>
      <c r="E1061">
        <v>223.3</v>
      </c>
      <c r="F1061">
        <v>2.2799999999999998</v>
      </c>
      <c r="G1061">
        <v>221.02</v>
      </c>
      <c r="H1061" s="14">
        <f t="shared" ref="H1061:H1066" si="491">C1061-D1061-F1061</f>
        <v>221.02</v>
      </c>
      <c r="I1061" s="14" t="b">
        <f t="shared" ref="I1061:I1066" si="492">G1061=H1061</f>
        <v>1</v>
      </c>
      <c r="J1061" s="2">
        <v>46003</v>
      </c>
      <c r="K1061" s="5">
        <v>1007775</v>
      </c>
      <c r="L1061" s="5">
        <v>3767</v>
      </c>
      <c r="M1061" s="5">
        <v>4.5599999999999996</v>
      </c>
      <c r="N1061" s="5">
        <v>227.86</v>
      </c>
      <c r="O1061" s="7">
        <v>45993</v>
      </c>
      <c r="P1061" s="5">
        <v>223.3</v>
      </c>
      <c r="Q1061" s="5">
        <v>4.5599999999999996</v>
      </c>
      <c r="R1061" s="5" t="s">
        <v>32</v>
      </c>
      <c r="S1061" s="5" t="s">
        <v>33</v>
      </c>
      <c r="T1061" s="5">
        <v>2.2799999999999998</v>
      </c>
      <c r="U1061" s="5">
        <v>221.02</v>
      </c>
      <c r="V1061" s="5" t="s">
        <v>34</v>
      </c>
      <c r="W1061" s="5">
        <v>2</v>
      </c>
      <c r="X1061" s="5">
        <v>3023767720186</v>
      </c>
      <c r="Y1061" s="7">
        <v>46003</v>
      </c>
      <c r="Z1061" s="7">
        <v>45993</v>
      </c>
      <c r="AB1061" s="6">
        <v>46003</v>
      </c>
      <c r="AC1061" s="7">
        <v>46002.731944444444</v>
      </c>
      <c r="AD1061" s="5">
        <v>37671007775</v>
      </c>
      <c r="AE1061" s="8">
        <v>45993</v>
      </c>
      <c r="AF1061" s="5" t="s">
        <v>576</v>
      </c>
      <c r="AG1061" s="5" t="s">
        <v>37</v>
      </c>
      <c r="AH1061" s="5">
        <v>205613</v>
      </c>
      <c r="AI1061" s="6">
        <v>45993</v>
      </c>
      <c r="AJ1061" s="6">
        <v>46003</v>
      </c>
      <c r="AK1061" s="1">
        <f t="shared" ref="AK1061:AK1066" si="493">0.02*C1061</f>
        <v>4.5572000000000008</v>
      </c>
    </row>
    <row r="1062" spans="1:37" x14ac:dyDescent="0.55000000000000004">
      <c r="A1062">
        <v>3767</v>
      </c>
      <c r="B1062">
        <v>1007783</v>
      </c>
      <c r="C1062">
        <v>97.17</v>
      </c>
      <c r="D1062" s="4">
        <v>1.94</v>
      </c>
      <c r="E1062">
        <v>95.23</v>
      </c>
      <c r="F1062">
        <v>0.97</v>
      </c>
      <c r="G1062">
        <v>94.26</v>
      </c>
      <c r="H1062" s="14">
        <f t="shared" si="491"/>
        <v>94.26</v>
      </c>
      <c r="I1062" s="14" t="b">
        <f t="shared" si="492"/>
        <v>1</v>
      </c>
      <c r="J1062" s="2">
        <v>46003</v>
      </c>
      <c r="K1062" s="5">
        <v>1007783</v>
      </c>
      <c r="L1062" s="5">
        <v>3767</v>
      </c>
      <c r="M1062" s="5">
        <v>1.94</v>
      </c>
      <c r="N1062" s="5">
        <v>97.17</v>
      </c>
      <c r="O1062" s="7">
        <v>45993</v>
      </c>
      <c r="P1062" s="5">
        <v>95.23</v>
      </c>
      <c r="Q1062" s="5">
        <v>1.94</v>
      </c>
      <c r="R1062" s="5" t="s">
        <v>32</v>
      </c>
      <c r="S1062" s="5" t="s">
        <v>33</v>
      </c>
      <c r="T1062" s="5">
        <v>0.97</v>
      </c>
      <c r="U1062" s="5">
        <v>94.26</v>
      </c>
      <c r="V1062" s="5" t="s">
        <v>34</v>
      </c>
      <c r="W1062" s="5">
        <v>2</v>
      </c>
      <c r="X1062" s="5">
        <v>3023767720186</v>
      </c>
      <c r="Y1062" s="7">
        <v>46003</v>
      </c>
      <c r="Z1062" s="7">
        <v>45993</v>
      </c>
      <c r="AB1062" s="6">
        <v>46003</v>
      </c>
      <c r="AC1062" s="7">
        <v>46002.731944444444</v>
      </c>
      <c r="AD1062" s="5">
        <v>37671007783</v>
      </c>
      <c r="AE1062" s="8">
        <v>45993</v>
      </c>
      <c r="AF1062" s="5" t="s">
        <v>576</v>
      </c>
      <c r="AG1062" s="5" t="s">
        <v>37</v>
      </c>
      <c r="AH1062" s="5">
        <v>205600</v>
      </c>
      <c r="AI1062" s="6">
        <v>45993</v>
      </c>
      <c r="AJ1062" s="6">
        <v>46003</v>
      </c>
      <c r="AK1062" s="1">
        <f t="shared" si="493"/>
        <v>1.9434</v>
      </c>
    </row>
    <row r="1063" spans="1:37" x14ac:dyDescent="0.55000000000000004">
      <c r="A1063">
        <v>3767</v>
      </c>
      <c r="B1063">
        <v>1007792</v>
      </c>
      <c r="C1063">
        <v>122.44</v>
      </c>
      <c r="D1063" s="4">
        <v>2.4500000000000002</v>
      </c>
      <c r="E1063">
        <v>119.99</v>
      </c>
      <c r="F1063">
        <v>1.22</v>
      </c>
      <c r="G1063">
        <v>118.77</v>
      </c>
      <c r="H1063" s="14">
        <f t="shared" si="491"/>
        <v>118.77</v>
      </c>
      <c r="I1063" s="14" t="b">
        <f t="shared" si="492"/>
        <v>1</v>
      </c>
      <c r="J1063" s="2">
        <v>46003</v>
      </c>
      <c r="K1063" s="5">
        <v>1007792</v>
      </c>
      <c r="L1063" s="5">
        <v>3767</v>
      </c>
      <c r="M1063" s="5">
        <v>2.4500000000000002</v>
      </c>
      <c r="N1063" s="5">
        <v>122.44</v>
      </c>
      <c r="O1063" s="7">
        <v>45993</v>
      </c>
      <c r="P1063" s="5">
        <v>119.99</v>
      </c>
      <c r="Q1063" s="5">
        <v>2.4500000000000002</v>
      </c>
      <c r="R1063" s="5" t="s">
        <v>32</v>
      </c>
      <c r="S1063" s="5" t="s">
        <v>33</v>
      </c>
      <c r="T1063" s="5">
        <v>1.22</v>
      </c>
      <c r="U1063" s="5">
        <v>118.77</v>
      </c>
      <c r="V1063" s="5" t="s">
        <v>34</v>
      </c>
      <c r="W1063" s="5">
        <v>2</v>
      </c>
      <c r="X1063" s="5">
        <v>3023767720186</v>
      </c>
      <c r="Y1063" s="7">
        <v>46003</v>
      </c>
      <c r="Z1063" s="7">
        <v>45993</v>
      </c>
      <c r="AB1063" s="6">
        <v>46003</v>
      </c>
      <c r="AC1063" s="7">
        <v>46002.731944444444</v>
      </c>
      <c r="AD1063" s="5">
        <v>37671007792</v>
      </c>
      <c r="AE1063" s="8">
        <v>45993</v>
      </c>
      <c r="AF1063" s="5" t="s">
        <v>577</v>
      </c>
      <c r="AG1063" s="5" t="s">
        <v>37</v>
      </c>
      <c r="AH1063" s="5">
        <v>206046</v>
      </c>
      <c r="AI1063" s="6">
        <v>45993</v>
      </c>
      <c r="AJ1063" s="6">
        <v>46003</v>
      </c>
      <c r="AK1063" s="1">
        <f t="shared" si="493"/>
        <v>2.4487999999999999</v>
      </c>
    </row>
    <row r="1064" spans="1:37" x14ac:dyDescent="0.55000000000000004">
      <c r="A1064">
        <v>3767</v>
      </c>
      <c r="B1064">
        <v>1007793</v>
      </c>
      <c r="C1064">
        <v>26.49</v>
      </c>
      <c r="D1064" s="4">
        <v>0.53</v>
      </c>
      <c r="E1064">
        <v>25.96</v>
      </c>
      <c r="F1064">
        <v>0.26</v>
      </c>
      <c r="G1064">
        <v>25.7</v>
      </c>
      <c r="H1064" s="14">
        <f t="shared" si="491"/>
        <v>25.699999999999996</v>
      </c>
      <c r="I1064" s="14" t="b">
        <f t="shared" si="492"/>
        <v>1</v>
      </c>
      <c r="J1064" s="2">
        <v>46003</v>
      </c>
      <c r="K1064" s="5">
        <v>1007793</v>
      </c>
      <c r="L1064" s="5">
        <v>3767</v>
      </c>
      <c r="M1064" s="5">
        <v>0.53</v>
      </c>
      <c r="N1064" s="5">
        <v>26.49</v>
      </c>
      <c r="O1064" s="7">
        <v>45993</v>
      </c>
      <c r="P1064" s="5">
        <v>25.96</v>
      </c>
      <c r="Q1064" s="5">
        <v>0.53</v>
      </c>
      <c r="R1064" s="5" t="s">
        <v>32</v>
      </c>
      <c r="S1064" s="5" t="s">
        <v>33</v>
      </c>
      <c r="T1064" s="5">
        <v>0.26</v>
      </c>
      <c r="U1064" s="5">
        <v>25.7</v>
      </c>
      <c r="V1064" s="5" t="s">
        <v>34</v>
      </c>
      <c r="W1064" s="5">
        <v>2</v>
      </c>
      <c r="X1064" s="5">
        <v>3023767720186</v>
      </c>
      <c r="Y1064" s="7">
        <v>46003</v>
      </c>
      <c r="Z1064" s="7">
        <v>45993</v>
      </c>
      <c r="AB1064" s="6">
        <v>46003</v>
      </c>
      <c r="AC1064" s="7">
        <v>46002.731944444444</v>
      </c>
      <c r="AD1064" s="5">
        <v>37671007793</v>
      </c>
      <c r="AE1064" s="8">
        <v>45993</v>
      </c>
      <c r="AF1064" s="5" t="s">
        <v>578</v>
      </c>
      <c r="AG1064" s="5" t="s">
        <v>37</v>
      </c>
      <c r="AH1064" s="5">
        <v>206044</v>
      </c>
      <c r="AI1064" s="6">
        <v>45993</v>
      </c>
      <c r="AJ1064" s="6">
        <v>46003</v>
      </c>
      <c r="AK1064" s="1">
        <f t="shared" si="493"/>
        <v>0.52979999999999994</v>
      </c>
    </row>
    <row r="1065" spans="1:37" x14ac:dyDescent="0.55000000000000004">
      <c r="A1065">
        <v>3767</v>
      </c>
      <c r="B1065">
        <v>1007796</v>
      </c>
      <c r="C1065">
        <v>58.31</v>
      </c>
      <c r="D1065" s="4">
        <v>1.17</v>
      </c>
      <c r="E1065">
        <v>57.14</v>
      </c>
      <c r="F1065">
        <v>0.57999999999999996</v>
      </c>
      <c r="G1065">
        <v>56.56</v>
      </c>
      <c r="H1065" s="14">
        <f t="shared" si="491"/>
        <v>56.56</v>
      </c>
      <c r="I1065" s="14" t="b">
        <f t="shared" si="492"/>
        <v>1</v>
      </c>
      <c r="J1065" s="2">
        <v>46003</v>
      </c>
      <c r="K1065" s="5">
        <v>1007796</v>
      </c>
      <c r="L1065" s="5">
        <v>3767</v>
      </c>
      <c r="M1065" s="5">
        <v>1.17</v>
      </c>
      <c r="N1065" s="5">
        <v>58.31</v>
      </c>
      <c r="O1065" s="7">
        <v>45993</v>
      </c>
      <c r="P1065" s="5">
        <v>57.14</v>
      </c>
      <c r="Q1065" s="5">
        <v>1.17</v>
      </c>
      <c r="R1065" s="5" t="s">
        <v>32</v>
      </c>
      <c r="S1065" s="5" t="s">
        <v>33</v>
      </c>
      <c r="T1065" s="5">
        <v>0.57999999999999996</v>
      </c>
      <c r="U1065" s="5">
        <v>56.56</v>
      </c>
      <c r="V1065" s="5" t="s">
        <v>34</v>
      </c>
      <c r="W1065" s="5">
        <v>2</v>
      </c>
      <c r="X1065" s="5">
        <v>3023767720186</v>
      </c>
      <c r="Y1065" s="7">
        <v>46003</v>
      </c>
      <c r="Z1065" s="7">
        <v>45993</v>
      </c>
      <c r="AB1065" s="6">
        <v>46003</v>
      </c>
      <c r="AC1065" s="7">
        <v>46002.731944444444</v>
      </c>
      <c r="AD1065" s="5">
        <v>37671007796</v>
      </c>
      <c r="AE1065" s="8">
        <v>45993</v>
      </c>
      <c r="AF1065" s="5" t="s">
        <v>579</v>
      </c>
      <c r="AG1065" s="5" t="s">
        <v>37</v>
      </c>
      <c r="AH1065" s="5">
        <v>206043</v>
      </c>
      <c r="AI1065" s="6">
        <v>45993</v>
      </c>
      <c r="AJ1065" s="6">
        <v>46003</v>
      </c>
      <c r="AK1065" s="1">
        <f t="shared" si="493"/>
        <v>1.1662000000000001</v>
      </c>
    </row>
    <row r="1066" spans="1:37" x14ac:dyDescent="0.55000000000000004">
      <c r="A1066">
        <v>3767</v>
      </c>
      <c r="B1066">
        <v>1007800</v>
      </c>
      <c r="C1066">
        <v>52.98</v>
      </c>
      <c r="D1066" s="4">
        <v>1.06</v>
      </c>
      <c r="E1066">
        <v>51.92</v>
      </c>
      <c r="F1066">
        <v>0.53</v>
      </c>
      <c r="G1066">
        <v>51.39</v>
      </c>
      <c r="H1066" s="14">
        <f t="shared" si="491"/>
        <v>51.389999999999993</v>
      </c>
      <c r="I1066" s="14" t="b">
        <f t="shared" si="492"/>
        <v>1</v>
      </c>
      <c r="J1066" s="2">
        <v>46003</v>
      </c>
      <c r="K1066" s="5">
        <v>1007800</v>
      </c>
      <c r="L1066" s="5">
        <v>3767</v>
      </c>
      <c r="M1066" s="5">
        <v>1.06</v>
      </c>
      <c r="N1066" s="5">
        <v>52.98</v>
      </c>
      <c r="O1066" s="7">
        <v>45993</v>
      </c>
      <c r="P1066" s="5">
        <v>51.92</v>
      </c>
      <c r="Q1066" s="5">
        <v>1.06</v>
      </c>
      <c r="R1066" s="5" t="s">
        <v>32</v>
      </c>
      <c r="S1066" s="5" t="s">
        <v>33</v>
      </c>
      <c r="T1066" s="5">
        <v>0.53</v>
      </c>
      <c r="U1066" s="5">
        <v>51.39</v>
      </c>
      <c r="V1066" s="5" t="s">
        <v>34</v>
      </c>
      <c r="W1066" s="5">
        <v>2</v>
      </c>
      <c r="X1066" s="5">
        <v>3023767720186</v>
      </c>
      <c r="Y1066" s="7">
        <v>46003</v>
      </c>
      <c r="Z1066" s="7">
        <v>45993</v>
      </c>
      <c r="AB1066" s="6">
        <v>46003</v>
      </c>
      <c r="AC1066" s="7">
        <v>46002.731944444444</v>
      </c>
      <c r="AD1066" s="5">
        <v>37671007800</v>
      </c>
      <c r="AE1066" s="8">
        <v>45993</v>
      </c>
      <c r="AF1066" s="5" t="s">
        <v>580</v>
      </c>
      <c r="AG1066" s="5" t="s">
        <v>37</v>
      </c>
      <c r="AH1066" s="5">
        <v>206045</v>
      </c>
      <c r="AI1066" s="6">
        <v>45993</v>
      </c>
      <c r="AJ1066" s="6">
        <v>46003</v>
      </c>
      <c r="AK1066" s="1">
        <f t="shared" si="493"/>
        <v>1.0595999999999999</v>
      </c>
    </row>
    <row r="1067" spans="1:37" hidden="1" x14ac:dyDescent="0.55000000000000004">
      <c r="A1067">
        <v>3767</v>
      </c>
      <c r="B1067">
        <v>1007823</v>
      </c>
      <c r="C1067">
        <v>79.760000000000005</v>
      </c>
      <c r="E1067">
        <v>79.760000000000005</v>
      </c>
      <c r="F1067">
        <v>0.8</v>
      </c>
      <c r="G1067">
        <v>78.959999999999994</v>
      </c>
      <c r="H1067"/>
      <c r="I1067"/>
      <c r="J1067" s="2">
        <v>46003</v>
      </c>
      <c r="K1067" s="5">
        <v>1007823</v>
      </c>
      <c r="L1067" s="5">
        <v>3767</v>
      </c>
      <c r="M1067" s="5">
        <v>0</v>
      </c>
      <c r="N1067" s="5">
        <v>79.760000000000005</v>
      </c>
      <c r="O1067" s="7">
        <v>45993</v>
      </c>
      <c r="P1067" s="5">
        <v>79.760000000000005</v>
      </c>
      <c r="Q1067" s="5">
        <v>0</v>
      </c>
      <c r="R1067" s="5" t="s">
        <v>32</v>
      </c>
      <c r="S1067" s="5" t="s">
        <v>33</v>
      </c>
      <c r="T1067" s="5">
        <v>0.8</v>
      </c>
      <c r="U1067" s="5">
        <v>78.959999999999994</v>
      </c>
      <c r="V1067" s="5" t="s">
        <v>34</v>
      </c>
      <c r="W1067" s="5">
        <v>2</v>
      </c>
      <c r="X1067" s="5">
        <v>3023767720186</v>
      </c>
      <c r="Y1067" s="7">
        <v>46003</v>
      </c>
      <c r="Z1067" s="7">
        <v>45993</v>
      </c>
      <c r="AB1067" s="6">
        <v>46003</v>
      </c>
      <c r="AC1067" s="7">
        <v>46002.731944444444</v>
      </c>
      <c r="AD1067" s="5">
        <v>37671007823</v>
      </c>
      <c r="AE1067" s="8">
        <v>45993</v>
      </c>
      <c r="AF1067" s="5" t="s">
        <v>581</v>
      </c>
      <c r="AG1067" s="5" t="s">
        <v>38</v>
      </c>
      <c r="AH1067" s="5">
        <v>206077</v>
      </c>
      <c r="AI1067" s="6">
        <v>45993</v>
      </c>
      <c r="AJ1067" s="6">
        <v>46003</v>
      </c>
    </row>
    <row r="1068" spans="1:37" x14ac:dyDescent="0.55000000000000004">
      <c r="A1068">
        <v>3767</v>
      </c>
      <c r="B1068">
        <v>1007858</v>
      </c>
      <c r="C1068">
        <v>921.76</v>
      </c>
      <c r="D1068" s="4">
        <v>18.440000000000001</v>
      </c>
      <c r="E1068">
        <v>903.32</v>
      </c>
      <c r="F1068">
        <v>9.2200000000000006</v>
      </c>
      <c r="G1068">
        <v>894.1</v>
      </c>
      <c r="H1068" s="14">
        <f t="shared" ref="H1068:H1079" si="494">C1068-D1068-F1068</f>
        <v>894.09999999999991</v>
      </c>
      <c r="I1068" s="14" t="b">
        <f t="shared" ref="I1068:I1079" si="495">G1068=H1068</f>
        <v>1</v>
      </c>
      <c r="J1068" s="2">
        <v>46003</v>
      </c>
      <c r="K1068" s="5">
        <v>1007858</v>
      </c>
      <c r="L1068" s="5">
        <v>3767</v>
      </c>
      <c r="M1068" s="5">
        <v>18.440000000000001</v>
      </c>
      <c r="N1068" s="5">
        <v>921.76</v>
      </c>
      <c r="O1068" s="7">
        <v>45993</v>
      </c>
      <c r="P1068" s="5">
        <v>903.32</v>
      </c>
      <c r="Q1068" s="5">
        <v>18.440000000000001</v>
      </c>
      <c r="R1068" s="5" t="s">
        <v>32</v>
      </c>
      <c r="S1068" s="5" t="s">
        <v>33</v>
      </c>
      <c r="T1068" s="5">
        <v>9.2200000000000006</v>
      </c>
      <c r="U1068" s="5">
        <v>894.1</v>
      </c>
      <c r="V1068" s="5" t="s">
        <v>34</v>
      </c>
      <c r="W1068" s="5">
        <v>2</v>
      </c>
      <c r="X1068" s="5">
        <v>3023767720186</v>
      </c>
      <c r="Y1068" s="7">
        <v>46003</v>
      </c>
      <c r="Z1068" s="7">
        <v>45993</v>
      </c>
      <c r="AB1068" s="6">
        <v>46003</v>
      </c>
      <c r="AC1068" s="7">
        <v>46002.731944444444</v>
      </c>
      <c r="AD1068" s="5">
        <v>37671007858</v>
      </c>
      <c r="AE1068" s="8">
        <v>45993</v>
      </c>
      <c r="AF1068" s="5" t="s">
        <v>573</v>
      </c>
      <c r="AG1068" s="5" t="s">
        <v>37</v>
      </c>
      <c r="AH1068" s="5">
        <v>206140</v>
      </c>
      <c r="AI1068" s="6">
        <v>45993</v>
      </c>
      <c r="AJ1068" s="6">
        <v>46003</v>
      </c>
      <c r="AK1068" s="1">
        <f t="shared" ref="AK1068:AK1079" si="496">0.02*C1068</f>
        <v>18.435200000000002</v>
      </c>
    </row>
    <row r="1069" spans="1:37" x14ac:dyDescent="0.55000000000000004">
      <c r="A1069">
        <v>3767</v>
      </c>
      <c r="B1069">
        <v>1008145</v>
      </c>
      <c r="C1069">
        <v>822.14</v>
      </c>
      <c r="D1069" s="4">
        <v>16.440000000000001</v>
      </c>
      <c r="E1069">
        <v>805.7</v>
      </c>
      <c r="F1069">
        <v>8.2200000000000006</v>
      </c>
      <c r="G1069">
        <v>797.48</v>
      </c>
      <c r="H1069" s="14">
        <f t="shared" si="494"/>
        <v>797.4799999999999</v>
      </c>
      <c r="I1069" s="14" t="b">
        <f t="shared" si="495"/>
        <v>1</v>
      </c>
      <c r="J1069" s="2">
        <v>46003</v>
      </c>
      <c r="K1069" s="5">
        <v>1008145</v>
      </c>
      <c r="L1069" s="5">
        <v>3767</v>
      </c>
      <c r="M1069" s="5">
        <v>16.440000000000001</v>
      </c>
      <c r="N1069" s="5">
        <v>822.14</v>
      </c>
      <c r="O1069" s="7">
        <v>45995</v>
      </c>
      <c r="P1069" s="5">
        <v>805.7</v>
      </c>
      <c r="Q1069" s="5">
        <v>16.440000000000001</v>
      </c>
      <c r="R1069" s="5" t="s">
        <v>32</v>
      </c>
      <c r="S1069" s="5" t="s">
        <v>33</v>
      </c>
      <c r="T1069" s="5">
        <v>8.2200000000000006</v>
      </c>
      <c r="U1069" s="5">
        <v>797.48</v>
      </c>
      <c r="V1069" s="5" t="s">
        <v>34</v>
      </c>
      <c r="W1069" s="5">
        <v>2</v>
      </c>
      <c r="X1069" s="5">
        <v>3023767720186</v>
      </c>
      <c r="Y1069" s="7">
        <v>46003</v>
      </c>
      <c r="Z1069" s="7">
        <v>45995</v>
      </c>
      <c r="AB1069" s="6">
        <v>46003</v>
      </c>
      <c r="AC1069" s="7">
        <v>46002.731944444444</v>
      </c>
      <c r="AD1069" s="5">
        <v>37671008145</v>
      </c>
      <c r="AE1069" s="8">
        <v>45995</v>
      </c>
      <c r="AF1069" s="5" t="s">
        <v>582</v>
      </c>
      <c r="AG1069" s="5" t="s">
        <v>37</v>
      </c>
      <c r="AH1069" s="5">
        <v>206755</v>
      </c>
      <c r="AI1069" s="6">
        <v>45995</v>
      </c>
      <c r="AJ1069" s="6">
        <v>46003</v>
      </c>
      <c r="AK1069" s="1">
        <f t="shared" si="496"/>
        <v>16.442799999999998</v>
      </c>
    </row>
    <row r="1070" spans="1:37" x14ac:dyDescent="0.55000000000000004">
      <c r="A1070">
        <v>3767</v>
      </c>
      <c r="B1070">
        <v>1008146</v>
      </c>
      <c r="C1070">
        <v>581.29999999999995</v>
      </c>
      <c r="D1070" s="4">
        <v>11.63</v>
      </c>
      <c r="E1070">
        <v>569.66999999999996</v>
      </c>
      <c r="F1070">
        <v>5.81</v>
      </c>
      <c r="G1070">
        <v>563.86</v>
      </c>
      <c r="H1070" s="14">
        <f t="shared" si="494"/>
        <v>563.86</v>
      </c>
      <c r="I1070" s="14" t="b">
        <f t="shared" si="495"/>
        <v>1</v>
      </c>
      <c r="J1070" s="2">
        <v>46003</v>
      </c>
      <c r="K1070" s="5">
        <v>1008146</v>
      </c>
      <c r="L1070" s="5">
        <v>3767</v>
      </c>
      <c r="M1070" s="5">
        <v>11.63</v>
      </c>
      <c r="N1070" s="5">
        <v>581.29999999999995</v>
      </c>
      <c r="O1070" s="7">
        <v>45995</v>
      </c>
      <c r="P1070" s="5">
        <v>569.66999999999996</v>
      </c>
      <c r="Q1070" s="5">
        <v>11.63</v>
      </c>
      <c r="R1070" s="5" t="s">
        <v>32</v>
      </c>
      <c r="S1070" s="5" t="s">
        <v>33</v>
      </c>
      <c r="T1070" s="5">
        <v>5.81</v>
      </c>
      <c r="U1070" s="5">
        <v>563.86</v>
      </c>
      <c r="V1070" s="5" t="s">
        <v>34</v>
      </c>
      <c r="W1070" s="5">
        <v>2</v>
      </c>
      <c r="X1070" s="5">
        <v>3023767720186</v>
      </c>
      <c r="Y1070" s="7">
        <v>46003</v>
      </c>
      <c r="Z1070" s="7">
        <v>45995</v>
      </c>
      <c r="AB1070" s="6">
        <v>46003</v>
      </c>
      <c r="AC1070" s="7">
        <v>46002.731944444444</v>
      </c>
      <c r="AD1070" s="5">
        <v>37671008146</v>
      </c>
      <c r="AE1070" s="8">
        <v>45995</v>
      </c>
      <c r="AF1070" s="5" t="s">
        <v>583</v>
      </c>
      <c r="AG1070" s="5" t="s">
        <v>37</v>
      </c>
      <c r="AH1070" s="5">
        <v>206757</v>
      </c>
      <c r="AI1070" s="6">
        <v>45995</v>
      </c>
      <c r="AJ1070" s="6">
        <v>46003</v>
      </c>
      <c r="AK1070" s="1">
        <f t="shared" si="496"/>
        <v>11.625999999999999</v>
      </c>
    </row>
    <row r="1071" spans="1:37" x14ac:dyDescent="0.55000000000000004">
      <c r="A1071">
        <v>3767</v>
      </c>
      <c r="B1071">
        <v>1008147</v>
      </c>
      <c r="C1071">
        <v>93.71</v>
      </c>
      <c r="D1071" s="4">
        <v>1.87</v>
      </c>
      <c r="E1071">
        <v>91.84</v>
      </c>
      <c r="F1071">
        <v>0.94</v>
      </c>
      <c r="G1071">
        <v>90.9</v>
      </c>
      <c r="H1071" s="14">
        <f t="shared" si="494"/>
        <v>90.899999999999991</v>
      </c>
      <c r="I1071" s="14" t="b">
        <f t="shared" si="495"/>
        <v>1</v>
      </c>
      <c r="J1071" s="2">
        <v>46003</v>
      </c>
      <c r="K1071" s="5">
        <v>1008147</v>
      </c>
      <c r="L1071" s="5">
        <v>3767</v>
      </c>
      <c r="M1071" s="5">
        <v>1.87</v>
      </c>
      <c r="N1071" s="5">
        <v>93.71</v>
      </c>
      <c r="O1071" s="7">
        <v>45995</v>
      </c>
      <c r="P1071" s="5">
        <v>91.84</v>
      </c>
      <c r="Q1071" s="5">
        <v>1.87</v>
      </c>
      <c r="R1071" s="5" t="s">
        <v>32</v>
      </c>
      <c r="S1071" s="5" t="s">
        <v>33</v>
      </c>
      <c r="T1071" s="5">
        <v>0.94</v>
      </c>
      <c r="U1071" s="5">
        <v>90.9</v>
      </c>
      <c r="V1071" s="5" t="s">
        <v>34</v>
      </c>
      <c r="W1071" s="5">
        <v>2</v>
      </c>
      <c r="X1071" s="5">
        <v>3023767720186</v>
      </c>
      <c r="Y1071" s="7">
        <v>46003</v>
      </c>
      <c r="Z1071" s="7">
        <v>45995</v>
      </c>
      <c r="AB1071" s="6">
        <v>46003</v>
      </c>
      <c r="AC1071" s="7">
        <v>46002.731944444444</v>
      </c>
      <c r="AD1071" s="5">
        <v>37671008147</v>
      </c>
      <c r="AE1071" s="8">
        <v>45995</v>
      </c>
      <c r="AF1071" s="5" t="s">
        <v>584</v>
      </c>
      <c r="AG1071" s="5" t="s">
        <v>37</v>
      </c>
      <c r="AH1071" s="5">
        <v>206756</v>
      </c>
      <c r="AI1071" s="6">
        <v>45995</v>
      </c>
      <c r="AJ1071" s="6">
        <v>46003</v>
      </c>
      <c r="AK1071" s="1">
        <f t="shared" si="496"/>
        <v>1.8741999999999999</v>
      </c>
    </row>
    <row r="1072" spans="1:37" x14ac:dyDescent="0.55000000000000004">
      <c r="A1072">
        <v>3767</v>
      </c>
      <c r="B1072">
        <v>1008193</v>
      </c>
      <c r="C1072">
        <v>562.87</v>
      </c>
      <c r="D1072" s="4">
        <v>11.26</v>
      </c>
      <c r="E1072">
        <v>551.61</v>
      </c>
      <c r="F1072">
        <v>5.63</v>
      </c>
      <c r="G1072">
        <v>545.98</v>
      </c>
      <c r="H1072" s="14">
        <f t="shared" si="494"/>
        <v>545.98</v>
      </c>
      <c r="I1072" s="14" t="b">
        <f t="shared" si="495"/>
        <v>1</v>
      </c>
      <c r="J1072" s="2">
        <v>46003</v>
      </c>
      <c r="K1072" s="5">
        <v>1008193</v>
      </c>
      <c r="L1072" s="5">
        <v>3767</v>
      </c>
      <c r="M1072" s="5">
        <v>11.26</v>
      </c>
      <c r="N1072" s="5">
        <v>562.87</v>
      </c>
      <c r="O1072" s="7">
        <v>45995</v>
      </c>
      <c r="P1072" s="5">
        <v>551.61</v>
      </c>
      <c r="Q1072" s="5">
        <v>11.26</v>
      </c>
      <c r="R1072" s="5" t="s">
        <v>32</v>
      </c>
      <c r="S1072" s="5" t="s">
        <v>33</v>
      </c>
      <c r="T1072" s="5">
        <v>5.63</v>
      </c>
      <c r="U1072" s="5">
        <v>545.98</v>
      </c>
      <c r="V1072" s="5" t="s">
        <v>34</v>
      </c>
      <c r="W1072" s="5">
        <v>2</v>
      </c>
      <c r="X1072" s="5">
        <v>3023767720186</v>
      </c>
      <c r="Y1072" s="7">
        <v>46003</v>
      </c>
      <c r="Z1072" s="7">
        <v>45995</v>
      </c>
      <c r="AB1072" s="6">
        <v>46003</v>
      </c>
      <c r="AC1072" s="7">
        <v>46002.731944444444</v>
      </c>
      <c r="AD1072" s="5">
        <v>37671008193</v>
      </c>
      <c r="AE1072" s="8">
        <v>45995</v>
      </c>
      <c r="AF1072" s="5" t="s">
        <v>584</v>
      </c>
      <c r="AG1072" s="5" t="s">
        <v>37</v>
      </c>
      <c r="AH1072" s="5">
        <v>206763</v>
      </c>
      <c r="AI1072" s="6">
        <v>45995</v>
      </c>
      <c r="AJ1072" s="6">
        <v>46003</v>
      </c>
      <c r="AK1072" s="1">
        <f t="shared" si="496"/>
        <v>11.257400000000001</v>
      </c>
    </row>
    <row r="1073" spans="1:38" x14ac:dyDescent="0.55000000000000004">
      <c r="A1073">
        <v>3767</v>
      </c>
      <c r="B1073">
        <v>1008195</v>
      </c>
      <c r="C1073">
        <v>260.52999999999997</v>
      </c>
      <c r="D1073" s="4">
        <v>5.21</v>
      </c>
      <c r="E1073">
        <v>255.32</v>
      </c>
      <c r="F1073">
        <v>2.61</v>
      </c>
      <c r="G1073">
        <v>252.71</v>
      </c>
      <c r="H1073" s="14">
        <f t="shared" si="494"/>
        <v>252.70999999999995</v>
      </c>
      <c r="I1073" s="14" t="b">
        <f t="shared" si="495"/>
        <v>1</v>
      </c>
      <c r="J1073" s="2">
        <v>46003</v>
      </c>
      <c r="K1073" s="5">
        <v>1008195</v>
      </c>
      <c r="L1073" s="5">
        <v>3767</v>
      </c>
      <c r="M1073" s="5">
        <v>5.21</v>
      </c>
      <c r="N1073" s="5">
        <v>260.52999999999997</v>
      </c>
      <c r="O1073" s="7">
        <v>45995</v>
      </c>
      <c r="P1073" s="5">
        <v>255.32</v>
      </c>
      <c r="Q1073" s="5">
        <v>5.21</v>
      </c>
      <c r="R1073" s="5" t="s">
        <v>32</v>
      </c>
      <c r="S1073" s="5" t="s">
        <v>33</v>
      </c>
      <c r="T1073" s="5">
        <v>2.61</v>
      </c>
      <c r="U1073" s="5">
        <v>252.71</v>
      </c>
      <c r="V1073" s="5" t="s">
        <v>34</v>
      </c>
      <c r="W1073" s="5">
        <v>2</v>
      </c>
      <c r="X1073" s="5">
        <v>3023767720186</v>
      </c>
      <c r="Y1073" s="7">
        <v>46003</v>
      </c>
      <c r="Z1073" s="7">
        <v>45995</v>
      </c>
      <c r="AB1073" s="6">
        <v>46003</v>
      </c>
      <c r="AC1073" s="7">
        <v>46002.731944444444</v>
      </c>
      <c r="AD1073" s="5">
        <v>37671008195</v>
      </c>
      <c r="AE1073" s="8">
        <v>45995</v>
      </c>
      <c r="AF1073" s="5" t="s">
        <v>583</v>
      </c>
      <c r="AG1073" s="5" t="s">
        <v>37</v>
      </c>
      <c r="AH1073" s="5">
        <v>206764</v>
      </c>
      <c r="AI1073" s="6">
        <v>45995</v>
      </c>
      <c r="AJ1073" s="6">
        <v>46003</v>
      </c>
      <c r="AK1073" s="1">
        <f t="shared" si="496"/>
        <v>5.2105999999999995</v>
      </c>
    </row>
    <row r="1074" spans="1:38" x14ac:dyDescent="0.55000000000000004">
      <c r="A1074">
        <v>3767</v>
      </c>
      <c r="B1074">
        <v>1008197</v>
      </c>
      <c r="C1074">
        <v>189.22</v>
      </c>
      <c r="D1074" s="4">
        <v>3.78</v>
      </c>
      <c r="E1074">
        <v>185.44</v>
      </c>
      <c r="F1074">
        <v>1.89</v>
      </c>
      <c r="G1074">
        <v>183.55</v>
      </c>
      <c r="H1074" s="14">
        <f t="shared" si="494"/>
        <v>183.55</v>
      </c>
      <c r="I1074" s="14" t="b">
        <f t="shared" si="495"/>
        <v>1</v>
      </c>
      <c r="J1074" s="2">
        <v>46003</v>
      </c>
      <c r="K1074" s="5">
        <v>1008197</v>
      </c>
      <c r="L1074" s="5">
        <v>3767</v>
      </c>
      <c r="M1074" s="5">
        <v>3.78</v>
      </c>
      <c r="N1074" s="5">
        <v>189.22</v>
      </c>
      <c r="O1074" s="7">
        <v>45995</v>
      </c>
      <c r="P1074" s="5">
        <v>185.44</v>
      </c>
      <c r="Q1074" s="5">
        <v>3.78</v>
      </c>
      <c r="R1074" s="5" t="s">
        <v>32</v>
      </c>
      <c r="S1074" s="5" t="s">
        <v>33</v>
      </c>
      <c r="T1074" s="5">
        <v>1.89</v>
      </c>
      <c r="U1074" s="5">
        <v>183.55</v>
      </c>
      <c r="V1074" s="5" t="s">
        <v>34</v>
      </c>
      <c r="W1074" s="5">
        <v>2</v>
      </c>
      <c r="X1074" s="5">
        <v>3023767720186</v>
      </c>
      <c r="Y1074" s="7">
        <v>46003</v>
      </c>
      <c r="Z1074" s="7">
        <v>45995</v>
      </c>
      <c r="AB1074" s="6">
        <v>46003</v>
      </c>
      <c r="AC1074" s="7">
        <v>46002.731944444444</v>
      </c>
      <c r="AD1074" s="5">
        <v>37671008197</v>
      </c>
      <c r="AE1074" s="8">
        <v>45995</v>
      </c>
      <c r="AF1074" s="5" t="s">
        <v>582</v>
      </c>
      <c r="AG1074" s="5" t="s">
        <v>37</v>
      </c>
      <c r="AH1074" s="5">
        <v>206762</v>
      </c>
      <c r="AI1074" s="6">
        <v>45995</v>
      </c>
      <c r="AJ1074" s="6">
        <v>46003</v>
      </c>
      <c r="AK1074" s="1">
        <f t="shared" si="496"/>
        <v>3.7844000000000002</v>
      </c>
    </row>
    <row r="1075" spans="1:38" x14ac:dyDescent="0.55000000000000004">
      <c r="A1075">
        <v>3767</v>
      </c>
      <c r="B1075">
        <v>1008215</v>
      </c>
      <c r="C1075">
        <v>160.08000000000001</v>
      </c>
      <c r="D1075" s="4">
        <v>3.2</v>
      </c>
      <c r="E1075">
        <v>156.88</v>
      </c>
      <c r="F1075">
        <v>1.6</v>
      </c>
      <c r="G1075">
        <v>155.28</v>
      </c>
      <c r="H1075" s="14">
        <f t="shared" si="494"/>
        <v>155.28000000000003</v>
      </c>
      <c r="I1075" s="14" t="b">
        <f t="shared" si="495"/>
        <v>1</v>
      </c>
      <c r="J1075" s="2">
        <v>46003</v>
      </c>
      <c r="K1075" s="5">
        <v>1008215</v>
      </c>
      <c r="L1075" s="5">
        <v>3767</v>
      </c>
      <c r="M1075" s="5">
        <v>3.2</v>
      </c>
      <c r="N1075" s="5">
        <v>160.08000000000001</v>
      </c>
      <c r="O1075" s="7">
        <v>45995</v>
      </c>
      <c r="P1075" s="5">
        <v>156.88</v>
      </c>
      <c r="Q1075" s="5">
        <v>3.2</v>
      </c>
      <c r="R1075" s="5" t="s">
        <v>32</v>
      </c>
      <c r="S1075" s="5" t="s">
        <v>33</v>
      </c>
      <c r="T1075" s="5">
        <v>1.6</v>
      </c>
      <c r="U1075" s="5">
        <v>155.28</v>
      </c>
      <c r="V1075" s="5" t="s">
        <v>34</v>
      </c>
      <c r="W1075" s="5">
        <v>2</v>
      </c>
      <c r="X1075" s="5">
        <v>3023767720186</v>
      </c>
      <c r="Y1075" s="7">
        <v>46003</v>
      </c>
      <c r="Z1075" s="7">
        <v>45995</v>
      </c>
      <c r="AB1075" s="6">
        <v>46003</v>
      </c>
      <c r="AC1075" s="7">
        <v>46002.731944444444</v>
      </c>
      <c r="AD1075" s="5">
        <v>37671008215</v>
      </c>
      <c r="AE1075" s="8">
        <v>45995</v>
      </c>
      <c r="AF1075" s="5" t="s">
        <v>585</v>
      </c>
      <c r="AG1075" s="5" t="s">
        <v>37</v>
      </c>
      <c r="AH1075" s="5">
        <v>206564</v>
      </c>
      <c r="AI1075" s="6">
        <v>45995</v>
      </c>
      <c r="AJ1075" s="6">
        <v>46003</v>
      </c>
      <c r="AK1075" s="1">
        <f t="shared" si="496"/>
        <v>3.2016000000000004</v>
      </c>
    </row>
    <row r="1076" spans="1:38" x14ac:dyDescent="0.55000000000000004">
      <c r="A1076">
        <v>3767</v>
      </c>
      <c r="B1076">
        <v>1008223</v>
      </c>
      <c r="C1076">
        <v>320.17</v>
      </c>
      <c r="D1076" s="4">
        <v>6.4</v>
      </c>
      <c r="E1076">
        <v>313.77</v>
      </c>
      <c r="F1076">
        <v>3.2</v>
      </c>
      <c r="G1076">
        <v>310.57</v>
      </c>
      <c r="H1076" s="14">
        <f t="shared" si="494"/>
        <v>310.57000000000005</v>
      </c>
      <c r="I1076" s="14" t="b">
        <f t="shared" si="495"/>
        <v>1</v>
      </c>
      <c r="J1076" s="2">
        <v>46003</v>
      </c>
      <c r="K1076" s="5">
        <v>1008223</v>
      </c>
      <c r="L1076" s="5">
        <v>3767</v>
      </c>
      <c r="M1076" s="5">
        <v>6.4</v>
      </c>
      <c r="N1076" s="5">
        <v>320.17</v>
      </c>
      <c r="O1076" s="7">
        <v>45995</v>
      </c>
      <c r="P1076" s="5">
        <v>313.77</v>
      </c>
      <c r="Q1076" s="5">
        <v>6.4</v>
      </c>
      <c r="R1076" s="5" t="s">
        <v>32</v>
      </c>
      <c r="S1076" s="5" t="s">
        <v>33</v>
      </c>
      <c r="T1076" s="5">
        <v>3.2</v>
      </c>
      <c r="U1076" s="5">
        <v>310.57</v>
      </c>
      <c r="V1076" s="5" t="s">
        <v>34</v>
      </c>
      <c r="W1076" s="5">
        <v>2</v>
      </c>
      <c r="X1076" s="5">
        <v>3023767720186</v>
      </c>
      <c r="Y1076" s="7">
        <v>46003</v>
      </c>
      <c r="Z1076" s="7">
        <v>45995</v>
      </c>
      <c r="AB1076" s="6">
        <v>46003</v>
      </c>
      <c r="AC1076" s="7">
        <v>46002.731944444444</v>
      </c>
      <c r="AD1076" s="5">
        <v>37671008223</v>
      </c>
      <c r="AE1076" s="8">
        <v>45995</v>
      </c>
      <c r="AF1076" s="5" t="s">
        <v>586</v>
      </c>
      <c r="AG1076" s="5" t="s">
        <v>37</v>
      </c>
      <c r="AH1076" s="5">
        <v>206563</v>
      </c>
      <c r="AI1076" s="6">
        <v>45995</v>
      </c>
      <c r="AJ1076" s="6">
        <v>46003</v>
      </c>
      <c r="AK1076" s="1">
        <f t="shared" si="496"/>
        <v>6.4034000000000004</v>
      </c>
    </row>
    <row r="1077" spans="1:38" x14ac:dyDescent="0.55000000000000004">
      <c r="A1077">
        <v>3767</v>
      </c>
      <c r="B1077">
        <v>1008245</v>
      </c>
      <c r="C1077">
        <v>77.44</v>
      </c>
      <c r="D1077" s="4">
        <v>1.55</v>
      </c>
      <c r="E1077">
        <v>75.89</v>
      </c>
      <c r="F1077">
        <v>0.77</v>
      </c>
      <c r="G1077">
        <v>75.12</v>
      </c>
      <c r="H1077" s="14">
        <f t="shared" si="494"/>
        <v>75.12</v>
      </c>
      <c r="I1077" s="14" t="b">
        <f t="shared" si="495"/>
        <v>1</v>
      </c>
      <c r="J1077" s="2">
        <v>46003</v>
      </c>
      <c r="K1077" s="5">
        <v>1008245</v>
      </c>
      <c r="L1077" s="5">
        <v>3767</v>
      </c>
      <c r="M1077" s="5">
        <v>1.55</v>
      </c>
      <c r="N1077" s="5">
        <v>77.44</v>
      </c>
      <c r="O1077" s="7">
        <v>45995</v>
      </c>
      <c r="P1077" s="5">
        <v>75.89</v>
      </c>
      <c r="Q1077" s="5">
        <v>1.55</v>
      </c>
      <c r="R1077" s="5" t="s">
        <v>32</v>
      </c>
      <c r="S1077" s="5" t="s">
        <v>33</v>
      </c>
      <c r="T1077" s="5">
        <v>0.77</v>
      </c>
      <c r="U1077" s="5">
        <v>75.12</v>
      </c>
      <c r="V1077" s="5" t="s">
        <v>34</v>
      </c>
      <c r="W1077" s="5">
        <v>2</v>
      </c>
      <c r="X1077" s="5">
        <v>3023767720186</v>
      </c>
      <c r="Y1077" s="7">
        <v>46003</v>
      </c>
      <c r="Z1077" s="7">
        <v>45995</v>
      </c>
      <c r="AB1077" s="6">
        <v>46003</v>
      </c>
      <c r="AC1077" s="7">
        <v>46002.731944444444</v>
      </c>
      <c r="AD1077" s="5">
        <v>37671008245</v>
      </c>
      <c r="AE1077" s="8">
        <v>45995</v>
      </c>
      <c r="AF1077" s="5" t="s">
        <v>587</v>
      </c>
      <c r="AG1077" s="5" t="s">
        <v>37</v>
      </c>
      <c r="AH1077" s="5">
        <v>206576</v>
      </c>
      <c r="AI1077" s="6">
        <v>45995</v>
      </c>
      <c r="AJ1077" s="6">
        <v>46003</v>
      </c>
      <c r="AK1077" s="1">
        <f t="shared" si="496"/>
        <v>1.5488</v>
      </c>
    </row>
    <row r="1078" spans="1:38" x14ac:dyDescent="0.55000000000000004">
      <c r="A1078">
        <v>3767</v>
      </c>
      <c r="B1078">
        <v>1008251</v>
      </c>
      <c r="C1078">
        <v>36.86</v>
      </c>
      <c r="D1078" s="4">
        <v>0.74</v>
      </c>
      <c r="E1078">
        <v>36.119999999999997</v>
      </c>
      <c r="F1078">
        <v>0.37</v>
      </c>
      <c r="G1078">
        <v>35.75</v>
      </c>
      <c r="H1078" s="14">
        <f t="shared" si="494"/>
        <v>35.75</v>
      </c>
      <c r="I1078" s="14" t="b">
        <f t="shared" si="495"/>
        <v>1</v>
      </c>
      <c r="J1078" s="2">
        <v>46003</v>
      </c>
      <c r="K1078" s="5">
        <v>1008251</v>
      </c>
      <c r="L1078" s="5">
        <v>3767</v>
      </c>
      <c r="M1078" s="5">
        <v>0.74</v>
      </c>
      <c r="N1078" s="5">
        <v>36.86</v>
      </c>
      <c r="O1078" s="7">
        <v>45995</v>
      </c>
      <c r="P1078" s="5">
        <v>36.119999999999997</v>
      </c>
      <c r="Q1078" s="5">
        <v>0.74</v>
      </c>
      <c r="R1078" s="5" t="s">
        <v>32</v>
      </c>
      <c r="S1078" s="5" t="s">
        <v>33</v>
      </c>
      <c r="T1078" s="5">
        <v>0.37</v>
      </c>
      <c r="U1078" s="5">
        <v>35.75</v>
      </c>
      <c r="V1078" s="5" t="s">
        <v>34</v>
      </c>
      <c r="W1078" s="5">
        <v>2</v>
      </c>
      <c r="X1078" s="5">
        <v>3023767720186</v>
      </c>
      <c r="Y1078" s="7">
        <v>46003</v>
      </c>
      <c r="Z1078" s="7">
        <v>45995</v>
      </c>
      <c r="AB1078" s="6">
        <v>46003</v>
      </c>
      <c r="AC1078" s="7">
        <v>46002.731944444444</v>
      </c>
      <c r="AD1078" s="5">
        <v>37671008251</v>
      </c>
      <c r="AE1078" s="8">
        <v>45995</v>
      </c>
      <c r="AF1078" s="5" t="s">
        <v>574</v>
      </c>
      <c r="AG1078" s="5" t="s">
        <v>37</v>
      </c>
      <c r="AH1078" s="5">
        <v>206577</v>
      </c>
      <c r="AI1078" s="6">
        <v>45995</v>
      </c>
      <c r="AJ1078" s="6">
        <v>46003</v>
      </c>
      <c r="AK1078" s="1">
        <f t="shared" si="496"/>
        <v>0.73719999999999997</v>
      </c>
    </row>
    <row r="1079" spans="1:38" x14ac:dyDescent="0.55000000000000004">
      <c r="A1079">
        <v>3774</v>
      </c>
      <c r="B1079">
        <v>993809</v>
      </c>
      <c r="C1079" s="1">
        <v>2569.35</v>
      </c>
      <c r="E1079" s="1">
        <v>2569.35</v>
      </c>
      <c r="G1079" s="1">
        <v>2569.35</v>
      </c>
      <c r="H1079" s="14">
        <f t="shared" si="494"/>
        <v>2569.35</v>
      </c>
      <c r="I1079" s="14" t="b">
        <f t="shared" si="495"/>
        <v>1</v>
      </c>
      <c r="J1079" s="2">
        <v>46003</v>
      </c>
      <c r="K1079" s="5">
        <v>993809</v>
      </c>
      <c r="L1079" s="5">
        <v>3774</v>
      </c>
      <c r="M1079" s="5">
        <v>0</v>
      </c>
      <c r="N1079" s="5">
        <v>2569.35</v>
      </c>
      <c r="O1079" s="7">
        <v>45930</v>
      </c>
      <c r="P1079" s="5">
        <v>2569.35</v>
      </c>
      <c r="Q1079" s="5">
        <v>0</v>
      </c>
      <c r="R1079" s="5" t="s">
        <v>32</v>
      </c>
      <c r="S1079" s="5" t="s">
        <v>33</v>
      </c>
      <c r="T1079" s="5">
        <v>0</v>
      </c>
      <c r="U1079" s="5">
        <v>2569.35</v>
      </c>
      <c r="V1079" s="5" t="s">
        <v>34</v>
      </c>
      <c r="W1079" s="5">
        <v>2</v>
      </c>
      <c r="X1079" s="5">
        <v>2303035331525</v>
      </c>
      <c r="Y1079" s="7">
        <v>46003</v>
      </c>
      <c r="Z1079" s="7">
        <v>45930</v>
      </c>
      <c r="AB1079" s="6">
        <v>46003</v>
      </c>
      <c r="AC1079" s="7">
        <v>46001.71597222222</v>
      </c>
      <c r="AD1079" s="5">
        <v>3774993809</v>
      </c>
      <c r="AE1079" s="8">
        <v>45930</v>
      </c>
      <c r="AF1079" s="5">
        <v>38690</v>
      </c>
      <c r="AG1079" s="5" t="s">
        <v>98</v>
      </c>
      <c r="AH1079" s="5">
        <v>194859</v>
      </c>
      <c r="AI1079" s="6">
        <v>45930</v>
      </c>
      <c r="AJ1079" s="6">
        <v>46003</v>
      </c>
      <c r="AK1079" s="1">
        <f t="shared" si="496"/>
        <v>51.387</v>
      </c>
      <c r="AL1079" t="s">
        <v>673</v>
      </c>
    </row>
    <row r="1080" spans="1:38" hidden="1" x14ac:dyDescent="0.55000000000000004">
      <c r="A1080">
        <v>3774</v>
      </c>
      <c r="B1080">
        <v>994655</v>
      </c>
      <c r="C1080">
        <v>350</v>
      </c>
      <c r="E1080">
        <v>350</v>
      </c>
      <c r="G1080">
        <v>350</v>
      </c>
      <c r="H1080"/>
      <c r="I1080"/>
      <c r="J1080" s="2">
        <v>46003</v>
      </c>
      <c r="K1080" s="5">
        <v>994655</v>
      </c>
      <c r="L1080" s="5">
        <v>3774</v>
      </c>
      <c r="M1080" s="5">
        <v>0</v>
      </c>
      <c r="N1080" s="5">
        <v>350</v>
      </c>
      <c r="O1080" s="7">
        <v>45933</v>
      </c>
      <c r="P1080" s="5">
        <v>350</v>
      </c>
      <c r="Q1080" s="5">
        <v>0</v>
      </c>
      <c r="R1080" s="5" t="s">
        <v>32</v>
      </c>
      <c r="S1080" s="5" t="s">
        <v>33</v>
      </c>
      <c r="T1080" s="5">
        <v>0</v>
      </c>
      <c r="U1080" s="5">
        <v>350</v>
      </c>
      <c r="V1080" s="5" t="s">
        <v>34</v>
      </c>
      <c r="W1080" s="5">
        <v>2</v>
      </c>
      <c r="X1080" s="5">
        <v>2303035331525</v>
      </c>
      <c r="Y1080" s="7">
        <v>46003</v>
      </c>
      <c r="Z1080" s="7">
        <v>45933</v>
      </c>
      <c r="AB1080" s="6">
        <v>46003</v>
      </c>
      <c r="AC1080" s="7">
        <v>46001.71597222222</v>
      </c>
      <c r="AD1080" s="5">
        <v>3774994655</v>
      </c>
      <c r="AE1080" s="8">
        <v>45933</v>
      </c>
      <c r="AF1080" s="5" t="s">
        <v>32</v>
      </c>
      <c r="AG1080" s="5" t="s">
        <v>82</v>
      </c>
      <c r="AH1080" s="5" t="s">
        <v>32</v>
      </c>
      <c r="AI1080" s="6">
        <v>45933</v>
      </c>
      <c r="AJ1080" s="6">
        <v>46003</v>
      </c>
    </row>
    <row r="1081" spans="1:38" x14ac:dyDescent="0.55000000000000004">
      <c r="A1081">
        <v>3774</v>
      </c>
      <c r="B1081">
        <v>994797</v>
      </c>
      <c r="C1081" s="1">
        <v>3930.26</v>
      </c>
      <c r="E1081" s="1">
        <v>3930.26</v>
      </c>
      <c r="G1081" s="1">
        <v>3930.26</v>
      </c>
      <c r="H1081" s="14">
        <f t="shared" ref="H1081:H1082" si="497">C1081-D1081-F1081</f>
        <v>3930.26</v>
      </c>
      <c r="I1081" s="14" t="b">
        <f t="shared" ref="I1081:I1082" si="498">G1081=H1081</f>
        <v>1</v>
      </c>
      <c r="J1081" s="2">
        <v>46003</v>
      </c>
      <c r="K1081" s="5">
        <v>994797</v>
      </c>
      <c r="L1081" s="5">
        <v>3774</v>
      </c>
      <c r="M1081" s="5">
        <v>0</v>
      </c>
      <c r="N1081" s="5">
        <v>3930.26</v>
      </c>
      <c r="O1081" s="7">
        <v>45933</v>
      </c>
      <c r="P1081" s="5">
        <v>3930.26</v>
      </c>
      <c r="Q1081" s="5">
        <v>0</v>
      </c>
      <c r="R1081" s="5" t="s">
        <v>32</v>
      </c>
      <c r="S1081" s="5" t="s">
        <v>33</v>
      </c>
      <c r="T1081" s="5">
        <v>0</v>
      </c>
      <c r="U1081" s="5">
        <v>3930.26</v>
      </c>
      <c r="V1081" s="5" t="s">
        <v>34</v>
      </c>
      <c r="W1081" s="5">
        <v>2</v>
      </c>
      <c r="X1081" s="5">
        <v>2303035331525</v>
      </c>
      <c r="Y1081" s="7">
        <v>46003</v>
      </c>
      <c r="Z1081" s="7">
        <v>45933</v>
      </c>
      <c r="AB1081" s="6">
        <v>46003</v>
      </c>
      <c r="AC1081" s="7">
        <v>46001.71597222222</v>
      </c>
      <c r="AD1081" s="5">
        <v>3774994797</v>
      </c>
      <c r="AE1081" s="8">
        <v>45933</v>
      </c>
      <c r="AF1081" s="5">
        <v>38760</v>
      </c>
      <c r="AG1081" s="5" t="s">
        <v>98</v>
      </c>
      <c r="AH1081" s="5">
        <v>195788</v>
      </c>
      <c r="AI1081" s="6">
        <v>45933</v>
      </c>
      <c r="AJ1081" s="6">
        <v>46003</v>
      </c>
      <c r="AK1081" s="1">
        <f t="shared" ref="AK1081:AK1082" si="499">0.02*C1081</f>
        <v>78.605200000000011</v>
      </c>
      <c r="AL1081" t="s">
        <v>673</v>
      </c>
    </row>
    <row r="1082" spans="1:38" x14ac:dyDescent="0.55000000000000004">
      <c r="A1082">
        <v>3774</v>
      </c>
      <c r="B1082">
        <v>994798</v>
      </c>
      <c r="C1082">
        <v>295.01</v>
      </c>
      <c r="E1082">
        <v>295.01</v>
      </c>
      <c r="G1082">
        <v>295.01</v>
      </c>
      <c r="H1082" s="14">
        <f t="shared" si="497"/>
        <v>295.01</v>
      </c>
      <c r="I1082" s="14" t="b">
        <f t="shared" si="498"/>
        <v>1</v>
      </c>
      <c r="J1082" s="2">
        <v>46003</v>
      </c>
      <c r="K1082" s="5">
        <v>994798</v>
      </c>
      <c r="L1082" s="5">
        <v>3774</v>
      </c>
      <c r="M1082" s="5">
        <v>0</v>
      </c>
      <c r="N1082" s="5">
        <v>295.01</v>
      </c>
      <c r="O1082" s="7">
        <v>45933</v>
      </c>
      <c r="P1082" s="5">
        <v>295.01</v>
      </c>
      <c r="Q1082" s="5">
        <v>0</v>
      </c>
      <c r="R1082" s="5" t="s">
        <v>32</v>
      </c>
      <c r="S1082" s="5" t="s">
        <v>33</v>
      </c>
      <c r="T1082" s="5">
        <v>0</v>
      </c>
      <c r="U1082" s="5">
        <v>295.01</v>
      </c>
      <c r="V1082" s="5" t="s">
        <v>34</v>
      </c>
      <c r="W1082" s="5">
        <v>2</v>
      </c>
      <c r="X1082" s="5">
        <v>2303035331525</v>
      </c>
      <c r="Y1082" s="7">
        <v>46003</v>
      </c>
      <c r="Z1082" s="7">
        <v>45933</v>
      </c>
      <c r="AB1082" s="6">
        <v>46003</v>
      </c>
      <c r="AC1082" s="7">
        <v>46001.71597222222</v>
      </c>
      <c r="AD1082" s="5">
        <v>3774994798</v>
      </c>
      <c r="AE1082" s="8">
        <v>45933</v>
      </c>
      <c r="AF1082" s="5">
        <v>38760</v>
      </c>
      <c r="AG1082" s="5" t="s">
        <v>98</v>
      </c>
      <c r="AH1082" s="5">
        <v>195783</v>
      </c>
      <c r="AI1082" s="6">
        <v>45933</v>
      </c>
      <c r="AJ1082" s="6">
        <v>46003</v>
      </c>
      <c r="AK1082" s="1">
        <f t="shared" si="499"/>
        <v>5.9001999999999999</v>
      </c>
      <c r="AL1082" t="s">
        <v>673</v>
      </c>
    </row>
    <row r="1083" spans="1:38" hidden="1" x14ac:dyDescent="0.55000000000000004">
      <c r="A1083">
        <v>3774</v>
      </c>
      <c r="B1083">
        <v>994799</v>
      </c>
      <c r="C1083">
        <v>235.2</v>
      </c>
      <c r="E1083">
        <v>235.2</v>
      </c>
      <c r="G1083">
        <v>235.2</v>
      </c>
      <c r="H1083"/>
      <c r="I1083"/>
      <c r="J1083" s="2">
        <v>46003</v>
      </c>
      <c r="K1083" s="5">
        <v>994799</v>
      </c>
      <c r="L1083" s="5">
        <v>3774</v>
      </c>
      <c r="M1083" s="5">
        <v>0</v>
      </c>
      <c r="N1083" s="5">
        <v>235.2</v>
      </c>
      <c r="O1083" s="7">
        <v>45933</v>
      </c>
      <c r="P1083" s="5">
        <v>235.2</v>
      </c>
      <c r="Q1083" s="5">
        <v>0</v>
      </c>
      <c r="R1083" s="5" t="s">
        <v>32</v>
      </c>
      <c r="S1083" s="5" t="s">
        <v>33</v>
      </c>
      <c r="T1083" s="5">
        <v>0</v>
      </c>
      <c r="U1083" s="5">
        <v>235.2</v>
      </c>
      <c r="V1083" s="5" t="s">
        <v>34</v>
      </c>
      <c r="W1083" s="5">
        <v>2</v>
      </c>
      <c r="X1083" s="5">
        <v>2303035331525</v>
      </c>
      <c r="Y1083" s="7">
        <v>46003</v>
      </c>
      <c r="Z1083" s="7">
        <v>45933</v>
      </c>
      <c r="AB1083" s="6">
        <v>46003</v>
      </c>
      <c r="AC1083" s="7">
        <v>46001.71597222222</v>
      </c>
      <c r="AD1083" s="5">
        <v>3774994799</v>
      </c>
      <c r="AE1083" s="8">
        <v>45933</v>
      </c>
      <c r="AF1083" s="5">
        <v>38760</v>
      </c>
      <c r="AG1083" s="5" t="s">
        <v>161</v>
      </c>
      <c r="AH1083" s="5">
        <v>195789</v>
      </c>
      <c r="AI1083" s="6">
        <v>45933</v>
      </c>
      <c r="AJ1083" s="6">
        <v>46003</v>
      </c>
    </row>
    <row r="1084" spans="1:38" x14ac:dyDescent="0.55000000000000004">
      <c r="A1084">
        <v>3774</v>
      </c>
      <c r="B1084">
        <v>995005</v>
      </c>
      <c r="C1084">
        <v>638.52</v>
      </c>
      <c r="E1084">
        <v>638.52</v>
      </c>
      <c r="G1084">
        <v>638.52</v>
      </c>
      <c r="H1084" s="14">
        <f>C1084-D1084-F1084</f>
        <v>638.52</v>
      </c>
      <c r="I1084" s="14" t="b">
        <f>G1084=H1084</f>
        <v>1</v>
      </c>
      <c r="J1084" s="2">
        <v>46003</v>
      </c>
      <c r="K1084" s="5">
        <v>995005</v>
      </c>
      <c r="L1084" s="5">
        <v>3774</v>
      </c>
      <c r="M1084" s="5">
        <v>0</v>
      </c>
      <c r="N1084" s="5">
        <v>638.52</v>
      </c>
      <c r="O1084" s="7">
        <v>45933</v>
      </c>
      <c r="P1084" s="5">
        <v>638.52</v>
      </c>
      <c r="Q1084" s="5">
        <v>0</v>
      </c>
      <c r="R1084" s="5">
        <v>398889</v>
      </c>
      <c r="S1084" s="5" t="s">
        <v>589</v>
      </c>
      <c r="T1084" s="5">
        <v>0</v>
      </c>
      <c r="U1084" s="5">
        <v>638.52</v>
      </c>
      <c r="V1084" s="5" t="s">
        <v>34</v>
      </c>
      <c r="W1084" s="5">
        <v>2</v>
      </c>
      <c r="X1084" s="5">
        <v>2303035331525</v>
      </c>
      <c r="Y1084" s="7">
        <v>46003</v>
      </c>
      <c r="Z1084" s="7">
        <v>45933</v>
      </c>
      <c r="AB1084" s="6">
        <v>46003</v>
      </c>
      <c r="AC1084" s="7">
        <v>46001.71597222222</v>
      </c>
      <c r="AD1084" s="5">
        <v>3774995005</v>
      </c>
      <c r="AE1084" s="8">
        <v>45933</v>
      </c>
      <c r="AF1084" s="5">
        <v>38739</v>
      </c>
      <c r="AG1084" s="5" t="s">
        <v>98</v>
      </c>
      <c r="AH1084" s="5">
        <v>398889</v>
      </c>
      <c r="AI1084" s="6">
        <v>45933</v>
      </c>
      <c r="AJ1084" s="6">
        <v>46003</v>
      </c>
      <c r="AK1084" s="1">
        <f t="shared" ref="AK1084" si="500">0.02*C1084</f>
        <v>12.7704</v>
      </c>
      <c r="AL1084" t="s">
        <v>673</v>
      </c>
    </row>
    <row r="1085" spans="1:38" hidden="1" x14ac:dyDescent="0.55000000000000004">
      <c r="A1085">
        <v>3774</v>
      </c>
      <c r="B1085">
        <v>995375</v>
      </c>
      <c r="C1085" s="1">
        <v>1024.8</v>
      </c>
      <c r="E1085" s="1">
        <v>1024.8</v>
      </c>
      <c r="G1085" s="1">
        <v>1024.8</v>
      </c>
      <c r="H1085" s="1"/>
      <c r="I1085" s="1"/>
      <c r="J1085" s="2">
        <v>46003</v>
      </c>
      <c r="K1085" s="5">
        <v>995375</v>
      </c>
      <c r="L1085" s="5">
        <v>3774</v>
      </c>
      <c r="M1085" s="5">
        <v>0</v>
      </c>
      <c r="N1085" s="5">
        <v>1024.8</v>
      </c>
      <c r="O1085" s="7">
        <v>45937</v>
      </c>
      <c r="P1085" s="5">
        <v>1024.8</v>
      </c>
      <c r="Q1085" s="5">
        <v>0</v>
      </c>
      <c r="R1085" s="5" t="s">
        <v>32</v>
      </c>
      <c r="S1085" s="5" t="s">
        <v>33</v>
      </c>
      <c r="T1085" s="5">
        <v>0</v>
      </c>
      <c r="U1085" s="5">
        <v>1024.8</v>
      </c>
      <c r="V1085" s="5" t="s">
        <v>34</v>
      </c>
      <c r="W1085" s="5">
        <v>2</v>
      </c>
      <c r="X1085" s="5">
        <v>2303035331525</v>
      </c>
      <c r="Y1085" s="7">
        <v>46003</v>
      </c>
      <c r="Z1085" s="7">
        <v>45937</v>
      </c>
      <c r="AB1085" s="6">
        <v>46003</v>
      </c>
      <c r="AC1085" s="7">
        <v>46001.71597222222</v>
      </c>
      <c r="AD1085" s="5">
        <v>3774995375</v>
      </c>
      <c r="AE1085" s="8">
        <v>45937</v>
      </c>
      <c r="AF1085" s="5">
        <v>38690</v>
      </c>
      <c r="AG1085" s="5" t="s">
        <v>161</v>
      </c>
      <c r="AH1085" s="5">
        <v>196161</v>
      </c>
      <c r="AI1085" s="6">
        <v>45937</v>
      </c>
      <c r="AJ1085" s="6">
        <v>46003</v>
      </c>
    </row>
    <row r="1086" spans="1:38" x14ac:dyDescent="0.55000000000000004">
      <c r="A1086">
        <v>3774</v>
      </c>
      <c r="B1086">
        <v>995386</v>
      </c>
      <c r="C1086">
        <v>475.2</v>
      </c>
      <c r="E1086">
        <v>475.2</v>
      </c>
      <c r="G1086">
        <v>475.2</v>
      </c>
      <c r="H1086" s="14">
        <f>C1086-D1086-F1086</f>
        <v>475.2</v>
      </c>
      <c r="I1086" s="14" t="b">
        <f>G1086=H1086</f>
        <v>1</v>
      </c>
      <c r="J1086" s="2">
        <v>46003</v>
      </c>
      <c r="K1086" s="5">
        <v>995386</v>
      </c>
      <c r="L1086" s="5">
        <v>3774</v>
      </c>
      <c r="M1086" s="5">
        <v>0</v>
      </c>
      <c r="N1086" s="5">
        <v>475.2</v>
      </c>
      <c r="O1086" s="7">
        <v>45937</v>
      </c>
      <c r="P1086" s="5">
        <v>475.2</v>
      </c>
      <c r="Q1086" s="5">
        <v>0</v>
      </c>
      <c r="R1086" s="5" t="s">
        <v>32</v>
      </c>
      <c r="S1086" s="5" t="s">
        <v>33</v>
      </c>
      <c r="T1086" s="5">
        <v>0</v>
      </c>
      <c r="U1086" s="5">
        <v>475.2</v>
      </c>
      <c r="V1086" s="5" t="s">
        <v>34</v>
      </c>
      <c r="W1086" s="5">
        <v>2</v>
      </c>
      <c r="X1086" s="5">
        <v>2303035331525</v>
      </c>
      <c r="Y1086" s="7">
        <v>46003</v>
      </c>
      <c r="Z1086" s="7">
        <v>45937</v>
      </c>
      <c r="AB1086" s="6">
        <v>46003</v>
      </c>
      <c r="AC1086" s="7">
        <v>46001.71597222222</v>
      </c>
      <c r="AD1086" s="5">
        <v>3774995386</v>
      </c>
      <c r="AE1086" s="8">
        <v>45937</v>
      </c>
      <c r="AF1086" s="5">
        <v>38588</v>
      </c>
      <c r="AG1086" s="5" t="s">
        <v>98</v>
      </c>
      <c r="AH1086" s="5">
        <v>196122</v>
      </c>
      <c r="AI1086" s="6">
        <v>45937</v>
      </c>
      <c r="AJ1086" s="6">
        <v>46003</v>
      </c>
      <c r="AK1086" s="1">
        <f t="shared" ref="AK1086" si="501">0.02*C1086</f>
        <v>9.5039999999999996</v>
      </c>
      <c r="AL1086" t="s">
        <v>673</v>
      </c>
    </row>
    <row r="1087" spans="1:38" hidden="1" x14ac:dyDescent="0.55000000000000004">
      <c r="A1087">
        <v>3774</v>
      </c>
      <c r="B1087">
        <v>995554</v>
      </c>
      <c r="C1087" s="1">
        <v>6990</v>
      </c>
      <c r="E1087" s="1">
        <v>6990</v>
      </c>
      <c r="G1087" s="1">
        <v>6990</v>
      </c>
      <c r="H1087" s="1"/>
      <c r="I1087" s="1"/>
      <c r="J1087" s="2">
        <v>46003</v>
      </c>
      <c r="K1087" s="5">
        <v>995554</v>
      </c>
      <c r="L1087" s="5">
        <v>3774</v>
      </c>
      <c r="M1087" s="5">
        <v>0</v>
      </c>
      <c r="N1087" s="5">
        <v>6990</v>
      </c>
      <c r="O1087" s="7">
        <v>45936</v>
      </c>
      <c r="P1087" s="5">
        <v>6990</v>
      </c>
      <c r="Q1087" s="5">
        <v>0</v>
      </c>
      <c r="R1087" s="5" t="s">
        <v>590</v>
      </c>
      <c r="S1087" s="5" t="s">
        <v>191</v>
      </c>
      <c r="T1087" s="5">
        <v>0</v>
      </c>
      <c r="U1087" s="5">
        <v>6990</v>
      </c>
      <c r="V1087" s="5" t="s">
        <v>34</v>
      </c>
      <c r="W1087" s="5">
        <v>2</v>
      </c>
      <c r="X1087" s="5">
        <v>2303035331525</v>
      </c>
      <c r="Y1087" s="7">
        <v>46003</v>
      </c>
      <c r="Z1087" s="7">
        <v>45937</v>
      </c>
      <c r="AB1087" s="6">
        <v>46003</v>
      </c>
      <c r="AC1087" s="7">
        <v>46001.71597222222</v>
      </c>
      <c r="AD1087" s="5">
        <v>3774995554</v>
      </c>
      <c r="AE1087" s="8">
        <v>45936</v>
      </c>
      <c r="AF1087" s="5" t="s">
        <v>591</v>
      </c>
      <c r="AG1087" s="5" t="s">
        <v>161</v>
      </c>
      <c r="AH1087" s="5" t="s">
        <v>590</v>
      </c>
      <c r="AI1087" s="6">
        <v>45937</v>
      </c>
      <c r="AJ1087" s="6">
        <v>46003</v>
      </c>
    </row>
    <row r="1088" spans="1:38" hidden="1" x14ac:dyDescent="0.55000000000000004">
      <c r="A1088">
        <v>3774</v>
      </c>
      <c r="B1088">
        <v>995941</v>
      </c>
      <c r="C1088">
        <v>461.73</v>
      </c>
      <c r="E1088">
        <v>461.73</v>
      </c>
      <c r="G1088">
        <v>461.73</v>
      </c>
      <c r="H1088"/>
      <c r="I1088"/>
      <c r="J1088" s="2">
        <v>46003</v>
      </c>
      <c r="K1088" s="5">
        <v>995941</v>
      </c>
      <c r="L1088" s="5">
        <v>3774</v>
      </c>
      <c r="M1088" s="5">
        <v>0</v>
      </c>
      <c r="N1088" s="5">
        <v>461.73</v>
      </c>
      <c r="O1088" s="7">
        <v>45939</v>
      </c>
      <c r="P1088" s="5">
        <v>461.73</v>
      </c>
      <c r="Q1088" s="5">
        <v>0</v>
      </c>
      <c r="R1088" s="5" t="s">
        <v>32</v>
      </c>
      <c r="S1088" s="5" t="s">
        <v>33</v>
      </c>
      <c r="T1088" s="5">
        <v>0</v>
      </c>
      <c r="U1088" s="5">
        <v>461.73</v>
      </c>
      <c r="V1088" s="5" t="s">
        <v>34</v>
      </c>
      <c r="W1088" s="5">
        <v>2</v>
      </c>
      <c r="X1088" s="5">
        <v>2303035331525</v>
      </c>
      <c r="Y1088" s="7">
        <v>46003</v>
      </c>
      <c r="Z1088" s="7">
        <v>45939</v>
      </c>
      <c r="AB1088" s="6">
        <v>46003</v>
      </c>
      <c r="AC1088" s="7">
        <v>46001.71597222222</v>
      </c>
      <c r="AD1088" s="5">
        <v>3774995941</v>
      </c>
      <c r="AE1088" s="8">
        <v>45939</v>
      </c>
      <c r="AF1088" s="5">
        <v>38783</v>
      </c>
      <c r="AG1088" s="5" t="s">
        <v>161</v>
      </c>
      <c r="AH1088" s="5">
        <v>196476</v>
      </c>
      <c r="AI1088" s="6">
        <v>45939</v>
      </c>
      <c r="AJ1088" s="6">
        <v>46003</v>
      </c>
    </row>
    <row r="1089" spans="1:38" x14ac:dyDescent="0.55000000000000004">
      <c r="A1089">
        <v>3774</v>
      </c>
      <c r="B1089">
        <v>995947</v>
      </c>
      <c r="C1089" s="1">
        <v>1607.39</v>
      </c>
      <c r="E1089" s="1">
        <v>1607.39</v>
      </c>
      <c r="G1089" s="1">
        <v>1607.39</v>
      </c>
      <c r="H1089" s="14">
        <f>C1089-D1089-F1089</f>
        <v>1607.39</v>
      </c>
      <c r="I1089" s="14" t="b">
        <f>G1089=H1089</f>
        <v>1</v>
      </c>
      <c r="J1089" s="2">
        <v>46003</v>
      </c>
      <c r="K1089" s="5">
        <v>995947</v>
      </c>
      <c r="L1089" s="5">
        <v>3774</v>
      </c>
      <c r="M1089" s="5">
        <v>0</v>
      </c>
      <c r="N1089" s="5">
        <v>1607.39</v>
      </c>
      <c r="O1089" s="7">
        <v>45939</v>
      </c>
      <c r="P1089" s="5">
        <v>1607.39</v>
      </c>
      <c r="Q1089" s="5">
        <v>0</v>
      </c>
      <c r="R1089" s="5" t="s">
        <v>32</v>
      </c>
      <c r="S1089" s="5" t="s">
        <v>33</v>
      </c>
      <c r="T1089" s="5">
        <v>0</v>
      </c>
      <c r="U1089" s="5">
        <v>1607.39</v>
      </c>
      <c r="V1089" s="5" t="s">
        <v>34</v>
      </c>
      <c r="W1089" s="5">
        <v>2</v>
      </c>
      <c r="X1089" s="5">
        <v>2303035331525</v>
      </c>
      <c r="Y1089" s="7">
        <v>46003</v>
      </c>
      <c r="Z1089" s="7">
        <v>45939</v>
      </c>
      <c r="AB1089" s="6">
        <v>46003</v>
      </c>
      <c r="AC1089" s="7">
        <v>46001.71597222222</v>
      </c>
      <c r="AD1089" s="5">
        <v>3774995947</v>
      </c>
      <c r="AE1089" s="8">
        <v>45939</v>
      </c>
      <c r="AF1089" s="5">
        <v>38783</v>
      </c>
      <c r="AG1089" s="5" t="s">
        <v>98</v>
      </c>
      <c r="AH1089" s="5">
        <v>196475</v>
      </c>
      <c r="AI1089" s="6">
        <v>45939</v>
      </c>
      <c r="AJ1089" s="6">
        <v>46003</v>
      </c>
      <c r="AK1089" s="1">
        <f t="shared" ref="AK1089" si="502">0.02*C1089</f>
        <v>32.147800000000004</v>
      </c>
      <c r="AL1089" t="s">
        <v>673</v>
      </c>
    </row>
    <row r="1090" spans="1:38" hidden="1" x14ac:dyDescent="0.55000000000000004">
      <c r="A1090">
        <v>3774</v>
      </c>
      <c r="B1090">
        <v>996951</v>
      </c>
      <c r="C1090">
        <v>905.9</v>
      </c>
      <c r="E1090">
        <v>905.9</v>
      </c>
      <c r="G1090">
        <v>905.9</v>
      </c>
      <c r="H1090"/>
      <c r="I1090"/>
      <c r="J1090" s="2">
        <v>46003</v>
      </c>
      <c r="K1090" s="5">
        <v>996951</v>
      </c>
      <c r="L1090" s="5">
        <v>3774</v>
      </c>
      <c r="M1090" s="5">
        <v>0</v>
      </c>
      <c r="N1090" s="5">
        <v>905.9</v>
      </c>
      <c r="O1090" s="7">
        <v>45944</v>
      </c>
      <c r="P1090" s="5">
        <v>905.9</v>
      </c>
      <c r="Q1090" s="5">
        <v>0</v>
      </c>
      <c r="R1090" s="5" t="s">
        <v>32</v>
      </c>
      <c r="S1090" s="5" t="s">
        <v>33</v>
      </c>
      <c r="T1090" s="5">
        <v>0</v>
      </c>
      <c r="U1090" s="5">
        <v>905.9</v>
      </c>
      <c r="V1090" s="5" t="s">
        <v>34</v>
      </c>
      <c r="W1090" s="5">
        <v>2</v>
      </c>
      <c r="X1090" s="5">
        <v>2303035331525</v>
      </c>
      <c r="Y1090" s="7">
        <v>46003</v>
      </c>
      <c r="Z1090" s="7">
        <v>45944</v>
      </c>
      <c r="AB1090" s="6">
        <v>46003</v>
      </c>
      <c r="AC1090" s="7">
        <v>46001.71597222222</v>
      </c>
      <c r="AD1090" s="5">
        <v>3774996951</v>
      </c>
      <c r="AE1090" s="8">
        <v>45944</v>
      </c>
      <c r="AF1090" s="5">
        <v>38783</v>
      </c>
      <c r="AG1090" s="5" t="s">
        <v>161</v>
      </c>
      <c r="AH1090" s="5">
        <v>197373</v>
      </c>
      <c r="AI1090" s="6">
        <v>45944</v>
      </c>
      <c r="AJ1090" s="6">
        <v>46003</v>
      </c>
    </row>
    <row r="1091" spans="1:38" hidden="1" x14ac:dyDescent="0.55000000000000004">
      <c r="A1091">
        <v>3774</v>
      </c>
      <c r="B1091">
        <v>996952</v>
      </c>
      <c r="C1091" s="1">
        <v>1962.81</v>
      </c>
      <c r="E1091" s="1">
        <v>1962.81</v>
      </c>
      <c r="G1091" s="1">
        <v>1962.81</v>
      </c>
      <c r="H1091" s="1"/>
      <c r="I1091" s="1"/>
      <c r="J1091" s="2">
        <v>46003</v>
      </c>
      <c r="K1091" s="5">
        <v>996952</v>
      </c>
      <c r="L1091" s="5">
        <v>3774</v>
      </c>
      <c r="M1091" s="5">
        <v>0</v>
      </c>
      <c r="N1091" s="5">
        <v>1962.81</v>
      </c>
      <c r="O1091" s="7">
        <v>45944</v>
      </c>
      <c r="P1091" s="5">
        <v>1962.81</v>
      </c>
      <c r="Q1091" s="5">
        <v>0</v>
      </c>
      <c r="R1091" s="5" t="s">
        <v>32</v>
      </c>
      <c r="S1091" s="5" t="s">
        <v>33</v>
      </c>
      <c r="T1091" s="5">
        <v>0</v>
      </c>
      <c r="U1091" s="5">
        <v>1962.81</v>
      </c>
      <c r="V1091" s="5" t="s">
        <v>34</v>
      </c>
      <c r="W1091" s="5">
        <v>2</v>
      </c>
      <c r="X1091" s="5">
        <v>2303035331525</v>
      </c>
      <c r="Y1091" s="7">
        <v>46003</v>
      </c>
      <c r="Z1091" s="7">
        <v>45944</v>
      </c>
      <c r="AB1091" s="6">
        <v>46003</v>
      </c>
      <c r="AC1091" s="7">
        <v>46001.71597222222</v>
      </c>
      <c r="AD1091" s="5">
        <v>3774996952</v>
      </c>
      <c r="AE1091" s="8">
        <v>45944</v>
      </c>
      <c r="AF1091" s="5">
        <v>38723</v>
      </c>
      <c r="AG1091" s="5" t="s">
        <v>161</v>
      </c>
      <c r="AH1091" s="5">
        <v>197372</v>
      </c>
      <c r="AI1091" s="6">
        <v>45944</v>
      </c>
      <c r="AJ1091" s="6">
        <v>46003</v>
      </c>
    </row>
    <row r="1092" spans="1:38" hidden="1" x14ac:dyDescent="0.55000000000000004">
      <c r="A1092">
        <v>3774</v>
      </c>
      <c r="B1092">
        <v>997269</v>
      </c>
      <c r="C1092">
        <v>900</v>
      </c>
      <c r="E1092">
        <v>900</v>
      </c>
      <c r="G1092">
        <v>900</v>
      </c>
      <c r="H1092"/>
      <c r="I1092"/>
      <c r="J1092" s="2">
        <v>46003</v>
      </c>
      <c r="K1092" s="5">
        <v>997269</v>
      </c>
      <c r="L1092" s="5">
        <v>3774</v>
      </c>
      <c r="M1092" s="5">
        <v>0</v>
      </c>
      <c r="N1092" s="5">
        <v>900</v>
      </c>
      <c r="O1092" s="7">
        <v>45943</v>
      </c>
      <c r="P1092" s="5">
        <v>900</v>
      </c>
      <c r="Q1092" s="5">
        <v>0</v>
      </c>
      <c r="R1092" s="5" t="s">
        <v>592</v>
      </c>
      <c r="S1092" s="5" t="s">
        <v>191</v>
      </c>
      <c r="T1092" s="5">
        <v>0</v>
      </c>
      <c r="U1092" s="5">
        <v>900</v>
      </c>
      <c r="V1092" s="5" t="s">
        <v>34</v>
      </c>
      <c r="W1092" s="5">
        <v>2</v>
      </c>
      <c r="X1092" s="5">
        <v>2303035331525</v>
      </c>
      <c r="Y1092" s="7">
        <v>46003</v>
      </c>
      <c r="Z1092" s="7">
        <v>45944</v>
      </c>
      <c r="AB1092" s="6">
        <v>46003</v>
      </c>
      <c r="AC1092" s="7">
        <v>46001.71597222222</v>
      </c>
      <c r="AD1092" s="5">
        <v>3774997269</v>
      </c>
      <c r="AE1092" s="8">
        <v>45943</v>
      </c>
      <c r="AF1092" s="5" t="s">
        <v>591</v>
      </c>
      <c r="AG1092" s="5" t="s">
        <v>161</v>
      </c>
      <c r="AH1092" s="5" t="s">
        <v>592</v>
      </c>
      <c r="AI1092" s="6">
        <v>45944</v>
      </c>
      <c r="AJ1092" s="6">
        <v>46003</v>
      </c>
    </row>
    <row r="1093" spans="1:38" hidden="1" x14ac:dyDescent="0.55000000000000004">
      <c r="A1093">
        <v>3774</v>
      </c>
      <c r="B1093">
        <v>997281</v>
      </c>
      <c r="C1093" s="1">
        <v>1183.3800000000001</v>
      </c>
      <c r="E1093" s="1">
        <v>1183.3800000000001</v>
      </c>
      <c r="G1093" s="1">
        <v>1183.3800000000001</v>
      </c>
      <c r="H1093" s="1"/>
      <c r="I1093" s="1"/>
      <c r="J1093" s="2">
        <v>46003</v>
      </c>
      <c r="K1093" s="5">
        <v>997281</v>
      </c>
      <c r="L1093" s="5">
        <v>3774</v>
      </c>
      <c r="M1093" s="5">
        <v>0</v>
      </c>
      <c r="N1093" s="5">
        <v>1183.3800000000001</v>
      </c>
      <c r="O1093" s="7">
        <v>45945</v>
      </c>
      <c r="P1093" s="5">
        <v>1183.3800000000001</v>
      </c>
      <c r="Q1093" s="5">
        <v>0</v>
      </c>
      <c r="R1093" s="5" t="s">
        <v>32</v>
      </c>
      <c r="S1093" s="5" t="s">
        <v>33</v>
      </c>
      <c r="T1093" s="5">
        <v>0</v>
      </c>
      <c r="U1093" s="5">
        <v>1183.3800000000001</v>
      </c>
      <c r="V1093" s="5" t="s">
        <v>34</v>
      </c>
      <c r="W1093" s="5">
        <v>2</v>
      </c>
      <c r="X1093" s="5">
        <v>2303035331525</v>
      </c>
      <c r="Y1093" s="7">
        <v>46003</v>
      </c>
      <c r="Z1093" s="7">
        <v>45945</v>
      </c>
      <c r="AB1093" s="6">
        <v>46003</v>
      </c>
      <c r="AC1093" s="7">
        <v>46001.71597222222</v>
      </c>
      <c r="AD1093" s="5">
        <v>3774997281</v>
      </c>
      <c r="AE1093" s="8">
        <v>45945</v>
      </c>
      <c r="AF1093" s="5" t="s">
        <v>32</v>
      </c>
      <c r="AG1093" s="5" t="s">
        <v>161</v>
      </c>
      <c r="AH1093" s="5">
        <v>175891</v>
      </c>
      <c r="AI1093" s="6">
        <v>45945</v>
      </c>
      <c r="AJ1093" s="6">
        <v>46003</v>
      </c>
    </row>
    <row r="1094" spans="1:38" hidden="1" x14ac:dyDescent="0.55000000000000004">
      <c r="A1094">
        <v>3774</v>
      </c>
      <c r="B1094">
        <v>997282</v>
      </c>
      <c r="C1094">
        <v>-65.88</v>
      </c>
      <c r="E1094">
        <v>-65.88</v>
      </c>
      <c r="G1094">
        <v>-65.88</v>
      </c>
      <c r="H1094"/>
      <c r="I1094"/>
      <c r="J1094" s="2">
        <v>46003</v>
      </c>
      <c r="K1094" s="5">
        <v>997282</v>
      </c>
      <c r="L1094" s="5">
        <v>3774</v>
      </c>
      <c r="M1094" s="5">
        <v>0</v>
      </c>
      <c r="N1094" s="5">
        <v>-65.88</v>
      </c>
      <c r="O1094" s="7">
        <v>45945</v>
      </c>
      <c r="P1094" s="5">
        <v>-65.88</v>
      </c>
      <c r="Q1094" s="5">
        <v>0</v>
      </c>
      <c r="R1094" s="5">
        <v>997282</v>
      </c>
      <c r="S1094" s="5" t="s">
        <v>33</v>
      </c>
      <c r="T1094" s="5">
        <v>0</v>
      </c>
      <c r="U1094" s="5">
        <v>-65.88</v>
      </c>
      <c r="V1094" s="5" t="s">
        <v>34</v>
      </c>
      <c r="W1094" s="5">
        <v>2</v>
      </c>
      <c r="X1094" s="5">
        <v>2303035331525</v>
      </c>
      <c r="Y1094" s="7">
        <v>46003</v>
      </c>
      <c r="Z1094" s="7">
        <v>45945</v>
      </c>
      <c r="AB1094" s="6">
        <v>46003</v>
      </c>
      <c r="AC1094" s="7">
        <v>46001.71597222222</v>
      </c>
      <c r="AD1094" s="5">
        <v>3774997282</v>
      </c>
      <c r="AE1094" s="8">
        <v>45945</v>
      </c>
      <c r="AF1094" s="5" t="s">
        <v>32</v>
      </c>
      <c r="AG1094" s="5" t="s">
        <v>161</v>
      </c>
      <c r="AH1094" s="5">
        <v>175891</v>
      </c>
      <c r="AI1094" s="6">
        <v>45945</v>
      </c>
      <c r="AJ1094" s="6">
        <v>46003</v>
      </c>
    </row>
    <row r="1095" spans="1:38" x14ac:dyDescent="0.55000000000000004">
      <c r="A1095">
        <v>3774</v>
      </c>
      <c r="B1095">
        <v>999018</v>
      </c>
      <c r="C1095">
        <v>152.21</v>
      </c>
      <c r="E1095">
        <v>152.21</v>
      </c>
      <c r="G1095">
        <v>152.21</v>
      </c>
      <c r="H1095" s="14">
        <f t="shared" ref="H1095:H1096" si="503">C1095-D1095-F1095</f>
        <v>152.21</v>
      </c>
      <c r="I1095" s="14" t="b">
        <f t="shared" ref="I1095:I1096" si="504">G1095=H1095</f>
        <v>1</v>
      </c>
      <c r="J1095" s="2">
        <v>46003</v>
      </c>
      <c r="K1095" s="5">
        <v>999018</v>
      </c>
      <c r="L1095" s="5">
        <v>3774</v>
      </c>
      <c r="M1095" s="5">
        <v>0</v>
      </c>
      <c r="N1095" s="5">
        <v>152.21</v>
      </c>
      <c r="O1095" s="7">
        <v>45951</v>
      </c>
      <c r="P1095" s="5">
        <v>152.21</v>
      </c>
      <c r="Q1095" s="5">
        <v>0</v>
      </c>
      <c r="R1095" s="5" t="s">
        <v>32</v>
      </c>
      <c r="S1095" s="5" t="s">
        <v>33</v>
      </c>
      <c r="T1095" s="5">
        <v>0</v>
      </c>
      <c r="U1095" s="5">
        <v>152.21</v>
      </c>
      <c r="V1095" s="5" t="s">
        <v>34</v>
      </c>
      <c r="W1095" s="5">
        <v>2</v>
      </c>
      <c r="X1095" s="5">
        <v>2303035331525</v>
      </c>
      <c r="Y1095" s="7">
        <v>46003</v>
      </c>
      <c r="Z1095" s="7">
        <v>45951</v>
      </c>
      <c r="AB1095" s="6">
        <v>46003</v>
      </c>
      <c r="AC1095" s="7">
        <v>46001.71597222222</v>
      </c>
      <c r="AD1095" s="5">
        <v>3774999018</v>
      </c>
      <c r="AE1095" s="8">
        <v>45951</v>
      </c>
      <c r="AF1095" s="5">
        <v>38693</v>
      </c>
      <c r="AG1095" s="5" t="s">
        <v>98</v>
      </c>
      <c r="AH1095" s="5">
        <v>199043</v>
      </c>
      <c r="AI1095" s="6">
        <v>45951</v>
      </c>
      <c r="AJ1095" s="6">
        <v>46003</v>
      </c>
      <c r="AK1095" s="1">
        <f t="shared" ref="AK1095:AK1096" si="505">0.02*C1095</f>
        <v>3.0442</v>
      </c>
      <c r="AL1095" t="s">
        <v>673</v>
      </c>
    </row>
    <row r="1096" spans="1:38" x14ac:dyDescent="0.55000000000000004">
      <c r="A1096">
        <v>3774</v>
      </c>
      <c r="B1096">
        <v>999642</v>
      </c>
      <c r="C1096" s="1">
        <v>1010.27</v>
      </c>
      <c r="D1096" s="4">
        <v>20.21</v>
      </c>
      <c r="E1096">
        <v>990.06</v>
      </c>
      <c r="G1096">
        <v>990.06</v>
      </c>
      <c r="H1096" s="14">
        <f t="shared" si="503"/>
        <v>990.06</v>
      </c>
      <c r="I1096" s="14" t="b">
        <f t="shared" si="504"/>
        <v>1</v>
      </c>
      <c r="J1096" s="2">
        <v>46003</v>
      </c>
      <c r="K1096" s="5">
        <v>999642</v>
      </c>
      <c r="L1096" s="5">
        <v>3774</v>
      </c>
      <c r="M1096" s="5">
        <v>20.21</v>
      </c>
      <c r="N1096" s="5">
        <v>1010.27</v>
      </c>
      <c r="O1096" s="7">
        <v>45953</v>
      </c>
      <c r="P1096" s="5">
        <v>990.06</v>
      </c>
      <c r="Q1096" s="5">
        <v>20.21</v>
      </c>
      <c r="R1096" s="5" t="s">
        <v>32</v>
      </c>
      <c r="S1096" s="5" t="s">
        <v>33</v>
      </c>
      <c r="T1096" s="5">
        <v>0</v>
      </c>
      <c r="U1096" s="5">
        <v>990.06</v>
      </c>
      <c r="V1096" s="5" t="s">
        <v>34</v>
      </c>
      <c r="W1096" s="5">
        <v>2</v>
      </c>
      <c r="X1096" s="5">
        <v>2303035331525</v>
      </c>
      <c r="Y1096" s="7">
        <v>46003</v>
      </c>
      <c r="Z1096" s="7">
        <v>45953</v>
      </c>
      <c r="AB1096" s="6">
        <v>46003</v>
      </c>
      <c r="AC1096" s="7">
        <v>46001.71597222222</v>
      </c>
      <c r="AD1096" s="5">
        <v>3774999642</v>
      </c>
      <c r="AE1096" s="8">
        <v>45953</v>
      </c>
      <c r="AF1096" s="5">
        <v>38723</v>
      </c>
      <c r="AG1096" s="5" t="s">
        <v>71</v>
      </c>
      <c r="AH1096" s="5">
        <v>199574</v>
      </c>
      <c r="AI1096" s="6">
        <v>45953</v>
      </c>
      <c r="AJ1096" s="6">
        <v>46003</v>
      </c>
      <c r="AK1096" s="1">
        <f t="shared" si="505"/>
        <v>20.205400000000001</v>
      </c>
    </row>
    <row r="1097" spans="1:38" hidden="1" x14ac:dyDescent="0.55000000000000004">
      <c r="A1097">
        <v>3774</v>
      </c>
      <c r="B1097">
        <v>999946</v>
      </c>
      <c r="C1097">
        <v>887.04</v>
      </c>
      <c r="E1097">
        <v>887.04</v>
      </c>
      <c r="G1097">
        <v>887.04</v>
      </c>
      <c r="H1097"/>
      <c r="I1097"/>
      <c r="J1097" s="2">
        <v>46003</v>
      </c>
      <c r="K1097" s="5">
        <v>999946</v>
      </c>
      <c r="L1097" s="5">
        <v>3774</v>
      </c>
      <c r="M1097" s="5">
        <v>0</v>
      </c>
      <c r="N1097" s="5">
        <v>887.04</v>
      </c>
      <c r="O1097" s="7">
        <v>45953</v>
      </c>
      <c r="P1097" s="5">
        <v>887.04</v>
      </c>
      <c r="Q1097" s="5">
        <v>0</v>
      </c>
      <c r="R1097" s="5" t="s">
        <v>32</v>
      </c>
      <c r="S1097" s="5" t="s">
        <v>33</v>
      </c>
      <c r="T1097" s="5">
        <v>0</v>
      </c>
      <c r="U1097" s="5">
        <v>887.04</v>
      </c>
      <c r="V1097" s="5" t="s">
        <v>34</v>
      </c>
      <c r="W1097" s="5">
        <v>2</v>
      </c>
      <c r="X1097" s="5">
        <v>2303035331525</v>
      </c>
      <c r="Y1097" s="7">
        <v>46003</v>
      </c>
      <c r="Z1097" s="7">
        <v>45953</v>
      </c>
      <c r="AB1097" s="6">
        <v>46003</v>
      </c>
      <c r="AC1097" s="7">
        <v>46001.71597222222</v>
      </c>
      <c r="AD1097" s="5">
        <v>3774999946</v>
      </c>
      <c r="AE1097" s="8">
        <v>45953</v>
      </c>
      <c r="AF1097" s="5">
        <v>38588</v>
      </c>
      <c r="AG1097" s="5" t="s">
        <v>65</v>
      </c>
      <c r="AH1097" s="5">
        <v>199589</v>
      </c>
      <c r="AI1097" s="6">
        <v>45953</v>
      </c>
      <c r="AJ1097" s="6">
        <v>46003</v>
      </c>
    </row>
    <row r="1098" spans="1:38" x14ac:dyDescent="0.55000000000000004">
      <c r="A1098">
        <v>3774</v>
      </c>
      <c r="B1098">
        <v>999972</v>
      </c>
      <c r="C1098" s="1">
        <v>2139.73</v>
      </c>
      <c r="D1098" s="4">
        <v>42.79</v>
      </c>
      <c r="E1098" s="1">
        <v>2096.94</v>
      </c>
      <c r="G1098" s="1">
        <v>2096.94</v>
      </c>
      <c r="H1098" s="14">
        <f t="shared" ref="H1098:H1099" si="506">C1098-D1098-F1098</f>
        <v>2096.94</v>
      </c>
      <c r="I1098" s="14" t="b">
        <f t="shared" ref="I1098:I1099" si="507">G1098=H1098</f>
        <v>1</v>
      </c>
      <c r="J1098" s="2">
        <v>46003</v>
      </c>
      <c r="K1098" s="5">
        <v>999972</v>
      </c>
      <c r="L1098" s="5">
        <v>3774</v>
      </c>
      <c r="M1098" s="5">
        <v>42.79</v>
      </c>
      <c r="N1098" s="5">
        <v>2139.73</v>
      </c>
      <c r="O1098" s="7">
        <v>45953</v>
      </c>
      <c r="P1098" s="5">
        <v>2096.94</v>
      </c>
      <c r="Q1098" s="5">
        <v>42.79</v>
      </c>
      <c r="R1098" s="5" t="s">
        <v>32</v>
      </c>
      <c r="S1098" s="5" t="s">
        <v>33</v>
      </c>
      <c r="T1098" s="5">
        <v>0</v>
      </c>
      <c r="U1098" s="5">
        <v>2096.94</v>
      </c>
      <c r="V1098" s="5" t="s">
        <v>34</v>
      </c>
      <c r="W1098" s="5">
        <v>2</v>
      </c>
      <c r="X1098" s="5">
        <v>2303035331525</v>
      </c>
      <c r="Y1098" s="7">
        <v>46003</v>
      </c>
      <c r="Z1098" s="7">
        <v>45953</v>
      </c>
      <c r="AB1098" s="6">
        <v>46003</v>
      </c>
      <c r="AC1098" s="7">
        <v>46001.71597222222</v>
      </c>
      <c r="AD1098" s="5">
        <v>3774999972</v>
      </c>
      <c r="AE1098" s="8">
        <v>45953</v>
      </c>
      <c r="AF1098" s="5">
        <v>38834</v>
      </c>
      <c r="AG1098" s="5" t="s">
        <v>71</v>
      </c>
      <c r="AH1098" s="5">
        <v>199552</v>
      </c>
      <c r="AI1098" s="6">
        <v>45953</v>
      </c>
      <c r="AJ1098" s="6">
        <v>46003</v>
      </c>
      <c r="AK1098" s="1">
        <f t="shared" ref="AK1098:AK1099" si="508">0.02*C1098</f>
        <v>42.794600000000003</v>
      </c>
    </row>
    <row r="1099" spans="1:38" x14ac:dyDescent="0.55000000000000004">
      <c r="A1099">
        <v>3774</v>
      </c>
      <c r="B1099">
        <v>999975</v>
      </c>
      <c r="C1099">
        <v>32.380000000000003</v>
      </c>
      <c r="D1099" s="4">
        <v>0.65</v>
      </c>
      <c r="E1099">
        <v>31.73</v>
      </c>
      <c r="G1099">
        <v>31.73</v>
      </c>
      <c r="H1099" s="14">
        <f t="shared" si="506"/>
        <v>31.730000000000004</v>
      </c>
      <c r="I1099" s="14" t="b">
        <f t="shared" si="507"/>
        <v>1</v>
      </c>
      <c r="J1099" s="2">
        <v>46003</v>
      </c>
      <c r="K1099" s="5">
        <v>999975</v>
      </c>
      <c r="L1099" s="5">
        <v>3774</v>
      </c>
      <c r="M1099" s="5">
        <v>0.65</v>
      </c>
      <c r="N1099" s="5">
        <v>32.380000000000003</v>
      </c>
      <c r="O1099" s="7">
        <v>45953</v>
      </c>
      <c r="P1099" s="5">
        <v>31.73</v>
      </c>
      <c r="Q1099" s="5">
        <v>0.65</v>
      </c>
      <c r="R1099" s="5" t="s">
        <v>32</v>
      </c>
      <c r="S1099" s="5" t="s">
        <v>33</v>
      </c>
      <c r="T1099" s="5">
        <v>0</v>
      </c>
      <c r="U1099" s="5">
        <v>31.73</v>
      </c>
      <c r="V1099" s="5" t="s">
        <v>34</v>
      </c>
      <c r="W1099" s="5">
        <v>2</v>
      </c>
      <c r="X1099" s="5">
        <v>2303035331525</v>
      </c>
      <c r="Y1099" s="7">
        <v>46003</v>
      </c>
      <c r="Z1099" s="7">
        <v>45953</v>
      </c>
      <c r="AB1099" s="6">
        <v>46003</v>
      </c>
      <c r="AC1099" s="7">
        <v>46001.71597222222</v>
      </c>
      <c r="AD1099" s="5">
        <v>3774999975</v>
      </c>
      <c r="AE1099" s="8">
        <v>45953</v>
      </c>
      <c r="AF1099" s="5">
        <v>38834</v>
      </c>
      <c r="AG1099" s="5" t="s">
        <v>71</v>
      </c>
      <c r="AH1099" s="5">
        <v>199550</v>
      </c>
      <c r="AI1099" s="6">
        <v>45953</v>
      </c>
      <c r="AJ1099" s="6">
        <v>46003</v>
      </c>
      <c r="AK1099" s="1">
        <f t="shared" si="508"/>
        <v>0.64760000000000006</v>
      </c>
    </row>
    <row r="1100" spans="1:38" hidden="1" x14ac:dyDescent="0.55000000000000004">
      <c r="A1100">
        <v>3774</v>
      </c>
      <c r="B1100">
        <v>1001268</v>
      </c>
      <c r="C1100">
        <v>179.51</v>
      </c>
      <c r="E1100">
        <v>179.51</v>
      </c>
      <c r="G1100">
        <v>179.51</v>
      </c>
      <c r="H1100"/>
      <c r="I1100"/>
      <c r="J1100" s="2">
        <v>46003</v>
      </c>
      <c r="K1100" s="5">
        <v>1001268</v>
      </c>
      <c r="L1100" s="5">
        <v>3774</v>
      </c>
      <c r="M1100" s="5">
        <v>0</v>
      </c>
      <c r="N1100" s="5">
        <v>179.51</v>
      </c>
      <c r="O1100" s="7">
        <v>45960</v>
      </c>
      <c r="P1100" s="5">
        <v>179.51</v>
      </c>
      <c r="Q1100" s="5">
        <v>0</v>
      </c>
      <c r="R1100" s="5" t="s">
        <v>32</v>
      </c>
      <c r="S1100" s="5" t="s">
        <v>33</v>
      </c>
      <c r="T1100" s="5">
        <v>0</v>
      </c>
      <c r="U1100" s="5">
        <v>179.51</v>
      </c>
      <c r="V1100" s="5" t="s">
        <v>34</v>
      </c>
      <c r="W1100" s="5">
        <v>2</v>
      </c>
      <c r="X1100" s="5">
        <v>2303035331525</v>
      </c>
      <c r="Y1100" s="7">
        <v>46003</v>
      </c>
      <c r="Z1100" s="7">
        <v>45960</v>
      </c>
      <c r="AB1100" s="6">
        <v>46003</v>
      </c>
      <c r="AC1100" s="7">
        <v>46001.71597222222</v>
      </c>
      <c r="AD1100" s="5">
        <v>37741001268</v>
      </c>
      <c r="AE1100" s="8">
        <v>45960</v>
      </c>
      <c r="AF1100" s="5">
        <v>38854</v>
      </c>
      <c r="AG1100" s="5" t="s">
        <v>65</v>
      </c>
      <c r="AH1100" s="5">
        <v>200774</v>
      </c>
      <c r="AI1100" s="6">
        <v>45960</v>
      </c>
      <c r="AJ1100" s="6">
        <v>46003</v>
      </c>
    </row>
    <row r="1101" spans="1:38" x14ac:dyDescent="0.55000000000000004">
      <c r="A1101">
        <v>3774</v>
      </c>
      <c r="B1101">
        <v>1001274</v>
      </c>
      <c r="C1101" s="1">
        <v>1194.68</v>
      </c>
      <c r="D1101" s="4">
        <v>23.89</v>
      </c>
      <c r="E1101" s="1">
        <v>1170.79</v>
      </c>
      <c r="G1101" s="1">
        <v>1170.79</v>
      </c>
      <c r="H1101" s="14">
        <f>C1101-D1101-F1101</f>
        <v>1170.79</v>
      </c>
      <c r="I1101" s="14" t="b">
        <f>G1101=H1101</f>
        <v>1</v>
      </c>
      <c r="J1101" s="2">
        <v>46003</v>
      </c>
      <c r="K1101" s="5">
        <v>1001274</v>
      </c>
      <c r="L1101" s="5">
        <v>3774</v>
      </c>
      <c r="M1101" s="5">
        <v>23.89</v>
      </c>
      <c r="N1101" s="5">
        <v>1194.68</v>
      </c>
      <c r="O1101" s="7">
        <v>45960</v>
      </c>
      <c r="P1101" s="5">
        <v>1170.79</v>
      </c>
      <c r="Q1101" s="5">
        <v>23.89</v>
      </c>
      <c r="R1101" s="5" t="s">
        <v>32</v>
      </c>
      <c r="S1101" s="5" t="s">
        <v>33</v>
      </c>
      <c r="T1101" s="5">
        <v>0</v>
      </c>
      <c r="U1101" s="5">
        <v>1170.79</v>
      </c>
      <c r="V1101" s="5" t="s">
        <v>34</v>
      </c>
      <c r="W1101" s="5">
        <v>2</v>
      </c>
      <c r="X1101" s="5">
        <v>2303035331525</v>
      </c>
      <c r="Y1101" s="7">
        <v>46003</v>
      </c>
      <c r="Z1101" s="7">
        <v>45960</v>
      </c>
      <c r="AB1101" s="6">
        <v>46003</v>
      </c>
      <c r="AC1101" s="7">
        <v>46001.71597222222</v>
      </c>
      <c r="AD1101" s="5">
        <v>37741001274</v>
      </c>
      <c r="AE1101" s="8">
        <v>45960</v>
      </c>
      <c r="AF1101" s="5">
        <v>38854</v>
      </c>
      <c r="AG1101" s="5" t="s">
        <v>71</v>
      </c>
      <c r="AH1101" s="5">
        <v>200773</v>
      </c>
      <c r="AI1101" s="6">
        <v>45960</v>
      </c>
      <c r="AJ1101" s="6">
        <v>46003</v>
      </c>
      <c r="AK1101" s="1">
        <f t="shared" ref="AK1101" si="509">0.02*C1101</f>
        <v>23.893600000000003</v>
      </c>
    </row>
    <row r="1102" spans="1:38" hidden="1" x14ac:dyDescent="0.55000000000000004">
      <c r="A1102">
        <v>3774</v>
      </c>
      <c r="B1102">
        <v>1001849</v>
      </c>
      <c r="C1102">
        <v>350</v>
      </c>
      <c r="E1102">
        <v>350</v>
      </c>
      <c r="G1102">
        <v>350</v>
      </c>
      <c r="H1102"/>
      <c r="I1102"/>
      <c r="J1102" s="2">
        <v>46003</v>
      </c>
      <c r="K1102" s="5">
        <v>1001849</v>
      </c>
      <c r="L1102" s="5">
        <v>3774</v>
      </c>
      <c r="M1102" s="5">
        <v>0</v>
      </c>
      <c r="N1102" s="5">
        <v>350</v>
      </c>
      <c r="O1102" s="7">
        <v>45964</v>
      </c>
      <c r="P1102" s="5">
        <v>350</v>
      </c>
      <c r="Q1102" s="5">
        <v>0</v>
      </c>
      <c r="R1102" s="5" t="s">
        <v>32</v>
      </c>
      <c r="S1102" s="5" t="s">
        <v>33</v>
      </c>
      <c r="T1102" s="5">
        <v>0</v>
      </c>
      <c r="U1102" s="5">
        <v>350</v>
      </c>
      <c r="V1102" s="5" t="s">
        <v>34</v>
      </c>
      <c r="W1102" s="5">
        <v>2</v>
      </c>
      <c r="X1102" s="5">
        <v>2303035331525</v>
      </c>
      <c r="Y1102" s="7">
        <v>46003</v>
      </c>
      <c r="Z1102" s="7">
        <v>45964</v>
      </c>
      <c r="AB1102" s="6">
        <v>46003</v>
      </c>
      <c r="AC1102" s="7">
        <v>46001.71597222222</v>
      </c>
      <c r="AD1102" s="5">
        <v>37741001849</v>
      </c>
      <c r="AE1102" s="8">
        <v>45964</v>
      </c>
      <c r="AF1102" s="5" t="s">
        <v>32</v>
      </c>
      <c r="AG1102" s="5" t="s">
        <v>82</v>
      </c>
      <c r="AH1102" s="5" t="s">
        <v>32</v>
      </c>
      <c r="AI1102" s="6">
        <v>45964</v>
      </c>
      <c r="AJ1102" s="6">
        <v>46003</v>
      </c>
    </row>
    <row r="1103" spans="1:38" x14ac:dyDescent="0.55000000000000004">
      <c r="A1103">
        <v>3774</v>
      </c>
      <c r="B1103">
        <v>1002137</v>
      </c>
      <c r="C1103">
        <v>152.21</v>
      </c>
      <c r="D1103" s="4">
        <v>3.04</v>
      </c>
      <c r="E1103">
        <v>149.16999999999999</v>
      </c>
      <c r="G1103">
        <v>149.16999999999999</v>
      </c>
      <c r="H1103" s="14">
        <f t="shared" ref="H1103:H1105" si="510">C1103-D1103-F1103</f>
        <v>149.17000000000002</v>
      </c>
      <c r="I1103" s="14" t="b">
        <f t="shared" ref="I1103:I1105" si="511">G1103=H1103</f>
        <v>1</v>
      </c>
      <c r="J1103" s="2">
        <v>46003</v>
      </c>
      <c r="K1103" s="5">
        <v>1002137</v>
      </c>
      <c r="L1103" s="5">
        <v>3774</v>
      </c>
      <c r="M1103" s="5">
        <v>3.04</v>
      </c>
      <c r="N1103" s="5">
        <v>152.21</v>
      </c>
      <c r="O1103" s="7">
        <v>45965</v>
      </c>
      <c r="P1103" s="5">
        <v>149.16999999999999</v>
      </c>
      <c r="Q1103" s="5">
        <v>3.04</v>
      </c>
      <c r="R1103" s="5" t="s">
        <v>32</v>
      </c>
      <c r="S1103" s="5" t="s">
        <v>33</v>
      </c>
      <c r="T1103" s="5">
        <v>0</v>
      </c>
      <c r="U1103" s="5">
        <v>149.16999999999999</v>
      </c>
      <c r="V1103" s="5" t="s">
        <v>34</v>
      </c>
      <c r="W1103" s="5">
        <v>2</v>
      </c>
      <c r="X1103" s="5">
        <v>2303035331525</v>
      </c>
      <c r="Y1103" s="7">
        <v>46003</v>
      </c>
      <c r="Z1103" s="7">
        <v>45965</v>
      </c>
      <c r="AB1103" s="6">
        <v>46003</v>
      </c>
      <c r="AC1103" s="7">
        <v>46001.71597222222</v>
      </c>
      <c r="AD1103" s="5">
        <v>37741002137</v>
      </c>
      <c r="AE1103" s="8">
        <v>45965</v>
      </c>
      <c r="AF1103" s="5">
        <v>38693</v>
      </c>
      <c r="AG1103" s="5" t="s">
        <v>71</v>
      </c>
      <c r="AH1103" s="5">
        <v>201512</v>
      </c>
      <c r="AI1103" s="6">
        <v>45965</v>
      </c>
      <c r="AJ1103" s="6">
        <v>46003</v>
      </c>
      <c r="AK1103" s="1">
        <f t="shared" ref="AK1103:AK1105" si="512">0.02*C1103</f>
        <v>3.0442</v>
      </c>
    </row>
    <row r="1104" spans="1:38" x14ac:dyDescent="0.55000000000000004">
      <c r="A1104">
        <v>3774</v>
      </c>
      <c r="B1104">
        <v>1002201</v>
      </c>
      <c r="C1104">
        <v>364.3</v>
      </c>
      <c r="D1104" s="4">
        <v>7.29</v>
      </c>
      <c r="E1104">
        <v>357.01</v>
      </c>
      <c r="G1104">
        <v>357.01</v>
      </c>
      <c r="H1104" s="14">
        <f t="shared" si="510"/>
        <v>357.01</v>
      </c>
      <c r="I1104" s="14" t="b">
        <f t="shared" si="511"/>
        <v>1</v>
      </c>
      <c r="J1104" s="2">
        <v>46003</v>
      </c>
      <c r="K1104" s="5">
        <v>1002201</v>
      </c>
      <c r="L1104" s="5">
        <v>3774</v>
      </c>
      <c r="M1104" s="5">
        <v>7.29</v>
      </c>
      <c r="N1104" s="5">
        <v>364.3</v>
      </c>
      <c r="O1104" s="7">
        <v>45965</v>
      </c>
      <c r="P1104" s="5">
        <v>357.01</v>
      </c>
      <c r="Q1104" s="5">
        <v>7.29</v>
      </c>
      <c r="R1104" s="5" t="s">
        <v>32</v>
      </c>
      <c r="S1104" s="5" t="s">
        <v>33</v>
      </c>
      <c r="T1104" s="5">
        <v>0</v>
      </c>
      <c r="U1104" s="5">
        <v>357.01</v>
      </c>
      <c r="V1104" s="5" t="s">
        <v>34</v>
      </c>
      <c r="W1104" s="5">
        <v>2</v>
      </c>
      <c r="X1104" s="5">
        <v>2303035331525</v>
      </c>
      <c r="Y1104" s="7">
        <v>46003</v>
      </c>
      <c r="Z1104" s="7">
        <v>45965</v>
      </c>
      <c r="AB1104" s="6">
        <v>46003</v>
      </c>
      <c r="AC1104" s="7">
        <v>46001.71597222222</v>
      </c>
      <c r="AD1104" s="5">
        <v>37741002201</v>
      </c>
      <c r="AE1104" s="8">
        <v>45965</v>
      </c>
      <c r="AF1104" s="5">
        <v>38588</v>
      </c>
      <c r="AG1104" s="5" t="s">
        <v>71</v>
      </c>
      <c r="AH1104" s="5">
        <v>201496</v>
      </c>
      <c r="AI1104" s="6">
        <v>45965</v>
      </c>
      <c r="AJ1104" s="6">
        <v>46003</v>
      </c>
      <c r="AK1104" s="1">
        <f t="shared" si="512"/>
        <v>7.2860000000000005</v>
      </c>
    </row>
    <row r="1105" spans="1:37" x14ac:dyDescent="0.55000000000000004">
      <c r="A1105">
        <v>3774</v>
      </c>
      <c r="B1105">
        <v>1002577</v>
      </c>
      <c r="C1105">
        <v>262.83999999999997</v>
      </c>
      <c r="D1105" s="4">
        <v>5.26</v>
      </c>
      <c r="E1105">
        <v>257.58</v>
      </c>
      <c r="G1105">
        <v>257.58</v>
      </c>
      <c r="H1105" s="14">
        <f t="shared" si="510"/>
        <v>257.58</v>
      </c>
      <c r="I1105" s="14" t="b">
        <f t="shared" si="511"/>
        <v>1</v>
      </c>
      <c r="J1105" s="2">
        <v>46003</v>
      </c>
      <c r="K1105" s="5">
        <v>1002577</v>
      </c>
      <c r="L1105" s="5">
        <v>3774</v>
      </c>
      <c r="M1105" s="5">
        <v>5.26</v>
      </c>
      <c r="N1105" s="5">
        <v>262.83999999999997</v>
      </c>
      <c r="O1105" s="7">
        <v>45967</v>
      </c>
      <c r="P1105" s="5">
        <v>257.58</v>
      </c>
      <c r="Q1105" s="5">
        <v>5.26</v>
      </c>
      <c r="R1105" s="5" t="s">
        <v>32</v>
      </c>
      <c r="S1105" s="5" t="s">
        <v>33</v>
      </c>
      <c r="T1105" s="5">
        <v>0</v>
      </c>
      <c r="U1105" s="5">
        <v>257.58</v>
      </c>
      <c r="V1105" s="5" t="s">
        <v>34</v>
      </c>
      <c r="W1105" s="5">
        <v>2</v>
      </c>
      <c r="X1105" s="5">
        <v>2303035331525</v>
      </c>
      <c r="Y1105" s="7">
        <v>46003</v>
      </c>
      <c r="Z1105" s="7">
        <v>45967</v>
      </c>
      <c r="AB1105" s="6">
        <v>46003</v>
      </c>
      <c r="AC1105" s="7">
        <v>46001.71597222222</v>
      </c>
      <c r="AD1105" s="5">
        <v>37741002577</v>
      </c>
      <c r="AE1105" s="8">
        <v>45967</v>
      </c>
      <c r="AF1105" s="5">
        <v>38883</v>
      </c>
      <c r="AG1105" s="5" t="s">
        <v>71</v>
      </c>
      <c r="AH1105" s="5">
        <v>201846</v>
      </c>
      <c r="AI1105" s="6">
        <v>45967</v>
      </c>
      <c r="AJ1105" s="6">
        <v>46003</v>
      </c>
      <c r="AK1105" s="1">
        <f t="shared" si="512"/>
        <v>5.2567999999999993</v>
      </c>
    </row>
    <row r="1106" spans="1:37" hidden="1" x14ac:dyDescent="0.55000000000000004">
      <c r="A1106">
        <v>3774</v>
      </c>
      <c r="B1106">
        <v>1002580</v>
      </c>
      <c r="C1106" s="1">
        <v>1498.56</v>
      </c>
      <c r="E1106" s="1">
        <v>1498.56</v>
      </c>
      <c r="G1106" s="1">
        <v>1498.56</v>
      </c>
      <c r="H1106" s="1"/>
      <c r="I1106" s="1"/>
      <c r="J1106" s="2">
        <v>46003</v>
      </c>
      <c r="K1106" s="5">
        <v>1002580</v>
      </c>
      <c r="L1106" s="5">
        <v>3774</v>
      </c>
      <c r="M1106" s="5">
        <v>0</v>
      </c>
      <c r="N1106" s="5">
        <v>1498.56</v>
      </c>
      <c r="O1106" s="7">
        <v>45967</v>
      </c>
      <c r="P1106" s="5">
        <v>1498.56</v>
      </c>
      <c r="Q1106" s="5">
        <v>0</v>
      </c>
      <c r="R1106" s="5" t="s">
        <v>32</v>
      </c>
      <c r="S1106" s="5" t="s">
        <v>33</v>
      </c>
      <c r="T1106" s="5">
        <v>0</v>
      </c>
      <c r="U1106" s="5">
        <v>1498.56</v>
      </c>
      <c r="V1106" s="5" t="s">
        <v>34</v>
      </c>
      <c r="W1106" s="5">
        <v>2</v>
      </c>
      <c r="X1106" s="5">
        <v>2303035331525</v>
      </c>
      <c r="Y1106" s="7">
        <v>46003</v>
      </c>
      <c r="Z1106" s="7">
        <v>45967</v>
      </c>
      <c r="AB1106" s="6">
        <v>46003</v>
      </c>
      <c r="AC1106" s="7">
        <v>46001.71597222222</v>
      </c>
      <c r="AD1106" s="5">
        <v>37741002580</v>
      </c>
      <c r="AE1106" s="8">
        <v>45967</v>
      </c>
      <c r="AF1106" s="5">
        <v>38883</v>
      </c>
      <c r="AG1106" s="5" t="s">
        <v>65</v>
      </c>
      <c r="AH1106" s="5">
        <v>201847</v>
      </c>
      <c r="AI1106" s="6">
        <v>45967</v>
      </c>
      <c r="AJ1106" s="6">
        <v>46003</v>
      </c>
    </row>
    <row r="1107" spans="1:37" hidden="1" x14ac:dyDescent="0.55000000000000004">
      <c r="A1107">
        <v>3774</v>
      </c>
      <c r="B1107">
        <v>1003323</v>
      </c>
      <c r="C1107">
        <v>897.54</v>
      </c>
      <c r="E1107">
        <v>897.54</v>
      </c>
      <c r="G1107">
        <v>897.54</v>
      </c>
      <c r="H1107"/>
      <c r="I1107"/>
      <c r="J1107" s="2">
        <v>46003</v>
      </c>
      <c r="K1107" s="5">
        <v>1003323</v>
      </c>
      <c r="L1107" s="5">
        <v>3774</v>
      </c>
      <c r="M1107" s="5">
        <v>0</v>
      </c>
      <c r="N1107" s="5">
        <v>897.54</v>
      </c>
      <c r="O1107" s="7">
        <v>45972</v>
      </c>
      <c r="P1107" s="5">
        <v>897.54</v>
      </c>
      <c r="Q1107" s="5">
        <v>0</v>
      </c>
      <c r="R1107" s="5" t="s">
        <v>32</v>
      </c>
      <c r="S1107" s="5" t="s">
        <v>33</v>
      </c>
      <c r="T1107" s="5">
        <v>0</v>
      </c>
      <c r="U1107" s="5">
        <v>897.54</v>
      </c>
      <c r="V1107" s="5" t="s">
        <v>34</v>
      </c>
      <c r="W1107" s="5">
        <v>2</v>
      </c>
      <c r="X1107" s="5">
        <v>2303035331525</v>
      </c>
      <c r="Y1107" s="7">
        <v>46003</v>
      </c>
      <c r="Z1107" s="7">
        <v>45972</v>
      </c>
      <c r="AB1107" s="6">
        <v>46003</v>
      </c>
      <c r="AC1107" s="7">
        <v>46001.71597222222</v>
      </c>
      <c r="AD1107" s="5">
        <v>37741003323</v>
      </c>
      <c r="AE1107" s="8">
        <v>45972</v>
      </c>
      <c r="AF1107" s="5">
        <v>38854</v>
      </c>
      <c r="AG1107" s="5" t="s">
        <v>65</v>
      </c>
      <c r="AH1107" s="5">
        <v>202455</v>
      </c>
      <c r="AI1107" s="6">
        <v>45972</v>
      </c>
      <c r="AJ1107" s="6">
        <v>46003</v>
      </c>
    </row>
    <row r="1108" spans="1:37" x14ac:dyDescent="0.55000000000000004">
      <c r="A1108">
        <v>3774</v>
      </c>
      <c r="B1108">
        <v>1005360</v>
      </c>
      <c r="C1108">
        <v>246.94</v>
      </c>
      <c r="D1108" s="4">
        <v>4.9400000000000004</v>
      </c>
      <c r="E1108">
        <v>242</v>
      </c>
      <c r="G1108">
        <v>242</v>
      </c>
      <c r="H1108" s="14">
        <f>C1108-D1108-F1108</f>
        <v>242</v>
      </c>
      <c r="I1108" s="14" t="b">
        <f>G1108=H1108</f>
        <v>1</v>
      </c>
      <c r="J1108" s="2">
        <v>46003</v>
      </c>
      <c r="K1108" s="5">
        <v>1005360</v>
      </c>
      <c r="L1108" s="5">
        <v>3774</v>
      </c>
      <c r="M1108" s="5">
        <v>4.9400000000000004</v>
      </c>
      <c r="N1108" s="5">
        <v>246.94</v>
      </c>
      <c r="O1108" s="7">
        <v>45981</v>
      </c>
      <c r="P1108" s="5">
        <v>242</v>
      </c>
      <c r="Q1108" s="5">
        <v>4.9400000000000004</v>
      </c>
      <c r="R1108" s="5" t="s">
        <v>32</v>
      </c>
      <c r="S1108" s="5" t="s">
        <v>33</v>
      </c>
      <c r="T1108" s="5">
        <v>0</v>
      </c>
      <c r="U1108" s="5">
        <v>242</v>
      </c>
      <c r="V1108" s="5" t="s">
        <v>34</v>
      </c>
      <c r="W1108" s="5">
        <v>2</v>
      </c>
      <c r="X1108" s="5">
        <v>2303035331525</v>
      </c>
      <c r="Y1108" s="7">
        <v>46003</v>
      </c>
      <c r="Z1108" s="7">
        <v>45981</v>
      </c>
      <c r="AB1108" s="6">
        <v>46003</v>
      </c>
      <c r="AC1108" s="7">
        <v>46001.71597222222</v>
      </c>
      <c r="AD1108" s="5">
        <v>37741005360</v>
      </c>
      <c r="AE1108" s="8">
        <v>45981</v>
      </c>
      <c r="AF1108" s="5">
        <v>38690</v>
      </c>
      <c r="AG1108" s="5" t="s">
        <v>71</v>
      </c>
      <c r="AH1108" s="5">
        <v>204184</v>
      </c>
      <c r="AI1108" s="6">
        <v>45981</v>
      </c>
      <c r="AJ1108" s="6">
        <v>46003</v>
      </c>
      <c r="AK1108" s="1">
        <f t="shared" ref="AK1108" si="513">0.02*C1108</f>
        <v>4.9387999999999996</v>
      </c>
    </row>
    <row r="1109" spans="1:37" hidden="1" x14ac:dyDescent="0.55000000000000004">
      <c r="A1109">
        <v>3774</v>
      </c>
      <c r="B1109">
        <v>1007549</v>
      </c>
      <c r="C1109">
        <v>350</v>
      </c>
      <c r="E1109">
        <v>350</v>
      </c>
      <c r="F1109">
        <v>3.5</v>
      </c>
      <c r="G1109">
        <v>346.5</v>
      </c>
      <c r="H1109"/>
      <c r="I1109"/>
      <c r="J1109" s="2">
        <v>46003</v>
      </c>
      <c r="K1109" s="5">
        <v>1007549</v>
      </c>
      <c r="L1109" s="5">
        <v>3774</v>
      </c>
      <c r="M1109" s="5">
        <v>0</v>
      </c>
      <c r="N1109" s="5">
        <v>350</v>
      </c>
      <c r="O1109" s="7">
        <v>45993</v>
      </c>
      <c r="P1109" s="5">
        <v>350</v>
      </c>
      <c r="Q1109" s="5">
        <v>0</v>
      </c>
      <c r="R1109" s="5" t="s">
        <v>32</v>
      </c>
      <c r="S1109" s="5" t="s">
        <v>33</v>
      </c>
      <c r="T1109" s="5">
        <v>3.5</v>
      </c>
      <c r="U1109" s="5">
        <v>346.5</v>
      </c>
      <c r="V1109" s="5" t="s">
        <v>34</v>
      </c>
      <c r="W1109" s="5">
        <v>2</v>
      </c>
      <c r="X1109" s="5">
        <v>2303035331525</v>
      </c>
      <c r="Y1109" s="7">
        <v>46003</v>
      </c>
      <c r="Z1109" s="7">
        <v>45993</v>
      </c>
      <c r="AB1109" s="6">
        <v>46003</v>
      </c>
      <c r="AC1109" s="7">
        <v>46001.71597222222</v>
      </c>
      <c r="AD1109" s="5">
        <v>37741007549</v>
      </c>
      <c r="AE1109" s="8">
        <v>45993</v>
      </c>
      <c r="AF1109" s="5" t="s">
        <v>32</v>
      </c>
      <c r="AG1109" s="5" t="s">
        <v>82</v>
      </c>
      <c r="AH1109" s="5" t="s">
        <v>32</v>
      </c>
      <c r="AI1109" s="6">
        <v>45993</v>
      </c>
      <c r="AJ1109" s="6">
        <v>46003</v>
      </c>
    </row>
    <row r="1110" spans="1:37" hidden="1" x14ac:dyDescent="0.55000000000000004">
      <c r="A1110">
        <v>3774</v>
      </c>
      <c r="B1110">
        <v>1007770</v>
      </c>
      <c r="C1110" s="1">
        <v>1906.49</v>
      </c>
      <c r="E1110" s="1">
        <v>1906.49</v>
      </c>
      <c r="F1110">
        <v>19.059999999999999</v>
      </c>
      <c r="G1110" s="1">
        <v>1887.43</v>
      </c>
      <c r="H1110" s="1"/>
      <c r="I1110" s="1"/>
      <c r="J1110" s="2">
        <v>46003</v>
      </c>
      <c r="K1110" s="5">
        <v>1007770</v>
      </c>
      <c r="L1110" s="5">
        <v>3774</v>
      </c>
      <c r="M1110" s="5">
        <v>0</v>
      </c>
      <c r="N1110" s="5">
        <v>1906.49</v>
      </c>
      <c r="O1110" s="7">
        <v>45993</v>
      </c>
      <c r="P1110" s="5">
        <v>1906.49</v>
      </c>
      <c r="Q1110" s="5">
        <v>0</v>
      </c>
      <c r="R1110" s="5" t="s">
        <v>32</v>
      </c>
      <c r="S1110" s="5" t="s">
        <v>33</v>
      </c>
      <c r="T1110" s="5">
        <v>19.059999999999999</v>
      </c>
      <c r="U1110" s="5">
        <v>1887.43</v>
      </c>
      <c r="V1110" s="5" t="s">
        <v>34</v>
      </c>
      <c r="W1110" s="5">
        <v>2</v>
      </c>
      <c r="X1110" s="5">
        <v>2303035331525</v>
      </c>
      <c r="Y1110" s="7">
        <v>46003</v>
      </c>
      <c r="Z1110" s="7">
        <v>45993</v>
      </c>
      <c r="AB1110" s="6">
        <v>46003</v>
      </c>
      <c r="AC1110" s="7">
        <v>46001.71597222222</v>
      </c>
      <c r="AD1110" s="5">
        <v>37741007770</v>
      </c>
      <c r="AE1110" s="8">
        <v>45993</v>
      </c>
      <c r="AF1110" s="5">
        <v>38971</v>
      </c>
      <c r="AG1110" s="5" t="s">
        <v>38</v>
      </c>
      <c r="AH1110" s="5">
        <v>205618</v>
      </c>
      <c r="AI1110" s="6">
        <v>45993</v>
      </c>
      <c r="AJ1110" s="6">
        <v>46003</v>
      </c>
    </row>
    <row r="1111" spans="1:37" x14ac:dyDescent="0.55000000000000004">
      <c r="A1111">
        <v>3774</v>
      </c>
      <c r="B1111">
        <v>1007774</v>
      </c>
      <c r="C1111" s="1">
        <v>1013.12</v>
      </c>
      <c r="D1111" s="4">
        <v>20.260000000000002</v>
      </c>
      <c r="E1111">
        <v>992.86</v>
      </c>
      <c r="F1111">
        <v>10.130000000000001</v>
      </c>
      <c r="G1111">
        <v>982.73</v>
      </c>
      <c r="H1111" s="14">
        <f t="shared" ref="H1111:H1113" si="514">C1111-D1111-F1111</f>
        <v>982.73</v>
      </c>
      <c r="I1111" s="14" t="b">
        <f t="shared" ref="I1111:I1113" si="515">G1111=H1111</f>
        <v>1</v>
      </c>
      <c r="J1111" s="2">
        <v>46003</v>
      </c>
      <c r="K1111" s="5">
        <v>1007774</v>
      </c>
      <c r="L1111" s="5">
        <v>3774</v>
      </c>
      <c r="M1111" s="5">
        <v>20.260000000000002</v>
      </c>
      <c r="N1111" s="5">
        <v>1013.12</v>
      </c>
      <c r="O1111" s="7">
        <v>45993</v>
      </c>
      <c r="P1111" s="5">
        <v>992.86</v>
      </c>
      <c r="Q1111" s="5">
        <v>20.260000000000002</v>
      </c>
      <c r="R1111" s="5" t="s">
        <v>32</v>
      </c>
      <c r="S1111" s="5" t="s">
        <v>33</v>
      </c>
      <c r="T1111" s="5">
        <v>10.130000000000001</v>
      </c>
      <c r="U1111" s="5">
        <v>982.73</v>
      </c>
      <c r="V1111" s="5" t="s">
        <v>34</v>
      </c>
      <c r="W1111" s="5">
        <v>2</v>
      </c>
      <c r="X1111" s="5">
        <v>2303035331525</v>
      </c>
      <c r="Y1111" s="7">
        <v>46003</v>
      </c>
      <c r="Z1111" s="7">
        <v>45993</v>
      </c>
      <c r="AB1111" s="6">
        <v>46003</v>
      </c>
      <c r="AC1111" s="7">
        <v>46001.71597222222</v>
      </c>
      <c r="AD1111" s="5">
        <v>37741007774</v>
      </c>
      <c r="AE1111" s="8">
        <v>45993</v>
      </c>
      <c r="AF1111" s="5">
        <v>38971</v>
      </c>
      <c r="AG1111" s="5" t="s">
        <v>37</v>
      </c>
      <c r="AH1111" s="5">
        <v>205617</v>
      </c>
      <c r="AI1111" s="6">
        <v>45993</v>
      </c>
      <c r="AJ1111" s="6">
        <v>46003</v>
      </c>
      <c r="AK1111" s="1">
        <f t="shared" ref="AK1111:AK1113" si="516">0.02*C1111</f>
        <v>20.2624</v>
      </c>
    </row>
    <row r="1112" spans="1:37" x14ac:dyDescent="0.55000000000000004">
      <c r="A1112">
        <v>3774</v>
      </c>
      <c r="B1112">
        <v>1007797</v>
      </c>
      <c r="C1112">
        <v>803.38</v>
      </c>
      <c r="D1112" s="4">
        <v>16.07</v>
      </c>
      <c r="E1112">
        <v>787.31</v>
      </c>
      <c r="F1112">
        <v>8.0299999999999994</v>
      </c>
      <c r="G1112">
        <v>779.28</v>
      </c>
      <c r="H1112" s="14">
        <f t="shared" si="514"/>
        <v>779.28</v>
      </c>
      <c r="I1112" s="14" t="b">
        <f t="shared" si="515"/>
        <v>1</v>
      </c>
      <c r="J1112" s="2">
        <v>46003</v>
      </c>
      <c r="K1112" s="5">
        <v>1007797</v>
      </c>
      <c r="L1112" s="5">
        <v>3774</v>
      </c>
      <c r="M1112" s="5">
        <v>16.07</v>
      </c>
      <c r="N1112" s="5">
        <v>803.38</v>
      </c>
      <c r="O1112" s="7">
        <v>45993</v>
      </c>
      <c r="P1112" s="5">
        <v>787.31</v>
      </c>
      <c r="Q1112" s="5">
        <v>16.07</v>
      </c>
      <c r="R1112" s="5" t="s">
        <v>32</v>
      </c>
      <c r="S1112" s="5" t="s">
        <v>33</v>
      </c>
      <c r="T1112" s="5">
        <v>8.0299999999999994</v>
      </c>
      <c r="U1112" s="5">
        <v>779.28</v>
      </c>
      <c r="V1112" s="5" t="s">
        <v>34</v>
      </c>
      <c r="W1112" s="5">
        <v>2</v>
      </c>
      <c r="X1112" s="5">
        <v>2303035331525</v>
      </c>
      <c r="Y1112" s="7">
        <v>46003</v>
      </c>
      <c r="Z1112" s="7">
        <v>45993</v>
      </c>
      <c r="AB1112" s="6">
        <v>46003</v>
      </c>
      <c r="AC1112" s="7">
        <v>46001.71597222222</v>
      </c>
      <c r="AD1112" s="5">
        <v>37741007797</v>
      </c>
      <c r="AE1112" s="8">
        <v>45993</v>
      </c>
      <c r="AF1112" s="5">
        <v>38723</v>
      </c>
      <c r="AG1112" s="5" t="s">
        <v>37</v>
      </c>
      <c r="AH1112" s="5">
        <v>206047</v>
      </c>
      <c r="AI1112" s="6">
        <v>45993</v>
      </c>
      <c r="AJ1112" s="6">
        <v>46003</v>
      </c>
      <c r="AK1112" s="1">
        <f t="shared" si="516"/>
        <v>16.067599999999999</v>
      </c>
    </row>
    <row r="1113" spans="1:37" x14ac:dyDescent="0.55000000000000004">
      <c r="A1113">
        <v>3774</v>
      </c>
      <c r="B1113">
        <v>1008249</v>
      </c>
      <c r="C1113">
        <v>877.72</v>
      </c>
      <c r="D1113" s="4">
        <v>17.55</v>
      </c>
      <c r="E1113">
        <v>860.17</v>
      </c>
      <c r="F1113">
        <v>8.7799999999999994</v>
      </c>
      <c r="G1113">
        <v>851.39</v>
      </c>
      <c r="H1113" s="14">
        <f t="shared" si="514"/>
        <v>851.3900000000001</v>
      </c>
      <c r="I1113" s="14" t="b">
        <f t="shared" si="515"/>
        <v>1</v>
      </c>
      <c r="J1113" s="2">
        <v>46003</v>
      </c>
      <c r="K1113" s="5">
        <v>1008249</v>
      </c>
      <c r="L1113" s="5">
        <v>3774</v>
      </c>
      <c r="M1113" s="5">
        <v>17.55</v>
      </c>
      <c r="N1113" s="5">
        <v>877.72</v>
      </c>
      <c r="O1113" s="7">
        <v>45995</v>
      </c>
      <c r="P1113" s="5">
        <v>860.17</v>
      </c>
      <c r="Q1113" s="5">
        <v>17.55</v>
      </c>
      <c r="R1113" s="5" t="s">
        <v>32</v>
      </c>
      <c r="S1113" s="5" t="s">
        <v>33</v>
      </c>
      <c r="T1113" s="5">
        <v>8.7799999999999994</v>
      </c>
      <c r="U1113" s="5">
        <v>851.39</v>
      </c>
      <c r="V1113" s="5" t="s">
        <v>34</v>
      </c>
      <c r="W1113" s="5">
        <v>2</v>
      </c>
      <c r="X1113" s="5">
        <v>2303035331525</v>
      </c>
      <c r="Y1113" s="7">
        <v>46003</v>
      </c>
      <c r="Z1113" s="7">
        <v>45995</v>
      </c>
      <c r="AB1113" s="6">
        <v>46003</v>
      </c>
      <c r="AC1113" s="7">
        <v>46001.71597222222</v>
      </c>
      <c r="AD1113" s="5">
        <v>37741008249</v>
      </c>
      <c r="AE1113" s="8">
        <v>45995</v>
      </c>
      <c r="AF1113" s="5">
        <v>38971</v>
      </c>
      <c r="AG1113" s="5" t="s">
        <v>37</v>
      </c>
      <c r="AH1113" s="5">
        <v>206578</v>
      </c>
      <c r="AI1113" s="6">
        <v>45995</v>
      </c>
      <c r="AJ1113" s="6">
        <v>46003</v>
      </c>
      <c r="AK1113" s="1">
        <f t="shared" si="516"/>
        <v>17.554400000000001</v>
      </c>
    </row>
    <row r="1114" spans="1:37" hidden="1" x14ac:dyDescent="0.55000000000000004">
      <c r="A1114">
        <v>3774</v>
      </c>
      <c r="B1114">
        <v>1008326</v>
      </c>
      <c r="C1114">
        <v>-240</v>
      </c>
      <c r="E1114">
        <v>-240</v>
      </c>
      <c r="G1114">
        <v>-240</v>
      </c>
      <c r="H1114"/>
      <c r="I1114"/>
      <c r="J1114" s="2">
        <v>46003</v>
      </c>
      <c r="K1114" s="5">
        <v>1008326</v>
      </c>
      <c r="L1114" s="5">
        <v>3774</v>
      </c>
      <c r="M1114" s="5">
        <v>0</v>
      </c>
      <c r="N1114" s="5">
        <v>-240</v>
      </c>
      <c r="O1114" s="7">
        <v>45996</v>
      </c>
      <c r="P1114" s="5">
        <v>-240</v>
      </c>
      <c r="Q1114" s="5">
        <v>0</v>
      </c>
      <c r="R1114" s="5" t="s">
        <v>588</v>
      </c>
      <c r="S1114" s="5" t="s">
        <v>191</v>
      </c>
      <c r="T1114" s="5">
        <v>0</v>
      </c>
      <c r="U1114" s="5">
        <v>-240</v>
      </c>
      <c r="V1114" s="5" t="s">
        <v>34</v>
      </c>
      <c r="W1114" s="5">
        <v>2</v>
      </c>
      <c r="X1114" s="5">
        <v>2303035331525</v>
      </c>
      <c r="Y1114" s="7">
        <v>46003</v>
      </c>
      <c r="Z1114" s="7">
        <v>45996</v>
      </c>
      <c r="AB1114" s="6">
        <v>46003</v>
      </c>
      <c r="AC1114" s="7">
        <v>46001.71597222222</v>
      </c>
      <c r="AD1114" s="5">
        <v>37741008326</v>
      </c>
      <c r="AE1114" s="8">
        <v>45996</v>
      </c>
      <c r="AF1114" s="5" t="s">
        <v>192</v>
      </c>
      <c r="AG1114" s="5" t="s">
        <v>38</v>
      </c>
      <c r="AH1114" s="5" t="s">
        <v>588</v>
      </c>
      <c r="AI1114" s="6">
        <v>45996</v>
      </c>
      <c r="AJ1114" s="6">
        <v>46003</v>
      </c>
    </row>
    <row r="1115" spans="1:37" hidden="1" x14ac:dyDescent="0.55000000000000004">
      <c r="A1115">
        <v>3774</v>
      </c>
      <c r="B1115">
        <v>1009352</v>
      </c>
      <c r="C1115">
        <v>-693.93</v>
      </c>
      <c r="E1115">
        <v>-693.93</v>
      </c>
      <c r="G1115">
        <v>-693.93</v>
      </c>
      <c r="H1115"/>
      <c r="I1115"/>
      <c r="J1115" s="2">
        <v>46003</v>
      </c>
      <c r="K1115" s="5">
        <v>1009352</v>
      </c>
      <c r="L1115" s="5">
        <v>3774</v>
      </c>
      <c r="M1115" s="5">
        <v>0</v>
      </c>
      <c r="N1115" s="5">
        <v>-693.93</v>
      </c>
      <c r="O1115" s="7">
        <v>46001</v>
      </c>
      <c r="P1115" s="5">
        <v>-693.93</v>
      </c>
      <c r="Q1115" s="5">
        <v>0</v>
      </c>
      <c r="R1115" s="5">
        <v>1009352</v>
      </c>
      <c r="S1115" s="5" t="s">
        <v>33</v>
      </c>
      <c r="T1115" s="5">
        <v>0</v>
      </c>
      <c r="U1115" s="5">
        <v>-693.93</v>
      </c>
      <c r="V1115" s="5" t="s">
        <v>34</v>
      </c>
      <c r="W1115" s="5">
        <v>2</v>
      </c>
      <c r="X1115" s="5">
        <v>2303035331525</v>
      </c>
      <c r="Y1115" s="7">
        <v>46003</v>
      </c>
      <c r="Z1115" s="7">
        <v>46001</v>
      </c>
      <c r="AB1115" s="6">
        <v>46003</v>
      </c>
      <c r="AC1115" s="7">
        <v>46001.71597222222</v>
      </c>
      <c r="AD1115" s="5">
        <v>37741009352</v>
      </c>
      <c r="AE1115" s="8">
        <v>46001</v>
      </c>
      <c r="AF1115" s="5" t="s">
        <v>41</v>
      </c>
      <c r="AG1115" s="5" t="s">
        <v>38</v>
      </c>
      <c r="AH1115" s="5" t="s">
        <v>40</v>
      </c>
      <c r="AI1115" s="6">
        <v>46001</v>
      </c>
      <c r="AJ1115" s="6">
        <v>46003</v>
      </c>
    </row>
    <row r="1116" spans="1:37" hidden="1" x14ac:dyDescent="0.55000000000000004">
      <c r="A1116">
        <v>3774</v>
      </c>
      <c r="B1116" t="s">
        <v>1</v>
      </c>
      <c r="C1116">
        <v>355.17</v>
      </c>
      <c r="E1116">
        <v>355.17</v>
      </c>
      <c r="F1116">
        <v>3.55</v>
      </c>
      <c r="G1116">
        <v>351.62</v>
      </c>
      <c r="H1116"/>
      <c r="I1116"/>
      <c r="J1116" s="2">
        <v>46003</v>
      </c>
      <c r="K1116" s="5" t="s">
        <v>1</v>
      </c>
      <c r="L1116" s="5">
        <v>3774</v>
      </c>
      <c r="M1116" s="5">
        <v>0</v>
      </c>
      <c r="N1116" s="5">
        <v>355.17</v>
      </c>
      <c r="O1116" s="7">
        <v>45991</v>
      </c>
      <c r="P1116" s="5">
        <v>355.17</v>
      </c>
      <c r="Q1116" s="5">
        <v>0</v>
      </c>
      <c r="R1116" s="5" t="s">
        <v>32</v>
      </c>
      <c r="S1116" s="5" t="s">
        <v>33</v>
      </c>
      <c r="T1116" s="5">
        <v>3.55</v>
      </c>
      <c r="U1116" s="5">
        <v>351.62</v>
      </c>
      <c r="V1116" s="5" t="s">
        <v>34</v>
      </c>
      <c r="W1116" s="5">
        <v>2</v>
      </c>
      <c r="X1116" s="5">
        <v>2303035331525</v>
      </c>
      <c r="Y1116" s="7">
        <v>46003</v>
      </c>
      <c r="Z1116" s="7">
        <v>45991</v>
      </c>
      <c r="AB1116" s="6">
        <v>46003</v>
      </c>
      <c r="AC1116" s="7">
        <v>46001.71597222222</v>
      </c>
      <c r="AD1116" s="5" t="s">
        <v>593</v>
      </c>
      <c r="AE1116" s="8">
        <v>45991</v>
      </c>
      <c r="AF1116" s="5" t="s">
        <v>32</v>
      </c>
      <c r="AG1116" s="5" t="s">
        <v>82</v>
      </c>
      <c r="AH1116" s="5" t="s">
        <v>32</v>
      </c>
      <c r="AI1116" s="6">
        <v>45991</v>
      </c>
      <c r="AJ1116" s="6">
        <v>46003</v>
      </c>
    </row>
    <row r="1117" spans="1:37" x14ac:dyDescent="0.55000000000000004">
      <c r="A1117">
        <v>3781</v>
      </c>
      <c r="B1117">
        <v>1007204</v>
      </c>
      <c r="C1117">
        <v>134.32</v>
      </c>
      <c r="D1117" s="4">
        <v>2.69</v>
      </c>
      <c r="E1117">
        <v>131.63</v>
      </c>
      <c r="F1117">
        <v>1.34</v>
      </c>
      <c r="G1117">
        <v>130.29</v>
      </c>
      <c r="H1117" s="14">
        <f t="shared" ref="H1117:H1125" si="517">C1117-D1117-F1117</f>
        <v>130.29</v>
      </c>
      <c r="I1117" s="14" t="b">
        <f t="shared" ref="I1117:I1125" si="518">G1117=H1117</f>
        <v>1</v>
      </c>
      <c r="J1117" s="2">
        <v>46003</v>
      </c>
      <c r="K1117" s="5">
        <v>1007204</v>
      </c>
      <c r="L1117" s="5">
        <v>3781</v>
      </c>
      <c r="M1117" s="5">
        <v>2.69</v>
      </c>
      <c r="N1117" s="5">
        <v>134.32</v>
      </c>
      <c r="O1117" s="7">
        <v>45992</v>
      </c>
      <c r="P1117" s="5">
        <v>131.63</v>
      </c>
      <c r="Q1117" s="5">
        <v>2.69</v>
      </c>
      <c r="R1117" s="5" t="s">
        <v>32</v>
      </c>
      <c r="S1117" s="5" t="s">
        <v>33</v>
      </c>
      <c r="T1117" s="5">
        <v>1.34</v>
      </c>
      <c r="U1117" s="5">
        <v>130.29</v>
      </c>
      <c r="V1117" s="5" t="s">
        <v>34</v>
      </c>
      <c r="W1117" s="5">
        <v>2</v>
      </c>
      <c r="X1117" s="5">
        <v>6182736448266</v>
      </c>
      <c r="Y1117" s="7">
        <v>46003</v>
      </c>
      <c r="Z1117" s="7">
        <v>45992</v>
      </c>
      <c r="AB1117" s="6">
        <v>46003</v>
      </c>
      <c r="AC1117" s="7">
        <v>46002.68472222222</v>
      </c>
      <c r="AD1117" s="5">
        <v>37811007204</v>
      </c>
      <c r="AE1117" s="8">
        <v>45992</v>
      </c>
      <c r="AF1117" s="5" t="s">
        <v>594</v>
      </c>
      <c r="AG1117" s="5" t="s">
        <v>37</v>
      </c>
      <c r="AH1117" s="5">
        <v>205750</v>
      </c>
      <c r="AI1117" s="6">
        <v>45992</v>
      </c>
      <c r="AJ1117" s="6">
        <v>46003</v>
      </c>
      <c r="AK1117" s="1">
        <f t="shared" ref="AK1117:AK1125" si="519">0.02*C1117</f>
        <v>2.6863999999999999</v>
      </c>
    </row>
    <row r="1118" spans="1:37" x14ac:dyDescent="0.55000000000000004">
      <c r="A1118">
        <v>3781</v>
      </c>
      <c r="B1118">
        <v>1007247</v>
      </c>
      <c r="C1118">
        <v>331.8</v>
      </c>
      <c r="D1118" s="4">
        <v>6.64</v>
      </c>
      <c r="E1118">
        <v>325.16000000000003</v>
      </c>
      <c r="F1118">
        <v>3.32</v>
      </c>
      <c r="G1118">
        <v>321.83999999999997</v>
      </c>
      <c r="H1118" s="14">
        <f t="shared" si="517"/>
        <v>321.84000000000003</v>
      </c>
      <c r="I1118" s="14" t="b">
        <f t="shared" si="518"/>
        <v>1</v>
      </c>
      <c r="J1118" s="2">
        <v>46003</v>
      </c>
      <c r="K1118" s="5">
        <v>1007247</v>
      </c>
      <c r="L1118" s="5">
        <v>3781</v>
      </c>
      <c r="M1118" s="5">
        <v>6.64</v>
      </c>
      <c r="N1118" s="5">
        <v>331.8</v>
      </c>
      <c r="O1118" s="7">
        <v>45992</v>
      </c>
      <c r="P1118" s="5">
        <v>325.16000000000003</v>
      </c>
      <c r="Q1118" s="5">
        <v>6.64</v>
      </c>
      <c r="R1118" s="5" t="s">
        <v>32</v>
      </c>
      <c r="S1118" s="5" t="s">
        <v>33</v>
      </c>
      <c r="T1118" s="5">
        <v>3.32</v>
      </c>
      <c r="U1118" s="5">
        <v>321.83999999999997</v>
      </c>
      <c r="V1118" s="5" t="s">
        <v>34</v>
      </c>
      <c r="W1118" s="5">
        <v>2</v>
      </c>
      <c r="X1118" s="5">
        <v>6182736448266</v>
      </c>
      <c r="Y1118" s="7">
        <v>46003</v>
      </c>
      <c r="Z1118" s="7">
        <v>45992</v>
      </c>
      <c r="AB1118" s="6">
        <v>46003</v>
      </c>
      <c r="AC1118" s="7">
        <v>46002.68472222222</v>
      </c>
      <c r="AD1118" s="5">
        <v>37811007247</v>
      </c>
      <c r="AE1118" s="8">
        <v>45992</v>
      </c>
      <c r="AF1118" s="5" t="s">
        <v>595</v>
      </c>
      <c r="AG1118" s="5" t="s">
        <v>37</v>
      </c>
      <c r="AH1118" s="5">
        <v>205747</v>
      </c>
      <c r="AI1118" s="6">
        <v>45992</v>
      </c>
      <c r="AJ1118" s="6">
        <v>46003</v>
      </c>
      <c r="AK1118" s="1">
        <f t="shared" si="519"/>
        <v>6.6360000000000001</v>
      </c>
    </row>
    <row r="1119" spans="1:37" x14ac:dyDescent="0.55000000000000004">
      <c r="A1119">
        <v>3781</v>
      </c>
      <c r="B1119">
        <v>1007248</v>
      </c>
      <c r="C1119">
        <v>688.56</v>
      </c>
      <c r="D1119" s="4">
        <v>13.77</v>
      </c>
      <c r="E1119">
        <v>674.79</v>
      </c>
      <c r="F1119">
        <v>6.89</v>
      </c>
      <c r="G1119">
        <v>667.9</v>
      </c>
      <c r="H1119" s="14">
        <f t="shared" si="517"/>
        <v>667.9</v>
      </c>
      <c r="I1119" s="14" t="b">
        <f t="shared" si="518"/>
        <v>1</v>
      </c>
      <c r="J1119" s="2">
        <v>46003</v>
      </c>
      <c r="K1119" s="5">
        <v>1007248</v>
      </c>
      <c r="L1119" s="5">
        <v>3781</v>
      </c>
      <c r="M1119" s="5">
        <v>13.77</v>
      </c>
      <c r="N1119" s="5">
        <v>688.56</v>
      </c>
      <c r="O1119" s="7">
        <v>45992</v>
      </c>
      <c r="P1119" s="5">
        <v>674.79</v>
      </c>
      <c r="Q1119" s="5">
        <v>13.77</v>
      </c>
      <c r="R1119" s="5" t="s">
        <v>32</v>
      </c>
      <c r="S1119" s="5" t="s">
        <v>33</v>
      </c>
      <c r="T1119" s="5">
        <v>6.89</v>
      </c>
      <c r="U1119" s="5">
        <v>667.9</v>
      </c>
      <c r="V1119" s="5" t="s">
        <v>34</v>
      </c>
      <c r="W1119" s="5">
        <v>2</v>
      </c>
      <c r="X1119" s="5">
        <v>6182736448266</v>
      </c>
      <c r="Y1119" s="7">
        <v>46003</v>
      </c>
      <c r="Z1119" s="7">
        <v>45992</v>
      </c>
      <c r="AB1119" s="6">
        <v>46003</v>
      </c>
      <c r="AC1119" s="7">
        <v>46002.68472222222</v>
      </c>
      <c r="AD1119" s="5">
        <v>37811007248</v>
      </c>
      <c r="AE1119" s="8">
        <v>45992</v>
      </c>
      <c r="AF1119" s="5">
        <v>66146</v>
      </c>
      <c r="AG1119" s="5" t="s">
        <v>37</v>
      </c>
      <c r="AH1119" s="5">
        <v>205743</v>
      </c>
      <c r="AI1119" s="6">
        <v>45992</v>
      </c>
      <c r="AJ1119" s="6">
        <v>46003</v>
      </c>
      <c r="AK1119" s="1">
        <f t="shared" si="519"/>
        <v>13.771199999999999</v>
      </c>
    </row>
    <row r="1120" spans="1:37" x14ac:dyDescent="0.55000000000000004">
      <c r="A1120">
        <v>3781</v>
      </c>
      <c r="B1120">
        <v>1007249</v>
      </c>
      <c r="C1120">
        <v>626.94000000000005</v>
      </c>
      <c r="D1120" s="4">
        <v>12.54</v>
      </c>
      <c r="E1120">
        <v>614.4</v>
      </c>
      <c r="F1120">
        <v>6.27</v>
      </c>
      <c r="G1120">
        <v>608.13</v>
      </c>
      <c r="H1120" s="14">
        <f t="shared" si="517"/>
        <v>608.13000000000011</v>
      </c>
      <c r="I1120" s="14" t="b">
        <f t="shared" si="518"/>
        <v>1</v>
      </c>
      <c r="J1120" s="2">
        <v>46003</v>
      </c>
      <c r="K1120" s="5">
        <v>1007249</v>
      </c>
      <c r="L1120" s="5">
        <v>3781</v>
      </c>
      <c r="M1120" s="5">
        <v>12.54</v>
      </c>
      <c r="N1120" s="5">
        <v>626.94000000000005</v>
      </c>
      <c r="O1120" s="7">
        <v>45992</v>
      </c>
      <c r="P1120" s="5">
        <v>614.4</v>
      </c>
      <c r="Q1120" s="5">
        <v>12.54</v>
      </c>
      <c r="R1120" s="5" t="s">
        <v>32</v>
      </c>
      <c r="S1120" s="5" t="s">
        <v>33</v>
      </c>
      <c r="T1120" s="5">
        <v>6.27</v>
      </c>
      <c r="U1120" s="5">
        <v>608.13</v>
      </c>
      <c r="V1120" s="5" t="s">
        <v>34</v>
      </c>
      <c r="W1120" s="5">
        <v>2</v>
      </c>
      <c r="X1120" s="5">
        <v>6182736448266</v>
      </c>
      <c r="Y1120" s="7">
        <v>46003</v>
      </c>
      <c r="Z1120" s="7">
        <v>45992</v>
      </c>
      <c r="AB1120" s="6">
        <v>46003</v>
      </c>
      <c r="AC1120" s="7">
        <v>46002.68472222222</v>
      </c>
      <c r="AD1120" s="5">
        <v>37811007249</v>
      </c>
      <c r="AE1120" s="8">
        <v>45992</v>
      </c>
      <c r="AF1120" s="5">
        <v>68375</v>
      </c>
      <c r="AG1120" s="5" t="s">
        <v>37</v>
      </c>
      <c r="AH1120" s="5">
        <v>205745</v>
      </c>
      <c r="AI1120" s="6">
        <v>45992</v>
      </c>
      <c r="AJ1120" s="6">
        <v>46003</v>
      </c>
      <c r="AK1120" s="1">
        <f t="shared" si="519"/>
        <v>12.538800000000002</v>
      </c>
    </row>
    <row r="1121" spans="1:37" x14ac:dyDescent="0.55000000000000004">
      <c r="A1121">
        <v>3781</v>
      </c>
      <c r="B1121">
        <v>1007251</v>
      </c>
      <c r="C1121">
        <v>187.05</v>
      </c>
      <c r="D1121" s="4">
        <v>3.74</v>
      </c>
      <c r="E1121">
        <v>183.31</v>
      </c>
      <c r="F1121">
        <v>1.87</v>
      </c>
      <c r="G1121">
        <v>181.44</v>
      </c>
      <c r="H1121" s="14">
        <f t="shared" si="517"/>
        <v>181.44</v>
      </c>
      <c r="I1121" s="14" t="b">
        <f t="shared" si="518"/>
        <v>1</v>
      </c>
      <c r="J1121" s="2">
        <v>46003</v>
      </c>
      <c r="K1121" s="5">
        <v>1007251</v>
      </c>
      <c r="L1121" s="5">
        <v>3781</v>
      </c>
      <c r="M1121" s="5">
        <v>3.74</v>
      </c>
      <c r="N1121" s="5">
        <v>187.05</v>
      </c>
      <c r="O1121" s="7">
        <v>45992</v>
      </c>
      <c r="P1121" s="5">
        <v>183.31</v>
      </c>
      <c r="Q1121" s="5">
        <v>3.74</v>
      </c>
      <c r="R1121" s="5" t="s">
        <v>32</v>
      </c>
      <c r="S1121" s="5" t="s">
        <v>33</v>
      </c>
      <c r="T1121" s="5">
        <v>1.87</v>
      </c>
      <c r="U1121" s="5">
        <v>181.44</v>
      </c>
      <c r="V1121" s="5" t="s">
        <v>34</v>
      </c>
      <c r="W1121" s="5">
        <v>2</v>
      </c>
      <c r="X1121" s="5">
        <v>6182736448266</v>
      </c>
      <c r="Y1121" s="7">
        <v>46003</v>
      </c>
      <c r="Z1121" s="7">
        <v>45992</v>
      </c>
      <c r="AB1121" s="6">
        <v>46003</v>
      </c>
      <c r="AC1121" s="7">
        <v>46002.68472222222</v>
      </c>
      <c r="AD1121" s="5">
        <v>37811007251</v>
      </c>
      <c r="AE1121" s="8">
        <v>45992</v>
      </c>
      <c r="AF1121" s="5" t="s">
        <v>596</v>
      </c>
      <c r="AG1121" s="5" t="s">
        <v>37</v>
      </c>
      <c r="AH1121" s="5">
        <v>205749</v>
      </c>
      <c r="AI1121" s="6">
        <v>45992</v>
      </c>
      <c r="AJ1121" s="6">
        <v>46003</v>
      </c>
      <c r="AK1121" s="1">
        <f t="shared" si="519"/>
        <v>3.7410000000000001</v>
      </c>
    </row>
    <row r="1122" spans="1:37" x14ac:dyDescent="0.55000000000000004">
      <c r="A1122">
        <v>3781</v>
      </c>
      <c r="B1122">
        <v>1007252</v>
      </c>
      <c r="C1122">
        <v>41.14</v>
      </c>
      <c r="D1122" s="4">
        <v>0.82</v>
      </c>
      <c r="E1122">
        <v>40.32</v>
      </c>
      <c r="F1122">
        <v>0.41</v>
      </c>
      <c r="G1122">
        <v>39.909999999999997</v>
      </c>
      <c r="H1122" s="14">
        <f t="shared" si="517"/>
        <v>39.910000000000004</v>
      </c>
      <c r="I1122" s="14" t="b">
        <f t="shared" si="518"/>
        <v>1</v>
      </c>
      <c r="J1122" s="2">
        <v>46003</v>
      </c>
      <c r="K1122" s="5">
        <v>1007252</v>
      </c>
      <c r="L1122" s="5">
        <v>3781</v>
      </c>
      <c r="M1122" s="5">
        <v>0.82</v>
      </c>
      <c r="N1122" s="5">
        <v>41.14</v>
      </c>
      <c r="O1122" s="7">
        <v>45992</v>
      </c>
      <c r="P1122" s="5">
        <v>40.32</v>
      </c>
      <c r="Q1122" s="5">
        <v>0.82</v>
      </c>
      <c r="R1122" s="5" t="s">
        <v>32</v>
      </c>
      <c r="S1122" s="5" t="s">
        <v>33</v>
      </c>
      <c r="T1122" s="5">
        <v>0.41</v>
      </c>
      <c r="U1122" s="5">
        <v>39.909999999999997</v>
      </c>
      <c r="V1122" s="5" t="s">
        <v>34</v>
      </c>
      <c r="W1122" s="5">
        <v>2</v>
      </c>
      <c r="X1122" s="5">
        <v>6182736448266</v>
      </c>
      <c r="Y1122" s="7">
        <v>46003</v>
      </c>
      <c r="Z1122" s="7">
        <v>45992</v>
      </c>
      <c r="AB1122" s="6">
        <v>46003</v>
      </c>
      <c r="AC1122" s="7">
        <v>46002.68472222222</v>
      </c>
      <c r="AD1122" s="5">
        <v>37811007252</v>
      </c>
      <c r="AE1122" s="8">
        <v>45992</v>
      </c>
      <c r="AF1122" s="5" t="s">
        <v>597</v>
      </c>
      <c r="AG1122" s="5" t="s">
        <v>37</v>
      </c>
      <c r="AH1122" s="5">
        <v>205748</v>
      </c>
      <c r="AI1122" s="6">
        <v>45992</v>
      </c>
      <c r="AJ1122" s="6">
        <v>46003</v>
      </c>
      <c r="AK1122" s="1">
        <f t="shared" si="519"/>
        <v>0.82279999999999998</v>
      </c>
    </row>
    <row r="1123" spans="1:37" x14ac:dyDescent="0.55000000000000004">
      <c r="A1123">
        <v>3781</v>
      </c>
      <c r="B1123">
        <v>1007254</v>
      </c>
      <c r="C1123">
        <v>582.48</v>
      </c>
      <c r="D1123" s="4">
        <v>11.65</v>
      </c>
      <c r="E1123">
        <v>570.83000000000004</v>
      </c>
      <c r="F1123">
        <v>5.82</v>
      </c>
      <c r="G1123">
        <v>565.01</v>
      </c>
      <c r="H1123" s="14">
        <f t="shared" si="517"/>
        <v>565.01</v>
      </c>
      <c r="I1123" s="14" t="b">
        <f t="shared" si="518"/>
        <v>1</v>
      </c>
      <c r="J1123" s="2">
        <v>46003</v>
      </c>
      <c r="K1123" s="5">
        <v>1007254</v>
      </c>
      <c r="L1123" s="5">
        <v>3781</v>
      </c>
      <c r="M1123" s="5">
        <v>11.65</v>
      </c>
      <c r="N1123" s="5">
        <v>582.48</v>
      </c>
      <c r="O1123" s="7">
        <v>45992</v>
      </c>
      <c r="P1123" s="5">
        <v>570.83000000000004</v>
      </c>
      <c r="Q1123" s="5">
        <v>11.65</v>
      </c>
      <c r="R1123" s="5" t="s">
        <v>32</v>
      </c>
      <c r="S1123" s="5" t="s">
        <v>33</v>
      </c>
      <c r="T1123" s="5">
        <v>5.82</v>
      </c>
      <c r="U1123" s="5">
        <v>565.01</v>
      </c>
      <c r="V1123" s="5" t="s">
        <v>34</v>
      </c>
      <c r="W1123" s="5">
        <v>2</v>
      </c>
      <c r="X1123" s="5">
        <v>6182736448266</v>
      </c>
      <c r="Y1123" s="7">
        <v>46003</v>
      </c>
      <c r="Z1123" s="7">
        <v>45992</v>
      </c>
      <c r="AB1123" s="6">
        <v>46003</v>
      </c>
      <c r="AC1123" s="7">
        <v>46002.68472222222</v>
      </c>
      <c r="AD1123" s="5">
        <v>37811007254</v>
      </c>
      <c r="AE1123" s="8">
        <v>45992</v>
      </c>
      <c r="AF1123" s="5">
        <v>66736</v>
      </c>
      <c r="AG1123" s="5" t="s">
        <v>37</v>
      </c>
      <c r="AH1123" s="5">
        <v>205744</v>
      </c>
      <c r="AI1123" s="6">
        <v>45992</v>
      </c>
      <c r="AJ1123" s="6">
        <v>46003</v>
      </c>
      <c r="AK1123" s="1">
        <f t="shared" si="519"/>
        <v>11.649600000000001</v>
      </c>
    </row>
    <row r="1124" spans="1:37" x14ac:dyDescent="0.55000000000000004">
      <c r="A1124">
        <v>3781</v>
      </c>
      <c r="B1124">
        <v>1007255</v>
      </c>
      <c r="C1124">
        <v>66.36</v>
      </c>
      <c r="D1124" s="4">
        <v>1.33</v>
      </c>
      <c r="E1124">
        <v>65.03</v>
      </c>
      <c r="F1124">
        <v>0.66</v>
      </c>
      <c r="G1124">
        <v>64.37</v>
      </c>
      <c r="H1124" s="14">
        <f t="shared" si="517"/>
        <v>64.37</v>
      </c>
      <c r="I1124" s="14" t="b">
        <f t="shared" si="518"/>
        <v>1</v>
      </c>
      <c r="J1124" s="2">
        <v>46003</v>
      </c>
      <c r="K1124" s="5">
        <v>1007255</v>
      </c>
      <c r="L1124" s="5">
        <v>3781</v>
      </c>
      <c r="M1124" s="5">
        <v>1.33</v>
      </c>
      <c r="N1124" s="5">
        <v>66.36</v>
      </c>
      <c r="O1124" s="7">
        <v>45992</v>
      </c>
      <c r="P1124" s="5">
        <v>65.03</v>
      </c>
      <c r="Q1124" s="5">
        <v>1.33</v>
      </c>
      <c r="R1124" s="5" t="s">
        <v>32</v>
      </c>
      <c r="S1124" s="5" t="s">
        <v>33</v>
      </c>
      <c r="T1124" s="5">
        <v>0.66</v>
      </c>
      <c r="U1124" s="5">
        <v>64.37</v>
      </c>
      <c r="V1124" s="5" t="s">
        <v>34</v>
      </c>
      <c r="W1124" s="5">
        <v>2</v>
      </c>
      <c r="X1124" s="5">
        <v>6182736448266</v>
      </c>
      <c r="Y1124" s="7">
        <v>46003</v>
      </c>
      <c r="Z1124" s="7">
        <v>45992</v>
      </c>
      <c r="AB1124" s="6">
        <v>46003</v>
      </c>
      <c r="AC1124" s="7">
        <v>46002.68472222222</v>
      </c>
      <c r="AD1124" s="5">
        <v>37811007255</v>
      </c>
      <c r="AE1124" s="8">
        <v>45992</v>
      </c>
      <c r="AF1124" s="5" t="s">
        <v>598</v>
      </c>
      <c r="AG1124" s="5" t="s">
        <v>37</v>
      </c>
      <c r="AH1124" s="5">
        <v>205746</v>
      </c>
      <c r="AI1124" s="6">
        <v>45992</v>
      </c>
      <c r="AJ1124" s="6">
        <v>46003</v>
      </c>
      <c r="AK1124" s="1">
        <f t="shared" si="519"/>
        <v>1.3271999999999999</v>
      </c>
    </row>
    <row r="1125" spans="1:37" x14ac:dyDescent="0.55000000000000004">
      <c r="A1125">
        <v>3781</v>
      </c>
      <c r="B1125">
        <v>1007419</v>
      </c>
      <c r="C1125" s="1">
        <v>3637.84</v>
      </c>
      <c r="D1125" s="4">
        <v>72.760000000000005</v>
      </c>
      <c r="E1125" s="1">
        <v>3565.08</v>
      </c>
      <c r="F1125">
        <v>36.380000000000003</v>
      </c>
      <c r="G1125" s="1">
        <v>3528.7</v>
      </c>
      <c r="H1125" s="14">
        <f t="shared" si="517"/>
        <v>3528.7</v>
      </c>
      <c r="I1125" s="14" t="b">
        <f t="shared" si="518"/>
        <v>1</v>
      </c>
      <c r="J1125" s="2">
        <v>46003</v>
      </c>
      <c r="K1125" s="5">
        <v>1007419</v>
      </c>
      <c r="L1125" s="5">
        <v>3781</v>
      </c>
      <c r="M1125" s="5">
        <v>72.760000000000005</v>
      </c>
      <c r="N1125" s="5">
        <v>3637.84</v>
      </c>
      <c r="O1125" s="7">
        <v>45992</v>
      </c>
      <c r="P1125" s="5">
        <v>3565.08</v>
      </c>
      <c r="Q1125" s="5">
        <v>72.760000000000005</v>
      </c>
      <c r="R1125" s="5" t="s">
        <v>32</v>
      </c>
      <c r="S1125" s="5" t="s">
        <v>33</v>
      </c>
      <c r="T1125" s="5">
        <v>36.380000000000003</v>
      </c>
      <c r="U1125" s="5">
        <v>3528.7</v>
      </c>
      <c r="V1125" s="5" t="s">
        <v>34</v>
      </c>
      <c r="W1125" s="5">
        <v>2</v>
      </c>
      <c r="X1125" s="5">
        <v>6182736448266</v>
      </c>
      <c r="Y1125" s="7">
        <v>46003</v>
      </c>
      <c r="Z1125" s="7">
        <v>45992</v>
      </c>
      <c r="AB1125" s="6">
        <v>46003</v>
      </c>
      <c r="AC1125" s="7">
        <v>46002.68472222222</v>
      </c>
      <c r="AD1125" s="5">
        <v>37811007419</v>
      </c>
      <c r="AE1125" s="8">
        <v>45992</v>
      </c>
      <c r="AF1125" s="5">
        <v>68854</v>
      </c>
      <c r="AG1125" s="5" t="s">
        <v>37</v>
      </c>
      <c r="AH1125" s="5">
        <v>205958</v>
      </c>
      <c r="AI1125" s="6">
        <v>45992</v>
      </c>
      <c r="AJ1125" s="6">
        <v>46003</v>
      </c>
      <c r="AK1125" s="1">
        <f t="shared" si="519"/>
        <v>72.756799999999998</v>
      </c>
    </row>
    <row r="1126" spans="1:37" hidden="1" x14ac:dyDescent="0.55000000000000004">
      <c r="A1126">
        <v>3781</v>
      </c>
      <c r="B1126">
        <v>1007587</v>
      </c>
      <c r="C1126" s="1">
        <v>3990</v>
      </c>
      <c r="E1126" s="1">
        <v>3990</v>
      </c>
      <c r="F1126">
        <v>39.9</v>
      </c>
      <c r="G1126" s="1">
        <v>3950.1</v>
      </c>
      <c r="H1126" s="1"/>
      <c r="I1126" s="1"/>
      <c r="J1126" s="2">
        <v>46003</v>
      </c>
      <c r="K1126" s="5">
        <v>1007587</v>
      </c>
      <c r="L1126" s="5">
        <v>3781</v>
      </c>
      <c r="M1126" s="5">
        <v>0</v>
      </c>
      <c r="N1126" s="5">
        <v>3990</v>
      </c>
      <c r="O1126" s="7">
        <v>45993</v>
      </c>
      <c r="P1126" s="5">
        <v>3990</v>
      </c>
      <c r="Q1126" s="5">
        <v>0</v>
      </c>
      <c r="R1126" s="5" t="s">
        <v>32</v>
      </c>
      <c r="S1126" s="5" t="s">
        <v>33</v>
      </c>
      <c r="T1126" s="5">
        <v>39.9</v>
      </c>
      <c r="U1126" s="5">
        <v>3950.1</v>
      </c>
      <c r="V1126" s="5" t="s">
        <v>34</v>
      </c>
      <c r="W1126" s="5">
        <v>2</v>
      </c>
      <c r="X1126" s="5">
        <v>6182736448266</v>
      </c>
      <c r="Y1126" s="7">
        <v>46003</v>
      </c>
      <c r="Z1126" s="7">
        <v>45993</v>
      </c>
      <c r="AB1126" s="6">
        <v>46003</v>
      </c>
      <c r="AC1126" s="7">
        <v>46002.68472222222</v>
      </c>
      <c r="AD1126" s="5">
        <v>37811007587</v>
      </c>
      <c r="AE1126" s="8">
        <v>45993</v>
      </c>
      <c r="AF1126" s="5" t="s">
        <v>32</v>
      </c>
      <c r="AG1126" s="5" t="s">
        <v>35</v>
      </c>
      <c r="AH1126" s="5" t="s">
        <v>32</v>
      </c>
      <c r="AI1126" s="6">
        <v>45993</v>
      </c>
      <c r="AJ1126" s="6">
        <v>46003</v>
      </c>
    </row>
    <row r="1127" spans="1:37" hidden="1" x14ac:dyDescent="0.55000000000000004">
      <c r="A1127">
        <v>3781</v>
      </c>
      <c r="B1127">
        <v>1007675</v>
      </c>
      <c r="C1127">
        <v>769.46</v>
      </c>
      <c r="E1127">
        <v>769.46</v>
      </c>
      <c r="F1127">
        <v>7.69</v>
      </c>
      <c r="G1127">
        <v>761.77</v>
      </c>
      <c r="H1127"/>
      <c r="I1127"/>
      <c r="J1127" s="2">
        <v>46003</v>
      </c>
      <c r="K1127" s="5">
        <v>1007675</v>
      </c>
      <c r="L1127" s="5">
        <v>3781</v>
      </c>
      <c r="M1127" s="5">
        <v>0</v>
      </c>
      <c r="N1127" s="5">
        <v>769.46</v>
      </c>
      <c r="O1127" s="7">
        <v>45993</v>
      </c>
      <c r="P1127" s="5">
        <v>769.46</v>
      </c>
      <c r="Q1127" s="5">
        <v>0</v>
      </c>
      <c r="R1127" s="5" t="s">
        <v>32</v>
      </c>
      <c r="S1127" s="5" t="s">
        <v>33</v>
      </c>
      <c r="T1127" s="5">
        <v>7.69</v>
      </c>
      <c r="U1127" s="5">
        <v>761.77</v>
      </c>
      <c r="V1127" s="5" t="s">
        <v>34</v>
      </c>
      <c r="W1127" s="5">
        <v>2</v>
      </c>
      <c r="X1127" s="5">
        <v>6182736448266</v>
      </c>
      <c r="Y1127" s="7">
        <v>46003</v>
      </c>
      <c r="Z1127" s="7">
        <v>45993</v>
      </c>
      <c r="AB1127" s="6">
        <v>46003</v>
      </c>
      <c r="AC1127" s="7">
        <v>46002.68472222222</v>
      </c>
      <c r="AD1127" s="5">
        <v>37811007675</v>
      </c>
      <c r="AE1127" s="8">
        <v>45993</v>
      </c>
      <c r="AF1127" s="5" t="s">
        <v>594</v>
      </c>
      <c r="AG1127" s="5" t="s">
        <v>38</v>
      </c>
      <c r="AH1127" s="5">
        <v>206103</v>
      </c>
      <c r="AI1127" s="6">
        <v>45993</v>
      </c>
      <c r="AJ1127" s="6">
        <v>46003</v>
      </c>
    </row>
    <row r="1128" spans="1:37" hidden="1" x14ac:dyDescent="0.55000000000000004">
      <c r="A1128">
        <v>3781</v>
      </c>
      <c r="B1128">
        <v>1007677</v>
      </c>
      <c r="C1128">
        <v>404.96</v>
      </c>
      <c r="E1128">
        <v>404.96</v>
      </c>
      <c r="F1128">
        <v>4.05</v>
      </c>
      <c r="G1128">
        <v>400.91</v>
      </c>
      <c r="H1128"/>
      <c r="I1128"/>
      <c r="J1128" s="2">
        <v>46003</v>
      </c>
      <c r="K1128" s="5">
        <v>1007677</v>
      </c>
      <c r="L1128" s="5">
        <v>3781</v>
      </c>
      <c r="M1128" s="5">
        <v>0</v>
      </c>
      <c r="N1128" s="5">
        <v>404.96</v>
      </c>
      <c r="O1128" s="7">
        <v>45993</v>
      </c>
      <c r="P1128" s="5">
        <v>404.96</v>
      </c>
      <c r="Q1128" s="5">
        <v>0</v>
      </c>
      <c r="R1128" s="5" t="s">
        <v>32</v>
      </c>
      <c r="S1128" s="5" t="s">
        <v>33</v>
      </c>
      <c r="T1128" s="5">
        <v>4.05</v>
      </c>
      <c r="U1128" s="5">
        <v>400.91</v>
      </c>
      <c r="V1128" s="5" t="s">
        <v>34</v>
      </c>
      <c r="W1128" s="5">
        <v>2</v>
      </c>
      <c r="X1128" s="5">
        <v>6182736448266</v>
      </c>
      <c r="Y1128" s="7">
        <v>46003</v>
      </c>
      <c r="Z1128" s="7">
        <v>45993</v>
      </c>
      <c r="AB1128" s="6">
        <v>46003</v>
      </c>
      <c r="AC1128" s="7">
        <v>46002.68472222222</v>
      </c>
      <c r="AD1128" s="5">
        <v>37811007677</v>
      </c>
      <c r="AE1128" s="8">
        <v>45993</v>
      </c>
      <c r="AF1128" s="5">
        <v>68902</v>
      </c>
      <c r="AG1128" s="5" t="s">
        <v>38</v>
      </c>
      <c r="AH1128" s="5">
        <v>206101</v>
      </c>
      <c r="AI1128" s="6">
        <v>45993</v>
      </c>
      <c r="AJ1128" s="6">
        <v>46003</v>
      </c>
    </row>
    <row r="1129" spans="1:37" hidden="1" x14ac:dyDescent="0.55000000000000004">
      <c r="A1129">
        <v>3781</v>
      </c>
      <c r="B1129">
        <v>1007681</v>
      </c>
      <c r="C1129" s="1">
        <v>3478.42</v>
      </c>
      <c r="E1129" s="1">
        <v>3478.42</v>
      </c>
      <c r="F1129">
        <v>34.78</v>
      </c>
      <c r="G1129" s="1">
        <v>3443.64</v>
      </c>
      <c r="H1129" s="1"/>
      <c r="I1129" s="1"/>
      <c r="J1129" s="2">
        <v>46003</v>
      </c>
      <c r="K1129" s="5">
        <v>1007681</v>
      </c>
      <c r="L1129" s="5">
        <v>3781</v>
      </c>
      <c r="M1129" s="5">
        <v>0</v>
      </c>
      <c r="N1129" s="5">
        <v>3478.42</v>
      </c>
      <c r="O1129" s="7">
        <v>45993</v>
      </c>
      <c r="P1129" s="5">
        <v>3478.42</v>
      </c>
      <c r="Q1129" s="5">
        <v>0</v>
      </c>
      <c r="R1129" s="5" t="s">
        <v>32</v>
      </c>
      <c r="S1129" s="5" t="s">
        <v>33</v>
      </c>
      <c r="T1129" s="5">
        <v>34.78</v>
      </c>
      <c r="U1129" s="5">
        <v>3443.64</v>
      </c>
      <c r="V1129" s="5" t="s">
        <v>34</v>
      </c>
      <c r="W1129" s="5">
        <v>2</v>
      </c>
      <c r="X1129" s="5">
        <v>6182736448266</v>
      </c>
      <c r="Y1129" s="7">
        <v>46003</v>
      </c>
      <c r="Z1129" s="7">
        <v>45993</v>
      </c>
      <c r="AB1129" s="6">
        <v>46003</v>
      </c>
      <c r="AC1129" s="7">
        <v>46002.68472222222</v>
      </c>
      <c r="AD1129" s="5">
        <v>37811007681</v>
      </c>
      <c r="AE1129" s="8">
        <v>45993</v>
      </c>
      <c r="AF1129" s="5">
        <v>68720</v>
      </c>
      <c r="AG1129" s="5" t="s">
        <v>38</v>
      </c>
      <c r="AH1129" s="5">
        <v>206100</v>
      </c>
      <c r="AI1129" s="6">
        <v>45993</v>
      </c>
      <c r="AJ1129" s="6">
        <v>46003</v>
      </c>
    </row>
    <row r="1130" spans="1:37" hidden="1" x14ac:dyDescent="0.55000000000000004">
      <c r="A1130">
        <v>3781</v>
      </c>
      <c r="B1130">
        <v>1007683</v>
      </c>
      <c r="C1130" s="1">
        <v>1982.22</v>
      </c>
      <c r="E1130" s="1">
        <v>1982.22</v>
      </c>
      <c r="F1130">
        <v>19.82</v>
      </c>
      <c r="G1130" s="1">
        <v>1962.4</v>
      </c>
      <c r="H1130" s="1"/>
      <c r="I1130" s="1"/>
      <c r="J1130" s="2">
        <v>46003</v>
      </c>
      <c r="K1130" s="5">
        <v>1007683</v>
      </c>
      <c r="L1130" s="5">
        <v>3781</v>
      </c>
      <c r="M1130" s="5">
        <v>0</v>
      </c>
      <c r="N1130" s="5">
        <v>1982.22</v>
      </c>
      <c r="O1130" s="7">
        <v>45993</v>
      </c>
      <c r="P1130" s="5">
        <v>1982.22</v>
      </c>
      <c r="Q1130" s="5">
        <v>0</v>
      </c>
      <c r="R1130" s="5" t="s">
        <v>32</v>
      </c>
      <c r="S1130" s="5" t="s">
        <v>33</v>
      </c>
      <c r="T1130" s="5">
        <v>19.82</v>
      </c>
      <c r="U1130" s="5">
        <v>1962.4</v>
      </c>
      <c r="V1130" s="5" t="s">
        <v>34</v>
      </c>
      <c r="W1130" s="5">
        <v>2</v>
      </c>
      <c r="X1130" s="5">
        <v>6182736448266</v>
      </c>
      <c r="Y1130" s="7">
        <v>46003</v>
      </c>
      <c r="Z1130" s="7">
        <v>45993</v>
      </c>
      <c r="AB1130" s="6">
        <v>46003</v>
      </c>
      <c r="AC1130" s="7">
        <v>46002.68472222222</v>
      </c>
      <c r="AD1130" s="5">
        <v>37811007683</v>
      </c>
      <c r="AE1130" s="8">
        <v>45993</v>
      </c>
      <c r="AF1130" s="5">
        <v>69246</v>
      </c>
      <c r="AG1130" s="5" t="s">
        <v>38</v>
      </c>
      <c r="AH1130" s="5">
        <v>206102</v>
      </c>
      <c r="AI1130" s="6">
        <v>45993</v>
      </c>
      <c r="AJ1130" s="6">
        <v>46003</v>
      </c>
    </row>
    <row r="1131" spans="1:37" hidden="1" x14ac:dyDescent="0.55000000000000004">
      <c r="A1131">
        <v>3781</v>
      </c>
      <c r="B1131">
        <v>1007818</v>
      </c>
      <c r="C1131">
        <v>971.96</v>
      </c>
      <c r="E1131">
        <v>971.96</v>
      </c>
      <c r="F1131">
        <v>9.7200000000000006</v>
      </c>
      <c r="G1131">
        <v>962.24</v>
      </c>
      <c r="H1131"/>
      <c r="I1131"/>
      <c r="J1131" s="2">
        <v>46003</v>
      </c>
      <c r="K1131" s="5">
        <v>1007818</v>
      </c>
      <c r="L1131" s="5">
        <v>3781</v>
      </c>
      <c r="M1131" s="5">
        <v>0</v>
      </c>
      <c r="N1131" s="5">
        <v>971.96</v>
      </c>
      <c r="O1131" s="7">
        <v>45993</v>
      </c>
      <c r="P1131" s="5">
        <v>971.96</v>
      </c>
      <c r="Q1131" s="5">
        <v>0</v>
      </c>
      <c r="R1131" s="5" t="s">
        <v>32</v>
      </c>
      <c r="S1131" s="5" t="s">
        <v>33</v>
      </c>
      <c r="T1131" s="5">
        <v>9.7200000000000006</v>
      </c>
      <c r="U1131" s="5">
        <v>962.24</v>
      </c>
      <c r="V1131" s="5" t="s">
        <v>34</v>
      </c>
      <c r="W1131" s="5">
        <v>2</v>
      </c>
      <c r="X1131" s="5">
        <v>6182736448266</v>
      </c>
      <c r="Y1131" s="7">
        <v>46003</v>
      </c>
      <c r="Z1131" s="7">
        <v>45993</v>
      </c>
      <c r="AB1131" s="6">
        <v>46003</v>
      </c>
      <c r="AC1131" s="7">
        <v>46002.68472222222</v>
      </c>
      <c r="AD1131" s="5">
        <v>37811007818</v>
      </c>
      <c r="AE1131" s="8">
        <v>45993</v>
      </c>
      <c r="AF1131" s="5">
        <v>68536</v>
      </c>
      <c r="AG1131" s="5" t="s">
        <v>38</v>
      </c>
      <c r="AH1131" s="5">
        <v>206099</v>
      </c>
      <c r="AI1131" s="6">
        <v>45993</v>
      </c>
      <c r="AJ1131" s="6">
        <v>46003</v>
      </c>
    </row>
    <row r="1132" spans="1:37" x14ac:dyDescent="0.55000000000000004">
      <c r="A1132">
        <v>3781</v>
      </c>
      <c r="B1132">
        <v>1007827</v>
      </c>
      <c r="C1132">
        <v>415.92</v>
      </c>
      <c r="D1132" s="4">
        <v>8.32</v>
      </c>
      <c r="E1132">
        <v>407.6</v>
      </c>
      <c r="F1132">
        <v>4.16</v>
      </c>
      <c r="G1132">
        <v>403.44</v>
      </c>
      <c r="H1132" s="14">
        <f>C1132-D1132-F1132</f>
        <v>403.44</v>
      </c>
      <c r="I1132" s="14" t="b">
        <f>G1132=H1132</f>
        <v>1</v>
      </c>
      <c r="J1132" s="2">
        <v>46003</v>
      </c>
      <c r="K1132" s="5">
        <v>1007827</v>
      </c>
      <c r="L1132" s="5">
        <v>3781</v>
      </c>
      <c r="M1132" s="5">
        <v>8.32</v>
      </c>
      <c r="N1132" s="5">
        <v>415.92</v>
      </c>
      <c r="O1132" s="7">
        <v>45993</v>
      </c>
      <c r="P1132" s="5">
        <v>407.6</v>
      </c>
      <c r="Q1132" s="5">
        <v>8.32</v>
      </c>
      <c r="R1132" s="5" t="s">
        <v>32</v>
      </c>
      <c r="S1132" s="5" t="s">
        <v>33</v>
      </c>
      <c r="T1132" s="5">
        <v>4.16</v>
      </c>
      <c r="U1132" s="5">
        <v>403.44</v>
      </c>
      <c r="V1132" s="5" t="s">
        <v>34</v>
      </c>
      <c r="W1132" s="5">
        <v>2</v>
      </c>
      <c r="X1132" s="5">
        <v>6182736448266</v>
      </c>
      <c r="Y1132" s="7">
        <v>46003</v>
      </c>
      <c r="Z1132" s="7">
        <v>45993</v>
      </c>
      <c r="AB1132" s="6">
        <v>46003</v>
      </c>
      <c r="AC1132" s="7">
        <v>46002.68472222222</v>
      </c>
      <c r="AD1132" s="5">
        <v>37811007827</v>
      </c>
      <c r="AE1132" s="8">
        <v>45993</v>
      </c>
      <c r="AF1132" s="5">
        <v>68854</v>
      </c>
      <c r="AG1132" s="5" t="s">
        <v>37</v>
      </c>
      <c r="AH1132" s="5">
        <v>206033</v>
      </c>
      <c r="AI1132" s="6">
        <v>45993</v>
      </c>
      <c r="AJ1132" s="6">
        <v>46003</v>
      </c>
      <c r="AK1132" s="1">
        <f t="shared" ref="AK1132" si="520">0.02*C1132</f>
        <v>8.3184000000000005</v>
      </c>
    </row>
    <row r="1133" spans="1:37" hidden="1" x14ac:dyDescent="0.55000000000000004">
      <c r="A1133">
        <v>3781</v>
      </c>
      <c r="B1133">
        <v>1007875</v>
      </c>
      <c r="C1133">
        <v>566.96</v>
      </c>
      <c r="E1133">
        <v>566.96</v>
      </c>
      <c r="F1133">
        <v>5.67</v>
      </c>
      <c r="G1133">
        <v>561.29</v>
      </c>
      <c r="H1133"/>
      <c r="I1133"/>
      <c r="J1133" s="2">
        <v>46003</v>
      </c>
      <c r="K1133" s="5">
        <v>1007875</v>
      </c>
      <c r="L1133" s="5">
        <v>3781</v>
      </c>
      <c r="M1133" s="5">
        <v>0</v>
      </c>
      <c r="N1133" s="5">
        <v>566.96</v>
      </c>
      <c r="O1133" s="7">
        <v>45994</v>
      </c>
      <c r="P1133" s="5">
        <v>566.96</v>
      </c>
      <c r="Q1133" s="5">
        <v>0</v>
      </c>
      <c r="R1133" s="5" t="s">
        <v>32</v>
      </c>
      <c r="S1133" s="5" t="s">
        <v>33</v>
      </c>
      <c r="T1133" s="5">
        <v>5.67</v>
      </c>
      <c r="U1133" s="5">
        <v>561.29</v>
      </c>
      <c r="V1133" s="5" t="s">
        <v>34</v>
      </c>
      <c r="W1133" s="5">
        <v>2</v>
      </c>
      <c r="X1133" s="5">
        <v>6182736448266</v>
      </c>
      <c r="Y1133" s="7">
        <v>46003</v>
      </c>
      <c r="Z1133" s="7">
        <v>45994</v>
      </c>
      <c r="AB1133" s="6">
        <v>46003</v>
      </c>
      <c r="AC1133" s="7">
        <v>46002.68472222222</v>
      </c>
      <c r="AD1133" s="5">
        <v>37811007875</v>
      </c>
      <c r="AE1133" s="8">
        <v>45994</v>
      </c>
      <c r="AF1133" s="5">
        <v>61844</v>
      </c>
      <c r="AG1133" s="5" t="s">
        <v>38</v>
      </c>
      <c r="AH1133" s="5">
        <v>206432</v>
      </c>
      <c r="AI1133" s="6">
        <v>45994</v>
      </c>
      <c r="AJ1133" s="6">
        <v>46003</v>
      </c>
    </row>
    <row r="1134" spans="1:37" hidden="1" x14ac:dyDescent="0.55000000000000004">
      <c r="A1134">
        <v>3781</v>
      </c>
      <c r="B1134">
        <v>1007876</v>
      </c>
      <c r="C1134" s="1">
        <v>1946.52</v>
      </c>
      <c r="E1134" s="1">
        <v>1946.52</v>
      </c>
      <c r="F1134">
        <v>19.47</v>
      </c>
      <c r="G1134" s="1">
        <v>1927.05</v>
      </c>
      <c r="H1134" s="1"/>
      <c r="I1134" s="1"/>
      <c r="J1134" s="2">
        <v>46003</v>
      </c>
      <c r="K1134" s="5">
        <v>1007876</v>
      </c>
      <c r="L1134" s="5">
        <v>3781</v>
      </c>
      <c r="M1134" s="5">
        <v>0</v>
      </c>
      <c r="N1134" s="5">
        <v>1946.52</v>
      </c>
      <c r="O1134" s="7">
        <v>45994</v>
      </c>
      <c r="P1134" s="5">
        <v>1946.52</v>
      </c>
      <c r="Q1134" s="5">
        <v>0</v>
      </c>
      <c r="R1134" s="5" t="s">
        <v>32</v>
      </c>
      <c r="S1134" s="5" t="s">
        <v>33</v>
      </c>
      <c r="T1134" s="5">
        <v>19.47</v>
      </c>
      <c r="U1134" s="5">
        <v>1927.05</v>
      </c>
      <c r="V1134" s="5" t="s">
        <v>34</v>
      </c>
      <c r="W1134" s="5">
        <v>2</v>
      </c>
      <c r="X1134" s="5">
        <v>6182736448266</v>
      </c>
      <c r="Y1134" s="7">
        <v>46003</v>
      </c>
      <c r="Z1134" s="7">
        <v>45994</v>
      </c>
      <c r="AB1134" s="6">
        <v>46003</v>
      </c>
      <c r="AC1134" s="7">
        <v>46002.68472222222</v>
      </c>
      <c r="AD1134" s="5">
        <v>37811007876</v>
      </c>
      <c r="AE1134" s="8">
        <v>45994</v>
      </c>
      <c r="AF1134" s="5">
        <v>69246</v>
      </c>
      <c r="AG1134" s="5" t="s">
        <v>38</v>
      </c>
      <c r="AH1134" s="5">
        <v>206434</v>
      </c>
      <c r="AI1134" s="6">
        <v>45994</v>
      </c>
      <c r="AJ1134" s="6">
        <v>46003</v>
      </c>
    </row>
    <row r="1135" spans="1:37" hidden="1" x14ac:dyDescent="0.55000000000000004">
      <c r="A1135">
        <v>3781</v>
      </c>
      <c r="B1135">
        <v>1007879</v>
      </c>
      <c r="C1135">
        <v>971.96</v>
      </c>
      <c r="E1135">
        <v>971.96</v>
      </c>
      <c r="F1135">
        <v>9.7200000000000006</v>
      </c>
      <c r="G1135">
        <v>962.24</v>
      </c>
      <c r="H1135"/>
      <c r="I1135"/>
      <c r="J1135" s="2">
        <v>46003</v>
      </c>
      <c r="K1135" s="5">
        <v>1007879</v>
      </c>
      <c r="L1135" s="5">
        <v>3781</v>
      </c>
      <c r="M1135" s="5">
        <v>0</v>
      </c>
      <c r="N1135" s="5">
        <v>971.96</v>
      </c>
      <c r="O1135" s="7">
        <v>45994</v>
      </c>
      <c r="P1135" s="5">
        <v>971.96</v>
      </c>
      <c r="Q1135" s="5">
        <v>0</v>
      </c>
      <c r="R1135" s="5" t="s">
        <v>32</v>
      </c>
      <c r="S1135" s="5" t="s">
        <v>33</v>
      </c>
      <c r="T1135" s="5">
        <v>9.7200000000000006</v>
      </c>
      <c r="U1135" s="5">
        <v>962.24</v>
      </c>
      <c r="V1135" s="5" t="s">
        <v>34</v>
      </c>
      <c r="W1135" s="5">
        <v>2</v>
      </c>
      <c r="X1135" s="5">
        <v>6182736448266</v>
      </c>
      <c r="Y1135" s="7">
        <v>46003</v>
      </c>
      <c r="Z1135" s="7">
        <v>45994</v>
      </c>
      <c r="AB1135" s="6">
        <v>46003</v>
      </c>
      <c r="AC1135" s="7">
        <v>46002.68472222222</v>
      </c>
      <c r="AD1135" s="5">
        <v>37811007879</v>
      </c>
      <c r="AE1135" s="8">
        <v>45994</v>
      </c>
      <c r="AF1135" s="5">
        <v>68902</v>
      </c>
      <c r="AG1135" s="5" t="s">
        <v>38</v>
      </c>
      <c r="AH1135" s="5">
        <v>206433</v>
      </c>
      <c r="AI1135" s="6">
        <v>45994</v>
      </c>
      <c r="AJ1135" s="6">
        <v>46003</v>
      </c>
    </row>
    <row r="1136" spans="1:37" x14ac:dyDescent="0.55000000000000004">
      <c r="A1136">
        <v>3781</v>
      </c>
      <c r="B1136">
        <v>1008011</v>
      </c>
      <c r="C1136" s="1">
        <v>1023.26</v>
      </c>
      <c r="D1136" s="4">
        <v>20.47</v>
      </c>
      <c r="E1136" s="1">
        <v>1002.79</v>
      </c>
      <c r="F1136">
        <v>10.23</v>
      </c>
      <c r="G1136">
        <v>992.56</v>
      </c>
      <c r="H1136" s="14">
        <f t="shared" ref="H1136:H1137" si="521">C1136-D1136-F1136</f>
        <v>992.56</v>
      </c>
      <c r="I1136" s="14" t="b">
        <f t="shared" ref="I1136:I1137" si="522">G1136=H1136</f>
        <v>1</v>
      </c>
      <c r="J1136" s="2">
        <v>46003</v>
      </c>
      <c r="K1136" s="5">
        <v>1008011</v>
      </c>
      <c r="L1136" s="5">
        <v>3781</v>
      </c>
      <c r="M1136" s="5">
        <v>20.47</v>
      </c>
      <c r="N1136" s="5">
        <v>1023.26</v>
      </c>
      <c r="O1136" s="7">
        <v>45994</v>
      </c>
      <c r="P1136" s="5">
        <v>1002.79</v>
      </c>
      <c r="Q1136" s="5">
        <v>20.47</v>
      </c>
      <c r="R1136" s="5" t="s">
        <v>32</v>
      </c>
      <c r="S1136" s="5" t="s">
        <v>33</v>
      </c>
      <c r="T1136" s="5">
        <v>10.23</v>
      </c>
      <c r="U1136" s="5">
        <v>992.56</v>
      </c>
      <c r="V1136" s="5" t="s">
        <v>34</v>
      </c>
      <c r="W1136" s="5">
        <v>2</v>
      </c>
      <c r="X1136" s="5">
        <v>6182736448266</v>
      </c>
      <c r="Y1136" s="7">
        <v>46003</v>
      </c>
      <c r="Z1136" s="7">
        <v>45994</v>
      </c>
      <c r="AB1136" s="6">
        <v>46003</v>
      </c>
      <c r="AC1136" s="7">
        <v>46002.68472222222</v>
      </c>
      <c r="AD1136" s="5">
        <v>37811008011</v>
      </c>
      <c r="AE1136" s="8">
        <v>45994</v>
      </c>
      <c r="AF1136" s="5" t="s">
        <v>599</v>
      </c>
      <c r="AG1136" s="5" t="s">
        <v>37</v>
      </c>
      <c r="AH1136" s="5">
        <v>206356</v>
      </c>
      <c r="AI1136" s="6">
        <v>45994</v>
      </c>
      <c r="AJ1136" s="6">
        <v>46003</v>
      </c>
      <c r="AK1136" s="1">
        <f t="shared" ref="AK1136:AK1137" si="523">0.02*C1136</f>
        <v>20.465199999999999</v>
      </c>
    </row>
    <row r="1137" spans="1:37" x14ac:dyDescent="0.55000000000000004">
      <c r="A1137">
        <v>3781</v>
      </c>
      <c r="B1137">
        <v>1008012</v>
      </c>
      <c r="C1137">
        <v>596.41</v>
      </c>
      <c r="D1137" s="4">
        <v>11.93</v>
      </c>
      <c r="E1137">
        <v>584.48</v>
      </c>
      <c r="F1137">
        <v>5.96</v>
      </c>
      <c r="G1137">
        <v>578.52</v>
      </c>
      <c r="H1137" s="14">
        <f t="shared" si="521"/>
        <v>578.52</v>
      </c>
      <c r="I1137" s="14" t="b">
        <f t="shared" si="522"/>
        <v>1</v>
      </c>
      <c r="J1137" s="2">
        <v>46003</v>
      </c>
      <c r="K1137" s="5">
        <v>1008012</v>
      </c>
      <c r="L1137" s="5">
        <v>3781</v>
      </c>
      <c r="M1137" s="5">
        <v>11.93</v>
      </c>
      <c r="N1137" s="5">
        <v>596.41</v>
      </c>
      <c r="O1137" s="7">
        <v>45994</v>
      </c>
      <c r="P1137" s="5">
        <v>584.48</v>
      </c>
      <c r="Q1137" s="5">
        <v>11.93</v>
      </c>
      <c r="R1137" s="5" t="s">
        <v>32</v>
      </c>
      <c r="S1137" s="5" t="s">
        <v>33</v>
      </c>
      <c r="T1137" s="5">
        <v>5.96</v>
      </c>
      <c r="U1137" s="5">
        <v>578.52</v>
      </c>
      <c r="V1137" s="5" t="s">
        <v>34</v>
      </c>
      <c r="W1137" s="5">
        <v>2</v>
      </c>
      <c r="X1137" s="5">
        <v>6182736448266</v>
      </c>
      <c r="Y1137" s="7">
        <v>46003</v>
      </c>
      <c r="Z1137" s="7">
        <v>45994</v>
      </c>
      <c r="AB1137" s="6">
        <v>46003</v>
      </c>
      <c r="AC1137" s="7">
        <v>46002.68472222222</v>
      </c>
      <c r="AD1137" s="5">
        <v>37811008012</v>
      </c>
      <c r="AE1137" s="8">
        <v>45994</v>
      </c>
      <c r="AF1137" s="5" t="s">
        <v>599</v>
      </c>
      <c r="AG1137" s="5" t="s">
        <v>37</v>
      </c>
      <c r="AH1137" s="5">
        <v>206355</v>
      </c>
      <c r="AI1137" s="6">
        <v>45994</v>
      </c>
      <c r="AJ1137" s="6">
        <v>46003</v>
      </c>
      <c r="AK1137" s="1">
        <f t="shared" si="523"/>
        <v>11.9282</v>
      </c>
    </row>
    <row r="1138" spans="1:37" hidden="1" x14ac:dyDescent="0.55000000000000004">
      <c r="A1138">
        <v>3781</v>
      </c>
      <c r="B1138">
        <v>1008014</v>
      </c>
      <c r="C1138" s="1">
        <v>3163.39</v>
      </c>
      <c r="E1138" s="1">
        <v>3163.39</v>
      </c>
      <c r="F1138">
        <v>31.63</v>
      </c>
      <c r="G1138" s="1">
        <v>3131.76</v>
      </c>
      <c r="H1138" s="1"/>
      <c r="I1138" s="1"/>
      <c r="J1138" s="2">
        <v>46003</v>
      </c>
      <c r="K1138" s="5">
        <v>1008014</v>
      </c>
      <c r="L1138" s="5">
        <v>3781</v>
      </c>
      <c r="M1138" s="5">
        <v>0</v>
      </c>
      <c r="N1138" s="5">
        <v>3163.39</v>
      </c>
      <c r="O1138" s="7">
        <v>45994</v>
      </c>
      <c r="P1138" s="5">
        <v>3163.39</v>
      </c>
      <c r="Q1138" s="5">
        <v>0</v>
      </c>
      <c r="R1138" s="5" t="s">
        <v>32</v>
      </c>
      <c r="S1138" s="5" t="s">
        <v>33</v>
      </c>
      <c r="T1138" s="5">
        <v>31.63</v>
      </c>
      <c r="U1138" s="5">
        <v>3131.76</v>
      </c>
      <c r="V1138" s="5" t="s">
        <v>34</v>
      </c>
      <c r="W1138" s="5">
        <v>2</v>
      </c>
      <c r="X1138" s="5">
        <v>6182736448266</v>
      </c>
      <c r="Y1138" s="7">
        <v>46003</v>
      </c>
      <c r="Z1138" s="7">
        <v>45994</v>
      </c>
      <c r="AB1138" s="6">
        <v>46003</v>
      </c>
      <c r="AC1138" s="7">
        <v>46002.68472222222</v>
      </c>
      <c r="AD1138" s="5">
        <v>37811008014</v>
      </c>
      <c r="AE1138" s="8">
        <v>45994</v>
      </c>
      <c r="AF1138" s="5" t="s">
        <v>599</v>
      </c>
      <c r="AG1138" s="5" t="s">
        <v>38</v>
      </c>
      <c r="AH1138" s="5">
        <v>206357</v>
      </c>
      <c r="AI1138" s="6">
        <v>45994</v>
      </c>
      <c r="AJ1138" s="6">
        <v>46003</v>
      </c>
    </row>
    <row r="1139" spans="1:37" x14ac:dyDescent="0.55000000000000004">
      <c r="A1139">
        <v>3781</v>
      </c>
      <c r="B1139">
        <v>1008032</v>
      </c>
      <c r="C1139">
        <v>124.5</v>
      </c>
      <c r="D1139" s="4">
        <v>2.4900000000000002</v>
      </c>
      <c r="E1139">
        <v>122.01</v>
      </c>
      <c r="F1139">
        <v>1.25</v>
      </c>
      <c r="G1139">
        <v>120.76</v>
      </c>
      <c r="H1139" s="14">
        <f t="shared" ref="H1139:H1140" si="524">C1139-D1139-F1139</f>
        <v>120.76</v>
      </c>
      <c r="I1139" s="14" t="b">
        <f t="shared" ref="I1139:I1140" si="525">G1139=H1139</f>
        <v>1</v>
      </c>
      <c r="J1139" s="2">
        <v>46003</v>
      </c>
      <c r="K1139" s="5">
        <v>1008032</v>
      </c>
      <c r="L1139" s="5">
        <v>3781</v>
      </c>
      <c r="M1139" s="5">
        <v>2.4900000000000002</v>
      </c>
      <c r="N1139" s="5">
        <v>124.5</v>
      </c>
      <c r="O1139" s="7">
        <v>45994</v>
      </c>
      <c r="P1139" s="5">
        <v>122.01</v>
      </c>
      <c r="Q1139" s="5">
        <v>2.4900000000000002</v>
      </c>
      <c r="R1139" s="5" t="s">
        <v>32</v>
      </c>
      <c r="S1139" s="5" t="s">
        <v>33</v>
      </c>
      <c r="T1139" s="5">
        <v>1.25</v>
      </c>
      <c r="U1139" s="5">
        <v>120.76</v>
      </c>
      <c r="V1139" s="5" t="s">
        <v>34</v>
      </c>
      <c r="W1139" s="5">
        <v>2</v>
      </c>
      <c r="X1139" s="5">
        <v>6182736448266</v>
      </c>
      <c r="Y1139" s="7">
        <v>46003</v>
      </c>
      <c r="Z1139" s="7">
        <v>45994</v>
      </c>
      <c r="AB1139" s="6">
        <v>46003</v>
      </c>
      <c r="AC1139" s="7">
        <v>46002.68472222222</v>
      </c>
      <c r="AD1139" s="5">
        <v>37811008032</v>
      </c>
      <c r="AE1139" s="8">
        <v>45994</v>
      </c>
      <c r="AF1139" s="5">
        <v>69177</v>
      </c>
      <c r="AG1139" s="5" t="s">
        <v>37</v>
      </c>
      <c r="AH1139" s="5">
        <v>206061</v>
      </c>
      <c r="AI1139" s="6">
        <v>45994</v>
      </c>
      <c r="AJ1139" s="6">
        <v>46003</v>
      </c>
      <c r="AK1139" s="1">
        <f t="shared" ref="AK1139:AK1140" si="526">0.02*C1139</f>
        <v>2.4900000000000002</v>
      </c>
    </row>
    <row r="1140" spans="1:37" x14ac:dyDescent="0.55000000000000004">
      <c r="A1140">
        <v>3781</v>
      </c>
      <c r="B1140">
        <v>1008061</v>
      </c>
      <c r="C1140" s="1">
        <v>2456.56</v>
      </c>
      <c r="D1140" s="4">
        <v>49.13</v>
      </c>
      <c r="E1140" s="1">
        <v>2407.4299999999998</v>
      </c>
      <c r="F1140">
        <v>24.57</v>
      </c>
      <c r="G1140" s="1">
        <v>2382.86</v>
      </c>
      <c r="H1140" s="14">
        <f t="shared" si="524"/>
        <v>2382.8599999999997</v>
      </c>
      <c r="I1140" s="14" t="b">
        <f t="shared" si="525"/>
        <v>1</v>
      </c>
      <c r="J1140" s="2">
        <v>46003</v>
      </c>
      <c r="K1140" s="5">
        <v>1008061</v>
      </c>
      <c r="L1140" s="5">
        <v>3781</v>
      </c>
      <c r="M1140" s="5">
        <v>49.13</v>
      </c>
      <c r="N1140" s="5">
        <v>2456.56</v>
      </c>
      <c r="O1140" s="7">
        <v>45994</v>
      </c>
      <c r="P1140" s="5">
        <v>2407.4299999999998</v>
      </c>
      <c r="Q1140" s="5">
        <v>49.13</v>
      </c>
      <c r="R1140" s="5" t="s">
        <v>32</v>
      </c>
      <c r="S1140" s="5" t="s">
        <v>33</v>
      </c>
      <c r="T1140" s="5">
        <v>24.57</v>
      </c>
      <c r="U1140" s="5">
        <v>2382.86</v>
      </c>
      <c r="V1140" s="5" t="s">
        <v>34</v>
      </c>
      <c r="W1140" s="5">
        <v>2</v>
      </c>
      <c r="X1140" s="5">
        <v>6182736448266</v>
      </c>
      <c r="Y1140" s="7">
        <v>46003</v>
      </c>
      <c r="Z1140" s="7">
        <v>45994</v>
      </c>
      <c r="AB1140" s="6">
        <v>46003</v>
      </c>
      <c r="AC1140" s="7">
        <v>46002.68472222222</v>
      </c>
      <c r="AD1140" s="5">
        <v>37811008061</v>
      </c>
      <c r="AE1140" s="8">
        <v>45994</v>
      </c>
      <c r="AF1140" s="5">
        <v>69360</v>
      </c>
      <c r="AG1140" s="5" t="s">
        <v>37</v>
      </c>
      <c r="AH1140" s="5">
        <v>206519</v>
      </c>
      <c r="AI1140" s="6">
        <v>45994</v>
      </c>
      <c r="AJ1140" s="6">
        <v>46003</v>
      </c>
      <c r="AK1140" s="1">
        <f t="shared" si="526"/>
        <v>49.1312</v>
      </c>
    </row>
    <row r="1141" spans="1:37" hidden="1" x14ac:dyDescent="0.55000000000000004">
      <c r="A1141">
        <v>3781</v>
      </c>
      <c r="B1141">
        <v>1008062</v>
      </c>
      <c r="C1141" s="1">
        <v>-1080.74</v>
      </c>
      <c r="E1141" s="1">
        <v>-1080.74</v>
      </c>
      <c r="G1141" s="1">
        <v>-1080.74</v>
      </c>
      <c r="H1141" s="1"/>
      <c r="I1141" s="1"/>
      <c r="J1141" s="2">
        <v>46003</v>
      </c>
      <c r="K1141" s="5">
        <v>1008062</v>
      </c>
      <c r="L1141" s="5">
        <v>3781</v>
      </c>
      <c r="M1141" s="5">
        <v>0</v>
      </c>
      <c r="N1141" s="5">
        <v>-1080.74</v>
      </c>
      <c r="O1141" s="7">
        <v>45995</v>
      </c>
      <c r="P1141" s="5">
        <v>-1080.74</v>
      </c>
      <c r="Q1141" s="5">
        <v>0</v>
      </c>
      <c r="R1141" s="5" t="s">
        <v>600</v>
      </c>
      <c r="S1141" s="5" t="s">
        <v>33</v>
      </c>
      <c r="T1141" s="5">
        <v>0</v>
      </c>
      <c r="U1141" s="5">
        <v>-1080.74</v>
      </c>
      <c r="V1141" s="5" t="s">
        <v>34</v>
      </c>
      <c r="W1141" s="5">
        <v>2</v>
      </c>
      <c r="X1141" s="5">
        <v>6182736448266</v>
      </c>
      <c r="Y1141" s="7">
        <v>46003</v>
      </c>
      <c r="Z1141" s="7">
        <v>45995</v>
      </c>
      <c r="AB1141" s="6">
        <v>46003</v>
      </c>
      <c r="AC1141" s="7">
        <v>46002.68472222222</v>
      </c>
      <c r="AD1141" s="5">
        <v>37811008062</v>
      </c>
      <c r="AE1141" s="8">
        <v>45995</v>
      </c>
      <c r="AF1141" s="5" t="s">
        <v>41</v>
      </c>
      <c r="AG1141" s="5" t="s">
        <v>38</v>
      </c>
      <c r="AH1141" s="5" t="s">
        <v>600</v>
      </c>
      <c r="AI1141" s="6">
        <v>45995</v>
      </c>
      <c r="AJ1141" s="6">
        <v>46003</v>
      </c>
    </row>
    <row r="1142" spans="1:37" x14ac:dyDescent="0.55000000000000004">
      <c r="A1142">
        <v>3781</v>
      </c>
      <c r="B1142">
        <v>1008100</v>
      </c>
      <c r="C1142">
        <v>392.44</v>
      </c>
      <c r="D1142" s="4">
        <v>7.85</v>
      </c>
      <c r="E1142">
        <v>384.59</v>
      </c>
      <c r="F1142">
        <v>3.92</v>
      </c>
      <c r="G1142">
        <v>380.67</v>
      </c>
      <c r="H1142" s="14">
        <f t="shared" ref="H1142:H1147" si="527">C1142-D1142-F1142</f>
        <v>380.66999999999996</v>
      </c>
      <c r="I1142" s="14" t="b">
        <f t="shared" ref="I1142:I1147" si="528">G1142=H1142</f>
        <v>1</v>
      </c>
      <c r="J1142" s="2">
        <v>46003</v>
      </c>
      <c r="K1142" s="5">
        <v>1008100</v>
      </c>
      <c r="L1142" s="5">
        <v>3781</v>
      </c>
      <c r="M1142" s="5">
        <v>7.85</v>
      </c>
      <c r="N1142" s="5">
        <v>392.44</v>
      </c>
      <c r="O1142" s="7">
        <v>45995</v>
      </c>
      <c r="P1142" s="5">
        <v>384.59</v>
      </c>
      <c r="Q1142" s="5">
        <v>7.85</v>
      </c>
      <c r="R1142" s="5" t="s">
        <v>32</v>
      </c>
      <c r="S1142" s="5" t="s">
        <v>33</v>
      </c>
      <c r="T1142" s="5">
        <v>3.92</v>
      </c>
      <c r="U1142" s="5">
        <v>380.67</v>
      </c>
      <c r="V1142" s="5" t="s">
        <v>34</v>
      </c>
      <c r="W1142" s="5">
        <v>2</v>
      </c>
      <c r="X1142" s="5">
        <v>6182736448266</v>
      </c>
      <c r="Y1142" s="7">
        <v>46003</v>
      </c>
      <c r="Z1142" s="7">
        <v>45995</v>
      </c>
      <c r="AB1142" s="6">
        <v>46003</v>
      </c>
      <c r="AC1142" s="7">
        <v>46002.68472222222</v>
      </c>
      <c r="AD1142" s="5">
        <v>37811008100</v>
      </c>
      <c r="AE1142" s="8">
        <v>45995</v>
      </c>
      <c r="AF1142" s="5" t="s">
        <v>601</v>
      </c>
      <c r="AG1142" s="5" t="s">
        <v>37</v>
      </c>
      <c r="AH1142" s="5">
        <v>206385</v>
      </c>
      <c r="AI1142" s="6">
        <v>45995</v>
      </c>
      <c r="AJ1142" s="6">
        <v>46003</v>
      </c>
      <c r="AK1142" s="1">
        <f t="shared" ref="AK1142:AK1147" si="529">0.02*C1142</f>
        <v>7.8487999999999998</v>
      </c>
    </row>
    <row r="1143" spans="1:37" x14ac:dyDescent="0.55000000000000004">
      <c r="A1143">
        <v>3781</v>
      </c>
      <c r="B1143">
        <v>1008101</v>
      </c>
      <c r="C1143">
        <v>61.88</v>
      </c>
      <c r="D1143" s="4">
        <v>1.24</v>
      </c>
      <c r="E1143">
        <v>60.64</v>
      </c>
      <c r="F1143">
        <v>0.62</v>
      </c>
      <c r="G1143">
        <v>60.02</v>
      </c>
      <c r="H1143" s="14">
        <f t="shared" si="527"/>
        <v>60.02</v>
      </c>
      <c r="I1143" s="14" t="b">
        <f t="shared" si="528"/>
        <v>1</v>
      </c>
      <c r="J1143" s="2">
        <v>46003</v>
      </c>
      <c r="K1143" s="5">
        <v>1008101</v>
      </c>
      <c r="L1143" s="5">
        <v>3781</v>
      </c>
      <c r="M1143" s="5">
        <v>1.24</v>
      </c>
      <c r="N1143" s="5">
        <v>61.88</v>
      </c>
      <c r="O1143" s="7">
        <v>45995</v>
      </c>
      <c r="P1143" s="5">
        <v>60.64</v>
      </c>
      <c r="Q1143" s="5">
        <v>1.24</v>
      </c>
      <c r="R1143" s="5" t="s">
        <v>32</v>
      </c>
      <c r="S1143" s="5" t="s">
        <v>33</v>
      </c>
      <c r="T1143" s="5">
        <v>0.62</v>
      </c>
      <c r="U1143" s="5">
        <v>60.02</v>
      </c>
      <c r="V1143" s="5" t="s">
        <v>34</v>
      </c>
      <c r="W1143" s="5">
        <v>2</v>
      </c>
      <c r="X1143" s="5">
        <v>6182736448266</v>
      </c>
      <c r="Y1143" s="7">
        <v>46003</v>
      </c>
      <c r="Z1143" s="7">
        <v>45995</v>
      </c>
      <c r="AB1143" s="6">
        <v>46003</v>
      </c>
      <c r="AC1143" s="7">
        <v>46002.68472222222</v>
      </c>
      <c r="AD1143" s="5">
        <v>37811008101</v>
      </c>
      <c r="AE1143" s="8">
        <v>45995</v>
      </c>
      <c r="AF1143" s="5">
        <v>69038</v>
      </c>
      <c r="AG1143" s="5" t="s">
        <v>37</v>
      </c>
      <c r="AH1143" s="5">
        <v>206381</v>
      </c>
      <c r="AI1143" s="6">
        <v>45995</v>
      </c>
      <c r="AJ1143" s="6">
        <v>46003</v>
      </c>
      <c r="AK1143" s="1">
        <f t="shared" si="529"/>
        <v>1.2376</v>
      </c>
    </row>
    <row r="1144" spans="1:37" x14ac:dyDescent="0.55000000000000004">
      <c r="A1144">
        <v>3781</v>
      </c>
      <c r="B1144">
        <v>1008103</v>
      </c>
      <c r="C1144">
        <v>80.95</v>
      </c>
      <c r="D1144" s="4">
        <v>1.62</v>
      </c>
      <c r="E1144">
        <v>79.33</v>
      </c>
      <c r="F1144">
        <v>0.81</v>
      </c>
      <c r="G1144">
        <v>78.52</v>
      </c>
      <c r="H1144" s="14">
        <f t="shared" si="527"/>
        <v>78.52</v>
      </c>
      <c r="I1144" s="14" t="b">
        <f t="shared" si="528"/>
        <v>1</v>
      </c>
      <c r="J1144" s="2">
        <v>46003</v>
      </c>
      <c r="K1144" s="5">
        <v>1008103</v>
      </c>
      <c r="L1144" s="5">
        <v>3781</v>
      </c>
      <c r="M1144" s="5">
        <v>1.62</v>
      </c>
      <c r="N1144" s="5">
        <v>80.95</v>
      </c>
      <c r="O1144" s="7">
        <v>45995</v>
      </c>
      <c r="P1144" s="5">
        <v>79.33</v>
      </c>
      <c r="Q1144" s="5">
        <v>1.62</v>
      </c>
      <c r="R1144" s="5" t="s">
        <v>32</v>
      </c>
      <c r="S1144" s="5" t="s">
        <v>33</v>
      </c>
      <c r="T1144" s="5">
        <v>0.81</v>
      </c>
      <c r="U1144" s="5">
        <v>78.52</v>
      </c>
      <c r="V1144" s="5" t="s">
        <v>34</v>
      </c>
      <c r="W1144" s="5">
        <v>2</v>
      </c>
      <c r="X1144" s="5">
        <v>6182736448266</v>
      </c>
      <c r="Y1144" s="7">
        <v>46003</v>
      </c>
      <c r="Z1144" s="7">
        <v>45995</v>
      </c>
      <c r="AB1144" s="6">
        <v>46003</v>
      </c>
      <c r="AC1144" s="7">
        <v>46002.68472222222</v>
      </c>
      <c r="AD1144" s="5">
        <v>37811008103</v>
      </c>
      <c r="AE1144" s="8">
        <v>45995</v>
      </c>
      <c r="AF1144" s="5">
        <v>69268</v>
      </c>
      <c r="AG1144" s="5" t="s">
        <v>37</v>
      </c>
      <c r="AH1144" s="5">
        <v>206383</v>
      </c>
      <c r="AI1144" s="6">
        <v>45995</v>
      </c>
      <c r="AJ1144" s="6">
        <v>46003</v>
      </c>
      <c r="AK1144" s="1">
        <f t="shared" si="529"/>
        <v>1.619</v>
      </c>
    </row>
    <row r="1145" spans="1:37" x14ac:dyDescent="0.55000000000000004">
      <c r="A1145">
        <v>3781</v>
      </c>
      <c r="B1145">
        <v>1008106</v>
      </c>
      <c r="C1145">
        <v>401.75</v>
      </c>
      <c r="D1145" s="4">
        <v>8.0399999999999991</v>
      </c>
      <c r="E1145">
        <v>393.71</v>
      </c>
      <c r="F1145">
        <v>4.0199999999999996</v>
      </c>
      <c r="G1145">
        <v>389.69</v>
      </c>
      <c r="H1145" s="14">
        <f t="shared" si="527"/>
        <v>389.69</v>
      </c>
      <c r="I1145" s="14" t="b">
        <f t="shared" si="528"/>
        <v>1</v>
      </c>
      <c r="J1145" s="2">
        <v>46003</v>
      </c>
      <c r="K1145" s="5">
        <v>1008106</v>
      </c>
      <c r="L1145" s="5">
        <v>3781</v>
      </c>
      <c r="M1145" s="5">
        <v>8.0399999999999991</v>
      </c>
      <c r="N1145" s="5">
        <v>401.75</v>
      </c>
      <c r="O1145" s="7">
        <v>45995</v>
      </c>
      <c r="P1145" s="5">
        <v>393.71</v>
      </c>
      <c r="Q1145" s="5">
        <v>8.0399999999999991</v>
      </c>
      <c r="R1145" s="5" t="s">
        <v>32</v>
      </c>
      <c r="S1145" s="5" t="s">
        <v>33</v>
      </c>
      <c r="T1145" s="5">
        <v>4.0199999999999996</v>
      </c>
      <c r="U1145" s="5">
        <v>389.69</v>
      </c>
      <c r="V1145" s="5" t="s">
        <v>34</v>
      </c>
      <c r="W1145" s="5">
        <v>2</v>
      </c>
      <c r="X1145" s="5">
        <v>6182736448266</v>
      </c>
      <c r="Y1145" s="7">
        <v>46003</v>
      </c>
      <c r="Z1145" s="7">
        <v>45995</v>
      </c>
      <c r="AB1145" s="6">
        <v>46003</v>
      </c>
      <c r="AC1145" s="7">
        <v>46002.68472222222</v>
      </c>
      <c r="AD1145" s="5">
        <v>37811008106</v>
      </c>
      <c r="AE1145" s="8">
        <v>45995</v>
      </c>
      <c r="AF1145" s="5">
        <v>69124</v>
      </c>
      <c r="AG1145" s="5" t="s">
        <v>37</v>
      </c>
      <c r="AH1145" s="5">
        <v>206382</v>
      </c>
      <c r="AI1145" s="6">
        <v>45995</v>
      </c>
      <c r="AJ1145" s="6">
        <v>46003</v>
      </c>
      <c r="AK1145" s="1">
        <f t="shared" si="529"/>
        <v>8.0350000000000001</v>
      </c>
    </row>
    <row r="1146" spans="1:37" x14ac:dyDescent="0.55000000000000004">
      <c r="A1146">
        <v>3781</v>
      </c>
      <c r="B1146">
        <v>1008107</v>
      </c>
      <c r="C1146">
        <v>269.64</v>
      </c>
      <c r="D1146" s="4">
        <v>5.39</v>
      </c>
      <c r="E1146">
        <v>264.25</v>
      </c>
      <c r="F1146">
        <v>2.7</v>
      </c>
      <c r="G1146">
        <v>261.55</v>
      </c>
      <c r="H1146" s="14">
        <f t="shared" si="527"/>
        <v>261.55</v>
      </c>
      <c r="I1146" s="14" t="b">
        <f t="shared" si="528"/>
        <v>1</v>
      </c>
      <c r="J1146" s="2">
        <v>46003</v>
      </c>
      <c r="K1146" s="5">
        <v>1008107</v>
      </c>
      <c r="L1146" s="5">
        <v>3781</v>
      </c>
      <c r="M1146" s="5">
        <v>5.39</v>
      </c>
      <c r="N1146" s="5">
        <v>269.64</v>
      </c>
      <c r="O1146" s="7">
        <v>45995</v>
      </c>
      <c r="P1146" s="5">
        <v>264.25</v>
      </c>
      <c r="Q1146" s="5">
        <v>5.39</v>
      </c>
      <c r="R1146" s="5" t="s">
        <v>32</v>
      </c>
      <c r="S1146" s="5" t="s">
        <v>33</v>
      </c>
      <c r="T1146" s="5">
        <v>2.7</v>
      </c>
      <c r="U1146" s="5">
        <v>261.55</v>
      </c>
      <c r="V1146" s="5" t="s">
        <v>34</v>
      </c>
      <c r="W1146" s="5">
        <v>2</v>
      </c>
      <c r="X1146" s="5">
        <v>6182736448266</v>
      </c>
      <c r="Y1146" s="7">
        <v>46003</v>
      </c>
      <c r="Z1146" s="7">
        <v>45995</v>
      </c>
      <c r="AB1146" s="6">
        <v>46003</v>
      </c>
      <c r="AC1146" s="7">
        <v>46002.68472222222</v>
      </c>
      <c r="AD1146" s="5">
        <v>37811008107</v>
      </c>
      <c r="AE1146" s="8">
        <v>45995</v>
      </c>
      <c r="AF1146" s="5">
        <v>69246</v>
      </c>
      <c r="AG1146" s="5" t="s">
        <v>37</v>
      </c>
      <c r="AH1146" s="5">
        <v>206384</v>
      </c>
      <c r="AI1146" s="6">
        <v>45995</v>
      </c>
      <c r="AJ1146" s="6">
        <v>46003</v>
      </c>
      <c r="AK1146" s="1">
        <f t="shared" si="529"/>
        <v>5.3928000000000003</v>
      </c>
    </row>
    <row r="1147" spans="1:37" x14ac:dyDescent="0.55000000000000004">
      <c r="A1147">
        <v>3781</v>
      </c>
      <c r="B1147">
        <v>1008108</v>
      </c>
      <c r="C1147">
        <v>522.9</v>
      </c>
      <c r="D1147" s="4">
        <v>10.46</v>
      </c>
      <c r="E1147">
        <v>512.44000000000005</v>
      </c>
      <c r="F1147">
        <v>5.23</v>
      </c>
      <c r="G1147">
        <v>507.21</v>
      </c>
      <c r="H1147" s="14">
        <f t="shared" si="527"/>
        <v>507.20999999999992</v>
      </c>
      <c r="I1147" s="14" t="b">
        <f t="shared" si="528"/>
        <v>1</v>
      </c>
      <c r="J1147" s="2">
        <v>46003</v>
      </c>
      <c r="K1147" s="5">
        <v>1008108</v>
      </c>
      <c r="L1147" s="5">
        <v>3781</v>
      </c>
      <c r="M1147" s="5">
        <v>10.46</v>
      </c>
      <c r="N1147" s="5">
        <v>522.9</v>
      </c>
      <c r="O1147" s="7">
        <v>45995</v>
      </c>
      <c r="P1147" s="5">
        <v>512.44000000000005</v>
      </c>
      <c r="Q1147" s="5">
        <v>10.46</v>
      </c>
      <c r="R1147" s="5" t="s">
        <v>32</v>
      </c>
      <c r="S1147" s="5" t="s">
        <v>33</v>
      </c>
      <c r="T1147" s="5">
        <v>5.23</v>
      </c>
      <c r="U1147" s="5">
        <v>507.21</v>
      </c>
      <c r="V1147" s="5" t="s">
        <v>34</v>
      </c>
      <c r="W1147" s="5">
        <v>2</v>
      </c>
      <c r="X1147" s="5">
        <v>6182736448266</v>
      </c>
      <c r="Y1147" s="7">
        <v>46003</v>
      </c>
      <c r="Z1147" s="7">
        <v>45995</v>
      </c>
      <c r="AB1147" s="6">
        <v>46003</v>
      </c>
      <c r="AC1147" s="7">
        <v>46002.68472222222</v>
      </c>
      <c r="AD1147" s="5">
        <v>37811008108</v>
      </c>
      <c r="AE1147" s="8">
        <v>45995</v>
      </c>
      <c r="AF1147" s="5">
        <v>68902</v>
      </c>
      <c r="AG1147" s="5" t="s">
        <v>37</v>
      </c>
      <c r="AH1147" s="5">
        <v>206380</v>
      </c>
      <c r="AI1147" s="6">
        <v>45995</v>
      </c>
      <c r="AJ1147" s="6">
        <v>46003</v>
      </c>
      <c r="AK1147" s="1">
        <f t="shared" si="529"/>
        <v>10.458</v>
      </c>
    </row>
    <row r="1148" spans="1:37" hidden="1" x14ac:dyDescent="0.55000000000000004">
      <c r="A1148">
        <v>3781</v>
      </c>
      <c r="B1148">
        <v>1008184</v>
      </c>
      <c r="C1148" s="1">
        <v>1679.96</v>
      </c>
      <c r="E1148" s="1">
        <v>1679.96</v>
      </c>
      <c r="F1148">
        <v>16.8</v>
      </c>
      <c r="G1148" s="1">
        <v>1663.16</v>
      </c>
      <c r="H1148" s="1"/>
      <c r="I1148" s="1"/>
      <c r="J1148" s="2">
        <v>46003</v>
      </c>
      <c r="K1148" s="5">
        <v>1008184</v>
      </c>
      <c r="L1148" s="5">
        <v>3781</v>
      </c>
      <c r="M1148" s="5">
        <v>0</v>
      </c>
      <c r="N1148" s="5">
        <v>1679.96</v>
      </c>
      <c r="O1148" s="7">
        <v>45995</v>
      </c>
      <c r="P1148" s="5">
        <v>1679.96</v>
      </c>
      <c r="Q1148" s="5">
        <v>0</v>
      </c>
      <c r="R1148" s="5" t="s">
        <v>32</v>
      </c>
      <c r="S1148" s="5" t="s">
        <v>33</v>
      </c>
      <c r="T1148" s="5">
        <v>16.8</v>
      </c>
      <c r="U1148" s="5">
        <v>1663.16</v>
      </c>
      <c r="V1148" s="5" t="s">
        <v>34</v>
      </c>
      <c r="W1148" s="5">
        <v>2</v>
      </c>
      <c r="X1148" s="5">
        <v>6182736448266</v>
      </c>
      <c r="Y1148" s="7">
        <v>46003</v>
      </c>
      <c r="Z1148" s="7">
        <v>45995</v>
      </c>
      <c r="AB1148" s="6">
        <v>46003</v>
      </c>
      <c r="AC1148" s="7">
        <v>46002.68472222222</v>
      </c>
      <c r="AD1148" s="5">
        <v>37811008184</v>
      </c>
      <c r="AE1148" s="8">
        <v>45995</v>
      </c>
      <c r="AF1148" s="5" t="s">
        <v>599</v>
      </c>
      <c r="AG1148" s="5" t="s">
        <v>38</v>
      </c>
      <c r="AH1148" s="5">
        <v>206646</v>
      </c>
      <c r="AI1148" s="6">
        <v>45995</v>
      </c>
      <c r="AJ1148" s="6">
        <v>46003</v>
      </c>
    </row>
    <row r="1149" spans="1:37" x14ac:dyDescent="0.55000000000000004">
      <c r="A1149">
        <v>3781</v>
      </c>
      <c r="B1149">
        <v>1008219</v>
      </c>
      <c r="C1149">
        <v>169.4</v>
      </c>
      <c r="D1149" s="4">
        <v>3.39</v>
      </c>
      <c r="E1149">
        <v>166.01</v>
      </c>
      <c r="F1149">
        <v>1.69</v>
      </c>
      <c r="G1149">
        <v>164.32</v>
      </c>
      <c r="H1149" s="14">
        <f t="shared" ref="H1149:H1150" si="530">C1149-D1149-F1149</f>
        <v>164.32000000000002</v>
      </c>
      <c r="I1149" s="14" t="b">
        <f t="shared" ref="I1149:I1150" si="531">G1149=H1149</f>
        <v>1</v>
      </c>
      <c r="J1149" s="2">
        <v>46003</v>
      </c>
      <c r="K1149" s="5">
        <v>1008219</v>
      </c>
      <c r="L1149" s="5">
        <v>3781</v>
      </c>
      <c r="M1149" s="5">
        <v>3.39</v>
      </c>
      <c r="N1149" s="5">
        <v>169.4</v>
      </c>
      <c r="O1149" s="7">
        <v>45995</v>
      </c>
      <c r="P1149" s="5">
        <v>166.01</v>
      </c>
      <c r="Q1149" s="5">
        <v>3.39</v>
      </c>
      <c r="R1149" s="5" t="s">
        <v>32</v>
      </c>
      <c r="S1149" s="5" t="s">
        <v>33</v>
      </c>
      <c r="T1149" s="5">
        <v>1.69</v>
      </c>
      <c r="U1149" s="5">
        <v>164.32</v>
      </c>
      <c r="V1149" s="5" t="s">
        <v>34</v>
      </c>
      <c r="W1149" s="5">
        <v>2</v>
      </c>
      <c r="X1149" s="5">
        <v>6182736448266</v>
      </c>
      <c r="Y1149" s="7">
        <v>46003</v>
      </c>
      <c r="Z1149" s="7">
        <v>45995</v>
      </c>
      <c r="AB1149" s="6">
        <v>46003</v>
      </c>
      <c r="AC1149" s="7">
        <v>46002.68472222222</v>
      </c>
      <c r="AD1149" s="5">
        <v>37811008219</v>
      </c>
      <c r="AE1149" s="8">
        <v>45995</v>
      </c>
      <c r="AF1149" s="5" t="s">
        <v>602</v>
      </c>
      <c r="AG1149" s="5" t="s">
        <v>37</v>
      </c>
      <c r="AH1149" s="5">
        <v>206566</v>
      </c>
      <c r="AI1149" s="6">
        <v>45995</v>
      </c>
      <c r="AJ1149" s="6">
        <v>46003</v>
      </c>
      <c r="AK1149" s="1">
        <f t="shared" ref="AK1149:AK1150" si="532">0.02*C1149</f>
        <v>3.3880000000000003</v>
      </c>
    </row>
    <row r="1150" spans="1:37" x14ac:dyDescent="0.55000000000000004">
      <c r="A1150">
        <v>3781</v>
      </c>
      <c r="B1150">
        <v>1008224</v>
      </c>
      <c r="C1150" s="1">
        <v>3516.43</v>
      </c>
      <c r="D1150" s="4">
        <v>70.33</v>
      </c>
      <c r="E1150" s="1">
        <v>3446.1</v>
      </c>
      <c r="F1150">
        <v>35.159999999999997</v>
      </c>
      <c r="G1150" s="1">
        <v>3410.94</v>
      </c>
      <c r="H1150" s="14">
        <f t="shared" si="530"/>
        <v>3410.94</v>
      </c>
      <c r="I1150" s="14" t="b">
        <f t="shared" si="531"/>
        <v>1</v>
      </c>
      <c r="J1150" s="2">
        <v>46003</v>
      </c>
      <c r="K1150" s="5">
        <v>1008224</v>
      </c>
      <c r="L1150" s="5">
        <v>3781</v>
      </c>
      <c r="M1150" s="5">
        <v>70.33</v>
      </c>
      <c r="N1150" s="5">
        <v>3516.43</v>
      </c>
      <c r="O1150" s="7">
        <v>45995</v>
      </c>
      <c r="P1150" s="5">
        <v>3446.1</v>
      </c>
      <c r="Q1150" s="5">
        <v>70.33</v>
      </c>
      <c r="R1150" s="5" t="s">
        <v>32</v>
      </c>
      <c r="S1150" s="5" t="s">
        <v>33</v>
      </c>
      <c r="T1150" s="5">
        <v>35.159999999999997</v>
      </c>
      <c r="U1150" s="5">
        <v>3410.94</v>
      </c>
      <c r="V1150" s="5" t="s">
        <v>34</v>
      </c>
      <c r="W1150" s="5">
        <v>2</v>
      </c>
      <c r="X1150" s="5">
        <v>6182736448266</v>
      </c>
      <c r="Y1150" s="7">
        <v>46003</v>
      </c>
      <c r="Z1150" s="7">
        <v>45995</v>
      </c>
      <c r="AB1150" s="6">
        <v>46003</v>
      </c>
      <c r="AC1150" s="7">
        <v>46002.68472222222</v>
      </c>
      <c r="AD1150" s="5">
        <v>37811008224</v>
      </c>
      <c r="AE1150" s="8">
        <v>45995</v>
      </c>
      <c r="AF1150" s="5">
        <v>69360</v>
      </c>
      <c r="AG1150" s="5" t="s">
        <v>37</v>
      </c>
      <c r="AH1150" s="5">
        <v>206524</v>
      </c>
      <c r="AI1150" s="6">
        <v>45995</v>
      </c>
      <c r="AJ1150" s="6">
        <v>46003</v>
      </c>
      <c r="AK1150" s="1">
        <f t="shared" si="532"/>
        <v>70.328599999999994</v>
      </c>
    </row>
    <row r="1151" spans="1:37" hidden="1" x14ac:dyDescent="0.55000000000000004">
      <c r="A1151">
        <v>3781</v>
      </c>
      <c r="B1151">
        <v>1008228</v>
      </c>
      <c r="C1151" s="1">
        <v>9658.61</v>
      </c>
      <c r="E1151" s="1">
        <v>9658.61</v>
      </c>
      <c r="F1151">
        <v>96.59</v>
      </c>
      <c r="G1151" s="1">
        <v>9562.02</v>
      </c>
      <c r="H1151" s="1"/>
      <c r="I1151" s="1"/>
      <c r="J1151" s="2">
        <v>46003</v>
      </c>
      <c r="K1151" s="5">
        <v>1008228</v>
      </c>
      <c r="L1151" s="5">
        <v>3781</v>
      </c>
      <c r="M1151" s="5">
        <v>0</v>
      </c>
      <c r="N1151" s="5">
        <v>9658.61</v>
      </c>
      <c r="O1151" s="7">
        <v>45995</v>
      </c>
      <c r="P1151" s="5">
        <v>9658.61</v>
      </c>
      <c r="Q1151" s="5">
        <v>0</v>
      </c>
      <c r="R1151" s="5" t="s">
        <v>32</v>
      </c>
      <c r="S1151" s="5" t="s">
        <v>33</v>
      </c>
      <c r="T1151" s="5">
        <v>96.59</v>
      </c>
      <c r="U1151" s="5">
        <v>9562.02</v>
      </c>
      <c r="V1151" s="5" t="s">
        <v>34</v>
      </c>
      <c r="W1151" s="5">
        <v>2</v>
      </c>
      <c r="X1151" s="5">
        <v>6182736448266</v>
      </c>
      <c r="Y1151" s="7">
        <v>46003</v>
      </c>
      <c r="Z1151" s="7">
        <v>45995</v>
      </c>
      <c r="AB1151" s="6">
        <v>46003</v>
      </c>
      <c r="AC1151" s="7">
        <v>46002.68472222222</v>
      </c>
      <c r="AD1151" s="5">
        <v>37811008228</v>
      </c>
      <c r="AE1151" s="8">
        <v>45995</v>
      </c>
      <c r="AF1151" s="5">
        <v>69360</v>
      </c>
      <c r="AG1151" s="5" t="s">
        <v>38</v>
      </c>
      <c r="AH1151" s="5">
        <v>206525</v>
      </c>
      <c r="AI1151" s="6">
        <v>45995</v>
      </c>
      <c r="AJ1151" s="6">
        <v>46003</v>
      </c>
    </row>
    <row r="1152" spans="1:37" hidden="1" x14ac:dyDescent="0.55000000000000004">
      <c r="A1152">
        <v>3781</v>
      </c>
      <c r="B1152">
        <v>1008290</v>
      </c>
      <c r="C1152">
        <v>-50</v>
      </c>
      <c r="E1152">
        <v>-50</v>
      </c>
      <c r="G1152">
        <v>-50</v>
      </c>
      <c r="H1152"/>
      <c r="I1152"/>
      <c r="J1152" s="2">
        <v>46003</v>
      </c>
      <c r="K1152" s="5">
        <v>1008290</v>
      </c>
      <c r="L1152" s="5">
        <v>3781</v>
      </c>
      <c r="M1152" s="5">
        <v>0</v>
      </c>
      <c r="N1152" s="5">
        <v>-50</v>
      </c>
      <c r="O1152" s="7">
        <v>45995</v>
      </c>
      <c r="P1152" s="5">
        <v>-50</v>
      </c>
      <c r="Q1152" s="5">
        <v>0</v>
      </c>
      <c r="R1152" s="5" t="s">
        <v>40</v>
      </c>
      <c r="S1152" s="5" t="s">
        <v>33</v>
      </c>
      <c r="T1152" s="5">
        <v>0</v>
      </c>
      <c r="U1152" s="5">
        <v>-50</v>
      </c>
      <c r="V1152" s="5" t="s">
        <v>34</v>
      </c>
      <c r="W1152" s="5">
        <v>2</v>
      </c>
      <c r="X1152" s="5">
        <v>6182736448266</v>
      </c>
      <c r="Y1152" s="7">
        <v>46003</v>
      </c>
      <c r="Z1152" s="7">
        <v>45995</v>
      </c>
      <c r="AB1152" s="6">
        <v>46003</v>
      </c>
      <c r="AC1152" s="7">
        <v>46002.68472222222</v>
      </c>
      <c r="AD1152" s="5">
        <v>37811008290</v>
      </c>
      <c r="AE1152" s="8">
        <v>45995</v>
      </c>
      <c r="AF1152" s="5" t="s">
        <v>41</v>
      </c>
      <c r="AG1152" s="5" t="s">
        <v>38</v>
      </c>
      <c r="AH1152" s="5" t="s">
        <v>40</v>
      </c>
      <c r="AI1152" s="6">
        <v>45995</v>
      </c>
      <c r="AJ1152" s="6">
        <v>46003</v>
      </c>
    </row>
    <row r="1153" spans="1:37" hidden="1" x14ac:dyDescent="0.55000000000000004">
      <c r="A1153">
        <v>3781</v>
      </c>
      <c r="B1153">
        <v>1008345</v>
      </c>
      <c r="C1153" s="1">
        <v>3940.42</v>
      </c>
      <c r="E1153" s="1">
        <v>3940.42</v>
      </c>
      <c r="F1153">
        <v>39.4</v>
      </c>
      <c r="G1153" s="1">
        <v>3901.02</v>
      </c>
      <c r="H1153" s="1"/>
      <c r="I1153" s="1"/>
      <c r="J1153" s="2">
        <v>46003</v>
      </c>
      <c r="K1153" s="5">
        <v>1008345</v>
      </c>
      <c r="L1153" s="5">
        <v>3781</v>
      </c>
      <c r="M1153" s="5">
        <v>0</v>
      </c>
      <c r="N1153" s="5">
        <v>3940.42</v>
      </c>
      <c r="O1153" s="7">
        <v>45996</v>
      </c>
      <c r="P1153" s="5">
        <v>3940.42</v>
      </c>
      <c r="Q1153" s="5">
        <v>0</v>
      </c>
      <c r="R1153" s="5" t="s">
        <v>603</v>
      </c>
      <c r="S1153" s="5" t="s">
        <v>43</v>
      </c>
      <c r="T1153" s="5">
        <v>39.4</v>
      </c>
      <c r="U1153" s="5">
        <v>3901.02</v>
      </c>
      <c r="V1153" s="5" t="s">
        <v>34</v>
      </c>
      <c r="W1153" s="5">
        <v>2</v>
      </c>
      <c r="X1153" s="5">
        <v>6182736448266</v>
      </c>
      <c r="Y1153" s="7">
        <v>46003</v>
      </c>
      <c r="Z1153" s="7">
        <v>45996</v>
      </c>
      <c r="AB1153" s="6">
        <v>46003</v>
      </c>
      <c r="AC1153" s="7">
        <v>46002.68472222222</v>
      </c>
      <c r="AD1153" s="5">
        <v>37811008345</v>
      </c>
      <c r="AE1153" s="8">
        <v>45996</v>
      </c>
      <c r="AF1153" s="5">
        <v>69327</v>
      </c>
      <c r="AG1153" s="5" t="s">
        <v>38</v>
      </c>
      <c r="AH1153" s="5" t="s">
        <v>603</v>
      </c>
      <c r="AI1153" s="6">
        <v>45996</v>
      </c>
      <c r="AJ1153" s="6">
        <v>46003</v>
      </c>
    </row>
    <row r="1154" spans="1:37" hidden="1" x14ac:dyDescent="0.55000000000000004">
      <c r="A1154">
        <v>3781</v>
      </c>
      <c r="B1154">
        <v>1008371</v>
      </c>
      <c r="C1154">
        <v>123.48</v>
      </c>
      <c r="E1154">
        <v>123.48</v>
      </c>
      <c r="F1154">
        <v>1.23</v>
      </c>
      <c r="G1154">
        <v>122.25</v>
      </c>
      <c r="H1154"/>
      <c r="I1154"/>
      <c r="J1154" s="2">
        <v>46003</v>
      </c>
      <c r="K1154" s="5">
        <v>1008371</v>
      </c>
      <c r="L1154" s="5">
        <v>3781</v>
      </c>
      <c r="M1154" s="5">
        <v>0</v>
      </c>
      <c r="N1154" s="5">
        <v>123.48</v>
      </c>
      <c r="O1154" s="7">
        <v>45996</v>
      </c>
      <c r="P1154" s="5">
        <v>123.48</v>
      </c>
      <c r="Q1154" s="5">
        <v>0</v>
      </c>
      <c r="R1154" s="5" t="s">
        <v>604</v>
      </c>
      <c r="S1154" s="5" t="s">
        <v>138</v>
      </c>
      <c r="T1154" s="5">
        <v>1.23</v>
      </c>
      <c r="U1154" s="5">
        <v>122.25</v>
      </c>
      <c r="V1154" s="5" t="s">
        <v>34</v>
      </c>
      <c r="W1154" s="5">
        <v>2</v>
      </c>
      <c r="X1154" s="5">
        <v>6182736448266</v>
      </c>
      <c r="Y1154" s="7">
        <v>46003</v>
      </c>
      <c r="Z1154" s="7">
        <v>45996</v>
      </c>
      <c r="AB1154" s="6">
        <v>46003</v>
      </c>
      <c r="AC1154" s="7">
        <v>46002.68472222222</v>
      </c>
      <c r="AD1154" s="5">
        <v>37811008371</v>
      </c>
      <c r="AE1154" s="8">
        <v>45996</v>
      </c>
      <c r="AF1154" s="5">
        <v>215217</v>
      </c>
      <c r="AG1154" s="5" t="s">
        <v>38</v>
      </c>
      <c r="AH1154" s="5" t="s">
        <v>604</v>
      </c>
      <c r="AI1154" s="6">
        <v>45996</v>
      </c>
      <c r="AJ1154" s="6">
        <v>46003</v>
      </c>
    </row>
    <row r="1155" spans="1:37" hidden="1" x14ac:dyDescent="0.55000000000000004">
      <c r="A1155">
        <v>3781</v>
      </c>
      <c r="B1155">
        <v>1008380</v>
      </c>
      <c r="C1155">
        <v>280.02999999999997</v>
      </c>
      <c r="E1155">
        <v>280.02999999999997</v>
      </c>
      <c r="F1155">
        <v>2.8</v>
      </c>
      <c r="G1155">
        <v>277.23</v>
      </c>
      <c r="H1155"/>
      <c r="I1155"/>
      <c r="J1155" s="2">
        <v>46003</v>
      </c>
      <c r="K1155" s="5">
        <v>1008380</v>
      </c>
      <c r="L1155" s="5">
        <v>3781</v>
      </c>
      <c r="M1155" s="5">
        <v>0</v>
      </c>
      <c r="N1155" s="5">
        <v>280.02999999999997</v>
      </c>
      <c r="O1155" s="7">
        <v>45996</v>
      </c>
      <c r="P1155" s="5">
        <v>280.02999999999997</v>
      </c>
      <c r="Q1155" s="5">
        <v>0</v>
      </c>
      <c r="R1155" s="5" t="s">
        <v>605</v>
      </c>
      <c r="S1155" s="5" t="s">
        <v>138</v>
      </c>
      <c r="T1155" s="5">
        <v>2.8</v>
      </c>
      <c r="U1155" s="5">
        <v>277.23</v>
      </c>
      <c r="V1155" s="5" t="s">
        <v>34</v>
      </c>
      <c r="W1155" s="5">
        <v>2</v>
      </c>
      <c r="X1155" s="5">
        <v>6182736448266</v>
      </c>
      <c r="Y1155" s="7">
        <v>46003</v>
      </c>
      <c r="Z1155" s="7">
        <v>45996</v>
      </c>
      <c r="AB1155" s="6">
        <v>46003</v>
      </c>
      <c r="AC1155" s="7">
        <v>46002.68472222222</v>
      </c>
      <c r="AD1155" s="5">
        <v>37811008380</v>
      </c>
      <c r="AE1155" s="8">
        <v>45996</v>
      </c>
      <c r="AF1155" s="5" t="s">
        <v>606</v>
      </c>
      <c r="AG1155" s="5" t="s">
        <v>38</v>
      </c>
      <c r="AH1155" s="5" t="s">
        <v>605</v>
      </c>
      <c r="AI1155" s="6">
        <v>45996</v>
      </c>
      <c r="AJ1155" s="6">
        <v>46003</v>
      </c>
    </row>
    <row r="1156" spans="1:37" hidden="1" x14ac:dyDescent="0.55000000000000004">
      <c r="A1156">
        <v>3781</v>
      </c>
      <c r="B1156">
        <v>1008395</v>
      </c>
      <c r="C1156" s="1">
        <v>1297.56</v>
      </c>
      <c r="E1156" s="1">
        <v>1297.56</v>
      </c>
      <c r="F1156">
        <v>12.98</v>
      </c>
      <c r="G1156" s="1">
        <v>1284.58</v>
      </c>
      <c r="H1156" s="1"/>
      <c r="I1156" s="1"/>
      <c r="J1156" s="2">
        <v>46003</v>
      </c>
      <c r="K1156" s="5">
        <v>1008395</v>
      </c>
      <c r="L1156" s="5">
        <v>3781</v>
      </c>
      <c r="M1156" s="5">
        <v>0</v>
      </c>
      <c r="N1156" s="5">
        <v>1297.56</v>
      </c>
      <c r="O1156" s="7">
        <v>45996</v>
      </c>
      <c r="P1156" s="5">
        <v>1297.56</v>
      </c>
      <c r="Q1156" s="5">
        <v>0</v>
      </c>
      <c r="R1156" s="5">
        <v>67993</v>
      </c>
      <c r="S1156" s="5" t="s">
        <v>122</v>
      </c>
      <c r="T1156" s="5">
        <v>12.98</v>
      </c>
      <c r="U1156" s="5">
        <v>1284.58</v>
      </c>
      <c r="V1156" s="5" t="s">
        <v>34</v>
      </c>
      <c r="W1156" s="5">
        <v>2</v>
      </c>
      <c r="X1156" s="5">
        <v>6182736448266</v>
      </c>
      <c r="Y1156" s="7">
        <v>46003</v>
      </c>
      <c r="Z1156" s="7">
        <v>45996</v>
      </c>
      <c r="AB1156" s="6">
        <v>46003</v>
      </c>
      <c r="AC1156" s="7">
        <v>46002.68472222222</v>
      </c>
      <c r="AD1156" s="5">
        <v>37811008395</v>
      </c>
      <c r="AE1156" s="8">
        <v>45996</v>
      </c>
      <c r="AF1156" s="5">
        <v>67993</v>
      </c>
      <c r="AG1156" s="5" t="s">
        <v>38</v>
      </c>
      <c r="AH1156" s="5">
        <v>67993</v>
      </c>
      <c r="AI1156" s="6">
        <v>45996</v>
      </c>
      <c r="AJ1156" s="6">
        <v>46003</v>
      </c>
    </row>
    <row r="1157" spans="1:37" x14ac:dyDescent="0.55000000000000004">
      <c r="A1157">
        <v>3781</v>
      </c>
      <c r="B1157">
        <v>1008408</v>
      </c>
      <c r="C1157">
        <v>81.25</v>
      </c>
      <c r="D1157" s="4">
        <v>1.63</v>
      </c>
      <c r="E1157">
        <v>79.62</v>
      </c>
      <c r="F1157">
        <v>0.81</v>
      </c>
      <c r="G1157">
        <v>78.81</v>
      </c>
      <c r="H1157" s="14">
        <f t="shared" ref="H1157:H1162" si="533">C1157-D1157-F1157</f>
        <v>78.81</v>
      </c>
      <c r="I1157" s="14" t="b">
        <f t="shared" ref="I1157:I1162" si="534">G1157=H1157</f>
        <v>1</v>
      </c>
      <c r="J1157" s="2">
        <v>46003</v>
      </c>
      <c r="K1157" s="5">
        <v>1008408</v>
      </c>
      <c r="L1157" s="5">
        <v>3781</v>
      </c>
      <c r="M1157" s="5">
        <v>1.63</v>
      </c>
      <c r="N1157" s="5">
        <v>81.25</v>
      </c>
      <c r="O1157" s="7">
        <v>45996</v>
      </c>
      <c r="P1157" s="5">
        <v>79.62</v>
      </c>
      <c r="Q1157" s="5">
        <v>1.63</v>
      </c>
      <c r="R1157" s="5" t="s">
        <v>32</v>
      </c>
      <c r="S1157" s="5" t="s">
        <v>33</v>
      </c>
      <c r="T1157" s="5">
        <v>0.81</v>
      </c>
      <c r="U1157" s="5">
        <v>78.81</v>
      </c>
      <c r="V1157" s="5" t="s">
        <v>34</v>
      </c>
      <c r="W1157" s="5">
        <v>2</v>
      </c>
      <c r="X1157" s="5">
        <v>6182736448266</v>
      </c>
      <c r="Y1157" s="7">
        <v>46003</v>
      </c>
      <c r="Z1157" s="7">
        <v>45996</v>
      </c>
      <c r="AB1157" s="6">
        <v>46003</v>
      </c>
      <c r="AC1157" s="7">
        <v>46002.68472222222</v>
      </c>
      <c r="AD1157" s="5">
        <v>37811008408</v>
      </c>
      <c r="AE1157" s="8">
        <v>45996</v>
      </c>
      <c r="AF1157" s="5" t="s">
        <v>601</v>
      </c>
      <c r="AG1157" s="5" t="s">
        <v>37</v>
      </c>
      <c r="AH1157" s="5">
        <v>206796</v>
      </c>
      <c r="AI1157" s="6">
        <v>45996</v>
      </c>
      <c r="AJ1157" s="6">
        <v>46003</v>
      </c>
      <c r="AK1157" s="1">
        <f t="shared" ref="AK1157:AK1162" si="535">0.02*C1157</f>
        <v>1.625</v>
      </c>
    </row>
    <row r="1158" spans="1:37" x14ac:dyDescent="0.55000000000000004">
      <c r="A1158">
        <v>3781</v>
      </c>
      <c r="B1158">
        <v>1008450</v>
      </c>
      <c r="C1158">
        <v>491.01</v>
      </c>
      <c r="D1158" s="4">
        <v>9.82</v>
      </c>
      <c r="E1158">
        <v>481.19</v>
      </c>
      <c r="F1158">
        <v>4.91</v>
      </c>
      <c r="G1158">
        <v>476.28</v>
      </c>
      <c r="H1158" s="14">
        <f t="shared" si="533"/>
        <v>476.28</v>
      </c>
      <c r="I1158" s="14" t="b">
        <f t="shared" si="534"/>
        <v>1</v>
      </c>
      <c r="J1158" s="2">
        <v>46003</v>
      </c>
      <c r="K1158" s="5">
        <v>1008450</v>
      </c>
      <c r="L1158" s="5">
        <v>3781</v>
      </c>
      <c r="M1158" s="5">
        <v>9.82</v>
      </c>
      <c r="N1158" s="5">
        <v>491.01</v>
      </c>
      <c r="O1158" s="7">
        <v>45996</v>
      </c>
      <c r="P1158" s="5">
        <v>481.19</v>
      </c>
      <c r="Q1158" s="5">
        <v>9.82</v>
      </c>
      <c r="R1158" s="5" t="s">
        <v>32</v>
      </c>
      <c r="S1158" s="5" t="s">
        <v>33</v>
      </c>
      <c r="T1158" s="5">
        <v>4.91</v>
      </c>
      <c r="U1158" s="5">
        <v>476.28</v>
      </c>
      <c r="V1158" s="5" t="s">
        <v>34</v>
      </c>
      <c r="W1158" s="5">
        <v>2</v>
      </c>
      <c r="X1158" s="5">
        <v>6182736448266</v>
      </c>
      <c r="Y1158" s="7">
        <v>46003</v>
      </c>
      <c r="Z1158" s="7">
        <v>45996</v>
      </c>
      <c r="AB1158" s="6">
        <v>46003</v>
      </c>
      <c r="AC1158" s="7">
        <v>46002.68472222222</v>
      </c>
      <c r="AD1158" s="5">
        <v>37811008450</v>
      </c>
      <c r="AE1158" s="8">
        <v>45996</v>
      </c>
      <c r="AF1158" s="5">
        <v>69177</v>
      </c>
      <c r="AG1158" s="5" t="s">
        <v>37</v>
      </c>
      <c r="AH1158" s="5">
        <v>206602</v>
      </c>
      <c r="AI1158" s="6">
        <v>45996</v>
      </c>
      <c r="AJ1158" s="6">
        <v>46003</v>
      </c>
      <c r="AK1158" s="1">
        <f t="shared" si="535"/>
        <v>9.8201999999999998</v>
      </c>
    </row>
    <row r="1159" spans="1:37" x14ac:dyDescent="0.55000000000000004">
      <c r="A1159">
        <v>3781</v>
      </c>
      <c r="B1159">
        <v>1008452</v>
      </c>
      <c r="C1159">
        <v>398</v>
      </c>
      <c r="D1159" s="4">
        <v>7.96</v>
      </c>
      <c r="E1159">
        <v>390.04</v>
      </c>
      <c r="F1159">
        <v>3.98</v>
      </c>
      <c r="G1159">
        <v>386.06</v>
      </c>
      <c r="H1159" s="14">
        <f t="shared" si="533"/>
        <v>386.06</v>
      </c>
      <c r="I1159" s="14" t="b">
        <f t="shared" si="534"/>
        <v>1</v>
      </c>
      <c r="J1159" s="2">
        <v>46003</v>
      </c>
      <c r="K1159" s="5">
        <v>1008452</v>
      </c>
      <c r="L1159" s="5">
        <v>3781</v>
      </c>
      <c r="M1159" s="5">
        <v>7.96</v>
      </c>
      <c r="N1159" s="5">
        <v>398</v>
      </c>
      <c r="O1159" s="7">
        <v>45996</v>
      </c>
      <c r="P1159" s="5">
        <v>390.04</v>
      </c>
      <c r="Q1159" s="5">
        <v>7.96</v>
      </c>
      <c r="R1159" s="5" t="s">
        <v>32</v>
      </c>
      <c r="S1159" s="5" t="s">
        <v>33</v>
      </c>
      <c r="T1159" s="5">
        <v>3.98</v>
      </c>
      <c r="U1159" s="5">
        <v>386.06</v>
      </c>
      <c r="V1159" s="5" t="s">
        <v>34</v>
      </c>
      <c r="W1159" s="5">
        <v>2</v>
      </c>
      <c r="X1159" s="5">
        <v>6182736448266</v>
      </c>
      <c r="Y1159" s="7">
        <v>46003</v>
      </c>
      <c r="Z1159" s="7">
        <v>45996</v>
      </c>
      <c r="AB1159" s="6">
        <v>46003</v>
      </c>
      <c r="AC1159" s="7">
        <v>46002.68472222222</v>
      </c>
      <c r="AD1159" s="5">
        <v>37811008452</v>
      </c>
      <c r="AE1159" s="8">
        <v>45996</v>
      </c>
      <c r="AF1159" s="5">
        <v>68536</v>
      </c>
      <c r="AG1159" s="5" t="s">
        <v>37</v>
      </c>
      <c r="AH1159" s="5">
        <v>206600</v>
      </c>
      <c r="AI1159" s="6">
        <v>45996</v>
      </c>
      <c r="AJ1159" s="6">
        <v>46003</v>
      </c>
      <c r="AK1159" s="1">
        <f t="shared" si="535"/>
        <v>7.96</v>
      </c>
    </row>
    <row r="1160" spans="1:37" x14ac:dyDescent="0.55000000000000004">
      <c r="A1160">
        <v>3781</v>
      </c>
      <c r="B1160">
        <v>1008453</v>
      </c>
      <c r="C1160">
        <v>81.25</v>
      </c>
      <c r="D1160" s="4">
        <v>1.63</v>
      </c>
      <c r="E1160">
        <v>79.62</v>
      </c>
      <c r="F1160">
        <v>0.81</v>
      </c>
      <c r="G1160">
        <v>78.81</v>
      </c>
      <c r="H1160" s="14">
        <f t="shared" si="533"/>
        <v>78.81</v>
      </c>
      <c r="I1160" s="14" t="b">
        <f t="shared" si="534"/>
        <v>1</v>
      </c>
      <c r="J1160" s="2">
        <v>46003</v>
      </c>
      <c r="K1160" s="5">
        <v>1008453</v>
      </c>
      <c r="L1160" s="5">
        <v>3781</v>
      </c>
      <c r="M1160" s="5">
        <v>1.63</v>
      </c>
      <c r="N1160" s="5">
        <v>81.25</v>
      </c>
      <c r="O1160" s="7">
        <v>45996</v>
      </c>
      <c r="P1160" s="5">
        <v>79.62</v>
      </c>
      <c r="Q1160" s="5">
        <v>1.63</v>
      </c>
      <c r="R1160" s="5" t="s">
        <v>32</v>
      </c>
      <c r="S1160" s="5" t="s">
        <v>33</v>
      </c>
      <c r="T1160" s="5">
        <v>0.81</v>
      </c>
      <c r="U1160" s="5">
        <v>78.81</v>
      </c>
      <c r="V1160" s="5" t="s">
        <v>34</v>
      </c>
      <c r="W1160" s="5">
        <v>2</v>
      </c>
      <c r="X1160" s="5">
        <v>6182736448266</v>
      </c>
      <c r="Y1160" s="7">
        <v>46003</v>
      </c>
      <c r="Z1160" s="7">
        <v>45996</v>
      </c>
      <c r="AB1160" s="6">
        <v>46003</v>
      </c>
      <c r="AC1160" s="7">
        <v>46002.68472222222</v>
      </c>
      <c r="AD1160" s="5">
        <v>37811008453</v>
      </c>
      <c r="AE1160" s="8">
        <v>45996</v>
      </c>
      <c r="AF1160" s="5" t="s">
        <v>594</v>
      </c>
      <c r="AG1160" s="5" t="s">
        <v>37</v>
      </c>
      <c r="AH1160" s="5">
        <v>206604</v>
      </c>
      <c r="AI1160" s="6">
        <v>45996</v>
      </c>
      <c r="AJ1160" s="6">
        <v>46003</v>
      </c>
      <c r="AK1160" s="1">
        <f t="shared" si="535"/>
        <v>1.625</v>
      </c>
    </row>
    <row r="1161" spans="1:37" x14ac:dyDescent="0.55000000000000004">
      <c r="A1161">
        <v>3781</v>
      </c>
      <c r="B1161">
        <v>1008455</v>
      </c>
      <c r="C1161">
        <v>199</v>
      </c>
      <c r="D1161" s="4">
        <v>3.98</v>
      </c>
      <c r="E1161">
        <v>195.02</v>
      </c>
      <c r="F1161">
        <v>1.99</v>
      </c>
      <c r="G1161">
        <v>193.03</v>
      </c>
      <c r="H1161" s="14">
        <f t="shared" si="533"/>
        <v>193.03</v>
      </c>
      <c r="I1161" s="14" t="b">
        <f t="shared" si="534"/>
        <v>1</v>
      </c>
      <c r="J1161" s="2">
        <v>46003</v>
      </c>
      <c r="K1161" s="5">
        <v>1008455</v>
      </c>
      <c r="L1161" s="5">
        <v>3781</v>
      </c>
      <c r="M1161" s="5">
        <v>3.98</v>
      </c>
      <c r="N1161" s="5">
        <v>199</v>
      </c>
      <c r="O1161" s="7">
        <v>45996</v>
      </c>
      <c r="P1161" s="5">
        <v>195.02</v>
      </c>
      <c r="Q1161" s="5">
        <v>3.98</v>
      </c>
      <c r="R1161" s="5" t="s">
        <v>32</v>
      </c>
      <c r="S1161" s="5" t="s">
        <v>33</v>
      </c>
      <c r="T1161" s="5">
        <v>1.99</v>
      </c>
      <c r="U1161" s="5">
        <v>193.03</v>
      </c>
      <c r="V1161" s="5" t="s">
        <v>34</v>
      </c>
      <c r="W1161" s="5">
        <v>2</v>
      </c>
      <c r="X1161" s="5">
        <v>6182736448266</v>
      </c>
      <c r="Y1161" s="7">
        <v>46003</v>
      </c>
      <c r="Z1161" s="7">
        <v>45996</v>
      </c>
      <c r="AB1161" s="6">
        <v>46003</v>
      </c>
      <c r="AC1161" s="7">
        <v>46002.68472222222</v>
      </c>
      <c r="AD1161" s="5">
        <v>37811008455</v>
      </c>
      <c r="AE1161" s="8">
        <v>45996</v>
      </c>
      <c r="AF1161" s="5" t="s">
        <v>607</v>
      </c>
      <c r="AG1161" s="5" t="s">
        <v>37</v>
      </c>
      <c r="AH1161" s="5">
        <v>206603</v>
      </c>
      <c r="AI1161" s="6">
        <v>45996</v>
      </c>
      <c r="AJ1161" s="6">
        <v>46003</v>
      </c>
      <c r="AK1161" s="1">
        <f t="shared" si="535"/>
        <v>3.98</v>
      </c>
    </row>
    <row r="1162" spans="1:37" x14ac:dyDescent="0.55000000000000004">
      <c r="A1162">
        <v>3781</v>
      </c>
      <c r="B1162">
        <v>1008458</v>
      </c>
      <c r="C1162">
        <v>442.5</v>
      </c>
      <c r="D1162" s="4">
        <v>8.85</v>
      </c>
      <c r="E1162">
        <v>433.65</v>
      </c>
      <c r="F1162">
        <v>4.42</v>
      </c>
      <c r="G1162">
        <v>429.23</v>
      </c>
      <c r="H1162" s="14">
        <f t="shared" si="533"/>
        <v>429.22999999999996</v>
      </c>
      <c r="I1162" s="14" t="b">
        <f t="shared" si="534"/>
        <v>1</v>
      </c>
      <c r="J1162" s="2">
        <v>46003</v>
      </c>
      <c r="K1162" s="5">
        <v>1008458</v>
      </c>
      <c r="L1162" s="5">
        <v>3781</v>
      </c>
      <c r="M1162" s="5">
        <v>8.85</v>
      </c>
      <c r="N1162" s="5">
        <v>442.5</v>
      </c>
      <c r="O1162" s="7">
        <v>45996</v>
      </c>
      <c r="P1162" s="5">
        <v>433.65</v>
      </c>
      <c r="Q1162" s="5">
        <v>8.85</v>
      </c>
      <c r="R1162" s="5" t="s">
        <v>32</v>
      </c>
      <c r="S1162" s="5" t="s">
        <v>33</v>
      </c>
      <c r="T1162" s="5">
        <v>4.42</v>
      </c>
      <c r="U1162" s="5">
        <v>429.23</v>
      </c>
      <c r="V1162" s="5" t="s">
        <v>34</v>
      </c>
      <c r="W1162" s="5">
        <v>2</v>
      </c>
      <c r="X1162" s="5">
        <v>6182736448266</v>
      </c>
      <c r="Y1162" s="7">
        <v>46003</v>
      </c>
      <c r="Z1162" s="7">
        <v>45996</v>
      </c>
      <c r="AB1162" s="6">
        <v>46003</v>
      </c>
      <c r="AC1162" s="7">
        <v>46002.68472222222</v>
      </c>
      <c r="AD1162" s="5">
        <v>37811008458</v>
      </c>
      <c r="AE1162" s="8">
        <v>45996</v>
      </c>
      <c r="AF1162" s="5">
        <v>68684</v>
      </c>
      <c r="AG1162" s="5" t="s">
        <v>37</v>
      </c>
      <c r="AH1162" s="5">
        <v>206601</v>
      </c>
      <c r="AI1162" s="6">
        <v>45996</v>
      </c>
      <c r="AJ1162" s="6">
        <v>46003</v>
      </c>
      <c r="AK1162" s="1">
        <f t="shared" si="535"/>
        <v>8.85</v>
      </c>
    </row>
    <row r="1163" spans="1:37" hidden="1" x14ac:dyDescent="0.55000000000000004">
      <c r="A1163">
        <v>3781</v>
      </c>
      <c r="B1163">
        <v>1008528</v>
      </c>
      <c r="C1163" s="1">
        <v>1259.96</v>
      </c>
      <c r="E1163" s="1">
        <v>1259.96</v>
      </c>
      <c r="F1163">
        <v>12.6</v>
      </c>
      <c r="G1163" s="1">
        <v>1247.3599999999999</v>
      </c>
      <c r="H1163" s="1"/>
      <c r="I1163" s="1"/>
      <c r="J1163" s="2">
        <v>46003</v>
      </c>
      <c r="K1163" s="5">
        <v>1008528</v>
      </c>
      <c r="L1163" s="5">
        <v>3781</v>
      </c>
      <c r="M1163" s="5">
        <v>0</v>
      </c>
      <c r="N1163" s="5">
        <v>1259.96</v>
      </c>
      <c r="O1163" s="7">
        <v>45996</v>
      </c>
      <c r="P1163" s="5">
        <v>1259.96</v>
      </c>
      <c r="Q1163" s="5">
        <v>0</v>
      </c>
      <c r="R1163" s="5" t="s">
        <v>32</v>
      </c>
      <c r="S1163" s="5" t="s">
        <v>33</v>
      </c>
      <c r="T1163" s="5">
        <v>12.6</v>
      </c>
      <c r="U1163" s="5">
        <v>1247.3599999999999</v>
      </c>
      <c r="V1163" s="5" t="s">
        <v>34</v>
      </c>
      <c r="W1163" s="5">
        <v>2</v>
      </c>
      <c r="X1163" s="5">
        <v>6182736448266</v>
      </c>
      <c r="Y1163" s="7">
        <v>46003</v>
      </c>
      <c r="Z1163" s="7">
        <v>45996</v>
      </c>
      <c r="AB1163" s="6">
        <v>46003</v>
      </c>
      <c r="AC1163" s="7">
        <v>46002.68472222222</v>
      </c>
      <c r="AD1163" s="5">
        <v>37811008528</v>
      </c>
      <c r="AE1163" s="8">
        <v>45996</v>
      </c>
      <c r="AF1163" s="5">
        <v>69360</v>
      </c>
      <c r="AG1163" s="5" t="s">
        <v>38</v>
      </c>
      <c r="AH1163" s="5">
        <v>206805</v>
      </c>
      <c r="AI1163" s="6">
        <v>45996</v>
      </c>
      <c r="AJ1163" s="6">
        <v>46003</v>
      </c>
    </row>
    <row r="1164" spans="1:37" hidden="1" x14ac:dyDescent="0.55000000000000004">
      <c r="A1164">
        <v>3781</v>
      </c>
      <c r="B1164">
        <v>1008578</v>
      </c>
      <c r="C1164">
        <v>-250</v>
      </c>
      <c r="E1164">
        <v>-250</v>
      </c>
      <c r="G1164">
        <v>-250</v>
      </c>
      <c r="H1164"/>
      <c r="I1164"/>
      <c r="J1164" s="2">
        <v>46003</v>
      </c>
      <c r="K1164" s="5">
        <v>1008578</v>
      </c>
      <c r="L1164" s="5">
        <v>3781</v>
      </c>
      <c r="M1164" s="5">
        <v>0</v>
      </c>
      <c r="N1164" s="5">
        <v>-250</v>
      </c>
      <c r="O1164" s="7">
        <v>45999</v>
      </c>
      <c r="P1164" s="5">
        <v>-250</v>
      </c>
      <c r="Q1164" s="5">
        <v>0</v>
      </c>
      <c r="R1164" s="5">
        <v>1008578</v>
      </c>
      <c r="S1164" s="5" t="s">
        <v>33</v>
      </c>
      <c r="T1164" s="5">
        <v>0</v>
      </c>
      <c r="U1164" s="5">
        <v>-250</v>
      </c>
      <c r="V1164" s="5" t="s">
        <v>34</v>
      </c>
      <c r="W1164" s="5">
        <v>2</v>
      </c>
      <c r="X1164" s="5">
        <v>6182736448266</v>
      </c>
      <c r="Y1164" s="7">
        <v>46003</v>
      </c>
      <c r="Z1164" s="7">
        <v>45999</v>
      </c>
      <c r="AB1164" s="6">
        <v>46003</v>
      </c>
      <c r="AC1164" s="7">
        <v>46002.68472222222</v>
      </c>
      <c r="AD1164" s="5">
        <v>37811008578</v>
      </c>
      <c r="AE1164" s="8">
        <v>45999</v>
      </c>
      <c r="AF1164" s="5" t="s">
        <v>41</v>
      </c>
      <c r="AG1164" s="5" t="s">
        <v>38</v>
      </c>
      <c r="AH1164" s="5" t="s">
        <v>608</v>
      </c>
      <c r="AI1164" s="6">
        <v>45999</v>
      </c>
      <c r="AJ1164" s="6">
        <v>46003</v>
      </c>
    </row>
    <row r="1165" spans="1:37" hidden="1" x14ac:dyDescent="0.55000000000000004">
      <c r="A1165">
        <v>3781</v>
      </c>
      <c r="B1165">
        <v>1008579</v>
      </c>
      <c r="C1165">
        <v>-250</v>
      </c>
      <c r="E1165">
        <v>-250</v>
      </c>
      <c r="G1165">
        <v>-250</v>
      </c>
      <c r="H1165"/>
      <c r="I1165"/>
      <c r="J1165" s="2">
        <v>46003</v>
      </c>
      <c r="K1165" s="5">
        <v>1008579</v>
      </c>
      <c r="L1165" s="5">
        <v>3781</v>
      </c>
      <c r="M1165" s="5">
        <v>0</v>
      </c>
      <c r="N1165" s="5">
        <v>-250</v>
      </c>
      <c r="O1165" s="7">
        <v>45999</v>
      </c>
      <c r="P1165" s="5">
        <v>-250</v>
      </c>
      <c r="Q1165" s="5">
        <v>0</v>
      </c>
      <c r="R1165" s="5">
        <v>1008579</v>
      </c>
      <c r="S1165" s="5" t="s">
        <v>33</v>
      </c>
      <c r="T1165" s="5">
        <v>0</v>
      </c>
      <c r="U1165" s="5">
        <v>-250</v>
      </c>
      <c r="V1165" s="5" t="s">
        <v>34</v>
      </c>
      <c r="W1165" s="5">
        <v>2</v>
      </c>
      <c r="X1165" s="5">
        <v>6182736448266</v>
      </c>
      <c r="Y1165" s="7">
        <v>46003</v>
      </c>
      <c r="Z1165" s="7">
        <v>45999</v>
      </c>
      <c r="AB1165" s="6">
        <v>46003</v>
      </c>
      <c r="AC1165" s="7">
        <v>46002.68472222222</v>
      </c>
      <c r="AD1165" s="5">
        <v>37811008579</v>
      </c>
      <c r="AE1165" s="8">
        <v>45999</v>
      </c>
      <c r="AF1165" s="5" t="s">
        <v>41</v>
      </c>
      <c r="AG1165" s="5" t="s">
        <v>38</v>
      </c>
      <c r="AH1165" s="5" t="s">
        <v>609</v>
      </c>
      <c r="AI1165" s="6">
        <v>45999</v>
      </c>
      <c r="AJ1165" s="6">
        <v>46003</v>
      </c>
    </row>
    <row r="1166" spans="1:37" hidden="1" x14ac:dyDescent="0.55000000000000004">
      <c r="A1166">
        <v>3781</v>
      </c>
      <c r="B1166">
        <v>1008587</v>
      </c>
      <c r="C1166" s="1">
        <v>-3121.61</v>
      </c>
      <c r="E1166" s="1">
        <v>-3121.61</v>
      </c>
      <c r="G1166" s="1">
        <v>-3121.61</v>
      </c>
      <c r="H1166" s="1"/>
      <c r="I1166" s="1"/>
      <c r="J1166" s="2">
        <v>46003</v>
      </c>
      <c r="K1166" s="5">
        <v>1008587</v>
      </c>
      <c r="L1166" s="5">
        <v>3781</v>
      </c>
      <c r="M1166" s="5">
        <v>0</v>
      </c>
      <c r="N1166" s="5">
        <v>-3121.61</v>
      </c>
      <c r="O1166" s="7">
        <v>45999</v>
      </c>
      <c r="P1166" s="5">
        <v>-3121.61</v>
      </c>
      <c r="Q1166" s="5">
        <v>0</v>
      </c>
      <c r="R1166" s="5">
        <v>1008587</v>
      </c>
      <c r="S1166" s="5" t="s">
        <v>33</v>
      </c>
      <c r="T1166" s="5">
        <v>0</v>
      </c>
      <c r="U1166" s="5">
        <v>-3121.61</v>
      </c>
      <c r="V1166" s="5" t="s">
        <v>34</v>
      </c>
      <c r="W1166" s="5">
        <v>2</v>
      </c>
      <c r="X1166" s="5">
        <v>6182736448266</v>
      </c>
      <c r="Y1166" s="7">
        <v>46003</v>
      </c>
      <c r="Z1166" s="7">
        <v>45999</v>
      </c>
      <c r="AB1166" s="6">
        <v>46003</v>
      </c>
      <c r="AC1166" s="7">
        <v>46002.68472222222</v>
      </c>
      <c r="AD1166" s="5">
        <v>37811008587</v>
      </c>
      <c r="AE1166" s="8">
        <v>45999</v>
      </c>
      <c r="AF1166" s="5" t="s">
        <v>41</v>
      </c>
      <c r="AG1166" s="5" t="s">
        <v>38</v>
      </c>
      <c r="AH1166" s="5" t="s">
        <v>40</v>
      </c>
      <c r="AI1166" s="6">
        <v>45999</v>
      </c>
      <c r="AJ1166" s="6">
        <v>46003</v>
      </c>
    </row>
    <row r="1167" spans="1:37" hidden="1" x14ac:dyDescent="0.55000000000000004">
      <c r="A1167">
        <v>3781</v>
      </c>
      <c r="B1167">
        <v>1008588</v>
      </c>
      <c r="C1167" s="1">
        <v>-1500</v>
      </c>
      <c r="E1167" s="1">
        <v>-1500</v>
      </c>
      <c r="G1167" s="1">
        <v>-1500</v>
      </c>
      <c r="H1167" s="1"/>
      <c r="I1167" s="1"/>
      <c r="J1167" s="2">
        <v>46003</v>
      </c>
      <c r="K1167" s="5">
        <v>1008588</v>
      </c>
      <c r="L1167" s="5">
        <v>3781</v>
      </c>
      <c r="M1167" s="5">
        <v>0</v>
      </c>
      <c r="N1167" s="5">
        <v>-1500</v>
      </c>
      <c r="O1167" s="7">
        <v>45999</v>
      </c>
      <c r="P1167" s="5">
        <v>-1500</v>
      </c>
      <c r="Q1167" s="5">
        <v>0</v>
      </c>
      <c r="R1167" s="5">
        <v>1008588</v>
      </c>
      <c r="S1167" s="5" t="s">
        <v>33</v>
      </c>
      <c r="T1167" s="5">
        <v>0</v>
      </c>
      <c r="U1167" s="5">
        <v>-1500</v>
      </c>
      <c r="V1167" s="5" t="s">
        <v>34</v>
      </c>
      <c r="W1167" s="5">
        <v>2</v>
      </c>
      <c r="X1167" s="5">
        <v>6182736448266</v>
      </c>
      <c r="Y1167" s="7">
        <v>46003</v>
      </c>
      <c r="Z1167" s="7">
        <v>45999</v>
      </c>
      <c r="AB1167" s="6">
        <v>46003</v>
      </c>
      <c r="AC1167" s="7">
        <v>46002.68472222222</v>
      </c>
      <c r="AD1167" s="5">
        <v>37811008588</v>
      </c>
      <c r="AE1167" s="8">
        <v>45999</v>
      </c>
      <c r="AF1167" s="5" t="s">
        <v>41</v>
      </c>
      <c r="AG1167" s="5" t="s">
        <v>38</v>
      </c>
      <c r="AH1167" s="5" t="s">
        <v>40</v>
      </c>
      <c r="AI1167" s="6">
        <v>45999</v>
      </c>
      <c r="AJ1167" s="6">
        <v>46003</v>
      </c>
    </row>
    <row r="1168" spans="1:37" hidden="1" x14ac:dyDescent="0.55000000000000004">
      <c r="A1168">
        <v>3781</v>
      </c>
      <c r="B1168">
        <v>1008938</v>
      </c>
      <c r="C1168">
        <v>-639</v>
      </c>
      <c r="E1168">
        <v>-639</v>
      </c>
      <c r="G1168">
        <v>-639</v>
      </c>
      <c r="H1168"/>
      <c r="I1168"/>
      <c r="J1168" s="2">
        <v>46003</v>
      </c>
      <c r="K1168" s="5">
        <v>1008938</v>
      </c>
      <c r="L1168" s="5">
        <v>3781</v>
      </c>
      <c r="M1168" s="5">
        <v>0</v>
      </c>
      <c r="N1168" s="5">
        <v>-639</v>
      </c>
      <c r="O1168" s="7">
        <v>46000</v>
      </c>
      <c r="P1168" s="5">
        <v>-639</v>
      </c>
      <c r="Q1168" s="5">
        <v>0</v>
      </c>
      <c r="R1168" s="5">
        <v>1008938</v>
      </c>
      <c r="S1168" s="5" t="s">
        <v>33</v>
      </c>
      <c r="T1168" s="5">
        <v>0</v>
      </c>
      <c r="U1168" s="5">
        <v>-639</v>
      </c>
      <c r="V1168" s="5" t="s">
        <v>34</v>
      </c>
      <c r="W1168" s="5">
        <v>2</v>
      </c>
      <c r="X1168" s="5">
        <v>6182736448266</v>
      </c>
      <c r="Y1168" s="7">
        <v>46003</v>
      </c>
      <c r="Z1168" s="7">
        <v>46000</v>
      </c>
      <c r="AB1168" s="6">
        <v>46003</v>
      </c>
      <c r="AC1168" s="7">
        <v>46002.68472222222</v>
      </c>
      <c r="AD1168" s="5">
        <v>37811008938</v>
      </c>
      <c r="AE1168" s="8">
        <v>46000</v>
      </c>
      <c r="AF1168" s="5">
        <v>142087</v>
      </c>
      <c r="AG1168" s="5" t="s">
        <v>38</v>
      </c>
      <c r="AH1168" s="5">
        <v>53532</v>
      </c>
      <c r="AI1168" s="6">
        <v>46000</v>
      </c>
      <c r="AJ1168" s="6">
        <v>46003</v>
      </c>
    </row>
    <row r="1169" spans="1:37" hidden="1" x14ac:dyDescent="0.55000000000000004">
      <c r="A1169">
        <v>3781</v>
      </c>
      <c r="B1169">
        <v>1008941</v>
      </c>
      <c r="C1169">
        <v>-179.74</v>
      </c>
      <c r="E1169">
        <v>-179.74</v>
      </c>
      <c r="G1169">
        <v>-179.74</v>
      </c>
      <c r="H1169"/>
      <c r="I1169"/>
      <c r="J1169" s="2">
        <v>46003</v>
      </c>
      <c r="K1169" s="5">
        <v>1008941</v>
      </c>
      <c r="L1169" s="5">
        <v>3781</v>
      </c>
      <c r="M1169" s="5">
        <v>0</v>
      </c>
      <c r="N1169" s="5">
        <v>-179.74</v>
      </c>
      <c r="O1169" s="7">
        <v>46000</v>
      </c>
      <c r="P1169" s="5">
        <v>-179.74</v>
      </c>
      <c r="Q1169" s="5">
        <v>0</v>
      </c>
      <c r="R1169" s="5">
        <v>1008941</v>
      </c>
      <c r="S1169" s="5" t="s">
        <v>33</v>
      </c>
      <c r="T1169" s="5">
        <v>0</v>
      </c>
      <c r="U1169" s="5">
        <v>-179.74</v>
      </c>
      <c r="V1169" s="5" t="s">
        <v>34</v>
      </c>
      <c r="W1169" s="5">
        <v>2</v>
      </c>
      <c r="X1169" s="5">
        <v>6182736448266</v>
      </c>
      <c r="Y1169" s="7">
        <v>46003</v>
      </c>
      <c r="Z1169" s="7">
        <v>46000</v>
      </c>
      <c r="AB1169" s="6">
        <v>46003</v>
      </c>
      <c r="AC1169" s="7">
        <v>46002.68472222222</v>
      </c>
      <c r="AD1169" s="5">
        <v>37811008941</v>
      </c>
      <c r="AE1169" s="8">
        <v>46000</v>
      </c>
      <c r="AF1169" s="5">
        <v>142087</v>
      </c>
      <c r="AG1169" s="5" t="s">
        <v>38</v>
      </c>
      <c r="AH1169" s="5">
        <v>53536</v>
      </c>
      <c r="AI1169" s="6">
        <v>46000</v>
      </c>
      <c r="AJ1169" s="6">
        <v>46003</v>
      </c>
    </row>
    <row r="1170" spans="1:37" hidden="1" x14ac:dyDescent="0.55000000000000004">
      <c r="A1170">
        <v>3781</v>
      </c>
      <c r="B1170">
        <v>1008945</v>
      </c>
      <c r="C1170" s="1">
        <v>-1134</v>
      </c>
      <c r="E1170" s="1">
        <v>-1134</v>
      </c>
      <c r="G1170" s="1">
        <v>-1134</v>
      </c>
      <c r="H1170" s="1"/>
      <c r="I1170" s="1"/>
      <c r="J1170" s="2">
        <v>46003</v>
      </c>
      <c r="K1170" s="5">
        <v>1008945</v>
      </c>
      <c r="L1170" s="5">
        <v>3781</v>
      </c>
      <c r="M1170" s="5">
        <v>0</v>
      </c>
      <c r="N1170" s="5">
        <v>-1134</v>
      </c>
      <c r="O1170" s="7">
        <v>46000</v>
      </c>
      <c r="P1170" s="5">
        <v>-1134</v>
      </c>
      <c r="Q1170" s="5">
        <v>0</v>
      </c>
      <c r="R1170" s="5">
        <v>1008945</v>
      </c>
      <c r="S1170" s="5" t="s">
        <v>33</v>
      </c>
      <c r="T1170" s="5">
        <v>0</v>
      </c>
      <c r="U1170" s="5">
        <v>-1134</v>
      </c>
      <c r="V1170" s="5" t="s">
        <v>34</v>
      </c>
      <c r="W1170" s="5">
        <v>2</v>
      </c>
      <c r="X1170" s="5">
        <v>6182736448266</v>
      </c>
      <c r="Y1170" s="7">
        <v>46003</v>
      </c>
      <c r="Z1170" s="7">
        <v>46000</v>
      </c>
      <c r="AB1170" s="6">
        <v>46003</v>
      </c>
      <c r="AC1170" s="7">
        <v>46002.68472222222</v>
      </c>
      <c r="AD1170" s="5">
        <v>37811008945</v>
      </c>
      <c r="AE1170" s="8">
        <v>46000</v>
      </c>
      <c r="AF1170" s="5" t="s">
        <v>610</v>
      </c>
      <c r="AG1170" s="5" t="s">
        <v>38</v>
      </c>
      <c r="AH1170" s="5" t="s">
        <v>611</v>
      </c>
      <c r="AI1170" s="6">
        <v>46000</v>
      </c>
      <c r="AJ1170" s="6">
        <v>46003</v>
      </c>
    </row>
    <row r="1171" spans="1:37" hidden="1" x14ac:dyDescent="0.55000000000000004">
      <c r="A1171">
        <v>3781</v>
      </c>
      <c r="B1171">
        <v>1009050</v>
      </c>
      <c r="C1171">
        <v>-640</v>
      </c>
      <c r="E1171">
        <v>-640</v>
      </c>
      <c r="G1171">
        <v>-640</v>
      </c>
      <c r="H1171"/>
      <c r="I1171"/>
      <c r="J1171" s="2">
        <v>46003</v>
      </c>
      <c r="K1171" s="5">
        <v>1009050</v>
      </c>
      <c r="L1171" s="5">
        <v>3781</v>
      </c>
      <c r="M1171" s="5">
        <v>0</v>
      </c>
      <c r="N1171" s="5">
        <v>-640</v>
      </c>
      <c r="O1171" s="7">
        <v>46000</v>
      </c>
      <c r="P1171" s="5">
        <v>-640</v>
      </c>
      <c r="Q1171" s="5">
        <v>0</v>
      </c>
      <c r="R1171" s="5">
        <v>1009050</v>
      </c>
      <c r="S1171" s="5" t="s">
        <v>33</v>
      </c>
      <c r="T1171" s="5">
        <v>0</v>
      </c>
      <c r="U1171" s="5">
        <v>-640</v>
      </c>
      <c r="V1171" s="5" t="s">
        <v>34</v>
      </c>
      <c r="W1171" s="5">
        <v>2</v>
      </c>
      <c r="X1171" s="5">
        <v>6182736448266</v>
      </c>
      <c r="Y1171" s="7">
        <v>46003</v>
      </c>
      <c r="Z1171" s="7">
        <v>46000</v>
      </c>
      <c r="AB1171" s="6">
        <v>46003</v>
      </c>
      <c r="AC1171" s="7">
        <v>46002.68472222222</v>
      </c>
      <c r="AD1171" s="5">
        <v>37811009050</v>
      </c>
      <c r="AE1171" s="8">
        <v>46000</v>
      </c>
      <c r="AF1171" s="5">
        <v>1352475</v>
      </c>
      <c r="AG1171" s="5" t="s">
        <v>38</v>
      </c>
      <c r="AH1171" s="5" t="s">
        <v>612</v>
      </c>
      <c r="AI1171" s="6">
        <v>46000</v>
      </c>
      <c r="AJ1171" s="6">
        <v>46003</v>
      </c>
    </row>
    <row r="1172" spans="1:37" hidden="1" x14ac:dyDescent="0.55000000000000004">
      <c r="A1172">
        <v>3781</v>
      </c>
      <c r="B1172">
        <v>1009051</v>
      </c>
      <c r="C1172" s="1">
        <v>-4379.96</v>
      </c>
      <c r="E1172" s="1">
        <v>-4379.96</v>
      </c>
      <c r="G1172" s="1">
        <v>-4379.96</v>
      </c>
      <c r="H1172" s="1"/>
      <c r="I1172" s="1"/>
      <c r="J1172" s="2">
        <v>46003</v>
      </c>
      <c r="K1172" s="5">
        <v>1009051</v>
      </c>
      <c r="L1172" s="5">
        <v>3781</v>
      </c>
      <c r="M1172" s="5">
        <v>0</v>
      </c>
      <c r="N1172" s="5">
        <v>-4379.96</v>
      </c>
      <c r="O1172" s="7">
        <v>46000</v>
      </c>
      <c r="P1172" s="5">
        <v>-4379.96</v>
      </c>
      <c r="Q1172" s="5">
        <v>0</v>
      </c>
      <c r="R1172" s="5">
        <v>1009051</v>
      </c>
      <c r="S1172" s="5" t="s">
        <v>33</v>
      </c>
      <c r="T1172" s="5">
        <v>0</v>
      </c>
      <c r="U1172" s="5">
        <v>-4379.96</v>
      </c>
      <c r="V1172" s="5" t="s">
        <v>34</v>
      </c>
      <c r="W1172" s="5">
        <v>2</v>
      </c>
      <c r="X1172" s="5">
        <v>6182736448266</v>
      </c>
      <c r="Y1172" s="7">
        <v>46003</v>
      </c>
      <c r="Z1172" s="7">
        <v>46000</v>
      </c>
      <c r="AB1172" s="6">
        <v>46003</v>
      </c>
      <c r="AC1172" s="7">
        <v>46002.68472222222</v>
      </c>
      <c r="AD1172" s="5">
        <v>37811009051</v>
      </c>
      <c r="AE1172" s="8">
        <v>46000</v>
      </c>
      <c r="AF1172" s="5" t="s">
        <v>613</v>
      </c>
      <c r="AG1172" s="5" t="s">
        <v>38</v>
      </c>
      <c r="AH1172" s="5" t="s">
        <v>614</v>
      </c>
      <c r="AI1172" s="6">
        <v>46000</v>
      </c>
      <c r="AJ1172" s="6">
        <v>46003</v>
      </c>
    </row>
    <row r="1173" spans="1:37" hidden="1" x14ac:dyDescent="0.55000000000000004">
      <c r="A1173">
        <v>3781</v>
      </c>
      <c r="B1173">
        <v>1009052</v>
      </c>
      <c r="C1173" s="1">
        <v>-2000</v>
      </c>
      <c r="E1173" s="1">
        <v>-2000</v>
      </c>
      <c r="G1173" s="1">
        <v>-2000</v>
      </c>
      <c r="H1173" s="1"/>
      <c r="I1173" s="1"/>
      <c r="J1173" s="2">
        <v>46003</v>
      </c>
      <c r="K1173" s="5">
        <v>1009052</v>
      </c>
      <c r="L1173" s="5">
        <v>3781</v>
      </c>
      <c r="M1173" s="5">
        <v>0</v>
      </c>
      <c r="N1173" s="5">
        <v>-2000</v>
      </c>
      <c r="O1173" s="7">
        <v>46000</v>
      </c>
      <c r="P1173" s="5">
        <v>-2000</v>
      </c>
      <c r="Q1173" s="5">
        <v>0</v>
      </c>
      <c r="R1173" s="5">
        <v>1009052</v>
      </c>
      <c r="S1173" s="5" t="s">
        <v>33</v>
      </c>
      <c r="T1173" s="5">
        <v>0</v>
      </c>
      <c r="U1173" s="5">
        <v>-2000</v>
      </c>
      <c r="V1173" s="5" t="s">
        <v>34</v>
      </c>
      <c r="W1173" s="5">
        <v>2</v>
      </c>
      <c r="X1173" s="5">
        <v>6182736448266</v>
      </c>
      <c r="Y1173" s="7">
        <v>46003</v>
      </c>
      <c r="Z1173" s="7">
        <v>46000</v>
      </c>
      <c r="AB1173" s="6">
        <v>46003</v>
      </c>
      <c r="AC1173" s="7">
        <v>46002.68472222222</v>
      </c>
      <c r="AD1173" s="5">
        <v>37811009052</v>
      </c>
      <c r="AE1173" s="8">
        <v>46000</v>
      </c>
      <c r="AF1173" s="5" t="s">
        <v>613</v>
      </c>
      <c r="AG1173" s="5" t="s">
        <v>38</v>
      </c>
      <c r="AH1173" s="5" t="s">
        <v>615</v>
      </c>
      <c r="AI1173" s="6">
        <v>46000</v>
      </c>
      <c r="AJ1173" s="6">
        <v>46003</v>
      </c>
    </row>
    <row r="1174" spans="1:37" hidden="1" x14ac:dyDescent="0.55000000000000004">
      <c r="A1174">
        <v>3781</v>
      </c>
      <c r="B1174">
        <v>1009053</v>
      </c>
      <c r="C1174">
        <v>-160</v>
      </c>
      <c r="E1174">
        <v>-160</v>
      </c>
      <c r="G1174">
        <v>-160</v>
      </c>
      <c r="H1174"/>
      <c r="I1174"/>
      <c r="J1174" s="2">
        <v>46003</v>
      </c>
      <c r="K1174" s="5">
        <v>1009053</v>
      </c>
      <c r="L1174" s="5">
        <v>3781</v>
      </c>
      <c r="M1174" s="5">
        <v>0</v>
      </c>
      <c r="N1174" s="5">
        <v>-160</v>
      </c>
      <c r="O1174" s="7">
        <v>46000</v>
      </c>
      <c r="P1174" s="5">
        <v>-160</v>
      </c>
      <c r="Q1174" s="5">
        <v>0</v>
      </c>
      <c r="R1174" s="5">
        <v>1009053</v>
      </c>
      <c r="S1174" s="5" t="s">
        <v>33</v>
      </c>
      <c r="T1174" s="5">
        <v>0</v>
      </c>
      <c r="U1174" s="5">
        <v>-160</v>
      </c>
      <c r="V1174" s="5" t="s">
        <v>34</v>
      </c>
      <c r="W1174" s="5">
        <v>2</v>
      </c>
      <c r="X1174" s="5">
        <v>6182736448266</v>
      </c>
      <c r="Y1174" s="7">
        <v>46003</v>
      </c>
      <c r="Z1174" s="7">
        <v>46000</v>
      </c>
      <c r="AB1174" s="6">
        <v>46003</v>
      </c>
      <c r="AC1174" s="7">
        <v>46002.68472222222</v>
      </c>
      <c r="AD1174" s="5">
        <v>37811009053</v>
      </c>
      <c r="AE1174" s="8">
        <v>46000</v>
      </c>
      <c r="AF1174" s="5" t="s">
        <v>613</v>
      </c>
      <c r="AG1174" s="5" t="s">
        <v>38</v>
      </c>
      <c r="AH1174" s="5" t="s">
        <v>616</v>
      </c>
      <c r="AI1174" s="6">
        <v>46000</v>
      </c>
      <c r="AJ1174" s="6">
        <v>46003</v>
      </c>
    </row>
    <row r="1175" spans="1:37" hidden="1" x14ac:dyDescent="0.55000000000000004">
      <c r="A1175">
        <v>3781</v>
      </c>
      <c r="B1175">
        <v>1009054</v>
      </c>
      <c r="C1175" s="1">
        <v>-2399.94</v>
      </c>
      <c r="E1175" s="1">
        <v>-2399.94</v>
      </c>
      <c r="G1175" s="1">
        <v>-2399.94</v>
      </c>
      <c r="H1175" s="1"/>
      <c r="I1175" s="1"/>
      <c r="J1175" s="2">
        <v>46003</v>
      </c>
      <c r="K1175" s="5">
        <v>1009054</v>
      </c>
      <c r="L1175" s="5">
        <v>3781</v>
      </c>
      <c r="M1175" s="5">
        <v>0</v>
      </c>
      <c r="N1175" s="5">
        <v>-2399.94</v>
      </c>
      <c r="O1175" s="7">
        <v>46000</v>
      </c>
      <c r="P1175" s="5">
        <v>-2399.94</v>
      </c>
      <c r="Q1175" s="5">
        <v>0</v>
      </c>
      <c r="R1175" s="5">
        <v>1009054</v>
      </c>
      <c r="S1175" s="5" t="s">
        <v>33</v>
      </c>
      <c r="T1175" s="5">
        <v>0</v>
      </c>
      <c r="U1175" s="5">
        <v>-2399.94</v>
      </c>
      <c r="V1175" s="5" t="s">
        <v>34</v>
      </c>
      <c r="W1175" s="5">
        <v>2</v>
      </c>
      <c r="X1175" s="5">
        <v>6182736448266</v>
      </c>
      <c r="Y1175" s="7">
        <v>46003</v>
      </c>
      <c r="Z1175" s="7">
        <v>46000</v>
      </c>
      <c r="AB1175" s="6">
        <v>46003</v>
      </c>
      <c r="AC1175" s="7">
        <v>46002.68472222222</v>
      </c>
      <c r="AD1175" s="5">
        <v>37811009054</v>
      </c>
      <c r="AE1175" s="8">
        <v>46000</v>
      </c>
      <c r="AF1175" s="5" t="s">
        <v>613</v>
      </c>
      <c r="AG1175" s="5" t="s">
        <v>38</v>
      </c>
      <c r="AH1175" s="5" t="s">
        <v>617</v>
      </c>
      <c r="AI1175" s="6">
        <v>46000</v>
      </c>
      <c r="AJ1175" s="6">
        <v>46003</v>
      </c>
    </row>
    <row r="1176" spans="1:37" hidden="1" x14ac:dyDescent="0.55000000000000004">
      <c r="A1176">
        <v>3781</v>
      </c>
      <c r="B1176">
        <v>1009055</v>
      </c>
      <c r="C1176" s="1">
        <v>-1255.5</v>
      </c>
      <c r="E1176" s="1">
        <v>-1255.5</v>
      </c>
      <c r="G1176" s="1">
        <v>-1255.5</v>
      </c>
      <c r="H1176" s="1"/>
      <c r="I1176" s="1"/>
      <c r="J1176" s="2">
        <v>46003</v>
      </c>
      <c r="K1176" s="5">
        <v>1009055</v>
      </c>
      <c r="L1176" s="5">
        <v>3781</v>
      </c>
      <c r="M1176" s="5">
        <v>0</v>
      </c>
      <c r="N1176" s="5">
        <v>-1255.5</v>
      </c>
      <c r="O1176" s="7">
        <v>46000</v>
      </c>
      <c r="P1176" s="5">
        <v>-1255.5</v>
      </c>
      <c r="Q1176" s="5">
        <v>0</v>
      </c>
      <c r="R1176" s="5">
        <v>1009055</v>
      </c>
      <c r="S1176" s="5" t="s">
        <v>33</v>
      </c>
      <c r="T1176" s="5">
        <v>0</v>
      </c>
      <c r="U1176" s="5">
        <v>-1255.5</v>
      </c>
      <c r="V1176" s="5" t="s">
        <v>34</v>
      </c>
      <c r="W1176" s="5">
        <v>2</v>
      </c>
      <c r="X1176" s="5">
        <v>6182736448266</v>
      </c>
      <c r="Y1176" s="7">
        <v>46003</v>
      </c>
      <c r="Z1176" s="7">
        <v>46000</v>
      </c>
      <c r="AB1176" s="6">
        <v>46003</v>
      </c>
      <c r="AC1176" s="7">
        <v>46002.68472222222</v>
      </c>
      <c r="AD1176" s="5">
        <v>37811009055</v>
      </c>
      <c r="AE1176" s="8">
        <v>46000</v>
      </c>
      <c r="AF1176" s="5" t="s">
        <v>618</v>
      </c>
      <c r="AG1176" s="5" t="s">
        <v>38</v>
      </c>
      <c r="AH1176" s="5" t="s">
        <v>619</v>
      </c>
      <c r="AI1176" s="6">
        <v>46000</v>
      </c>
      <c r="AJ1176" s="6">
        <v>46003</v>
      </c>
    </row>
    <row r="1177" spans="1:37" hidden="1" x14ac:dyDescent="0.55000000000000004">
      <c r="A1177">
        <v>3781</v>
      </c>
      <c r="B1177">
        <v>1009056</v>
      </c>
      <c r="C1177">
        <v>-729</v>
      </c>
      <c r="E1177">
        <v>-729</v>
      </c>
      <c r="G1177">
        <v>-729</v>
      </c>
      <c r="H1177"/>
      <c r="I1177"/>
      <c r="J1177" s="2">
        <v>46003</v>
      </c>
      <c r="K1177" s="5">
        <v>1009056</v>
      </c>
      <c r="L1177" s="5">
        <v>3781</v>
      </c>
      <c r="M1177" s="5">
        <v>0</v>
      </c>
      <c r="N1177" s="5">
        <v>-729</v>
      </c>
      <c r="O1177" s="7">
        <v>46000</v>
      </c>
      <c r="P1177" s="5">
        <v>-729</v>
      </c>
      <c r="Q1177" s="5">
        <v>0</v>
      </c>
      <c r="R1177" s="5">
        <v>1009056</v>
      </c>
      <c r="S1177" s="5" t="s">
        <v>33</v>
      </c>
      <c r="T1177" s="5">
        <v>0</v>
      </c>
      <c r="U1177" s="5">
        <v>-729</v>
      </c>
      <c r="V1177" s="5" t="s">
        <v>34</v>
      </c>
      <c r="W1177" s="5">
        <v>2</v>
      </c>
      <c r="X1177" s="5">
        <v>6182736448266</v>
      </c>
      <c r="Y1177" s="7">
        <v>46003</v>
      </c>
      <c r="Z1177" s="7">
        <v>46000</v>
      </c>
      <c r="AB1177" s="6">
        <v>46003</v>
      </c>
      <c r="AC1177" s="7">
        <v>46002.68472222222</v>
      </c>
      <c r="AD1177" s="5">
        <v>37811009056</v>
      </c>
      <c r="AE1177" s="8">
        <v>46000</v>
      </c>
      <c r="AF1177" s="5" t="s">
        <v>618</v>
      </c>
      <c r="AG1177" s="5" t="s">
        <v>38</v>
      </c>
      <c r="AH1177" s="5" t="s">
        <v>620</v>
      </c>
      <c r="AI1177" s="6">
        <v>46000</v>
      </c>
      <c r="AJ1177" s="6">
        <v>46003</v>
      </c>
    </row>
    <row r="1178" spans="1:37" hidden="1" x14ac:dyDescent="0.55000000000000004">
      <c r="A1178">
        <v>3781</v>
      </c>
      <c r="B1178">
        <v>1009057</v>
      </c>
      <c r="C1178">
        <v>-324</v>
      </c>
      <c r="E1178">
        <v>-324</v>
      </c>
      <c r="G1178">
        <v>-324</v>
      </c>
      <c r="H1178"/>
      <c r="I1178"/>
      <c r="J1178" s="2">
        <v>46003</v>
      </c>
      <c r="K1178" s="5">
        <v>1009057</v>
      </c>
      <c r="L1178" s="5">
        <v>3781</v>
      </c>
      <c r="M1178" s="5">
        <v>0</v>
      </c>
      <c r="N1178" s="5">
        <v>-324</v>
      </c>
      <c r="O1178" s="7">
        <v>46000</v>
      </c>
      <c r="P1178" s="5">
        <v>-324</v>
      </c>
      <c r="Q1178" s="5">
        <v>0</v>
      </c>
      <c r="R1178" s="5">
        <v>1009057</v>
      </c>
      <c r="S1178" s="5" t="s">
        <v>33</v>
      </c>
      <c r="T1178" s="5">
        <v>0</v>
      </c>
      <c r="U1178" s="5">
        <v>-324</v>
      </c>
      <c r="V1178" s="5" t="s">
        <v>34</v>
      </c>
      <c r="W1178" s="5">
        <v>2</v>
      </c>
      <c r="X1178" s="5">
        <v>6182736448266</v>
      </c>
      <c r="Y1178" s="7">
        <v>46003</v>
      </c>
      <c r="Z1178" s="7">
        <v>46000</v>
      </c>
      <c r="AB1178" s="6">
        <v>46003</v>
      </c>
      <c r="AC1178" s="7">
        <v>46002.68472222222</v>
      </c>
      <c r="AD1178" s="5">
        <v>37811009057</v>
      </c>
      <c r="AE1178" s="8">
        <v>46000</v>
      </c>
      <c r="AF1178" s="5">
        <v>1352477</v>
      </c>
      <c r="AG1178" s="5" t="s">
        <v>38</v>
      </c>
      <c r="AH1178" s="5" t="s">
        <v>621</v>
      </c>
      <c r="AI1178" s="6">
        <v>46000</v>
      </c>
      <c r="AJ1178" s="6">
        <v>46003</v>
      </c>
    </row>
    <row r="1179" spans="1:37" hidden="1" x14ac:dyDescent="0.55000000000000004">
      <c r="A1179">
        <v>3781</v>
      </c>
      <c r="B1179">
        <v>1009058</v>
      </c>
      <c r="C1179">
        <v>-850.5</v>
      </c>
      <c r="E1179">
        <v>-850.5</v>
      </c>
      <c r="G1179">
        <v>-850.5</v>
      </c>
      <c r="H1179"/>
      <c r="I1179"/>
      <c r="J1179" s="2">
        <v>46003</v>
      </c>
      <c r="K1179" s="5">
        <v>1009058</v>
      </c>
      <c r="L1179" s="5">
        <v>3781</v>
      </c>
      <c r="M1179" s="5">
        <v>0</v>
      </c>
      <c r="N1179" s="5">
        <v>-850.5</v>
      </c>
      <c r="O1179" s="7">
        <v>46000</v>
      </c>
      <c r="P1179" s="5">
        <v>-850.5</v>
      </c>
      <c r="Q1179" s="5">
        <v>0</v>
      </c>
      <c r="R1179" s="5">
        <v>1009058</v>
      </c>
      <c r="S1179" s="5" t="s">
        <v>33</v>
      </c>
      <c r="T1179" s="5">
        <v>0</v>
      </c>
      <c r="U1179" s="5">
        <v>-850.5</v>
      </c>
      <c r="V1179" s="5" t="s">
        <v>34</v>
      </c>
      <c r="W1179" s="5">
        <v>2</v>
      </c>
      <c r="X1179" s="5">
        <v>6182736448266</v>
      </c>
      <c r="Y1179" s="7">
        <v>46003</v>
      </c>
      <c r="Z1179" s="7">
        <v>46000</v>
      </c>
      <c r="AB1179" s="6">
        <v>46003</v>
      </c>
      <c r="AC1179" s="7">
        <v>46002.68472222222</v>
      </c>
      <c r="AD1179" s="5">
        <v>37811009058</v>
      </c>
      <c r="AE1179" s="8">
        <v>46000</v>
      </c>
      <c r="AF1179" s="5">
        <v>1352477</v>
      </c>
      <c r="AG1179" s="5" t="s">
        <v>38</v>
      </c>
      <c r="AH1179" s="5" t="s">
        <v>622</v>
      </c>
      <c r="AI1179" s="6">
        <v>46000</v>
      </c>
      <c r="AJ1179" s="6">
        <v>46003</v>
      </c>
    </row>
    <row r="1180" spans="1:37" hidden="1" x14ac:dyDescent="0.55000000000000004">
      <c r="A1180">
        <v>3781</v>
      </c>
      <c r="B1180">
        <v>1009059</v>
      </c>
      <c r="C1180">
        <v>-850.5</v>
      </c>
      <c r="E1180">
        <v>-850.5</v>
      </c>
      <c r="G1180">
        <v>-850.5</v>
      </c>
      <c r="H1180"/>
      <c r="I1180"/>
      <c r="J1180" s="2">
        <v>46003</v>
      </c>
      <c r="K1180" s="5">
        <v>1009059</v>
      </c>
      <c r="L1180" s="5">
        <v>3781</v>
      </c>
      <c r="M1180" s="5">
        <v>0</v>
      </c>
      <c r="N1180" s="5">
        <v>-850.5</v>
      </c>
      <c r="O1180" s="7">
        <v>46000</v>
      </c>
      <c r="P1180" s="5">
        <v>-850.5</v>
      </c>
      <c r="Q1180" s="5">
        <v>0</v>
      </c>
      <c r="R1180" s="5">
        <v>1009059</v>
      </c>
      <c r="S1180" s="5" t="s">
        <v>33</v>
      </c>
      <c r="T1180" s="5">
        <v>0</v>
      </c>
      <c r="U1180" s="5">
        <v>-850.5</v>
      </c>
      <c r="V1180" s="5" t="s">
        <v>34</v>
      </c>
      <c r="W1180" s="5">
        <v>2</v>
      </c>
      <c r="X1180" s="5">
        <v>6182736448266</v>
      </c>
      <c r="Y1180" s="7">
        <v>46003</v>
      </c>
      <c r="Z1180" s="7">
        <v>46000</v>
      </c>
      <c r="AB1180" s="6">
        <v>46003</v>
      </c>
      <c r="AC1180" s="7">
        <v>46002.68472222222</v>
      </c>
      <c r="AD1180" s="5">
        <v>37811009059</v>
      </c>
      <c r="AE1180" s="8">
        <v>46000</v>
      </c>
      <c r="AF1180" s="5">
        <v>1352477</v>
      </c>
      <c r="AG1180" s="5" t="s">
        <v>38</v>
      </c>
      <c r="AH1180" s="5" t="s">
        <v>623</v>
      </c>
      <c r="AI1180" s="6">
        <v>46000</v>
      </c>
      <c r="AJ1180" s="6">
        <v>46003</v>
      </c>
    </row>
    <row r="1181" spans="1:37" x14ac:dyDescent="0.55000000000000004">
      <c r="A1181">
        <v>3788</v>
      </c>
      <c r="B1181">
        <v>1007316</v>
      </c>
      <c r="C1181">
        <v>77.739999999999995</v>
      </c>
      <c r="D1181" s="4">
        <v>1.55</v>
      </c>
      <c r="E1181">
        <v>76.19</v>
      </c>
      <c r="F1181">
        <v>0.78</v>
      </c>
      <c r="G1181">
        <v>75.41</v>
      </c>
      <c r="H1181" s="14">
        <f t="shared" ref="H1181:H1185" si="536">C1181-D1181-F1181</f>
        <v>75.41</v>
      </c>
      <c r="I1181" s="14" t="b">
        <f t="shared" ref="I1181:I1185" si="537">G1181=H1181</f>
        <v>1</v>
      </c>
      <c r="J1181" s="2">
        <v>46003</v>
      </c>
      <c r="K1181" s="5">
        <v>1007316</v>
      </c>
      <c r="L1181" s="5">
        <v>3788</v>
      </c>
      <c r="M1181" s="5">
        <v>1.55</v>
      </c>
      <c r="N1181" s="5">
        <v>77.739999999999995</v>
      </c>
      <c r="O1181" s="7">
        <v>45992</v>
      </c>
      <c r="P1181" s="5">
        <v>76.19</v>
      </c>
      <c r="Q1181" s="5">
        <v>1.55</v>
      </c>
      <c r="R1181" s="5" t="s">
        <v>32</v>
      </c>
      <c r="S1181" s="5" t="s">
        <v>33</v>
      </c>
      <c r="T1181" s="5">
        <v>0.78</v>
      </c>
      <c r="U1181" s="5">
        <v>75.41</v>
      </c>
      <c r="V1181" s="5" t="s">
        <v>34</v>
      </c>
      <c r="W1181" s="5">
        <v>2</v>
      </c>
      <c r="X1181" s="5">
        <v>6020953988843</v>
      </c>
      <c r="Y1181" s="7">
        <v>46003</v>
      </c>
      <c r="Z1181" s="7">
        <v>45992</v>
      </c>
      <c r="AB1181" s="6">
        <v>46003</v>
      </c>
      <c r="AC1181" s="7">
        <v>45999.479861111111</v>
      </c>
      <c r="AD1181" s="5">
        <v>37881007316</v>
      </c>
      <c r="AE1181" s="8">
        <v>45992</v>
      </c>
      <c r="AF1181" s="5">
        <v>8505</v>
      </c>
      <c r="AG1181" s="5" t="s">
        <v>37</v>
      </c>
      <c r="AH1181" s="5">
        <v>205837</v>
      </c>
      <c r="AI1181" s="6">
        <v>45992</v>
      </c>
      <c r="AJ1181" s="6">
        <v>46003</v>
      </c>
      <c r="AK1181" s="1">
        <f t="shared" ref="AK1181:AK1185" si="538">0.02*C1181</f>
        <v>1.5548</v>
      </c>
    </row>
    <row r="1182" spans="1:37" x14ac:dyDescent="0.55000000000000004">
      <c r="A1182">
        <v>3788</v>
      </c>
      <c r="B1182">
        <v>1007318</v>
      </c>
      <c r="C1182">
        <v>66.36</v>
      </c>
      <c r="D1182" s="4">
        <v>1.33</v>
      </c>
      <c r="E1182">
        <v>65.03</v>
      </c>
      <c r="F1182">
        <v>0.66</v>
      </c>
      <c r="G1182">
        <v>64.37</v>
      </c>
      <c r="H1182" s="14">
        <f t="shared" si="536"/>
        <v>64.37</v>
      </c>
      <c r="I1182" s="14" t="b">
        <f t="shared" si="537"/>
        <v>1</v>
      </c>
      <c r="J1182" s="2">
        <v>46003</v>
      </c>
      <c r="K1182" s="5">
        <v>1007318</v>
      </c>
      <c r="L1182" s="5">
        <v>3788</v>
      </c>
      <c r="M1182" s="5">
        <v>1.33</v>
      </c>
      <c r="N1182" s="5">
        <v>66.36</v>
      </c>
      <c r="O1182" s="7">
        <v>45992</v>
      </c>
      <c r="P1182" s="5">
        <v>65.03</v>
      </c>
      <c r="Q1182" s="5">
        <v>1.33</v>
      </c>
      <c r="R1182" s="5" t="s">
        <v>32</v>
      </c>
      <c r="S1182" s="5" t="s">
        <v>33</v>
      </c>
      <c r="T1182" s="5">
        <v>0.66</v>
      </c>
      <c r="U1182" s="5">
        <v>64.37</v>
      </c>
      <c r="V1182" s="5" t="s">
        <v>34</v>
      </c>
      <c r="W1182" s="5">
        <v>2</v>
      </c>
      <c r="X1182" s="5">
        <v>6020953988843</v>
      </c>
      <c r="Y1182" s="7">
        <v>46003</v>
      </c>
      <c r="Z1182" s="7">
        <v>45992</v>
      </c>
      <c r="AB1182" s="6">
        <v>46003</v>
      </c>
      <c r="AC1182" s="7">
        <v>45999.479861111111</v>
      </c>
      <c r="AD1182" s="5">
        <v>37881007318</v>
      </c>
      <c r="AE1182" s="8">
        <v>45992</v>
      </c>
      <c r="AF1182" s="5" t="s">
        <v>624</v>
      </c>
      <c r="AG1182" s="5" t="s">
        <v>37</v>
      </c>
      <c r="AH1182" s="5">
        <v>205835</v>
      </c>
      <c r="AI1182" s="6">
        <v>45992</v>
      </c>
      <c r="AJ1182" s="6">
        <v>46003</v>
      </c>
      <c r="AK1182" s="1">
        <f t="shared" si="538"/>
        <v>1.3271999999999999</v>
      </c>
    </row>
    <row r="1183" spans="1:37" x14ac:dyDescent="0.55000000000000004">
      <c r="A1183">
        <v>3788</v>
      </c>
      <c r="B1183">
        <v>1007324</v>
      </c>
      <c r="C1183">
        <v>66.36</v>
      </c>
      <c r="D1183" s="4">
        <v>1.33</v>
      </c>
      <c r="E1183">
        <v>65.03</v>
      </c>
      <c r="F1183">
        <v>0.66</v>
      </c>
      <c r="G1183">
        <v>64.37</v>
      </c>
      <c r="H1183" s="14">
        <f t="shared" si="536"/>
        <v>64.37</v>
      </c>
      <c r="I1183" s="14" t="b">
        <f t="shared" si="537"/>
        <v>1</v>
      </c>
      <c r="J1183" s="2">
        <v>46003</v>
      </c>
      <c r="K1183" s="5">
        <v>1007324</v>
      </c>
      <c r="L1183" s="5">
        <v>3788</v>
      </c>
      <c r="M1183" s="5">
        <v>1.33</v>
      </c>
      <c r="N1183" s="5">
        <v>66.36</v>
      </c>
      <c r="O1183" s="7">
        <v>45992</v>
      </c>
      <c r="P1183" s="5">
        <v>65.03</v>
      </c>
      <c r="Q1183" s="5">
        <v>1.33</v>
      </c>
      <c r="R1183" s="5" t="s">
        <v>32</v>
      </c>
      <c r="S1183" s="5" t="s">
        <v>33</v>
      </c>
      <c r="T1183" s="5">
        <v>0.66</v>
      </c>
      <c r="U1183" s="5">
        <v>64.37</v>
      </c>
      <c r="V1183" s="5" t="s">
        <v>34</v>
      </c>
      <c r="W1183" s="5">
        <v>2</v>
      </c>
      <c r="X1183" s="5">
        <v>6020953988843</v>
      </c>
      <c r="Y1183" s="7">
        <v>46003</v>
      </c>
      <c r="Z1183" s="7">
        <v>45992</v>
      </c>
      <c r="AB1183" s="6">
        <v>46003</v>
      </c>
      <c r="AC1183" s="7">
        <v>45999.479861111111</v>
      </c>
      <c r="AD1183" s="5">
        <v>37881007324</v>
      </c>
      <c r="AE1183" s="8">
        <v>45992</v>
      </c>
      <c r="AF1183" s="5">
        <v>8376</v>
      </c>
      <c r="AG1183" s="5" t="s">
        <v>37</v>
      </c>
      <c r="AH1183" s="5">
        <v>205836</v>
      </c>
      <c r="AI1183" s="6">
        <v>45992</v>
      </c>
      <c r="AJ1183" s="6">
        <v>46003</v>
      </c>
      <c r="AK1183" s="1">
        <f t="shared" si="538"/>
        <v>1.3271999999999999</v>
      </c>
    </row>
    <row r="1184" spans="1:37" x14ac:dyDescent="0.55000000000000004">
      <c r="A1184">
        <v>3788</v>
      </c>
      <c r="B1184">
        <v>1007389</v>
      </c>
      <c r="C1184">
        <v>31.74</v>
      </c>
      <c r="D1184" s="4">
        <v>0.63</v>
      </c>
      <c r="E1184">
        <v>31.11</v>
      </c>
      <c r="F1184">
        <v>0.32</v>
      </c>
      <c r="G1184">
        <v>30.79</v>
      </c>
      <c r="H1184" s="14">
        <f t="shared" si="536"/>
        <v>30.79</v>
      </c>
      <c r="I1184" s="14" t="b">
        <f t="shared" si="537"/>
        <v>1</v>
      </c>
      <c r="J1184" s="2">
        <v>46003</v>
      </c>
      <c r="K1184" s="5">
        <v>1007389</v>
      </c>
      <c r="L1184" s="5">
        <v>3788</v>
      </c>
      <c r="M1184" s="5">
        <v>0.63</v>
      </c>
      <c r="N1184" s="5">
        <v>31.74</v>
      </c>
      <c r="O1184" s="7">
        <v>45992</v>
      </c>
      <c r="P1184" s="5">
        <v>31.11</v>
      </c>
      <c r="Q1184" s="5">
        <v>0.63</v>
      </c>
      <c r="R1184" s="5" t="s">
        <v>32</v>
      </c>
      <c r="S1184" s="5" t="s">
        <v>33</v>
      </c>
      <c r="T1184" s="5">
        <v>0.32</v>
      </c>
      <c r="U1184" s="5">
        <v>30.79</v>
      </c>
      <c r="V1184" s="5" t="s">
        <v>34</v>
      </c>
      <c r="W1184" s="5">
        <v>2</v>
      </c>
      <c r="X1184" s="5">
        <v>6020953988843</v>
      </c>
      <c r="Y1184" s="7">
        <v>46003</v>
      </c>
      <c r="Z1184" s="7">
        <v>45992</v>
      </c>
      <c r="AB1184" s="6">
        <v>46003</v>
      </c>
      <c r="AC1184" s="7">
        <v>45999.479861111111</v>
      </c>
      <c r="AD1184" s="5">
        <v>37881007389</v>
      </c>
      <c r="AE1184" s="8">
        <v>45992</v>
      </c>
      <c r="AF1184" s="5">
        <v>8003</v>
      </c>
      <c r="AG1184" s="5" t="s">
        <v>37</v>
      </c>
      <c r="AH1184" s="5">
        <v>205972</v>
      </c>
      <c r="AI1184" s="6">
        <v>45992</v>
      </c>
      <c r="AJ1184" s="6">
        <v>46003</v>
      </c>
      <c r="AK1184" s="1">
        <f t="shared" si="538"/>
        <v>0.63480000000000003</v>
      </c>
    </row>
    <row r="1185" spans="1:37" x14ac:dyDescent="0.55000000000000004">
      <c r="A1185">
        <v>3788</v>
      </c>
      <c r="B1185">
        <v>1007493</v>
      </c>
      <c r="C1185">
        <v>39.840000000000003</v>
      </c>
      <c r="D1185" s="4">
        <v>0.8</v>
      </c>
      <c r="E1185">
        <v>39.04</v>
      </c>
      <c r="F1185">
        <v>0.4</v>
      </c>
      <c r="G1185">
        <v>38.64</v>
      </c>
      <c r="H1185" s="14">
        <f t="shared" si="536"/>
        <v>38.640000000000008</v>
      </c>
      <c r="I1185" s="14" t="b">
        <f t="shared" si="537"/>
        <v>1</v>
      </c>
      <c r="J1185" s="2">
        <v>46003</v>
      </c>
      <c r="K1185" s="5">
        <v>1007493</v>
      </c>
      <c r="L1185" s="5">
        <v>3788</v>
      </c>
      <c r="M1185" s="5">
        <v>0.8</v>
      </c>
      <c r="N1185" s="5">
        <v>39.840000000000003</v>
      </c>
      <c r="O1185" s="7">
        <v>45992</v>
      </c>
      <c r="P1185" s="5">
        <v>39.04</v>
      </c>
      <c r="Q1185" s="5">
        <v>0.8</v>
      </c>
      <c r="R1185" s="5" t="s">
        <v>32</v>
      </c>
      <c r="S1185" s="5" t="s">
        <v>33</v>
      </c>
      <c r="T1185" s="5">
        <v>0.4</v>
      </c>
      <c r="U1185" s="5">
        <v>38.64</v>
      </c>
      <c r="V1185" s="5" t="s">
        <v>34</v>
      </c>
      <c r="W1185" s="5">
        <v>2</v>
      </c>
      <c r="X1185" s="5">
        <v>6020953988843</v>
      </c>
      <c r="Y1185" s="7">
        <v>46003</v>
      </c>
      <c r="Z1185" s="7">
        <v>45992</v>
      </c>
      <c r="AB1185" s="6">
        <v>46003</v>
      </c>
      <c r="AC1185" s="7">
        <v>45999.479861111111</v>
      </c>
      <c r="AD1185" s="5">
        <v>37881007493</v>
      </c>
      <c r="AE1185" s="8">
        <v>45992</v>
      </c>
      <c r="AF1185" s="5">
        <v>8406</v>
      </c>
      <c r="AG1185" s="5" t="s">
        <v>37</v>
      </c>
      <c r="AH1185" s="5">
        <v>206014</v>
      </c>
      <c r="AI1185" s="6">
        <v>45992</v>
      </c>
      <c r="AJ1185" s="6">
        <v>46003</v>
      </c>
      <c r="AK1185" s="1">
        <f t="shared" si="538"/>
        <v>0.79680000000000006</v>
      </c>
    </row>
    <row r="1186" spans="1:37" hidden="1" x14ac:dyDescent="0.55000000000000004">
      <c r="A1186">
        <v>3788</v>
      </c>
      <c r="B1186">
        <v>1007616</v>
      </c>
      <c r="C1186">
        <v>350</v>
      </c>
      <c r="E1186">
        <v>350</v>
      </c>
      <c r="F1186">
        <v>3.5</v>
      </c>
      <c r="G1186">
        <v>346.5</v>
      </c>
      <c r="H1186"/>
      <c r="I1186"/>
      <c r="J1186" s="2">
        <v>46003</v>
      </c>
      <c r="K1186" s="5">
        <v>1007616</v>
      </c>
      <c r="L1186" s="5">
        <v>3788</v>
      </c>
      <c r="M1186" s="5">
        <v>0</v>
      </c>
      <c r="N1186" s="5">
        <v>350</v>
      </c>
      <c r="O1186" s="7">
        <v>45993</v>
      </c>
      <c r="P1186" s="5">
        <v>350</v>
      </c>
      <c r="Q1186" s="5">
        <v>0</v>
      </c>
      <c r="R1186" s="5" t="s">
        <v>32</v>
      </c>
      <c r="S1186" s="5" t="s">
        <v>33</v>
      </c>
      <c r="T1186" s="5">
        <v>3.5</v>
      </c>
      <c r="U1186" s="5">
        <v>346.5</v>
      </c>
      <c r="V1186" s="5" t="s">
        <v>34</v>
      </c>
      <c r="W1186" s="5">
        <v>2</v>
      </c>
      <c r="X1186" s="5">
        <v>6020953988843</v>
      </c>
      <c r="Y1186" s="7">
        <v>46003</v>
      </c>
      <c r="Z1186" s="7">
        <v>45993</v>
      </c>
      <c r="AB1186" s="6">
        <v>46003</v>
      </c>
      <c r="AC1186" s="7">
        <v>45999.479861111111</v>
      </c>
      <c r="AD1186" s="5">
        <v>37881007616</v>
      </c>
      <c r="AE1186" s="8">
        <v>45993</v>
      </c>
      <c r="AF1186" s="5" t="s">
        <v>32</v>
      </c>
      <c r="AG1186" s="5" t="s">
        <v>82</v>
      </c>
      <c r="AH1186" s="5" t="s">
        <v>32</v>
      </c>
      <c r="AI1186" s="6">
        <v>45993</v>
      </c>
      <c r="AJ1186" s="6">
        <v>46003</v>
      </c>
    </row>
    <row r="1187" spans="1:37" hidden="1" x14ac:dyDescent="0.55000000000000004">
      <c r="A1187">
        <v>3788</v>
      </c>
      <c r="B1187">
        <v>1007846</v>
      </c>
      <c r="C1187" s="1">
        <v>5099.84</v>
      </c>
      <c r="E1187" s="1">
        <v>5099.84</v>
      </c>
      <c r="F1187">
        <v>51</v>
      </c>
      <c r="G1187" s="1">
        <v>5048.84</v>
      </c>
      <c r="H1187" s="1"/>
      <c r="I1187" s="1"/>
      <c r="J1187" s="2">
        <v>46003</v>
      </c>
      <c r="K1187" s="5">
        <v>1007846</v>
      </c>
      <c r="L1187" s="5">
        <v>3788</v>
      </c>
      <c r="M1187" s="5">
        <v>0</v>
      </c>
      <c r="N1187" s="5">
        <v>5099.84</v>
      </c>
      <c r="O1187" s="7">
        <v>45993</v>
      </c>
      <c r="P1187" s="5">
        <v>5099.84</v>
      </c>
      <c r="Q1187" s="5">
        <v>0</v>
      </c>
      <c r="R1187" s="5" t="s">
        <v>32</v>
      </c>
      <c r="S1187" s="5" t="s">
        <v>33</v>
      </c>
      <c r="T1187" s="5">
        <v>51</v>
      </c>
      <c r="U1187" s="5">
        <v>5048.84</v>
      </c>
      <c r="V1187" s="5" t="s">
        <v>34</v>
      </c>
      <c r="W1187" s="5">
        <v>2</v>
      </c>
      <c r="X1187" s="5">
        <v>6020953988843</v>
      </c>
      <c r="Y1187" s="7">
        <v>46003</v>
      </c>
      <c r="Z1187" s="7">
        <v>45993</v>
      </c>
      <c r="AB1187" s="6">
        <v>46003</v>
      </c>
      <c r="AC1187" s="7">
        <v>45999.479861111111</v>
      </c>
      <c r="AD1187" s="5">
        <v>37881007846</v>
      </c>
      <c r="AE1187" s="8">
        <v>45993</v>
      </c>
      <c r="AF1187" s="5">
        <v>8549</v>
      </c>
      <c r="AG1187" s="5" t="s">
        <v>38</v>
      </c>
      <c r="AH1187" s="5">
        <v>206120</v>
      </c>
      <c r="AI1187" s="6">
        <v>45993</v>
      </c>
      <c r="AJ1187" s="6">
        <v>46003</v>
      </c>
    </row>
    <row r="1188" spans="1:37" x14ac:dyDescent="0.55000000000000004">
      <c r="A1188">
        <v>3788</v>
      </c>
      <c r="B1188">
        <v>1008045</v>
      </c>
      <c r="C1188">
        <v>75.84</v>
      </c>
      <c r="D1188" s="4">
        <v>1.52</v>
      </c>
      <c r="E1188">
        <v>74.319999999999993</v>
      </c>
      <c r="F1188">
        <v>0.76</v>
      </c>
      <c r="G1188">
        <v>73.56</v>
      </c>
      <c r="H1188" s="14">
        <f>C1188-D1188-F1188</f>
        <v>73.56</v>
      </c>
      <c r="I1188" s="14" t="b">
        <f>G1188=H1188</f>
        <v>1</v>
      </c>
      <c r="J1188" s="2">
        <v>46003</v>
      </c>
      <c r="K1188" s="5">
        <v>1008045</v>
      </c>
      <c r="L1188" s="5">
        <v>3788</v>
      </c>
      <c r="M1188" s="5">
        <v>1.52</v>
      </c>
      <c r="N1188" s="5">
        <v>75.84</v>
      </c>
      <c r="O1188" s="7">
        <v>45994</v>
      </c>
      <c r="P1188" s="5">
        <v>74.319999999999993</v>
      </c>
      <c r="Q1188" s="5">
        <v>1.52</v>
      </c>
      <c r="R1188" s="5" t="s">
        <v>32</v>
      </c>
      <c r="S1188" s="5" t="s">
        <v>33</v>
      </c>
      <c r="T1188" s="5">
        <v>0.76</v>
      </c>
      <c r="U1188" s="5">
        <v>73.56</v>
      </c>
      <c r="V1188" s="5" t="s">
        <v>34</v>
      </c>
      <c r="W1188" s="5">
        <v>2</v>
      </c>
      <c r="X1188" s="5">
        <v>6020953988843</v>
      </c>
      <c r="Y1188" s="7">
        <v>46003</v>
      </c>
      <c r="Z1188" s="7">
        <v>45994</v>
      </c>
      <c r="AB1188" s="6">
        <v>46003</v>
      </c>
      <c r="AC1188" s="7">
        <v>45999.479861111111</v>
      </c>
      <c r="AD1188" s="5">
        <v>37881008045</v>
      </c>
      <c r="AE1188" s="8">
        <v>45994</v>
      </c>
      <c r="AF1188" s="5">
        <v>8505</v>
      </c>
      <c r="AG1188" s="5" t="s">
        <v>37</v>
      </c>
      <c r="AH1188" s="5">
        <v>206071</v>
      </c>
      <c r="AI1188" s="6">
        <v>45994</v>
      </c>
      <c r="AJ1188" s="6">
        <v>46003</v>
      </c>
      <c r="AK1188" s="1">
        <f t="shared" ref="AK1188" si="539">0.02*C1188</f>
        <v>1.5168000000000001</v>
      </c>
    </row>
    <row r="1189" spans="1:37" hidden="1" x14ac:dyDescent="0.55000000000000004">
      <c r="A1189">
        <v>3788</v>
      </c>
      <c r="B1189">
        <v>1008201</v>
      </c>
      <c r="C1189">
        <v>869.96</v>
      </c>
      <c r="E1189">
        <v>869.96</v>
      </c>
      <c r="F1189">
        <v>8.6999999999999993</v>
      </c>
      <c r="G1189">
        <v>861.26</v>
      </c>
      <c r="H1189"/>
      <c r="I1189"/>
      <c r="J1189" s="2">
        <v>46003</v>
      </c>
      <c r="K1189" s="5">
        <v>1008201</v>
      </c>
      <c r="L1189" s="5">
        <v>3788</v>
      </c>
      <c r="M1189" s="5">
        <v>0</v>
      </c>
      <c r="N1189" s="5">
        <v>869.96</v>
      </c>
      <c r="O1189" s="7">
        <v>45995</v>
      </c>
      <c r="P1189" s="5">
        <v>869.96</v>
      </c>
      <c r="Q1189" s="5">
        <v>0</v>
      </c>
      <c r="R1189" s="5" t="s">
        <v>32</v>
      </c>
      <c r="S1189" s="5" t="s">
        <v>33</v>
      </c>
      <c r="T1189" s="5">
        <v>8.6999999999999993</v>
      </c>
      <c r="U1189" s="5">
        <v>861.26</v>
      </c>
      <c r="V1189" s="5" t="s">
        <v>34</v>
      </c>
      <c r="W1189" s="5">
        <v>2</v>
      </c>
      <c r="X1189" s="5">
        <v>6020953988843</v>
      </c>
      <c r="Y1189" s="7">
        <v>46003</v>
      </c>
      <c r="Z1189" s="7">
        <v>45995</v>
      </c>
      <c r="AB1189" s="6">
        <v>46003</v>
      </c>
      <c r="AC1189" s="7">
        <v>45999.479861111111</v>
      </c>
      <c r="AD1189" s="5">
        <v>37881008201</v>
      </c>
      <c r="AE1189" s="8">
        <v>45995</v>
      </c>
      <c r="AF1189" s="5">
        <v>8549</v>
      </c>
      <c r="AG1189" s="5" t="s">
        <v>38</v>
      </c>
      <c r="AH1189" s="5">
        <v>206662</v>
      </c>
      <c r="AI1189" s="6">
        <v>45995</v>
      </c>
      <c r="AJ1189" s="6">
        <v>46003</v>
      </c>
    </row>
    <row r="1190" spans="1:37" x14ac:dyDescent="0.55000000000000004">
      <c r="A1190">
        <v>3788</v>
      </c>
      <c r="B1190">
        <v>1008264</v>
      </c>
      <c r="C1190">
        <v>26.15</v>
      </c>
      <c r="D1190" s="4">
        <v>0.52</v>
      </c>
      <c r="E1190">
        <v>25.63</v>
      </c>
      <c r="F1190">
        <v>0.26</v>
      </c>
      <c r="G1190">
        <v>25.37</v>
      </c>
      <c r="H1190" s="14">
        <f>C1190-D1190-F1190</f>
        <v>25.369999999999997</v>
      </c>
      <c r="I1190" s="14" t="b">
        <f>G1190=H1190</f>
        <v>1</v>
      </c>
      <c r="J1190" s="2">
        <v>46003</v>
      </c>
      <c r="K1190" s="5">
        <v>1008264</v>
      </c>
      <c r="L1190" s="5">
        <v>3788</v>
      </c>
      <c r="M1190" s="5">
        <v>0.52</v>
      </c>
      <c r="N1190" s="5">
        <v>26.15</v>
      </c>
      <c r="O1190" s="7">
        <v>45995</v>
      </c>
      <c r="P1190" s="5">
        <v>25.63</v>
      </c>
      <c r="Q1190" s="5">
        <v>0.52</v>
      </c>
      <c r="R1190" s="5" t="s">
        <v>32</v>
      </c>
      <c r="S1190" s="5" t="s">
        <v>33</v>
      </c>
      <c r="T1190" s="5">
        <v>0.26</v>
      </c>
      <c r="U1190" s="5">
        <v>25.37</v>
      </c>
      <c r="V1190" s="5" t="s">
        <v>34</v>
      </c>
      <c r="W1190" s="5">
        <v>2</v>
      </c>
      <c r="X1190" s="5">
        <v>6020953988843</v>
      </c>
      <c r="Y1190" s="7">
        <v>46003</v>
      </c>
      <c r="Z1190" s="7">
        <v>45995</v>
      </c>
      <c r="AB1190" s="6">
        <v>46003</v>
      </c>
      <c r="AC1190" s="7">
        <v>45999.479861111111</v>
      </c>
      <c r="AD1190" s="5">
        <v>37881008264</v>
      </c>
      <c r="AE1190" s="8">
        <v>45995</v>
      </c>
      <c r="AF1190" s="5">
        <v>8584</v>
      </c>
      <c r="AG1190" s="5" t="s">
        <v>37</v>
      </c>
      <c r="AH1190" s="5">
        <v>206556</v>
      </c>
      <c r="AI1190" s="6">
        <v>45995</v>
      </c>
      <c r="AJ1190" s="6">
        <v>46003</v>
      </c>
      <c r="AK1190" s="1">
        <f t="shared" ref="AK1190" si="540">0.02*C1190</f>
        <v>0.52300000000000002</v>
      </c>
    </row>
    <row r="1191" spans="1:37" hidden="1" x14ac:dyDescent="0.55000000000000004">
      <c r="A1191">
        <v>3788</v>
      </c>
      <c r="B1191">
        <v>1008268</v>
      </c>
      <c r="C1191">
        <v>527.38</v>
      </c>
      <c r="E1191">
        <v>527.38</v>
      </c>
      <c r="F1191">
        <v>5.27</v>
      </c>
      <c r="G1191">
        <v>522.11</v>
      </c>
      <c r="H1191"/>
      <c r="I1191"/>
      <c r="J1191" s="2">
        <v>46003</v>
      </c>
      <c r="K1191" s="5">
        <v>1008268</v>
      </c>
      <c r="L1191" s="5">
        <v>3788</v>
      </c>
      <c r="M1191" s="5">
        <v>0</v>
      </c>
      <c r="N1191" s="5">
        <v>527.38</v>
      </c>
      <c r="O1191" s="7">
        <v>45995</v>
      </c>
      <c r="P1191" s="5">
        <v>527.38</v>
      </c>
      <c r="Q1191" s="5">
        <v>0</v>
      </c>
      <c r="R1191" s="5" t="s">
        <v>32</v>
      </c>
      <c r="S1191" s="5" t="s">
        <v>33</v>
      </c>
      <c r="T1191" s="5">
        <v>5.27</v>
      </c>
      <c r="U1191" s="5">
        <v>522.11</v>
      </c>
      <c r="V1191" s="5" t="s">
        <v>34</v>
      </c>
      <c r="W1191" s="5">
        <v>2</v>
      </c>
      <c r="X1191" s="5">
        <v>6020953988843</v>
      </c>
      <c r="Y1191" s="7">
        <v>46003</v>
      </c>
      <c r="Z1191" s="7">
        <v>45995</v>
      </c>
      <c r="AB1191" s="6">
        <v>46003</v>
      </c>
      <c r="AC1191" s="7">
        <v>45999.479861111111</v>
      </c>
      <c r="AD1191" s="5">
        <v>37881008268</v>
      </c>
      <c r="AE1191" s="8">
        <v>45995</v>
      </c>
      <c r="AF1191" s="5">
        <v>8584</v>
      </c>
      <c r="AG1191" s="5" t="s">
        <v>38</v>
      </c>
      <c r="AH1191" s="5">
        <v>206557</v>
      </c>
      <c r="AI1191" s="6">
        <v>45995</v>
      </c>
      <c r="AJ1191" s="6">
        <v>46003</v>
      </c>
    </row>
    <row r="1192" spans="1:37" hidden="1" x14ac:dyDescent="0.55000000000000004">
      <c r="A1192">
        <v>3795</v>
      </c>
      <c r="B1192">
        <v>1007649</v>
      </c>
      <c r="C1192" s="1">
        <v>3990</v>
      </c>
      <c r="E1192" s="1">
        <v>3990</v>
      </c>
      <c r="F1192">
        <v>39.9</v>
      </c>
      <c r="G1192" s="1">
        <v>3950.1</v>
      </c>
      <c r="H1192" s="1"/>
      <c r="I1192" s="1"/>
      <c r="J1192" s="2">
        <v>46003</v>
      </c>
      <c r="K1192" s="5">
        <v>1007649</v>
      </c>
      <c r="L1192" s="5">
        <v>3795</v>
      </c>
      <c r="M1192" s="5">
        <v>0</v>
      </c>
      <c r="N1192" s="5">
        <v>3990</v>
      </c>
      <c r="O1192" s="7">
        <v>45993</v>
      </c>
      <c r="P1192" s="5">
        <v>3990</v>
      </c>
      <c r="Q1192" s="5">
        <v>0</v>
      </c>
      <c r="R1192" s="5" t="s">
        <v>32</v>
      </c>
      <c r="S1192" s="5" t="s">
        <v>33</v>
      </c>
      <c r="T1192" s="5">
        <v>39.9</v>
      </c>
      <c r="U1192" s="5">
        <v>3950.1</v>
      </c>
      <c r="V1192" s="5" t="s">
        <v>34</v>
      </c>
      <c r="W1192" s="5">
        <v>2</v>
      </c>
      <c r="X1192" s="5">
        <v>3602611374462</v>
      </c>
      <c r="Y1192" s="7">
        <v>46003</v>
      </c>
      <c r="Z1192" s="7">
        <v>45993</v>
      </c>
      <c r="AB1192" s="6">
        <v>46003</v>
      </c>
      <c r="AC1192" s="7">
        <v>46002.629861111112</v>
      </c>
      <c r="AD1192" s="5">
        <v>37951007649</v>
      </c>
      <c r="AE1192" s="8">
        <v>45993</v>
      </c>
      <c r="AF1192" s="5" t="s">
        <v>32</v>
      </c>
      <c r="AG1192" s="5" t="s">
        <v>35</v>
      </c>
      <c r="AH1192" s="5" t="s">
        <v>32</v>
      </c>
      <c r="AI1192" s="6">
        <v>45993</v>
      </c>
      <c r="AJ1192" s="6">
        <v>46003</v>
      </c>
    </row>
    <row r="1193" spans="1:37" hidden="1" x14ac:dyDescent="0.55000000000000004">
      <c r="A1193">
        <v>3795</v>
      </c>
      <c r="B1193">
        <v>1007908</v>
      </c>
      <c r="C1193">
        <v>566.96</v>
      </c>
      <c r="E1193">
        <v>566.96</v>
      </c>
      <c r="F1193">
        <v>5.67</v>
      </c>
      <c r="G1193">
        <v>561.29</v>
      </c>
      <c r="H1193"/>
      <c r="I1193"/>
      <c r="J1193" s="2">
        <v>46003</v>
      </c>
      <c r="K1193" s="5">
        <v>1007908</v>
      </c>
      <c r="L1193" s="5">
        <v>3795</v>
      </c>
      <c r="M1193" s="5">
        <v>0</v>
      </c>
      <c r="N1193" s="5">
        <v>566.96</v>
      </c>
      <c r="O1193" s="7">
        <v>45994</v>
      </c>
      <c r="P1193" s="5">
        <v>566.96</v>
      </c>
      <c r="Q1193" s="5">
        <v>0</v>
      </c>
      <c r="R1193" s="5" t="s">
        <v>32</v>
      </c>
      <c r="S1193" s="5" t="s">
        <v>33</v>
      </c>
      <c r="T1193" s="5">
        <v>5.67</v>
      </c>
      <c r="U1193" s="5">
        <v>561.29</v>
      </c>
      <c r="V1193" s="5" t="s">
        <v>34</v>
      </c>
      <c r="W1193" s="5">
        <v>2</v>
      </c>
      <c r="X1193" s="5">
        <v>3602611374462</v>
      </c>
      <c r="Y1193" s="7">
        <v>46003</v>
      </c>
      <c r="Z1193" s="7">
        <v>45994</v>
      </c>
      <c r="AB1193" s="6">
        <v>46003</v>
      </c>
      <c r="AC1193" s="7">
        <v>46002.629861111112</v>
      </c>
      <c r="AD1193" s="5">
        <v>37951007908</v>
      </c>
      <c r="AE1193" s="8">
        <v>45994</v>
      </c>
      <c r="AF1193" s="5">
        <v>13622</v>
      </c>
      <c r="AG1193" s="5" t="s">
        <v>38</v>
      </c>
      <c r="AH1193" s="5">
        <v>206445</v>
      </c>
      <c r="AI1193" s="6">
        <v>45994</v>
      </c>
      <c r="AJ1193" s="6">
        <v>46003</v>
      </c>
    </row>
    <row r="1194" spans="1:37" hidden="1" x14ac:dyDescent="0.55000000000000004">
      <c r="A1194">
        <v>3795</v>
      </c>
      <c r="B1194">
        <v>1008571</v>
      </c>
      <c r="C1194">
        <v>-250</v>
      </c>
      <c r="E1194">
        <v>-250</v>
      </c>
      <c r="G1194">
        <v>-250</v>
      </c>
      <c r="H1194"/>
      <c r="I1194"/>
      <c r="J1194" s="2">
        <v>46003</v>
      </c>
      <c r="K1194" s="5">
        <v>1008571</v>
      </c>
      <c r="L1194" s="5">
        <v>3795</v>
      </c>
      <c r="M1194" s="5">
        <v>0</v>
      </c>
      <c r="N1194" s="5">
        <v>-250</v>
      </c>
      <c r="O1194" s="7">
        <v>45999</v>
      </c>
      <c r="P1194" s="5">
        <v>-250</v>
      </c>
      <c r="Q1194" s="5">
        <v>0</v>
      </c>
      <c r="R1194" s="5">
        <v>1008571</v>
      </c>
      <c r="S1194" s="5" t="s">
        <v>33</v>
      </c>
      <c r="T1194" s="5">
        <v>0</v>
      </c>
      <c r="U1194" s="5">
        <v>-250</v>
      </c>
      <c r="V1194" s="5" t="s">
        <v>34</v>
      </c>
      <c r="W1194" s="5">
        <v>2</v>
      </c>
      <c r="X1194" s="5">
        <v>3602611374462</v>
      </c>
      <c r="Y1194" s="7">
        <v>46003</v>
      </c>
      <c r="Z1194" s="7">
        <v>45999</v>
      </c>
      <c r="AB1194" s="6">
        <v>46003</v>
      </c>
      <c r="AC1194" s="7">
        <v>46002.629861111112</v>
      </c>
      <c r="AD1194" s="5">
        <v>37951008571</v>
      </c>
      <c r="AE1194" s="8">
        <v>45999</v>
      </c>
      <c r="AF1194" s="5" t="s">
        <v>41</v>
      </c>
      <c r="AG1194" s="5" t="s">
        <v>38</v>
      </c>
      <c r="AH1194" s="5" t="s">
        <v>40</v>
      </c>
      <c r="AI1194" s="6">
        <v>45999</v>
      </c>
      <c r="AJ1194" s="6">
        <v>46003</v>
      </c>
    </row>
    <row r="1195" spans="1:37" hidden="1" x14ac:dyDescent="0.55000000000000004">
      <c r="A1195">
        <v>3795</v>
      </c>
      <c r="B1195">
        <v>1008572</v>
      </c>
      <c r="C1195">
        <v>-100</v>
      </c>
      <c r="E1195">
        <v>-100</v>
      </c>
      <c r="G1195">
        <v>-100</v>
      </c>
      <c r="H1195"/>
      <c r="I1195"/>
      <c r="J1195" s="2">
        <v>46003</v>
      </c>
      <c r="K1195" s="5">
        <v>1008572</v>
      </c>
      <c r="L1195" s="5">
        <v>3795</v>
      </c>
      <c r="M1195" s="5">
        <v>0</v>
      </c>
      <c r="N1195" s="5">
        <v>-100</v>
      </c>
      <c r="O1195" s="7">
        <v>45999</v>
      </c>
      <c r="P1195" s="5">
        <v>-100</v>
      </c>
      <c r="Q1195" s="5">
        <v>0</v>
      </c>
      <c r="R1195" s="5">
        <v>1008572</v>
      </c>
      <c r="S1195" s="5" t="s">
        <v>33</v>
      </c>
      <c r="T1195" s="5">
        <v>0</v>
      </c>
      <c r="U1195" s="5">
        <v>-100</v>
      </c>
      <c r="V1195" s="5" t="s">
        <v>34</v>
      </c>
      <c r="W1195" s="5">
        <v>2</v>
      </c>
      <c r="X1195" s="5">
        <v>3602611374462</v>
      </c>
      <c r="Y1195" s="7">
        <v>46003</v>
      </c>
      <c r="Z1195" s="7">
        <v>45999</v>
      </c>
      <c r="AB1195" s="6">
        <v>46003</v>
      </c>
      <c r="AC1195" s="7">
        <v>46002.629861111112</v>
      </c>
      <c r="AD1195" s="5">
        <v>37951008572</v>
      </c>
      <c r="AE1195" s="8">
        <v>45999</v>
      </c>
      <c r="AF1195" s="5" t="s">
        <v>41</v>
      </c>
      <c r="AG1195" s="5" t="s">
        <v>38</v>
      </c>
      <c r="AH1195" s="5" t="s">
        <v>40</v>
      </c>
      <c r="AI1195" s="6">
        <v>45999</v>
      </c>
      <c r="AJ1195" s="6">
        <v>46003</v>
      </c>
    </row>
    <row r="1196" spans="1:37" hidden="1" x14ac:dyDescent="0.55000000000000004">
      <c r="A1196">
        <v>3795</v>
      </c>
      <c r="B1196">
        <v>1008575</v>
      </c>
      <c r="C1196" s="1">
        <v>-2800</v>
      </c>
      <c r="E1196" s="1">
        <v>-2800</v>
      </c>
      <c r="G1196" s="1">
        <v>-2800</v>
      </c>
      <c r="H1196" s="1"/>
      <c r="I1196" s="1"/>
      <c r="J1196" s="2">
        <v>46003</v>
      </c>
      <c r="K1196" s="5">
        <v>1008575</v>
      </c>
      <c r="L1196" s="5">
        <v>3795</v>
      </c>
      <c r="M1196" s="5">
        <v>0</v>
      </c>
      <c r="N1196" s="5">
        <v>-2800</v>
      </c>
      <c r="O1196" s="7">
        <v>45999</v>
      </c>
      <c r="P1196" s="5">
        <v>-2800</v>
      </c>
      <c r="Q1196" s="5">
        <v>0</v>
      </c>
      <c r="R1196" s="5">
        <v>1008575</v>
      </c>
      <c r="S1196" s="5" t="s">
        <v>33</v>
      </c>
      <c r="T1196" s="5">
        <v>0</v>
      </c>
      <c r="U1196" s="5">
        <v>-2800</v>
      </c>
      <c r="V1196" s="5" t="s">
        <v>34</v>
      </c>
      <c r="W1196" s="5">
        <v>2</v>
      </c>
      <c r="X1196" s="5">
        <v>3602611374462</v>
      </c>
      <c r="Y1196" s="7">
        <v>46003</v>
      </c>
      <c r="Z1196" s="7">
        <v>45999</v>
      </c>
      <c r="AB1196" s="6">
        <v>46003</v>
      </c>
      <c r="AC1196" s="7">
        <v>46002.629861111112</v>
      </c>
      <c r="AD1196" s="5">
        <v>37951008575</v>
      </c>
      <c r="AE1196" s="8">
        <v>45999</v>
      </c>
      <c r="AF1196" s="5" t="s">
        <v>41</v>
      </c>
      <c r="AG1196" s="5" t="s">
        <v>38</v>
      </c>
      <c r="AH1196" s="5" t="s">
        <v>625</v>
      </c>
      <c r="AI1196" s="6">
        <v>45999</v>
      </c>
      <c r="AJ1196" s="6">
        <v>46003</v>
      </c>
    </row>
    <row r="1197" spans="1:37" x14ac:dyDescent="0.55000000000000004">
      <c r="A1197">
        <v>3816</v>
      </c>
      <c r="B1197">
        <v>1000900</v>
      </c>
      <c r="C1197">
        <v>841.6</v>
      </c>
      <c r="D1197" s="4">
        <v>16.829999999999998</v>
      </c>
      <c r="E1197">
        <v>824.77</v>
      </c>
      <c r="G1197">
        <v>824.77</v>
      </c>
      <c r="H1197" s="14">
        <f>C1197-D1197-F1197</f>
        <v>824.77</v>
      </c>
      <c r="I1197" s="14" t="b">
        <f>G1197=H1197</f>
        <v>1</v>
      </c>
      <c r="J1197" s="2">
        <v>46003</v>
      </c>
      <c r="K1197" s="5">
        <v>1000900</v>
      </c>
      <c r="L1197" s="5">
        <v>3816</v>
      </c>
      <c r="M1197" s="5">
        <v>16.829999999999998</v>
      </c>
      <c r="N1197" s="5">
        <v>841.6</v>
      </c>
      <c r="O1197" s="7">
        <v>45959</v>
      </c>
      <c r="P1197" s="5">
        <v>824.77</v>
      </c>
      <c r="Q1197" s="5">
        <v>16.829999999999998</v>
      </c>
      <c r="R1197" s="5" t="s">
        <v>32</v>
      </c>
      <c r="S1197" s="5" t="s">
        <v>33</v>
      </c>
      <c r="T1197" s="5">
        <v>0</v>
      </c>
      <c r="U1197" s="5">
        <v>824.77</v>
      </c>
      <c r="V1197" s="5" t="s">
        <v>34</v>
      </c>
      <c r="W1197" s="5">
        <v>2</v>
      </c>
      <c r="X1197" s="5">
        <v>1463342513677</v>
      </c>
      <c r="Y1197" s="7">
        <v>46003</v>
      </c>
      <c r="Z1197" s="7">
        <v>45959</v>
      </c>
      <c r="AB1197" s="6">
        <v>46003</v>
      </c>
      <c r="AC1197" s="7">
        <v>45999.531944444447</v>
      </c>
      <c r="AD1197" s="5">
        <v>38161000900</v>
      </c>
      <c r="AE1197" s="8">
        <v>45959</v>
      </c>
      <c r="AF1197" s="5" t="s">
        <v>626</v>
      </c>
      <c r="AG1197" s="5" t="s">
        <v>71</v>
      </c>
      <c r="AH1197" s="5">
        <v>200535</v>
      </c>
      <c r="AI1197" s="6">
        <v>45959</v>
      </c>
      <c r="AJ1197" s="6">
        <v>46003</v>
      </c>
      <c r="AK1197" s="1">
        <f t="shared" ref="AK1197" si="541">0.02*C1197</f>
        <v>16.832000000000001</v>
      </c>
    </row>
    <row r="1198" spans="1:37" hidden="1" x14ac:dyDescent="0.55000000000000004">
      <c r="A1198">
        <v>3816</v>
      </c>
      <c r="B1198">
        <v>1001362</v>
      </c>
      <c r="C1198" s="1">
        <v>1511.96</v>
      </c>
      <c r="E1198" s="1">
        <v>1511.96</v>
      </c>
      <c r="G1198" s="1">
        <v>1511.96</v>
      </c>
      <c r="H1198" s="1"/>
      <c r="I1198" s="1"/>
      <c r="J1198" s="2">
        <v>46003</v>
      </c>
      <c r="K1198" s="5">
        <v>1001362</v>
      </c>
      <c r="L1198" s="5">
        <v>3816</v>
      </c>
      <c r="M1198" s="5">
        <v>0</v>
      </c>
      <c r="N1198" s="5">
        <v>1511.96</v>
      </c>
      <c r="O1198" s="7">
        <v>45960</v>
      </c>
      <c r="P1198" s="5">
        <v>1511.96</v>
      </c>
      <c r="Q1198" s="5">
        <v>0</v>
      </c>
      <c r="R1198" s="5" t="s">
        <v>32</v>
      </c>
      <c r="S1198" s="5" t="s">
        <v>33</v>
      </c>
      <c r="T1198" s="5">
        <v>0</v>
      </c>
      <c r="U1198" s="5">
        <v>1511.96</v>
      </c>
      <c r="V1198" s="5" t="s">
        <v>34</v>
      </c>
      <c r="W1198" s="5">
        <v>2</v>
      </c>
      <c r="X1198" s="5">
        <v>1463342513677</v>
      </c>
      <c r="Y1198" s="7">
        <v>46003</v>
      </c>
      <c r="Z1198" s="7">
        <v>45960</v>
      </c>
      <c r="AB1198" s="6">
        <v>46003</v>
      </c>
      <c r="AC1198" s="7">
        <v>45999.531944444447</v>
      </c>
      <c r="AD1198" s="5">
        <v>38161001362</v>
      </c>
      <c r="AE1198" s="8">
        <v>45960</v>
      </c>
      <c r="AF1198" s="5" t="s">
        <v>627</v>
      </c>
      <c r="AG1198" s="5" t="s">
        <v>65</v>
      </c>
      <c r="AH1198" s="5">
        <v>200641</v>
      </c>
      <c r="AI1198" s="6">
        <v>45960</v>
      </c>
      <c r="AJ1198" s="6">
        <v>46003</v>
      </c>
    </row>
    <row r="1199" spans="1:37" hidden="1" x14ac:dyDescent="0.55000000000000004">
      <c r="A1199">
        <v>3816</v>
      </c>
      <c r="B1199">
        <v>1007575</v>
      </c>
      <c r="C1199">
        <v>350</v>
      </c>
      <c r="E1199">
        <v>350</v>
      </c>
      <c r="F1199">
        <v>3.5</v>
      </c>
      <c r="G1199">
        <v>346.5</v>
      </c>
      <c r="H1199"/>
      <c r="I1199"/>
      <c r="J1199" s="2">
        <v>46003</v>
      </c>
      <c r="K1199" s="5">
        <v>1007575</v>
      </c>
      <c r="L1199" s="5">
        <v>3816</v>
      </c>
      <c r="M1199" s="5">
        <v>0</v>
      </c>
      <c r="N1199" s="5">
        <v>350</v>
      </c>
      <c r="O1199" s="7">
        <v>45993</v>
      </c>
      <c r="P1199" s="5">
        <v>350</v>
      </c>
      <c r="Q1199" s="5">
        <v>0</v>
      </c>
      <c r="R1199" s="5" t="s">
        <v>32</v>
      </c>
      <c r="S1199" s="5" t="s">
        <v>33</v>
      </c>
      <c r="T1199" s="5">
        <v>3.5</v>
      </c>
      <c r="U1199" s="5">
        <v>346.5</v>
      </c>
      <c r="V1199" s="5" t="s">
        <v>34</v>
      </c>
      <c r="W1199" s="5">
        <v>2</v>
      </c>
      <c r="X1199" s="5">
        <v>1463342513677</v>
      </c>
      <c r="Y1199" s="7">
        <v>46003</v>
      </c>
      <c r="Z1199" s="7">
        <v>45993</v>
      </c>
      <c r="AB1199" s="6">
        <v>46003</v>
      </c>
      <c r="AC1199" s="7">
        <v>45999.531944444447</v>
      </c>
      <c r="AD1199" s="5">
        <v>38161007575</v>
      </c>
      <c r="AE1199" s="8">
        <v>45993</v>
      </c>
      <c r="AF1199" s="5" t="s">
        <v>32</v>
      </c>
      <c r="AG1199" s="5" t="s">
        <v>82</v>
      </c>
      <c r="AH1199" s="5" t="s">
        <v>32</v>
      </c>
      <c r="AI1199" s="6">
        <v>45993</v>
      </c>
      <c r="AJ1199" s="6">
        <v>46003</v>
      </c>
    </row>
    <row r="1200" spans="1:37" hidden="1" x14ac:dyDescent="0.55000000000000004">
      <c r="A1200">
        <v>3816</v>
      </c>
      <c r="B1200">
        <v>1008362</v>
      </c>
      <c r="C1200">
        <v>364.77</v>
      </c>
      <c r="E1200">
        <v>364.77</v>
      </c>
      <c r="F1200">
        <v>3.65</v>
      </c>
      <c r="G1200">
        <v>361.12</v>
      </c>
      <c r="H1200"/>
      <c r="I1200"/>
      <c r="J1200" s="2">
        <v>46003</v>
      </c>
      <c r="K1200" s="5">
        <v>1008362</v>
      </c>
      <c r="L1200" s="5">
        <v>3816</v>
      </c>
      <c r="M1200" s="5">
        <v>0</v>
      </c>
      <c r="N1200" s="5">
        <v>364.77</v>
      </c>
      <c r="O1200" s="7">
        <v>45996</v>
      </c>
      <c r="P1200" s="5">
        <v>364.77</v>
      </c>
      <c r="Q1200" s="5">
        <v>0</v>
      </c>
      <c r="R1200" s="5" t="s">
        <v>628</v>
      </c>
      <c r="S1200" s="5" t="s">
        <v>138</v>
      </c>
      <c r="T1200" s="5">
        <v>3.65</v>
      </c>
      <c r="U1200" s="5">
        <v>361.12</v>
      </c>
      <c r="V1200" s="5" t="s">
        <v>34</v>
      </c>
      <c r="W1200" s="5">
        <v>2</v>
      </c>
      <c r="X1200" s="5">
        <v>1463342513677</v>
      </c>
      <c r="Y1200" s="7">
        <v>46003</v>
      </c>
      <c r="Z1200" s="7">
        <v>45996</v>
      </c>
      <c r="AB1200" s="6">
        <v>46003</v>
      </c>
      <c r="AC1200" s="7">
        <v>45999.531944444447</v>
      </c>
      <c r="AD1200" s="5">
        <v>38161008362</v>
      </c>
      <c r="AE1200" s="8">
        <v>45996</v>
      </c>
      <c r="AF1200" s="5">
        <v>215076</v>
      </c>
      <c r="AG1200" s="5" t="s">
        <v>38</v>
      </c>
      <c r="AH1200" s="5" t="s">
        <v>628</v>
      </c>
      <c r="AI1200" s="6">
        <v>45996</v>
      </c>
      <c r="AJ1200" s="6">
        <v>46003</v>
      </c>
    </row>
    <row r="1201" spans="1:39" hidden="1" x14ac:dyDescent="0.55000000000000004">
      <c r="A1201">
        <v>3823</v>
      </c>
      <c r="B1201">
        <v>1007611</v>
      </c>
      <c r="C1201">
        <v>350</v>
      </c>
      <c r="E1201">
        <v>350</v>
      </c>
      <c r="F1201">
        <v>3.5</v>
      </c>
      <c r="G1201">
        <v>346.5</v>
      </c>
      <c r="H1201"/>
      <c r="I1201"/>
      <c r="J1201" s="2">
        <v>46003</v>
      </c>
      <c r="K1201" s="5">
        <v>1007611</v>
      </c>
      <c r="L1201" s="5">
        <v>3823</v>
      </c>
      <c r="M1201" s="5">
        <v>0</v>
      </c>
      <c r="N1201" s="5">
        <v>350</v>
      </c>
      <c r="O1201" s="7">
        <v>45993</v>
      </c>
      <c r="P1201" s="5">
        <v>350</v>
      </c>
      <c r="Q1201" s="5">
        <v>0</v>
      </c>
      <c r="R1201" s="5" t="s">
        <v>32</v>
      </c>
      <c r="S1201" s="5" t="s">
        <v>33</v>
      </c>
      <c r="T1201" s="5">
        <v>3.5</v>
      </c>
      <c r="U1201" s="5">
        <v>346.5</v>
      </c>
      <c r="V1201" s="5" t="s">
        <v>34</v>
      </c>
      <c r="W1201" s="5">
        <v>10</v>
      </c>
      <c r="X1201" s="5" t="s">
        <v>629</v>
      </c>
      <c r="Y1201" s="7">
        <v>46003</v>
      </c>
      <c r="Z1201" s="7">
        <v>45993</v>
      </c>
      <c r="AA1201" s="5" t="s">
        <v>32</v>
      </c>
      <c r="AB1201" s="6">
        <v>46003</v>
      </c>
      <c r="AC1201" s="7">
        <v>46003.572916666664</v>
      </c>
      <c r="AD1201" s="5">
        <v>38231007611</v>
      </c>
      <c r="AE1201" s="8">
        <v>45993</v>
      </c>
      <c r="AF1201" s="5" t="s">
        <v>32</v>
      </c>
      <c r="AG1201" s="5" t="s">
        <v>82</v>
      </c>
      <c r="AH1201" s="5" t="s">
        <v>32</v>
      </c>
      <c r="AI1201" s="6">
        <v>45993</v>
      </c>
      <c r="AJ1201" s="6">
        <v>46003</v>
      </c>
    </row>
    <row r="1202" spans="1:39" x14ac:dyDescent="0.55000000000000004">
      <c r="A1202">
        <v>3830</v>
      </c>
      <c r="B1202">
        <v>1007265</v>
      </c>
      <c r="C1202">
        <v>41.14</v>
      </c>
      <c r="E1202">
        <v>41.14</v>
      </c>
      <c r="F1202">
        <v>0.41</v>
      </c>
      <c r="G1202">
        <v>41.14</v>
      </c>
      <c r="H1202" s="14">
        <f>C1202-D1202-F1202</f>
        <v>40.730000000000004</v>
      </c>
      <c r="I1202" s="14" t="b">
        <f>G1202=H1202</f>
        <v>0</v>
      </c>
      <c r="J1202" s="2">
        <v>46003</v>
      </c>
      <c r="K1202" s="5">
        <v>1007265</v>
      </c>
      <c r="L1202" s="5">
        <v>3830</v>
      </c>
      <c r="M1202" s="5">
        <v>0</v>
      </c>
      <c r="N1202" s="5">
        <v>41.14</v>
      </c>
      <c r="O1202" s="7">
        <v>45992</v>
      </c>
      <c r="P1202" s="5">
        <v>41.14</v>
      </c>
      <c r="Q1202" s="5">
        <v>0</v>
      </c>
      <c r="R1202" s="5" t="s">
        <v>32</v>
      </c>
      <c r="S1202" s="5" t="s">
        <v>33</v>
      </c>
      <c r="T1202" s="5">
        <v>0.41</v>
      </c>
      <c r="U1202" s="5">
        <v>41.14</v>
      </c>
      <c r="V1202" s="5" t="s">
        <v>34</v>
      </c>
      <c r="W1202" s="5">
        <v>2</v>
      </c>
      <c r="X1202" s="5">
        <v>1250905355508</v>
      </c>
      <c r="Y1202" s="7">
        <v>46003</v>
      </c>
      <c r="Z1202" s="7">
        <v>45992</v>
      </c>
      <c r="AB1202" s="6">
        <v>46003</v>
      </c>
      <c r="AC1202" s="7">
        <v>46003.501388888886</v>
      </c>
      <c r="AD1202" s="5">
        <v>38301007265</v>
      </c>
      <c r="AE1202" s="8">
        <v>45992</v>
      </c>
      <c r="AF1202" s="5">
        <v>582</v>
      </c>
      <c r="AG1202" s="5" t="s">
        <v>37</v>
      </c>
      <c r="AH1202" s="5">
        <v>205769</v>
      </c>
      <c r="AI1202" s="6">
        <v>45992</v>
      </c>
      <c r="AJ1202" s="6">
        <v>46003</v>
      </c>
      <c r="AK1202" s="1">
        <f t="shared" ref="AK1202" si="542">0.02*C1202</f>
        <v>0.82279999999999998</v>
      </c>
      <c r="AL1202" t="s">
        <v>673</v>
      </c>
      <c r="AM1202">
        <f>F1202</f>
        <v>0.41</v>
      </c>
    </row>
    <row r="1203" spans="1:39" hidden="1" x14ac:dyDescent="0.55000000000000004">
      <c r="A1203">
        <v>3830</v>
      </c>
      <c r="B1203">
        <v>1007641</v>
      </c>
      <c r="C1203" s="1">
        <v>3990</v>
      </c>
      <c r="E1203" s="1">
        <v>3990</v>
      </c>
      <c r="F1203">
        <v>39.9</v>
      </c>
      <c r="G1203" s="1">
        <v>3950.1</v>
      </c>
      <c r="H1203" s="1"/>
      <c r="I1203" s="1"/>
      <c r="J1203" s="2">
        <v>46003</v>
      </c>
      <c r="K1203" s="5">
        <v>1007641</v>
      </c>
      <c r="L1203" s="5">
        <v>3830</v>
      </c>
      <c r="M1203" s="5">
        <v>0</v>
      </c>
      <c r="N1203" s="5">
        <v>3990</v>
      </c>
      <c r="O1203" s="7">
        <v>45993</v>
      </c>
      <c r="P1203" s="5">
        <v>3990</v>
      </c>
      <c r="Q1203" s="5">
        <v>0</v>
      </c>
      <c r="R1203" s="5" t="s">
        <v>32</v>
      </c>
      <c r="S1203" s="5" t="s">
        <v>33</v>
      </c>
      <c r="T1203" s="5">
        <v>39.9</v>
      </c>
      <c r="U1203" s="5">
        <v>3950.1</v>
      </c>
      <c r="V1203" s="5" t="s">
        <v>34</v>
      </c>
      <c r="W1203" s="5">
        <v>2</v>
      </c>
      <c r="X1203" s="5">
        <v>1250905355508</v>
      </c>
      <c r="Y1203" s="7">
        <v>46003</v>
      </c>
      <c r="Z1203" s="7">
        <v>45993</v>
      </c>
      <c r="AB1203" s="6">
        <v>46003</v>
      </c>
      <c r="AC1203" s="7">
        <v>46003.501388888886</v>
      </c>
      <c r="AD1203" s="5">
        <v>38301007641</v>
      </c>
      <c r="AE1203" s="8">
        <v>45993</v>
      </c>
      <c r="AF1203" s="5" t="s">
        <v>32</v>
      </c>
      <c r="AG1203" s="5" t="s">
        <v>35</v>
      </c>
      <c r="AH1203" s="5" t="s">
        <v>32</v>
      </c>
      <c r="AI1203" s="6">
        <v>45993</v>
      </c>
      <c r="AJ1203" s="6">
        <v>46003</v>
      </c>
    </row>
    <row r="1204" spans="1:39" hidden="1" x14ac:dyDescent="0.55000000000000004">
      <c r="A1204">
        <v>3830</v>
      </c>
      <c r="B1204">
        <v>1007912</v>
      </c>
      <c r="C1204">
        <v>85.44</v>
      </c>
      <c r="E1204">
        <v>85.44</v>
      </c>
      <c r="F1204">
        <v>0.85</v>
      </c>
      <c r="G1204">
        <v>84.59</v>
      </c>
      <c r="H1204"/>
      <c r="I1204"/>
      <c r="J1204" s="2">
        <v>46003</v>
      </c>
      <c r="K1204" s="5">
        <v>1007912</v>
      </c>
      <c r="L1204" s="5">
        <v>3830</v>
      </c>
      <c r="M1204" s="5">
        <v>0</v>
      </c>
      <c r="N1204" s="5">
        <v>85.44</v>
      </c>
      <c r="O1204" s="7">
        <v>45994</v>
      </c>
      <c r="P1204" s="5">
        <v>85.44</v>
      </c>
      <c r="Q1204" s="5">
        <v>0</v>
      </c>
      <c r="R1204" s="5" t="s">
        <v>32</v>
      </c>
      <c r="S1204" s="5" t="s">
        <v>33</v>
      </c>
      <c r="T1204" s="5">
        <v>0.85</v>
      </c>
      <c r="U1204" s="5">
        <v>84.59</v>
      </c>
      <c r="V1204" s="5" t="s">
        <v>34</v>
      </c>
      <c r="W1204" s="5">
        <v>2</v>
      </c>
      <c r="X1204" s="5">
        <v>1250905355508</v>
      </c>
      <c r="Y1204" s="7">
        <v>46003</v>
      </c>
      <c r="Z1204" s="7">
        <v>45994</v>
      </c>
      <c r="AB1204" s="6">
        <v>46003</v>
      </c>
      <c r="AC1204" s="7">
        <v>46003.501388888886</v>
      </c>
      <c r="AD1204" s="5">
        <v>38301007912</v>
      </c>
      <c r="AE1204" s="8">
        <v>45994</v>
      </c>
      <c r="AF1204" s="5">
        <v>591</v>
      </c>
      <c r="AG1204" s="5" t="s">
        <v>38</v>
      </c>
      <c r="AH1204" s="5">
        <v>206440</v>
      </c>
      <c r="AI1204" s="6">
        <v>45994</v>
      </c>
      <c r="AJ1204" s="6">
        <v>46003</v>
      </c>
    </row>
    <row r="1205" spans="1:39" x14ac:dyDescent="0.55000000000000004">
      <c r="A1205">
        <v>3830</v>
      </c>
      <c r="B1205">
        <v>1008104</v>
      </c>
      <c r="C1205">
        <v>17.55</v>
      </c>
      <c r="E1205">
        <v>17.55</v>
      </c>
      <c r="F1205">
        <v>0.18</v>
      </c>
      <c r="G1205">
        <v>17.55</v>
      </c>
      <c r="H1205" s="14">
        <f t="shared" ref="H1205:H1216" si="543">C1205-D1205-F1205</f>
        <v>17.37</v>
      </c>
      <c r="I1205" s="14" t="b">
        <f t="shared" ref="I1205:I1216" si="544">G1205=H1205</f>
        <v>0</v>
      </c>
      <c r="J1205" s="2">
        <v>46003</v>
      </c>
      <c r="K1205" s="5">
        <v>1008104</v>
      </c>
      <c r="L1205" s="5">
        <v>3830</v>
      </c>
      <c r="M1205" s="5">
        <v>0</v>
      </c>
      <c r="N1205" s="5">
        <v>17.55</v>
      </c>
      <c r="O1205" s="7">
        <v>45995</v>
      </c>
      <c r="P1205" s="5">
        <v>17.55</v>
      </c>
      <c r="Q1205" s="5">
        <v>0</v>
      </c>
      <c r="R1205" s="5" t="s">
        <v>32</v>
      </c>
      <c r="S1205" s="5" t="s">
        <v>33</v>
      </c>
      <c r="T1205" s="5">
        <v>0.18</v>
      </c>
      <c r="U1205" s="5">
        <v>17.55</v>
      </c>
      <c r="V1205" s="5" t="s">
        <v>34</v>
      </c>
      <c r="W1205" s="5">
        <v>2</v>
      </c>
      <c r="X1205" s="5">
        <v>1250905355508</v>
      </c>
      <c r="Y1205" s="7">
        <v>46003</v>
      </c>
      <c r="Z1205" s="7">
        <v>45995</v>
      </c>
      <c r="AB1205" s="6">
        <v>46003</v>
      </c>
      <c r="AC1205" s="7">
        <v>46003.501388888886</v>
      </c>
      <c r="AD1205" s="5">
        <v>38301008104</v>
      </c>
      <c r="AE1205" s="8">
        <v>45995</v>
      </c>
      <c r="AF1205" s="5">
        <v>591</v>
      </c>
      <c r="AG1205" s="5" t="s">
        <v>37</v>
      </c>
      <c r="AH1205" s="5">
        <v>206387</v>
      </c>
      <c r="AI1205" s="6">
        <v>45995</v>
      </c>
      <c r="AJ1205" s="6">
        <v>46003</v>
      </c>
      <c r="AK1205" s="1">
        <f t="shared" ref="AK1205:AK1216" si="545">0.02*C1205</f>
        <v>0.35100000000000003</v>
      </c>
      <c r="AL1205" t="s">
        <v>673</v>
      </c>
      <c r="AM1205">
        <f>F1205</f>
        <v>0.18</v>
      </c>
    </row>
    <row r="1206" spans="1:39" x14ac:dyDescent="0.55000000000000004">
      <c r="A1206">
        <v>3837</v>
      </c>
      <c r="B1206">
        <v>1006826</v>
      </c>
      <c r="C1206">
        <v>295.61</v>
      </c>
      <c r="D1206" s="4">
        <v>5.91</v>
      </c>
      <c r="E1206">
        <v>289.7</v>
      </c>
      <c r="G1206">
        <v>289.7</v>
      </c>
      <c r="H1206" s="14">
        <f t="shared" si="543"/>
        <v>289.7</v>
      </c>
      <c r="I1206" s="14" t="b">
        <f t="shared" si="544"/>
        <v>1</v>
      </c>
      <c r="J1206" s="2">
        <v>46003</v>
      </c>
      <c r="K1206" s="5">
        <v>1006826</v>
      </c>
      <c r="L1206" s="5">
        <v>3837</v>
      </c>
      <c r="M1206" s="5">
        <v>5.91</v>
      </c>
      <c r="N1206" s="5">
        <v>295.61</v>
      </c>
      <c r="O1206" s="7">
        <v>45986</v>
      </c>
      <c r="P1206" s="5">
        <v>289.7</v>
      </c>
      <c r="Q1206" s="5">
        <v>5.91</v>
      </c>
      <c r="R1206" s="5">
        <v>337050</v>
      </c>
      <c r="S1206" s="5" t="s">
        <v>186</v>
      </c>
      <c r="T1206" s="5">
        <v>0</v>
      </c>
      <c r="U1206" s="5">
        <v>289.7</v>
      </c>
      <c r="V1206" s="5" t="s">
        <v>34</v>
      </c>
      <c r="W1206" s="5">
        <v>2</v>
      </c>
      <c r="X1206" s="5">
        <v>5419049556824</v>
      </c>
      <c r="Y1206" s="7">
        <v>46003</v>
      </c>
      <c r="Z1206" s="7">
        <v>45989</v>
      </c>
      <c r="AB1206" s="6">
        <v>46003</v>
      </c>
      <c r="AC1206" s="7">
        <v>46002.715277777781</v>
      </c>
      <c r="AD1206" s="5">
        <v>38371006826</v>
      </c>
      <c r="AE1206" s="8">
        <v>45986</v>
      </c>
      <c r="AF1206" s="5">
        <v>12250</v>
      </c>
      <c r="AG1206" s="5" t="s">
        <v>37</v>
      </c>
      <c r="AH1206" s="5">
        <v>337050</v>
      </c>
      <c r="AI1206" s="6">
        <v>45989</v>
      </c>
      <c r="AJ1206" s="6">
        <v>46003</v>
      </c>
      <c r="AK1206" s="1">
        <f t="shared" si="545"/>
        <v>5.9122000000000003</v>
      </c>
    </row>
    <row r="1207" spans="1:39" x14ac:dyDescent="0.55000000000000004">
      <c r="A1207">
        <v>3837</v>
      </c>
      <c r="B1207">
        <v>1007096</v>
      </c>
      <c r="C1207">
        <v>628.1</v>
      </c>
      <c r="D1207" s="4">
        <v>12.56</v>
      </c>
      <c r="E1207">
        <v>615.54</v>
      </c>
      <c r="G1207">
        <v>615.54</v>
      </c>
      <c r="H1207" s="14">
        <f t="shared" si="543"/>
        <v>615.54000000000008</v>
      </c>
      <c r="I1207" s="14" t="b">
        <f t="shared" si="544"/>
        <v>1</v>
      </c>
      <c r="J1207" s="2">
        <v>46003</v>
      </c>
      <c r="K1207" s="5">
        <v>1007096</v>
      </c>
      <c r="L1207" s="5">
        <v>3837</v>
      </c>
      <c r="M1207" s="5">
        <v>12.56</v>
      </c>
      <c r="N1207" s="5">
        <v>628.1</v>
      </c>
      <c r="O1207" s="7">
        <v>45989</v>
      </c>
      <c r="P1207" s="5">
        <v>615.54</v>
      </c>
      <c r="Q1207" s="5">
        <v>12.56</v>
      </c>
      <c r="R1207" s="5" t="s">
        <v>32</v>
      </c>
      <c r="S1207" s="5" t="s">
        <v>33</v>
      </c>
      <c r="T1207" s="5">
        <v>0</v>
      </c>
      <c r="U1207" s="5">
        <v>615.54</v>
      </c>
      <c r="V1207" s="5" t="s">
        <v>34</v>
      </c>
      <c r="W1207" s="5">
        <v>2</v>
      </c>
      <c r="X1207" s="5">
        <v>5419049556824</v>
      </c>
      <c r="Y1207" s="7">
        <v>46003</v>
      </c>
      <c r="Z1207" s="7">
        <v>45989</v>
      </c>
      <c r="AB1207" s="6">
        <v>46003</v>
      </c>
      <c r="AC1207" s="7">
        <v>46002.715277777781</v>
      </c>
      <c r="AD1207" s="5">
        <v>38371007096</v>
      </c>
      <c r="AE1207" s="8">
        <v>45989</v>
      </c>
      <c r="AF1207" s="5">
        <v>12570</v>
      </c>
      <c r="AG1207" s="5" t="s">
        <v>37</v>
      </c>
      <c r="AH1207" s="5">
        <v>205655</v>
      </c>
      <c r="AI1207" s="6">
        <v>45989</v>
      </c>
      <c r="AJ1207" s="6">
        <v>46003</v>
      </c>
      <c r="AK1207" s="1">
        <f t="shared" si="545"/>
        <v>12.562000000000001</v>
      </c>
    </row>
    <row r="1208" spans="1:39" x14ac:dyDescent="0.55000000000000004">
      <c r="A1208">
        <v>3837</v>
      </c>
      <c r="B1208">
        <v>1007194</v>
      </c>
      <c r="C1208">
        <v>67.16</v>
      </c>
      <c r="D1208" s="4">
        <v>1.34</v>
      </c>
      <c r="E1208">
        <v>65.819999999999993</v>
      </c>
      <c r="F1208">
        <v>0.67</v>
      </c>
      <c r="G1208">
        <v>65.150000000000006</v>
      </c>
      <c r="H1208" s="14">
        <f t="shared" si="543"/>
        <v>65.149999999999991</v>
      </c>
      <c r="I1208" s="14" t="b">
        <f t="shared" si="544"/>
        <v>1</v>
      </c>
      <c r="J1208" s="2">
        <v>46003</v>
      </c>
      <c r="K1208" s="5">
        <v>1007194</v>
      </c>
      <c r="L1208" s="5">
        <v>3837</v>
      </c>
      <c r="M1208" s="5">
        <v>1.34</v>
      </c>
      <c r="N1208" s="5">
        <v>67.16</v>
      </c>
      <c r="O1208" s="7">
        <v>45992</v>
      </c>
      <c r="P1208" s="5">
        <v>65.819999999999993</v>
      </c>
      <c r="Q1208" s="5">
        <v>1.34</v>
      </c>
      <c r="R1208" s="5" t="s">
        <v>32</v>
      </c>
      <c r="S1208" s="5" t="s">
        <v>33</v>
      </c>
      <c r="T1208" s="5">
        <v>0.67</v>
      </c>
      <c r="U1208" s="5">
        <v>65.150000000000006</v>
      </c>
      <c r="V1208" s="5" t="s">
        <v>34</v>
      </c>
      <c r="W1208" s="5">
        <v>2</v>
      </c>
      <c r="X1208" s="5">
        <v>6580642599092</v>
      </c>
      <c r="Y1208" s="7">
        <v>46003</v>
      </c>
      <c r="Z1208" s="7">
        <v>45992</v>
      </c>
      <c r="AB1208" s="6">
        <v>46003</v>
      </c>
      <c r="AC1208" s="7">
        <v>46001.875694444447</v>
      </c>
      <c r="AD1208" s="5">
        <v>38371007194</v>
      </c>
      <c r="AE1208" s="8">
        <v>45992</v>
      </c>
      <c r="AF1208" s="5">
        <v>12503</v>
      </c>
      <c r="AG1208" s="5" t="s">
        <v>37</v>
      </c>
      <c r="AH1208" s="5">
        <v>205734</v>
      </c>
      <c r="AI1208" s="6">
        <v>45992</v>
      </c>
      <c r="AJ1208" s="6">
        <v>46003</v>
      </c>
      <c r="AK1208" s="1">
        <f t="shared" si="545"/>
        <v>1.3431999999999999</v>
      </c>
    </row>
    <row r="1209" spans="1:39" x14ac:dyDescent="0.55000000000000004">
      <c r="A1209">
        <v>3837</v>
      </c>
      <c r="B1209">
        <v>1007395</v>
      </c>
      <c r="C1209">
        <v>304.36</v>
      </c>
      <c r="D1209" s="4">
        <v>6.09</v>
      </c>
      <c r="E1209">
        <v>298.27</v>
      </c>
      <c r="F1209">
        <v>3.04</v>
      </c>
      <c r="G1209">
        <v>295.23</v>
      </c>
      <c r="H1209" s="14">
        <f t="shared" si="543"/>
        <v>295.23</v>
      </c>
      <c r="I1209" s="14" t="b">
        <f t="shared" si="544"/>
        <v>1</v>
      </c>
      <c r="J1209" s="2">
        <v>46003</v>
      </c>
      <c r="K1209" s="5">
        <v>1007395</v>
      </c>
      <c r="L1209" s="5">
        <v>3837</v>
      </c>
      <c r="M1209" s="5">
        <v>6.09</v>
      </c>
      <c r="N1209" s="5">
        <v>304.36</v>
      </c>
      <c r="O1209" s="7">
        <v>45992</v>
      </c>
      <c r="P1209" s="5">
        <v>298.27</v>
      </c>
      <c r="Q1209" s="5">
        <v>6.09</v>
      </c>
      <c r="R1209" s="5" t="s">
        <v>32</v>
      </c>
      <c r="S1209" s="5" t="s">
        <v>33</v>
      </c>
      <c r="T1209" s="5">
        <v>3.04</v>
      </c>
      <c r="U1209" s="5">
        <v>295.23</v>
      </c>
      <c r="V1209" s="5" t="s">
        <v>34</v>
      </c>
      <c r="W1209" s="5">
        <v>2</v>
      </c>
      <c r="X1209" s="5">
        <v>6580642599092</v>
      </c>
      <c r="Y1209" s="7">
        <v>46003</v>
      </c>
      <c r="Z1209" s="7">
        <v>45992</v>
      </c>
      <c r="AB1209" s="6">
        <v>46003</v>
      </c>
      <c r="AC1209" s="7">
        <v>46001.875694444447</v>
      </c>
      <c r="AD1209" s="5">
        <v>38371007395</v>
      </c>
      <c r="AE1209" s="8">
        <v>45992</v>
      </c>
      <c r="AF1209" s="5">
        <v>12556</v>
      </c>
      <c r="AG1209" s="5" t="s">
        <v>37</v>
      </c>
      <c r="AH1209" s="5">
        <v>205999</v>
      </c>
      <c r="AI1209" s="6">
        <v>45992</v>
      </c>
      <c r="AJ1209" s="6">
        <v>46003</v>
      </c>
      <c r="AK1209" s="1">
        <f t="shared" si="545"/>
        <v>6.0872000000000002</v>
      </c>
    </row>
    <row r="1210" spans="1:39" x14ac:dyDescent="0.55000000000000004">
      <c r="A1210">
        <v>3837</v>
      </c>
      <c r="B1210">
        <v>1007399</v>
      </c>
      <c r="C1210">
        <v>82.46</v>
      </c>
      <c r="D1210" s="4">
        <v>1.65</v>
      </c>
      <c r="E1210">
        <v>80.81</v>
      </c>
      <c r="F1210">
        <v>0.82</v>
      </c>
      <c r="G1210">
        <v>79.989999999999995</v>
      </c>
      <c r="H1210" s="14">
        <f t="shared" si="543"/>
        <v>79.989999999999995</v>
      </c>
      <c r="I1210" s="14" t="b">
        <f t="shared" si="544"/>
        <v>1</v>
      </c>
      <c r="J1210" s="2">
        <v>46003</v>
      </c>
      <c r="K1210" s="5">
        <v>1007399</v>
      </c>
      <c r="L1210" s="5">
        <v>3837</v>
      </c>
      <c r="M1210" s="5">
        <v>1.65</v>
      </c>
      <c r="N1210" s="5">
        <v>82.46</v>
      </c>
      <c r="O1210" s="7">
        <v>45992</v>
      </c>
      <c r="P1210" s="5">
        <v>80.81</v>
      </c>
      <c r="Q1210" s="5">
        <v>1.65</v>
      </c>
      <c r="R1210" s="5" t="s">
        <v>32</v>
      </c>
      <c r="S1210" s="5" t="s">
        <v>33</v>
      </c>
      <c r="T1210" s="5">
        <v>0.82</v>
      </c>
      <c r="U1210" s="5">
        <v>79.989999999999995</v>
      </c>
      <c r="V1210" s="5" t="s">
        <v>34</v>
      </c>
      <c r="W1210" s="5">
        <v>2</v>
      </c>
      <c r="X1210" s="5">
        <v>6580642599092</v>
      </c>
      <c r="Y1210" s="7">
        <v>46003</v>
      </c>
      <c r="Z1210" s="7">
        <v>45992</v>
      </c>
      <c r="AB1210" s="6">
        <v>46003</v>
      </c>
      <c r="AC1210" s="7">
        <v>46001.875694444447</v>
      </c>
      <c r="AD1210" s="5">
        <v>38371007399</v>
      </c>
      <c r="AE1210" s="8">
        <v>45992</v>
      </c>
      <c r="AF1210" s="5">
        <v>12373</v>
      </c>
      <c r="AG1210" s="5" t="s">
        <v>37</v>
      </c>
      <c r="AH1210" s="5">
        <v>205998</v>
      </c>
      <c r="AI1210" s="6">
        <v>45992</v>
      </c>
      <c r="AJ1210" s="6">
        <v>46003</v>
      </c>
      <c r="AK1210" s="1">
        <f t="shared" si="545"/>
        <v>1.6492</v>
      </c>
    </row>
    <row r="1211" spans="1:39" x14ac:dyDescent="0.55000000000000004">
      <c r="A1211">
        <v>3837</v>
      </c>
      <c r="B1211">
        <v>1007416</v>
      </c>
      <c r="C1211">
        <v>539.55999999999995</v>
      </c>
      <c r="D1211" s="4">
        <v>10.79</v>
      </c>
      <c r="E1211">
        <v>528.77</v>
      </c>
      <c r="F1211">
        <v>5.4</v>
      </c>
      <c r="G1211">
        <v>523.37</v>
      </c>
      <c r="H1211" s="14">
        <f t="shared" si="543"/>
        <v>523.37</v>
      </c>
      <c r="I1211" s="14" t="b">
        <f t="shared" si="544"/>
        <v>1</v>
      </c>
      <c r="J1211" s="2">
        <v>46003</v>
      </c>
      <c r="K1211" s="5">
        <v>1007416</v>
      </c>
      <c r="L1211" s="5">
        <v>3837</v>
      </c>
      <c r="M1211" s="5">
        <v>10.79</v>
      </c>
      <c r="N1211" s="5">
        <v>539.55999999999995</v>
      </c>
      <c r="O1211" s="7">
        <v>45992</v>
      </c>
      <c r="P1211" s="5">
        <v>528.77</v>
      </c>
      <c r="Q1211" s="5">
        <v>10.79</v>
      </c>
      <c r="R1211" s="5" t="s">
        <v>32</v>
      </c>
      <c r="S1211" s="5" t="s">
        <v>33</v>
      </c>
      <c r="T1211" s="5">
        <v>5.4</v>
      </c>
      <c r="U1211" s="5">
        <v>523.37</v>
      </c>
      <c r="V1211" s="5" t="s">
        <v>34</v>
      </c>
      <c r="W1211" s="5">
        <v>2</v>
      </c>
      <c r="X1211" s="5">
        <v>6580642599092</v>
      </c>
      <c r="Y1211" s="7">
        <v>46003</v>
      </c>
      <c r="Z1211" s="7">
        <v>45992</v>
      </c>
      <c r="AB1211" s="6">
        <v>46003</v>
      </c>
      <c r="AC1211" s="7">
        <v>46001.875694444447</v>
      </c>
      <c r="AD1211" s="5">
        <v>38371007416</v>
      </c>
      <c r="AE1211" s="8">
        <v>45992</v>
      </c>
      <c r="AF1211" s="5">
        <v>12359</v>
      </c>
      <c r="AG1211" s="5" t="s">
        <v>37</v>
      </c>
      <c r="AH1211" s="5">
        <v>205955</v>
      </c>
      <c r="AI1211" s="6">
        <v>45992</v>
      </c>
      <c r="AJ1211" s="6">
        <v>46003</v>
      </c>
      <c r="AK1211" s="1">
        <f t="shared" si="545"/>
        <v>10.7912</v>
      </c>
    </row>
    <row r="1212" spans="1:39" x14ac:dyDescent="0.55000000000000004">
      <c r="A1212">
        <v>3837</v>
      </c>
      <c r="B1212">
        <v>1007417</v>
      </c>
      <c r="C1212">
        <v>402.1</v>
      </c>
      <c r="D1212" s="4">
        <v>8.0399999999999991</v>
      </c>
      <c r="E1212">
        <v>394.06</v>
      </c>
      <c r="F1212">
        <v>4.0199999999999996</v>
      </c>
      <c r="G1212">
        <v>390.04</v>
      </c>
      <c r="H1212" s="14">
        <f t="shared" si="543"/>
        <v>390.04</v>
      </c>
      <c r="I1212" s="14" t="b">
        <f t="shared" si="544"/>
        <v>1</v>
      </c>
      <c r="J1212" s="2">
        <v>46003</v>
      </c>
      <c r="K1212" s="5">
        <v>1007417</v>
      </c>
      <c r="L1212" s="5">
        <v>3837</v>
      </c>
      <c r="M1212" s="5">
        <v>8.0399999999999991</v>
      </c>
      <c r="N1212" s="5">
        <v>402.1</v>
      </c>
      <c r="O1212" s="7">
        <v>45992</v>
      </c>
      <c r="P1212" s="5">
        <v>394.06</v>
      </c>
      <c r="Q1212" s="5">
        <v>8.0399999999999991</v>
      </c>
      <c r="R1212" s="5" t="s">
        <v>32</v>
      </c>
      <c r="S1212" s="5" t="s">
        <v>33</v>
      </c>
      <c r="T1212" s="5">
        <v>4.0199999999999996</v>
      </c>
      <c r="U1212" s="5">
        <v>390.04</v>
      </c>
      <c r="V1212" s="5" t="s">
        <v>34</v>
      </c>
      <c r="W1212" s="5">
        <v>2</v>
      </c>
      <c r="X1212" s="5">
        <v>6580642599092</v>
      </c>
      <c r="Y1212" s="7">
        <v>46003</v>
      </c>
      <c r="Z1212" s="7">
        <v>45992</v>
      </c>
      <c r="AB1212" s="6">
        <v>46003</v>
      </c>
      <c r="AC1212" s="7">
        <v>46001.875694444447</v>
      </c>
      <c r="AD1212" s="5">
        <v>38371007417</v>
      </c>
      <c r="AE1212" s="8">
        <v>45992</v>
      </c>
      <c r="AF1212" s="5">
        <v>12297</v>
      </c>
      <c r="AG1212" s="5" t="s">
        <v>37</v>
      </c>
      <c r="AH1212" s="5">
        <v>205954</v>
      </c>
      <c r="AI1212" s="6">
        <v>45992</v>
      </c>
      <c r="AJ1212" s="6">
        <v>46003</v>
      </c>
      <c r="AK1212" s="1">
        <f t="shared" si="545"/>
        <v>8.0419999999999998</v>
      </c>
    </row>
    <row r="1213" spans="1:39" x14ac:dyDescent="0.55000000000000004">
      <c r="A1213">
        <v>3837</v>
      </c>
      <c r="B1213">
        <v>1007885</v>
      </c>
      <c r="C1213" s="1">
        <v>1085.1500000000001</v>
      </c>
      <c r="D1213" s="4">
        <v>21.7</v>
      </c>
      <c r="E1213" s="1">
        <v>1063.45</v>
      </c>
      <c r="F1213">
        <v>10.85</v>
      </c>
      <c r="G1213" s="1">
        <v>1052.5999999999999</v>
      </c>
      <c r="H1213" s="14">
        <f t="shared" si="543"/>
        <v>1052.6000000000001</v>
      </c>
      <c r="I1213" s="14" t="b">
        <f t="shared" si="544"/>
        <v>1</v>
      </c>
      <c r="J1213" s="2">
        <v>46003</v>
      </c>
      <c r="K1213" s="5">
        <v>1007885</v>
      </c>
      <c r="L1213" s="5">
        <v>3837</v>
      </c>
      <c r="M1213" s="5">
        <v>21.7</v>
      </c>
      <c r="N1213" s="5">
        <v>1085.1500000000001</v>
      </c>
      <c r="O1213" s="7">
        <v>45994</v>
      </c>
      <c r="P1213" s="5">
        <v>1063.45</v>
      </c>
      <c r="Q1213" s="5">
        <v>21.7</v>
      </c>
      <c r="R1213" s="5" t="s">
        <v>32</v>
      </c>
      <c r="S1213" s="5" t="s">
        <v>33</v>
      </c>
      <c r="T1213" s="5">
        <v>10.85</v>
      </c>
      <c r="U1213" s="5">
        <v>1052.5999999999999</v>
      </c>
      <c r="V1213" s="5" t="s">
        <v>34</v>
      </c>
      <c r="W1213" s="5">
        <v>2</v>
      </c>
      <c r="X1213" s="5">
        <v>6580642599092</v>
      </c>
      <c r="Y1213" s="7">
        <v>46003</v>
      </c>
      <c r="Z1213" s="7">
        <v>45994</v>
      </c>
      <c r="AB1213" s="6">
        <v>46003</v>
      </c>
      <c r="AC1213" s="7">
        <v>46001.875694444447</v>
      </c>
      <c r="AD1213" s="5">
        <v>38371007885</v>
      </c>
      <c r="AE1213" s="8">
        <v>45994</v>
      </c>
      <c r="AF1213" s="5">
        <v>12604</v>
      </c>
      <c r="AG1213" s="5" t="s">
        <v>37</v>
      </c>
      <c r="AH1213" s="5">
        <v>206479</v>
      </c>
      <c r="AI1213" s="6">
        <v>45994</v>
      </c>
      <c r="AJ1213" s="6">
        <v>46003</v>
      </c>
      <c r="AK1213" s="1">
        <f t="shared" si="545"/>
        <v>21.703000000000003</v>
      </c>
    </row>
    <row r="1214" spans="1:39" x14ac:dyDescent="0.55000000000000004">
      <c r="A1214">
        <v>3837</v>
      </c>
      <c r="B1214">
        <v>1008033</v>
      </c>
      <c r="C1214">
        <v>106.42</v>
      </c>
      <c r="D1214" s="4">
        <v>2.13</v>
      </c>
      <c r="E1214">
        <v>104.29</v>
      </c>
      <c r="F1214">
        <v>1.06</v>
      </c>
      <c r="G1214">
        <v>103.23</v>
      </c>
      <c r="H1214" s="14">
        <f t="shared" si="543"/>
        <v>103.23</v>
      </c>
      <c r="I1214" s="14" t="b">
        <f t="shared" si="544"/>
        <v>1</v>
      </c>
      <c r="J1214" s="2">
        <v>46003</v>
      </c>
      <c r="K1214" s="5">
        <v>1008033</v>
      </c>
      <c r="L1214" s="5">
        <v>3837</v>
      </c>
      <c r="M1214" s="5">
        <v>2.13</v>
      </c>
      <c r="N1214" s="5">
        <v>106.42</v>
      </c>
      <c r="O1214" s="7">
        <v>45994</v>
      </c>
      <c r="P1214" s="5">
        <v>104.29</v>
      </c>
      <c r="Q1214" s="5">
        <v>2.13</v>
      </c>
      <c r="R1214" s="5" t="s">
        <v>32</v>
      </c>
      <c r="S1214" s="5" t="s">
        <v>33</v>
      </c>
      <c r="T1214" s="5">
        <v>1.06</v>
      </c>
      <c r="U1214" s="5">
        <v>103.23</v>
      </c>
      <c r="V1214" s="5" t="s">
        <v>34</v>
      </c>
      <c r="W1214" s="5">
        <v>2</v>
      </c>
      <c r="X1214" s="5">
        <v>6580642599092</v>
      </c>
      <c r="Y1214" s="7">
        <v>46003</v>
      </c>
      <c r="Z1214" s="7">
        <v>45994</v>
      </c>
      <c r="AB1214" s="6">
        <v>46003</v>
      </c>
      <c r="AC1214" s="7">
        <v>46001.875694444447</v>
      </c>
      <c r="AD1214" s="5">
        <v>38371008033</v>
      </c>
      <c r="AE1214" s="8">
        <v>45994</v>
      </c>
      <c r="AF1214" s="5">
        <v>12503</v>
      </c>
      <c r="AG1214" s="5" t="s">
        <v>37</v>
      </c>
      <c r="AH1214" s="5">
        <v>206058</v>
      </c>
      <c r="AI1214" s="6">
        <v>45994</v>
      </c>
      <c r="AJ1214" s="6">
        <v>46003</v>
      </c>
      <c r="AK1214" s="1">
        <f t="shared" si="545"/>
        <v>2.1284000000000001</v>
      </c>
    </row>
    <row r="1215" spans="1:39" x14ac:dyDescent="0.55000000000000004">
      <c r="A1215">
        <v>3837</v>
      </c>
      <c r="B1215">
        <v>1008094</v>
      </c>
      <c r="C1215" s="1">
        <v>1689.28</v>
      </c>
      <c r="D1215" s="4">
        <v>33.79</v>
      </c>
      <c r="E1215" s="1">
        <v>1655.49</v>
      </c>
      <c r="F1215">
        <v>16.89</v>
      </c>
      <c r="G1215" s="1">
        <v>1638.6</v>
      </c>
      <c r="H1215" s="14">
        <f t="shared" si="543"/>
        <v>1638.6</v>
      </c>
      <c r="I1215" s="14" t="b">
        <f t="shared" si="544"/>
        <v>1</v>
      </c>
      <c r="J1215" s="2">
        <v>46003</v>
      </c>
      <c r="K1215" s="5">
        <v>1008094</v>
      </c>
      <c r="L1215" s="5">
        <v>3837</v>
      </c>
      <c r="M1215" s="5">
        <v>33.79</v>
      </c>
      <c r="N1215" s="5">
        <v>1689.28</v>
      </c>
      <c r="O1215" s="7">
        <v>45995</v>
      </c>
      <c r="P1215" s="5">
        <v>1655.49</v>
      </c>
      <c r="Q1215" s="5">
        <v>33.79</v>
      </c>
      <c r="R1215" s="5" t="s">
        <v>32</v>
      </c>
      <c r="S1215" s="5" t="s">
        <v>33</v>
      </c>
      <c r="T1215" s="5">
        <v>16.89</v>
      </c>
      <c r="U1215" s="5">
        <v>1638.6</v>
      </c>
      <c r="V1215" s="5" t="s">
        <v>34</v>
      </c>
      <c r="W1215" s="5">
        <v>2</v>
      </c>
      <c r="X1215" s="5">
        <v>6580642599092</v>
      </c>
      <c r="Y1215" s="7">
        <v>46003</v>
      </c>
      <c r="Z1215" s="7">
        <v>45995</v>
      </c>
      <c r="AB1215" s="6">
        <v>46003</v>
      </c>
      <c r="AC1215" s="7">
        <v>46001.875694444447</v>
      </c>
      <c r="AD1215" s="5">
        <v>38371008094</v>
      </c>
      <c r="AE1215" s="8">
        <v>45995</v>
      </c>
      <c r="AF1215" s="5">
        <v>12604</v>
      </c>
      <c r="AG1215" s="5" t="s">
        <v>37</v>
      </c>
      <c r="AH1215" s="5">
        <v>206485</v>
      </c>
      <c r="AI1215" s="6">
        <v>45995</v>
      </c>
      <c r="AJ1215" s="6">
        <v>46003</v>
      </c>
      <c r="AK1215" s="1">
        <f t="shared" si="545"/>
        <v>33.785600000000002</v>
      </c>
    </row>
    <row r="1216" spans="1:39" x14ac:dyDescent="0.55000000000000004">
      <c r="A1216">
        <v>3837</v>
      </c>
      <c r="B1216">
        <v>1008239</v>
      </c>
      <c r="C1216" s="1">
        <v>2301.6</v>
      </c>
      <c r="D1216" s="4">
        <v>46.03</v>
      </c>
      <c r="E1216" s="1">
        <v>2255.5700000000002</v>
      </c>
      <c r="F1216">
        <v>23.02</v>
      </c>
      <c r="G1216" s="1">
        <v>2232.5500000000002</v>
      </c>
      <c r="H1216" s="14">
        <f t="shared" si="543"/>
        <v>2232.5499999999997</v>
      </c>
      <c r="I1216" s="14" t="b">
        <f t="shared" si="544"/>
        <v>1</v>
      </c>
      <c r="J1216" s="2">
        <v>46003</v>
      </c>
      <c r="K1216" s="5">
        <v>1008239</v>
      </c>
      <c r="L1216" s="5">
        <v>3837</v>
      </c>
      <c r="M1216" s="5">
        <v>46.03</v>
      </c>
      <c r="N1216" s="5">
        <v>2301.6</v>
      </c>
      <c r="O1216" s="7">
        <v>45995</v>
      </c>
      <c r="P1216" s="5">
        <v>2255.5700000000002</v>
      </c>
      <c r="Q1216" s="5">
        <v>46.03</v>
      </c>
      <c r="R1216" s="5" t="s">
        <v>32</v>
      </c>
      <c r="S1216" s="5" t="s">
        <v>33</v>
      </c>
      <c r="T1216" s="5">
        <v>23.02</v>
      </c>
      <c r="U1216" s="5">
        <v>2232.5500000000002</v>
      </c>
      <c r="V1216" s="5" t="s">
        <v>34</v>
      </c>
      <c r="W1216" s="5">
        <v>2</v>
      </c>
      <c r="X1216" s="5">
        <v>6580642599092</v>
      </c>
      <c r="Y1216" s="7">
        <v>46003</v>
      </c>
      <c r="Z1216" s="7">
        <v>45995</v>
      </c>
      <c r="AB1216" s="6">
        <v>46003</v>
      </c>
      <c r="AC1216" s="7">
        <v>46001.875694444447</v>
      </c>
      <c r="AD1216" s="5">
        <v>38371008239</v>
      </c>
      <c r="AE1216" s="8">
        <v>45995</v>
      </c>
      <c r="AF1216" s="5">
        <v>12617</v>
      </c>
      <c r="AG1216" s="5" t="s">
        <v>37</v>
      </c>
      <c r="AH1216" s="5">
        <v>206506</v>
      </c>
      <c r="AI1216" s="6">
        <v>45995</v>
      </c>
      <c r="AJ1216" s="6">
        <v>46003</v>
      </c>
      <c r="AK1216" s="1">
        <f t="shared" si="545"/>
        <v>46.031999999999996</v>
      </c>
    </row>
    <row r="1217" spans="1:37" hidden="1" x14ac:dyDescent="0.55000000000000004">
      <c r="A1217">
        <v>3837</v>
      </c>
      <c r="B1217">
        <v>1008372</v>
      </c>
      <c r="C1217">
        <v>125.37</v>
      </c>
      <c r="E1217">
        <v>125.37</v>
      </c>
      <c r="F1217">
        <v>1.25</v>
      </c>
      <c r="G1217">
        <v>124.12</v>
      </c>
      <c r="H1217"/>
      <c r="I1217"/>
      <c r="J1217" s="2">
        <v>46003</v>
      </c>
      <c r="K1217" s="5">
        <v>1008372</v>
      </c>
      <c r="L1217" s="5">
        <v>3837</v>
      </c>
      <c r="M1217" s="5">
        <v>0</v>
      </c>
      <c r="N1217" s="5">
        <v>125.37</v>
      </c>
      <c r="O1217" s="7">
        <v>45996</v>
      </c>
      <c r="P1217" s="5">
        <v>125.37</v>
      </c>
      <c r="Q1217" s="5">
        <v>0</v>
      </c>
      <c r="R1217" s="5" t="s">
        <v>630</v>
      </c>
      <c r="S1217" s="5" t="s">
        <v>138</v>
      </c>
      <c r="T1217" s="5">
        <v>1.25</v>
      </c>
      <c r="U1217" s="5">
        <v>124.12</v>
      </c>
      <c r="V1217" s="5" t="s">
        <v>34</v>
      </c>
      <c r="W1217" s="5">
        <v>2</v>
      </c>
      <c r="X1217" s="5">
        <v>6580642599092</v>
      </c>
      <c r="Y1217" s="7">
        <v>46003</v>
      </c>
      <c r="Z1217" s="7">
        <v>45996</v>
      </c>
      <c r="AB1217" s="6">
        <v>46003</v>
      </c>
      <c r="AC1217" s="7">
        <v>46001.875694444447</v>
      </c>
      <c r="AD1217" s="5">
        <v>38371008372</v>
      </c>
      <c r="AE1217" s="8">
        <v>45996</v>
      </c>
      <c r="AF1217" s="5" t="s">
        <v>32</v>
      </c>
      <c r="AG1217" s="5" t="s">
        <v>38</v>
      </c>
      <c r="AH1217" s="5" t="s">
        <v>630</v>
      </c>
      <c r="AI1217" s="6">
        <v>45996</v>
      </c>
      <c r="AJ1217" s="6">
        <v>46003</v>
      </c>
    </row>
    <row r="1218" spans="1:37" x14ac:dyDescent="0.55000000000000004">
      <c r="A1218">
        <v>3837</v>
      </c>
      <c r="B1218">
        <v>1008492</v>
      </c>
      <c r="C1218">
        <v>613.5</v>
      </c>
      <c r="D1218" s="4">
        <v>12.27</v>
      </c>
      <c r="E1218">
        <v>601.23</v>
      </c>
      <c r="F1218">
        <v>6.13</v>
      </c>
      <c r="G1218">
        <v>595.1</v>
      </c>
      <c r="H1218" s="14">
        <f t="shared" ref="H1218:H1221" si="546">C1218-D1218-F1218</f>
        <v>595.1</v>
      </c>
      <c r="I1218" s="14" t="b">
        <f t="shared" ref="I1218:I1221" si="547">G1218=H1218</f>
        <v>1</v>
      </c>
      <c r="J1218" s="2">
        <v>46003</v>
      </c>
      <c r="K1218" s="5">
        <v>1008492</v>
      </c>
      <c r="L1218" s="5">
        <v>3837</v>
      </c>
      <c r="M1218" s="5">
        <v>12.27</v>
      </c>
      <c r="N1218" s="5">
        <v>613.5</v>
      </c>
      <c r="O1218" s="7">
        <v>45996</v>
      </c>
      <c r="P1218" s="5">
        <v>601.23</v>
      </c>
      <c r="Q1218" s="5">
        <v>12.27</v>
      </c>
      <c r="R1218" s="5" t="s">
        <v>32</v>
      </c>
      <c r="S1218" s="5" t="s">
        <v>33</v>
      </c>
      <c r="T1218" s="5">
        <v>6.13</v>
      </c>
      <c r="U1218" s="5">
        <v>595.1</v>
      </c>
      <c r="V1218" s="5" t="s">
        <v>34</v>
      </c>
      <c r="W1218" s="5">
        <v>2</v>
      </c>
      <c r="X1218" s="5">
        <v>5419049556824</v>
      </c>
      <c r="Y1218" s="7">
        <v>46003</v>
      </c>
      <c r="Z1218" s="7">
        <v>45996</v>
      </c>
      <c r="AB1218" s="6">
        <v>46003</v>
      </c>
      <c r="AC1218" s="7">
        <v>46002.715277777781</v>
      </c>
      <c r="AD1218" s="5">
        <v>38371008492</v>
      </c>
      <c r="AE1218" s="8">
        <v>45996</v>
      </c>
      <c r="AF1218" s="5">
        <v>12621</v>
      </c>
      <c r="AG1218" s="5" t="s">
        <v>37</v>
      </c>
      <c r="AH1218" s="5">
        <v>206831</v>
      </c>
      <c r="AI1218" s="6">
        <v>45996</v>
      </c>
      <c r="AJ1218" s="6">
        <v>46003</v>
      </c>
      <c r="AK1218" s="1">
        <f t="shared" ref="AK1218:AK1221" si="548">0.02*C1218</f>
        <v>12.27</v>
      </c>
    </row>
    <row r="1219" spans="1:37" x14ac:dyDescent="0.55000000000000004">
      <c r="A1219">
        <v>3837</v>
      </c>
      <c r="B1219">
        <v>1008537</v>
      </c>
      <c r="C1219">
        <v>215</v>
      </c>
      <c r="D1219" s="4">
        <v>4.3</v>
      </c>
      <c r="E1219">
        <v>210.7</v>
      </c>
      <c r="F1219">
        <v>2.15</v>
      </c>
      <c r="G1219">
        <v>208.55</v>
      </c>
      <c r="H1219" s="14">
        <f t="shared" si="546"/>
        <v>208.54999999999998</v>
      </c>
      <c r="I1219" s="14" t="b">
        <f t="shared" si="547"/>
        <v>1</v>
      </c>
      <c r="J1219" s="2">
        <v>46003</v>
      </c>
      <c r="K1219" s="5">
        <v>1008537</v>
      </c>
      <c r="L1219" s="5">
        <v>3837</v>
      </c>
      <c r="M1219" s="5">
        <v>4.3</v>
      </c>
      <c r="N1219" s="5">
        <v>215</v>
      </c>
      <c r="O1219" s="7">
        <v>45996</v>
      </c>
      <c r="P1219" s="5">
        <v>210.7</v>
      </c>
      <c r="Q1219" s="5">
        <v>4.3</v>
      </c>
      <c r="R1219" s="5" t="s">
        <v>32</v>
      </c>
      <c r="S1219" s="5" t="s">
        <v>33</v>
      </c>
      <c r="T1219" s="5">
        <v>2.15</v>
      </c>
      <c r="U1219" s="5">
        <v>208.55</v>
      </c>
      <c r="V1219" s="5" t="s">
        <v>34</v>
      </c>
      <c r="W1219" s="5">
        <v>2</v>
      </c>
      <c r="X1219" s="5">
        <v>5419049556824</v>
      </c>
      <c r="Y1219" s="7">
        <v>46003</v>
      </c>
      <c r="Z1219" s="7">
        <v>45996</v>
      </c>
      <c r="AB1219" s="6">
        <v>46003</v>
      </c>
      <c r="AC1219" s="7">
        <v>46002.715277777781</v>
      </c>
      <c r="AD1219" s="5">
        <v>38371008537</v>
      </c>
      <c r="AE1219" s="8">
        <v>45996</v>
      </c>
      <c r="AF1219" s="5">
        <v>12621</v>
      </c>
      <c r="AG1219" s="5" t="s">
        <v>37</v>
      </c>
      <c r="AH1219" s="5">
        <v>206823</v>
      </c>
      <c r="AI1219" s="6">
        <v>45996</v>
      </c>
      <c r="AJ1219" s="6">
        <v>46003</v>
      </c>
      <c r="AK1219" s="1">
        <f t="shared" si="548"/>
        <v>4.3</v>
      </c>
    </row>
    <row r="1220" spans="1:37" x14ac:dyDescent="0.55000000000000004">
      <c r="A1220">
        <v>3837</v>
      </c>
      <c r="B1220">
        <v>1008558</v>
      </c>
      <c r="C1220">
        <v>199</v>
      </c>
      <c r="D1220" s="4">
        <v>3.98</v>
      </c>
      <c r="E1220">
        <v>195.02</v>
      </c>
      <c r="F1220">
        <v>1.99</v>
      </c>
      <c r="G1220">
        <v>193.03</v>
      </c>
      <c r="H1220" s="14">
        <f t="shared" si="546"/>
        <v>193.03</v>
      </c>
      <c r="I1220" s="14" t="b">
        <f t="shared" si="547"/>
        <v>1</v>
      </c>
      <c r="J1220" s="2">
        <v>46003</v>
      </c>
      <c r="K1220" s="5">
        <v>1008558</v>
      </c>
      <c r="L1220" s="5">
        <v>3837</v>
      </c>
      <c r="M1220" s="5">
        <v>3.98</v>
      </c>
      <c r="N1220" s="5">
        <v>199</v>
      </c>
      <c r="O1220" s="7">
        <v>45996</v>
      </c>
      <c r="P1220" s="5">
        <v>195.02</v>
      </c>
      <c r="Q1220" s="5">
        <v>3.98</v>
      </c>
      <c r="R1220" s="5" t="s">
        <v>32</v>
      </c>
      <c r="S1220" s="5" t="s">
        <v>33</v>
      </c>
      <c r="T1220" s="5">
        <v>1.99</v>
      </c>
      <c r="U1220" s="5">
        <v>193.03</v>
      </c>
      <c r="V1220" s="5" t="s">
        <v>34</v>
      </c>
      <c r="W1220" s="5">
        <v>2</v>
      </c>
      <c r="X1220" s="5">
        <v>5419049556824</v>
      </c>
      <c r="Y1220" s="7">
        <v>46003</v>
      </c>
      <c r="Z1220" s="7">
        <v>45996</v>
      </c>
      <c r="AB1220" s="6">
        <v>46003</v>
      </c>
      <c r="AC1220" s="7">
        <v>46002.715277777781</v>
      </c>
      <c r="AD1220" s="5">
        <v>38371008558</v>
      </c>
      <c r="AE1220" s="8">
        <v>45996</v>
      </c>
      <c r="AF1220" s="5">
        <v>12456</v>
      </c>
      <c r="AG1220" s="5" t="s">
        <v>37</v>
      </c>
      <c r="AH1220" s="5">
        <v>206598</v>
      </c>
      <c r="AI1220" s="6">
        <v>45996</v>
      </c>
      <c r="AJ1220" s="6">
        <v>46003</v>
      </c>
      <c r="AK1220" s="1">
        <f t="shared" si="548"/>
        <v>3.98</v>
      </c>
    </row>
    <row r="1221" spans="1:37" x14ac:dyDescent="0.55000000000000004">
      <c r="A1221">
        <v>3837</v>
      </c>
      <c r="B1221">
        <v>1008560</v>
      </c>
      <c r="C1221">
        <v>199</v>
      </c>
      <c r="D1221" s="4">
        <v>3.98</v>
      </c>
      <c r="E1221">
        <v>195.02</v>
      </c>
      <c r="F1221">
        <v>1.99</v>
      </c>
      <c r="G1221">
        <v>193.03</v>
      </c>
      <c r="H1221" s="14">
        <f t="shared" si="546"/>
        <v>193.03</v>
      </c>
      <c r="I1221" s="14" t="b">
        <f t="shared" si="547"/>
        <v>1</v>
      </c>
      <c r="J1221" s="2">
        <v>46003</v>
      </c>
      <c r="K1221" s="5">
        <v>1008560</v>
      </c>
      <c r="L1221" s="5">
        <v>3837</v>
      </c>
      <c r="M1221" s="5">
        <v>3.98</v>
      </c>
      <c r="N1221" s="5">
        <v>199</v>
      </c>
      <c r="O1221" s="7">
        <v>45996</v>
      </c>
      <c r="P1221" s="5">
        <v>195.02</v>
      </c>
      <c r="Q1221" s="5">
        <v>3.98</v>
      </c>
      <c r="R1221" s="5" t="s">
        <v>32</v>
      </c>
      <c r="S1221" s="5" t="s">
        <v>33</v>
      </c>
      <c r="T1221" s="5">
        <v>1.99</v>
      </c>
      <c r="U1221" s="5">
        <v>193.03</v>
      </c>
      <c r="V1221" s="5" t="s">
        <v>34</v>
      </c>
      <c r="W1221" s="5">
        <v>2</v>
      </c>
      <c r="X1221" s="5">
        <v>6580642599092</v>
      </c>
      <c r="Y1221" s="7">
        <v>46003</v>
      </c>
      <c r="Z1221" s="7">
        <v>45996</v>
      </c>
      <c r="AB1221" s="6">
        <v>46003</v>
      </c>
      <c r="AC1221" s="7">
        <v>46001.875694444447</v>
      </c>
      <c r="AD1221" s="5">
        <v>38371008560</v>
      </c>
      <c r="AE1221" s="8">
        <v>45996</v>
      </c>
      <c r="AF1221" s="5">
        <v>12359</v>
      </c>
      <c r="AG1221" s="5" t="s">
        <v>37</v>
      </c>
      <c r="AH1221" s="5">
        <v>206597</v>
      </c>
      <c r="AI1221" s="6">
        <v>45996</v>
      </c>
      <c r="AJ1221" s="6">
        <v>46003</v>
      </c>
      <c r="AK1221" s="1">
        <f t="shared" si="548"/>
        <v>3.98</v>
      </c>
    </row>
    <row r="1222" spans="1:37" hidden="1" x14ac:dyDescent="0.55000000000000004">
      <c r="A1222">
        <v>3837</v>
      </c>
      <c r="B1222">
        <v>1008937</v>
      </c>
      <c r="C1222">
        <v>-19.87</v>
      </c>
      <c r="E1222">
        <v>-19.87</v>
      </c>
      <c r="G1222">
        <v>-19.87</v>
      </c>
      <c r="H1222"/>
      <c r="I1222"/>
      <c r="J1222" s="2">
        <v>46003</v>
      </c>
      <c r="K1222" s="5">
        <v>1008937</v>
      </c>
      <c r="L1222" s="5">
        <v>3837</v>
      </c>
      <c r="M1222" s="5">
        <v>0</v>
      </c>
      <c r="N1222" s="5">
        <v>-19.87</v>
      </c>
      <c r="O1222" s="7">
        <v>46000</v>
      </c>
      <c r="P1222" s="5">
        <v>-19.87</v>
      </c>
      <c r="Q1222" s="5">
        <v>0</v>
      </c>
      <c r="R1222" s="5">
        <v>1008937</v>
      </c>
      <c r="S1222" s="5" t="s">
        <v>33</v>
      </c>
      <c r="T1222" s="5">
        <v>0</v>
      </c>
      <c r="U1222" s="5">
        <v>-19.87</v>
      </c>
      <c r="V1222" s="5" t="s">
        <v>34</v>
      </c>
      <c r="W1222" s="5">
        <v>2</v>
      </c>
      <c r="X1222" s="5">
        <v>6580642599092</v>
      </c>
      <c r="Y1222" s="7">
        <v>46003</v>
      </c>
      <c r="Z1222" s="7">
        <v>46000</v>
      </c>
      <c r="AB1222" s="6">
        <v>46003</v>
      </c>
      <c r="AC1222" s="7">
        <v>46001.875694444447</v>
      </c>
      <c r="AD1222" s="5">
        <v>38371008937</v>
      </c>
      <c r="AE1222" s="8">
        <v>46000</v>
      </c>
      <c r="AF1222" s="5">
        <v>142094</v>
      </c>
      <c r="AG1222" s="5" t="s">
        <v>38</v>
      </c>
      <c r="AH1222" s="5">
        <v>53534</v>
      </c>
      <c r="AI1222" s="6">
        <v>46000</v>
      </c>
      <c r="AJ1222" s="6">
        <v>46003</v>
      </c>
    </row>
    <row r="1223" spans="1:37" hidden="1" x14ac:dyDescent="0.55000000000000004">
      <c r="A1223">
        <v>3837</v>
      </c>
      <c r="B1223">
        <v>1009060</v>
      </c>
      <c r="C1223">
        <v>-40.5</v>
      </c>
      <c r="E1223">
        <v>-40.5</v>
      </c>
      <c r="G1223">
        <v>-40.5</v>
      </c>
      <c r="H1223"/>
      <c r="I1223"/>
      <c r="J1223" s="2">
        <v>46003</v>
      </c>
      <c r="K1223" s="5">
        <v>1009060</v>
      </c>
      <c r="L1223" s="5">
        <v>3837</v>
      </c>
      <c r="M1223" s="5">
        <v>0</v>
      </c>
      <c r="N1223" s="5">
        <v>-40.5</v>
      </c>
      <c r="O1223" s="7">
        <v>46000</v>
      </c>
      <c r="P1223" s="5">
        <v>-40.5</v>
      </c>
      <c r="Q1223" s="5">
        <v>0</v>
      </c>
      <c r="R1223" s="5">
        <v>1009060</v>
      </c>
      <c r="S1223" s="5" t="s">
        <v>33</v>
      </c>
      <c r="T1223" s="5">
        <v>0</v>
      </c>
      <c r="U1223" s="5">
        <v>-40.5</v>
      </c>
      <c r="V1223" s="5" t="s">
        <v>34</v>
      </c>
      <c r="W1223" s="5">
        <v>2</v>
      </c>
      <c r="X1223" s="5">
        <v>6580642599092</v>
      </c>
      <c r="Y1223" s="7">
        <v>46003</v>
      </c>
      <c r="Z1223" s="7">
        <v>46000</v>
      </c>
      <c r="AB1223" s="6">
        <v>46003</v>
      </c>
      <c r="AC1223" s="7">
        <v>46001.875694444447</v>
      </c>
      <c r="AD1223" s="5">
        <v>38371009060</v>
      </c>
      <c r="AE1223" s="8">
        <v>46000</v>
      </c>
      <c r="AF1223" s="5" t="s">
        <v>631</v>
      </c>
      <c r="AG1223" s="5" t="s">
        <v>38</v>
      </c>
      <c r="AH1223" s="5" t="s">
        <v>632</v>
      </c>
      <c r="AI1223" s="6">
        <v>46000</v>
      </c>
      <c r="AJ1223" s="6">
        <v>46003</v>
      </c>
    </row>
    <row r="1224" spans="1:37" hidden="1" x14ac:dyDescent="0.55000000000000004">
      <c r="A1224">
        <v>3837</v>
      </c>
      <c r="B1224">
        <v>1009062</v>
      </c>
      <c r="C1224">
        <v>-75</v>
      </c>
      <c r="E1224">
        <v>-75</v>
      </c>
      <c r="G1224">
        <v>-75</v>
      </c>
      <c r="H1224"/>
      <c r="I1224"/>
      <c r="J1224" s="2">
        <v>46003</v>
      </c>
      <c r="K1224" s="5">
        <v>1009062</v>
      </c>
      <c r="L1224" s="5">
        <v>3837</v>
      </c>
      <c r="M1224" s="5">
        <v>0</v>
      </c>
      <c r="N1224" s="5">
        <v>-75</v>
      </c>
      <c r="O1224" s="7">
        <v>46000</v>
      </c>
      <c r="P1224" s="5">
        <v>-75</v>
      </c>
      <c r="Q1224" s="5">
        <v>0</v>
      </c>
      <c r="R1224" s="5">
        <v>1009062</v>
      </c>
      <c r="S1224" s="5" t="s">
        <v>33</v>
      </c>
      <c r="T1224" s="5">
        <v>0</v>
      </c>
      <c r="U1224" s="5">
        <v>-75</v>
      </c>
      <c r="V1224" s="5" t="s">
        <v>34</v>
      </c>
      <c r="W1224" s="5">
        <v>2</v>
      </c>
      <c r="X1224" s="5">
        <v>5419049556824</v>
      </c>
      <c r="Y1224" s="7">
        <v>46003</v>
      </c>
      <c r="Z1224" s="7">
        <v>46000</v>
      </c>
      <c r="AB1224" s="6">
        <v>46003</v>
      </c>
      <c r="AC1224" s="7">
        <v>46002.715277777781</v>
      </c>
      <c r="AD1224" s="5">
        <v>38371009062</v>
      </c>
      <c r="AE1224" s="8">
        <v>46000</v>
      </c>
      <c r="AF1224" s="5" t="s">
        <v>633</v>
      </c>
      <c r="AG1224" s="5" t="s">
        <v>38</v>
      </c>
      <c r="AH1224" s="5" t="s">
        <v>634</v>
      </c>
      <c r="AI1224" s="6">
        <v>46000</v>
      </c>
      <c r="AJ1224" s="6">
        <v>46003</v>
      </c>
    </row>
    <row r="1225" spans="1:37" hidden="1" x14ac:dyDescent="0.55000000000000004">
      <c r="A1225">
        <v>3837</v>
      </c>
      <c r="B1225">
        <v>1009063</v>
      </c>
      <c r="C1225">
        <v>-395</v>
      </c>
      <c r="E1225">
        <v>-395</v>
      </c>
      <c r="G1225">
        <v>-395</v>
      </c>
      <c r="H1225"/>
      <c r="I1225"/>
      <c r="J1225" s="2">
        <v>46003</v>
      </c>
      <c r="K1225" s="5">
        <v>1009063</v>
      </c>
      <c r="L1225" s="5">
        <v>3837</v>
      </c>
      <c r="M1225" s="5">
        <v>0</v>
      </c>
      <c r="N1225" s="5">
        <v>-395</v>
      </c>
      <c r="O1225" s="7">
        <v>46000</v>
      </c>
      <c r="P1225" s="5">
        <v>-395</v>
      </c>
      <c r="Q1225" s="5">
        <v>0</v>
      </c>
      <c r="R1225" s="5">
        <v>1009063</v>
      </c>
      <c r="S1225" s="5" t="s">
        <v>33</v>
      </c>
      <c r="T1225" s="5">
        <v>0</v>
      </c>
      <c r="U1225" s="5">
        <v>-395</v>
      </c>
      <c r="V1225" s="5" t="s">
        <v>34</v>
      </c>
      <c r="W1225" s="5">
        <v>2</v>
      </c>
      <c r="X1225" s="5">
        <v>5419049556824</v>
      </c>
      <c r="Y1225" s="7">
        <v>46003</v>
      </c>
      <c r="Z1225" s="7">
        <v>46000</v>
      </c>
      <c r="AB1225" s="6">
        <v>46003</v>
      </c>
      <c r="AC1225" s="7">
        <v>46002.715277777781</v>
      </c>
      <c r="AD1225" s="5">
        <v>38371009063</v>
      </c>
      <c r="AE1225" s="8">
        <v>46000</v>
      </c>
      <c r="AF1225" s="5" t="s">
        <v>635</v>
      </c>
      <c r="AG1225" s="5" t="s">
        <v>38</v>
      </c>
      <c r="AH1225" s="5" t="s">
        <v>636</v>
      </c>
      <c r="AI1225" s="6">
        <v>46000</v>
      </c>
      <c r="AJ1225" s="6">
        <v>46003</v>
      </c>
    </row>
    <row r="1226" spans="1:37" hidden="1" x14ac:dyDescent="0.55000000000000004">
      <c r="A1226">
        <v>3844</v>
      </c>
      <c r="B1226">
        <v>992203</v>
      </c>
      <c r="C1226">
        <v>56.43</v>
      </c>
      <c r="E1226">
        <v>56.43</v>
      </c>
      <c r="G1226">
        <v>56.43</v>
      </c>
      <c r="H1226"/>
      <c r="I1226"/>
      <c r="J1226" s="2">
        <v>46003</v>
      </c>
      <c r="K1226" s="5">
        <v>992203</v>
      </c>
      <c r="L1226" s="5">
        <v>3844</v>
      </c>
      <c r="M1226" s="5">
        <v>0</v>
      </c>
      <c r="N1226" s="5">
        <v>56.43</v>
      </c>
      <c r="O1226" s="7">
        <v>45924</v>
      </c>
      <c r="P1226" s="5">
        <v>56.43</v>
      </c>
      <c r="Q1226" s="5">
        <v>0</v>
      </c>
      <c r="R1226" s="5" t="s">
        <v>637</v>
      </c>
      <c r="S1226" s="5" t="s">
        <v>138</v>
      </c>
      <c r="T1226" s="5">
        <v>0</v>
      </c>
      <c r="U1226" s="5">
        <v>56.43</v>
      </c>
      <c r="V1226" s="5" t="s">
        <v>34</v>
      </c>
      <c r="W1226" s="5">
        <v>2</v>
      </c>
      <c r="X1226" s="5">
        <v>1133185694979</v>
      </c>
      <c r="Y1226" s="7">
        <v>46003</v>
      </c>
      <c r="Z1226" s="7">
        <v>45924</v>
      </c>
      <c r="AB1226" s="6">
        <v>46003</v>
      </c>
      <c r="AC1226" s="7">
        <v>46002.427083333336</v>
      </c>
      <c r="AD1226" s="5">
        <v>3844992203</v>
      </c>
      <c r="AE1226" s="8">
        <v>45924</v>
      </c>
      <c r="AF1226" s="5">
        <v>212459</v>
      </c>
      <c r="AG1226" s="5" t="s">
        <v>161</v>
      </c>
      <c r="AH1226" s="5" t="s">
        <v>637</v>
      </c>
      <c r="AI1226" s="6">
        <v>45924</v>
      </c>
      <c r="AJ1226" s="6">
        <v>46003</v>
      </c>
    </row>
    <row r="1227" spans="1:37" hidden="1" x14ac:dyDescent="0.55000000000000004">
      <c r="A1227">
        <v>3844</v>
      </c>
      <c r="B1227">
        <v>993109</v>
      </c>
      <c r="C1227" s="1">
        <v>1672.68</v>
      </c>
      <c r="E1227" s="1">
        <v>1672.68</v>
      </c>
      <c r="G1227" s="1">
        <v>1672.68</v>
      </c>
      <c r="H1227" s="1"/>
      <c r="I1227" s="1"/>
      <c r="J1227" s="2">
        <v>46003</v>
      </c>
      <c r="K1227" s="5">
        <v>993109</v>
      </c>
      <c r="L1227" s="5">
        <v>3844</v>
      </c>
      <c r="M1227" s="5">
        <v>0</v>
      </c>
      <c r="N1227" s="5">
        <v>1672.68</v>
      </c>
      <c r="O1227" s="7">
        <v>45926</v>
      </c>
      <c r="P1227" s="5">
        <v>1672.68</v>
      </c>
      <c r="Q1227" s="5">
        <v>0</v>
      </c>
      <c r="R1227" s="5" t="s">
        <v>32</v>
      </c>
      <c r="S1227" s="5" t="s">
        <v>33</v>
      </c>
      <c r="T1227" s="5">
        <v>0</v>
      </c>
      <c r="U1227" s="5">
        <v>1672.68</v>
      </c>
      <c r="V1227" s="5" t="s">
        <v>34</v>
      </c>
      <c r="W1227" s="5">
        <v>2</v>
      </c>
      <c r="X1227" s="5">
        <v>1133185694979</v>
      </c>
      <c r="Y1227" s="7">
        <v>46003</v>
      </c>
      <c r="Z1227" s="7">
        <v>45926</v>
      </c>
      <c r="AB1227" s="6">
        <v>46003</v>
      </c>
      <c r="AC1227" s="7">
        <v>46002.427083333336</v>
      </c>
      <c r="AD1227" s="5">
        <v>3844993109</v>
      </c>
      <c r="AE1227" s="8">
        <v>45926</v>
      </c>
      <c r="AF1227" s="5">
        <v>4176</v>
      </c>
      <c r="AG1227" s="5" t="s">
        <v>161</v>
      </c>
      <c r="AH1227" s="5">
        <v>193767</v>
      </c>
      <c r="AI1227" s="6">
        <v>45926</v>
      </c>
      <c r="AJ1227" s="6">
        <v>46003</v>
      </c>
    </row>
    <row r="1228" spans="1:37" hidden="1" x14ac:dyDescent="0.55000000000000004">
      <c r="A1228">
        <v>3844</v>
      </c>
      <c r="B1228">
        <v>1001841</v>
      </c>
      <c r="C1228">
        <v>350</v>
      </c>
      <c r="E1228">
        <v>350</v>
      </c>
      <c r="G1228">
        <v>350</v>
      </c>
      <c r="H1228"/>
      <c r="I1228"/>
      <c r="J1228" s="2">
        <v>46003</v>
      </c>
      <c r="K1228" s="5">
        <v>1001841</v>
      </c>
      <c r="L1228" s="5">
        <v>3844</v>
      </c>
      <c r="M1228" s="5">
        <v>0</v>
      </c>
      <c r="N1228" s="5">
        <v>350</v>
      </c>
      <c r="O1228" s="7">
        <v>45964</v>
      </c>
      <c r="P1228" s="5">
        <v>350</v>
      </c>
      <c r="Q1228" s="5">
        <v>0</v>
      </c>
      <c r="R1228" s="5" t="s">
        <v>32</v>
      </c>
      <c r="S1228" s="5" t="s">
        <v>33</v>
      </c>
      <c r="T1228" s="5">
        <v>0</v>
      </c>
      <c r="U1228" s="5">
        <v>350</v>
      </c>
      <c r="V1228" s="5" t="s">
        <v>34</v>
      </c>
      <c r="W1228" s="5">
        <v>2</v>
      </c>
      <c r="X1228" s="5">
        <v>1133185694979</v>
      </c>
      <c r="Y1228" s="7">
        <v>46003</v>
      </c>
      <c r="Z1228" s="7">
        <v>45964</v>
      </c>
      <c r="AB1228" s="6">
        <v>46003</v>
      </c>
      <c r="AC1228" s="7">
        <v>46002.427083333336</v>
      </c>
      <c r="AD1228" s="5">
        <v>38441001841</v>
      </c>
      <c r="AE1228" s="8">
        <v>45964</v>
      </c>
      <c r="AF1228" s="5" t="s">
        <v>32</v>
      </c>
      <c r="AG1228" s="5" t="s">
        <v>82</v>
      </c>
      <c r="AH1228" s="5" t="s">
        <v>32</v>
      </c>
      <c r="AI1228" s="6">
        <v>45964</v>
      </c>
      <c r="AJ1228" s="6">
        <v>46003</v>
      </c>
    </row>
    <row r="1229" spans="1:37" x14ac:dyDescent="0.55000000000000004">
      <c r="A1229">
        <v>3851</v>
      </c>
      <c r="B1229">
        <v>1007435</v>
      </c>
      <c r="C1229">
        <v>98.25</v>
      </c>
      <c r="D1229" s="4">
        <v>1.97</v>
      </c>
      <c r="E1229">
        <v>96.28</v>
      </c>
      <c r="F1229">
        <v>0.98</v>
      </c>
      <c r="G1229">
        <v>95.3</v>
      </c>
      <c r="H1229" s="14">
        <f t="shared" ref="H1229:H1230" si="549">C1229-D1229-F1229</f>
        <v>95.3</v>
      </c>
      <c r="I1229" s="14" t="b">
        <f t="shared" ref="I1229:I1230" si="550">G1229=H1229</f>
        <v>1</v>
      </c>
      <c r="J1229" s="2">
        <v>46003</v>
      </c>
      <c r="K1229" s="5">
        <v>1007435</v>
      </c>
      <c r="L1229" s="5">
        <v>3851</v>
      </c>
      <c r="M1229" s="5">
        <v>1.97</v>
      </c>
      <c r="N1229" s="5">
        <v>98.25</v>
      </c>
      <c r="O1229" s="7">
        <v>45992</v>
      </c>
      <c r="P1229" s="5">
        <v>96.28</v>
      </c>
      <c r="Q1229" s="5">
        <v>1.97</v>
      </c>
      <c r="R1229" s="5" t="s">
        <v>32</v>
      </c>
      <c r="S1229" s="5" t="s">
        <v>33</v>
      </c>
      <c r="T1229" s="5">
        <v>0.98</v>
      </c>
      <c r="U1229" s="5">
        <v>95.3</v>
      </c>
      <c r="V1229" s="5" t="s">
        <v>34</v>
      </c>
      <c r="W1229" s="5">
        <v>2</v>
      </c>
      <c r="X1229" s="5">
        <v>7500623274974</v>
      </c>
      <c r="Y1229" s="7">
        <v>46003</v>
      </c>
      <c r="Z1229" s="7">
        <v>45992</v>
      </c>
      <c r="AB1229" s="6">
        <v>46003</v>
      </c>
      <c r="AC1229" s="7">
        <v>46001.495138888888</v>
      </c>
      <c r="AD1229" s="5">
        <v>38511007435</v>
      </c>
      <c r="AE1229" s="8">
        <v>45992</v>
      </c>
      <c r="AF1229" s="5">
        <v>109952</v>
      </c>
      <c r="AG1229" s="5" t="s">
        <v>37</v>
      </c>
      <c r="AH1229" s="5">
        <v>205980</v>
      </c>
      <c r="AI1229" s="6">
        <v>45992</v>
      </c>
      <c r="AJ1229" s="6">
        <v>46003</v>
      </c>
      <c r="AK1229" s="1">
        <f t="shared" ref="AK1229:AK1230" si="551">0.02*C1229</f>
        <v>1.9650000000000001</v>
      </c>
    </row>
    <row r="1230" spans="1:37" x14ac:dyDescent="0.55000000000000004">
      <c r="A1230">
        <v>3851</v>
      </c>
      <c r="B1230">
        <v>1007479</v>
      </c>
      <c r="C1230">
        <v>255.61</v>
      </c>
      <c r="D1230" s="4">
        <v>5.1100000000000003</v>
      </c>
      <c r="E1230">
        <v>250.5</v>
      </c>
      <c r="F1230">
        <v>2.56</v>
      </c>
      <c r="G1230">
        <v>247.94</v>
      </c>
      <c r="H1230" s="14">
        <f t="shared" si="549"/>
        <v>247.94</v>
      </c>
      <c r="I1230" s="14" t="b">
        <f t="shared" si="550"/>
        <v>1</v>
      </c>
      <c r="J1230" s="2">
        <v>46003</v>
      </c>
      <c r="K1230" s="5">
        <v>1007479</v>
      </c>
      <c r="L1230" s="5">
        <v>3851</v>
      </c>
      <c r="M1230" s="5">
        <v>5.1100000000000003</v>
      </c>
      <c r="N1230" s="5">
        <v>255.61</v>
      </c>
      <c r="O1230" s="7">
        <v>45992</v>
      </c>
      <c r="P1230" s="5">
        <v>250.5</v>
      </c>
      <c r="Q1230" s="5">
        <v>5.1100000000000003</v>
      </c>
      <c r="R1230" s="5" t="s">
        <v>32</v>
      </c>
      <c r="S1230" s="5" t="s">
        <v>33</v>
      </c>
      <c r="T1230" s="5">
        <v>2.56</v>
      </c>
      <c r="U1230" s="5">
        <v>247.94</v>
      </c>
      <c r="V1230" s="5" t="s">
        <v>34</v>
      </c>
      <c r="W1230" s="5">
        <v>2</v>
      </c>
      <c r="X1230" s="5">
        <v>7500623274974</v>
      </c>
      <c r="Y1230" s="7">
        <v>46003</v>
      </c>
      <c r="Z1230" s="7">
        <v>45992</v>
      </c>
      <c r="AB1230" s="6">
        <v>46003</v>
      </c>
      <c r="AC1230" s="7">
        <v>46001.495138888888</v>
      </c>
      <c r="AD1230" s="5">
        <v>38511007479</v>
      </c>
      <c r="AE1230" s="8">
        <v>45992</v>
      </c>
      <c r="AF1230" s="5">
        <v>109952</v>
      </c>
      <c r="AG1230" s="5" t="s">
        <v>37</v>
      </c>
      <c r="AH1230" s="5">
        <v>206020</v>
      </c>
      <c r="AI1230" s="6">
        <v>45992</v>
      </c>
      <c r="AJ1230" s="6">
        <v>46003</v>
      </c>
      <c r="AK1230" s="1">
        <f t="shared" si="551"/>
        <v>5.1122000000000005</v>
      </c>
    </row>
    <row r="1231" spans="1:37" hidden="1" x14ac:dyDescent="0.55000000000000004">
      <c r="A1231">
        <v>3851</v>
      </c>
      <c r="B1231">
        <v>1007564</v>
      </c>
      <c r="C1231" s="1">
        <v>3990</v>
      </c>
      <c r="E1231" s="1">
        <v>3990</v>
      </c>
      <c r="F1231">
        <v>39.9</v>
      </c>
      <c r="G1231" s="1">
        <v>3950.1</v>
      </c>
      <c r="H1231" s="1"/>
      <c r="I1231" s="1"/>
      <c r="J1231" s="2">
        <v>46003</v>
      </c>
      <c r="K1231" s="5">
        <v>1007564</v>
      </c>
      <c r="L1231" s="5">
        <v>3851</v>
      </c>
      <c r="M1231" s="5">
        <v>0</v>
      </c>
      <c r="N1231" s="5">
        <v>3990</v>
      </c>
      <c r="O1231" s="7">
        <v>45993</v>
      </c>
      <c r="P1231" s="5">
        <v>3990</v>
      </c>
      <c r="Q1231" s="5">
        <v>0</v>
      </c>
      <c r="R1231" s="5" t="s">
        <v>32</v>
      </c>
      <c r="S1231" s="5" t="s">
        <v>33</v>
      </c>
      <c r="T1231" s="5">
        <v>39.9</v>
      </c>
      <c r="U1231" s="5">
        <v>3950.1</v>
      </c>
      <c r="V1231" s="5" t="s">
        <v>34</v>
      </c>
      <c r="W1231" s="5">
        <v>2</v>
      </c>
      <c r="X1231" s="5">
        <v>7500623274974</v>
      </c>
      <c r="Y1231" s="7">
        <v>46003</v>
      </c>
      <c r="Z1231" s="7">
        <v>45993</v>
      </c>
      <c r="AB1231" s="6">
        <v>46003</v>
      </c>
      <c r="AC1231" s="7">
        <v>46001.495138888888</v>
      </c>
      <c r="AD1231" s="5">
        <v>38511007564</v>
      </c>
      <c r="AE1231" s="8">
        <v>45993</v>
      </c>
      <c r="AF1231" s="5" t="s">
        <v>32</v>
      </c>
      <c r="AG1231" s="5" t="s">
        <v>35</v>
      </c>
      <c r="AH1231" s="5" t="s">
        <v>32</v>
      </c>
      <c r="AI1231" s="6">
        <v>45993</v>
      </c>
      <c r="AJ1231" s="6">
        <v>46003</v>
      </c>
    </row>
    <row r="1232" spans="1:37" hidden="1" x14ac:dyDescent="0.55000000000000004">
      <c r="A1232">
        <v>3851</v>
      </c>
      <c r="B1232">
        <v>1008080</v>
      </c>
      <c r="C1232">
        <v>495</v>
      </c>
      <c r="E1232">
        <v>495</v>
      </c>
      <c r="F1232">
        <v>4.95</v>
      </c>
      <c r="G1232">
        <v>490.05</v>
      </c>
      <c r="H1232"/>
      <c r="I1232"/>
      <c r="J1232" s="2">
        <v>46003</v>
      </c>
      <c r="K1232" s="5">
        <v>1008080</v>
      </c>
      <c r="L1232" s="5">
        <v>3851</v>
      </c>
      <c r="M1232" s="5">
        <v>0</v>
      </c>
      <c r="N1232" s="5">
        <v>495</v>
      </c>
      <c r="O1232" s="7">
        <v>45995</v>
      </c>
      <c r="P1232" s="5">
        <v>495</v>
      </c>
      <c r="Q1232" s="5">
        <v>0</v>
      </c>
      <c r="R1232" s="5" t="s">
        <v>32</v>
      </c>
      <c r="S1232" s="5" t="s">
        <v>33</v>
      </c>
      <c r="T1232" s="5">
        <v>4.95</v>
      </c>
      <c r="U1232" s="5">
        <v>490.05</v>
      </c>
      <c r="V1232" s="5" t="s">
        <v>34</v>
      </c>
      <c r="W1232" s="5">
        <v>2</v>
      </c>
      <c r="X1232" s="5">
        <v>7500623274974</v>
      </c>
      <c r="Y1232" s="7">
        <v>46003</v>
      </c>
      <c r="Z1232" s="7">
        <v>45995</v>
      </c>
      <c r="AB1232" s="6">
        <v>46003</v>
      </c>
      <c r="AC1232" s="7">
        <v>46001.495138888888</v>
      </c>
      <c r="AD1232" s="5">
        <v>38511008080</v>
      </c>
      <c r="AE1232" s="8">
        <v>45995</v>
      </c>
      <c r="AF1232" s="5">
        <v>110003</v>
      </c>
      <c r="AG1232" s="5" t="s">
        <v>38</v>
      </c>
      <c r="AH1232" s="5">
        <v>206496</v>
      </c>
      <c r="AI1232" s="6">
        <v>45995</v>
      </c>
      <c r="AJ1232" s="6">
        <v>46003</v>
      </c>
    </row>
    <row r="1233" spans="1:39" hidden="1" x14ac:dyDescent="0.55000000000000004">
      <c r="A1233">
        <v>3851</v>
      </c>
      <c r="B1233">
        <v>1008352</v>
      </c>
      <c r="C1233" s="1">
        <v>1247.5</v>
      </c>
      <c r="E1233" s="1">
        <v>1247.5</v>
      </c>
      <c r="F1233">
        <v>12.47</v>
      </c>
      <c r="G1233" s="1">
        <v>1235.03</v>
      </c>
      <c r="H1233" s="1"/>
      <c r="I1233" s="1"/>
      <c r="J1233" s="2">
        <v>46003</v>
      </c>
      <c r="K1233" s="5">
        <v>1008352</v>
      </c>
      <c r="L1233" s="5">
        <v>3851</v>
      </c>
      <c r="M1233" s="5">
        <v>0</v>
      </c>
      <c r="N1233" s="5">
        <v>1247.5</v>
      </c>
      <c r="O1233" s="7">
        <v>45996</v>
      </c>
      <c r="P1233" s="5">
        <v>1247.5</v>
      </c>
      <c r="Q1233" s="5">
        <v>0</v>
      </c>
      <c r="R1233" s="5" t="s">
        <v>638</v>
      </c>
      <c r="S1233" s="5" t="s">
        <v>43</v>
      </c>
      <c r="T1233" s="5">
        <v>12.47</v>
      </c>
      <c r="U1233" s="5">
        <v>1235.03</v>
      </c>
      <c r="V1233" s="5" t="s">
        <v>34</v>
      </c>
      <c r="W1233" s="5">
        <v>2</v>
      </c>
      <c r="X1233" s="5">
        <v>7500623274974</v>
      </c>
      <c r="Y1233" s="7">
        <v>46003</v>
      </c>
      <c r="Z1233" s="7">
        <v>45996</v>
      </c>
      <c r="AB1233" s="6">
        <v>46003</v>
      </c>
      <c r="AC1233" s="7">
        <v>46001.495138888888</v>
      </c>
      <c r="AD1233" s="5">
        <v>38511008352</v>
      </c>
      <c r="AE1233" s="8">
        <v>45996</v>
      </c>
      <c r="AF1233" s="5" t="s">
        <v>639</v>
      </c>
      <c r="AG1233" s="5" t="s">
        <v>38</v>
      </c>
      <c r="AH1233" s="5" t="s">
        <v>638</v>
      </c>
      <c r="AI1233" s="6">
        <v>45996</v>
      </c>
      <c r="AJ1233" s="6">
        <v>46003</v>
      </c>
    </row>
    <row r="1234" spans="1:39" x14ac:dyDescent="0.55000000000000004">
      <c r="A1234">
        <v>3851</v>
      </c>
      <c r="B1234">
        <v>1008425</v>
      </c>
      <c r="C1234">
        <v>46.58</v>
      </c>
      <c r="D1234" s="4">
        <v>0.93</v>
      </c>
      <c r="E1234">
        <v>45.65</v>
      </c>
      <c r="F1234">
        <v>0.47</v>
      </c>
      <c r="G1234">
        <v>45.18</v>
      </c>
      <c r="H1234" s="14">
        <f t="shared" ref="H1234:H1235" si="552">C1234-D1234-F1234</f>
        <v>45.18</v>
      </c>
      <c r="I1234" s="14" t="b">
        <f t="shared" ref="I1234:I1235" si="553">G1234=H1234</f>
        <v>1</v>
      </c>
      <c r="J1234" s="2">
        <v>46003</v>
      </c>
      <c r="K1234" s="5">
        <v>1008425</v>
      </c>
      <c r="L1234" s="5">
        <v>3851</v>
      </c>
      <c r="M1234" s="5">
        <v>0.93</v>
      </c>
      <c r="N1234" s="5">
        <v>46.58</v>
      </c>
      <c r="O1234" s="7">
        <v>45996</v>
      </c>
      <c r="P1234" s="5">
        <v>45.65</v>
      </c>
      <c r="Q1234" s="5">
        <v>0.93</v>
      </c>
      <c r="R1234" s="5" t="s">
        <v>32</v>
      </c>
      <c r="S1234" s="5" t="s">
        <v>33</v>
      </c>
      <c r="T1234" s="5">
        <v>0.47</v>
      </c>
      <c r="U1234" s="5">
        <v>45.18</v>
      </c>
      <c r="V1234" s="5" t="s">
        <v>34</v>
      </c>
      <c r="W1234" s="5">
        <v>2</v>
      </c>
      <c r="X1234" s="5">
        <v>7500623274974</v>
      </c>
      <c r="Y1234" s="7">
        <v>46003</v>
      </c>
      <c r="Z1234" s="7">
        <v>45996</v>
      </c>
      <c r="AB1234" s="6">
        <v>46003</v>
      </c>
      <c r="AC1234" s="7">
        <v>46001.495138888888</v>
      </c>
      <c r="AD1234" s="5">
        <v>38511008425</v>
      </c>
      <c r="AE1234" s="8">
        <v>45996</v>
      </c>
      <c r="AF1234" s="5">
        <v>110012</v>
      </c>
      <c r="AG1234" s="5" t="s">
        <v>37</v>
      </c>
      <c r="AH1234" s="5">
        <v>206754</v>
      </c>
      <c r="AI1234" s="6">
        <v>45996</v>
      </c>
      <c r="AJ1234" s="6">
        <v>46003</v>
      </c>
      <c r="AK1234" s="1">
        <f t="shared" ref="AK1234:AK1235" si="554">0.02*C1234</f>
        <v>0.93159999999999998</v>
      </c>
    </row>
    <row r="1235" spans="1:39" x14ac:dyDescent="0.55000000000000004">
      <c r="A1235">
        <v>3858</v>
      </c>
      <c r="B1235">
        <v>1007187</v>
      </c>
      <c r="C1235">
        <v>182.97</v>
      </c>
      <c r="E1235">
        <v>182.97</v>
      </c>
      <c r="F1235">
        <v>1.83</v>
      </c>
      <c r="G1235">
        <v>182.97</v>
      </c>
      <c r="H1235" s="14">
        <f t="shared" si="552"/>
        <v>181.14</v>
      </c>
      <c r="I1235" s="14" t="b">
        <f t="shared" si="553"/>
        <v>0</v>
      </c>
      <c r="J1235" s="2">
        <v>46003</v>
      </c>
      <c r="K1235" s="5">
        <v>1007187</v>
      </c>
      <c r="L1235" s="5">
        <v>3858</v>
      </c>
      <c r="M1235" s="5">
        <v>0</v>
      </c>
      <c r="N1235" s="5">
        <v>182.97</v>
      </c>
      <c r="O1235" s="7">
        <v>45992</v>
      </c>
      <c r="P1235" s="5">
        <v>182.97</v>
      </c>
      <c r="Q1235" s="5">
        <v>0</v>
      </c>
      <c r="R1235" s="5" t="s">
        <v>32</v>
      </c>
      <c r="S1235" s="5" t="s">
        <v>33</v>
      </c>
      <c r="T1235" s="5">
        <v>1.83</v>
      </c>
      <c r="U1235" s="5">
        <v>182.97</v>
      </c>
      <c r="V1235" s="5" t="s">
        <v>34</v>
      </c>
      <c r="W1235" s="5">
        <v>10</v>
      </c>
      <c r="X1235" s="5" t="s">
        <v>640</v>
      </c>
      <c r="Y1235" s="7">
        <v>46003</v>
      </c>
      <c r="Z1235" s="7">
        <v>45992</v>
      </c>
      <c r="AA1235" s="5" t="s">
        <v>32</v>
      </c>
      <c r="AB1235" s="6">
        <v>46003</v>
      </c>
      <c r="AC1235" s="7">
        <v>46003.572916666664</v>
      </c>
      <c r="AD1235" s="5">
        <v>38581007187</v>
      </c>
      <c r="AE1235" s="8">
        <v>45992</v>
      </c>
      <c r="AF1235" s="5" t="s">
        <v>641</v>
      </c>
      <c r="AG1235" s="5" t="s">
        <v>37</v>
      </c>
      <c r="AH1235" s="5">
        <v>205735</v>
      </c>
      <c r="AI1235" s="6">
        <v>45992</v>
      </c>
      <c r="AJ1235" s="6">
        <v>46003</v>
      </c>
      <c r="AK1235" s="1">
        <f t="shared" si="554"/>
        <v>3.6594000000000002</v>
      </c>
      <c r="AL1235" t="s">
        <v>673</v>
      </c>
      <c r="AM1235">
        <f>F1235</f>
        <v>1.83</v>
      </c>
    </row>
    <row r="1236" spans="1:39" hidden="1" x14ac:dyDescent="0.55000000000000004">
      <c r="A1236">
        <v>3858</v>
      </c>
      <c r="B1236">
        <v>1007598</v>
      </c>
      <c r="C1236">
        <v>350</v>
      </c>
      <c r="E1236">
        <v>350</v>
      </c>
      <c r="F1236">
        <v>3.5</v>
      </c>
      <c r="G1236">
        <v>346.5</v>
      </c>
      <c r="H1236"/>
      <c r="I1236"/>
      <c r="J1236" s="2">
        <v>46003</v>
      </c>
      <c r="K1236" s="5">
        <v>1007598</v>
      </c>
      <c r="L1236" s="5">
        <v>3858</v>
      </c>
      <c r="M1236" s="5">
        <v>0</v>
      </c>
      <c r="N1236" s="5">
        <v>350</v>
      </c>
      <c r="O1236" s="7">
        <v>45993</v>
      </c>
      <c r="P1236" s="5">
        <v>350</v>
      </c>
      <c r="Q1236" s="5">
        <v>0</v>
      </c>
      <c r="R1236" s="5" t="s">
        <v>32</v>
      </c>
      <c r="S1236" s="5" t="s">
        <v>33</v>
      </c>
      <c r="T1236" s="5">
        <v>3.5</v>
      </c>
      <c r="U1236" s="5">
        <v>346.5</v>
      </c>
      <c r="V1236" s="5" t="s">
        <v>34</v>
      </c>
      <c r="W1236" s="5">
        <v>10</v>
      </c>
      <c r="X1236" s="5" t="s">
        <v>640</v>
      </c>
      <c r="Y1236" s="7">
        <v>46003</v>
      </c>
      <c r="Z1236" s="7">
        <v>45993</v>
      </c>
      <c r="AA1236" s="5" t="s">
        <v>32</v>
      </c>
      <c r="AB1236" s="6">
        <v>46003</v>
      </c>
      <c r="AC1236" s="7">
        <v>46003.572916666664</v>
      </c>
      <c r="AD1236" s="5">
        <v>38581007598</v>
      </c>
      <c r="AE1236" s="8">
        <v>45993</v>
      </c>
      <c r="AF1236" s="5" t="s">
        <v>32</v>
      </c>
      <c r="AG1236" s="5" t="s">
        <v>82</v>
      </c>
      <c r="AH1236" s="5" t="s">
        <v>32</v>
      </c>
      <c r="AI1236" s="6">
        <v>45993</v>
      </c>
      <c r="AJ1236" s="6">
        <v>46003</v>
      </c>
    </row>
    <row r="1237" spans="1:39" x14ac:dyDescent="0.55000000000000004">
      <c r="A1237">
        <v>3865</v>
      </c>
      <c r="B1237">
        <v>1007309</v>
      </c>
      <c r="C1237">
        <v>801.13</v>
      </c>
      <c r="E1237">
        <v>801.13</v>
      </c>
      <c r="F1237">
        <v>8.01</v>
      </c>
      <c r="G1237">
        <v>801.13</v>
      </c>
      <c r="H1237" s="14">
        <f t="shared" ref="H1237:H1238" si="555">C1237-D1237-F1237</f>
        <v>793.12</v>
      </c>
      <c r="I1237" s="14" t="b">
        <f t="shared" ref="I1237:I1238" si="556">G1237=H1237</f>
        <v>0</v>
      </c>
      <c r="J1237" s="2">
        <v>46003</v>
      </c>
      <c r="K1237" s="5">
        <v>1007309</v>
      </c>
      <c r="L1237" s="5">
        <v>3865</v>
      </c>
      <c r="M1237" s="5">
        <v>0</v>
      </c>
      <c r="N1237" s="5">
        <v>801.13</v>
      </c>
      <c r="O1237" s="7">
        <v>45992</v>
      </c>
      <c r="P1237" s="5">
        <v>801.13</v>
      </c>
      <c r="Q1237" s="5">
        <v>0</v>
      </c>
      <c r="R1237" s="5" t="s">
        <v>32</v>
      </c>
      <c r="S1237" s="5" t="s">
        <v>33</v>
      </c>
      <c r="T1237" s="5">
        <v>8.01</v>
      </c>
      <c r="U1237" s="5">
        <v>801.13</v>
      </c>
      <c r="V1237" s="5" t="s">
        <v>34</v>
      </c>
      <c r="W1237" s="5">
        <v>10</v>
      </c>
      <c r="X1237" s="5" t="s">
        <v>642</v>
      </c>
      <c r="Y1237" s="7">
        <v>46003</v>
      </c>
      <c r="Z1237" s="7">
        <v>45992</v>
      </c>
      <c r="AA1237" s="5" t="s">
        <v>32</v>
      </c>
      <c r="AB1237" s="6">
        <v>46003</v>
      </c>
      <c r="AC1237" s="7">
        <v>46003.572916666664</v>
      </c>
      <c r="AD1237" s="5">
        <v>38651007309</v>
      </c>
      <c r="AE1237" s="8">
        <v>45992</v>
      </c>
      <c r="AF1237" s="5" t="s">
        <v>643</v>
      </c>
      <c r="AG1237" s="5" t="s">
        <v>37</v>
      </c>
      <c r="AH1237" s="5">
        <v>205878</v>
      </c>
      <c r="AI1237" s="6">
        <v>45992</v>
      </c>
      <c r="AJ1237" s="6">
        <v>46003</v>
      </c>
      <c r="AK1237" s="1">
        <f t="shared" ref="AK1237:AK1238" si="557">0.02*C1237</f>
        <v>16.022600000000001</v>
      </c>
      <c r="AL1237" t="s">
        <v>673</v>
      </c>
      <c r="AM1237">
        <f t="shared" ref="AM1237:AM1238" si="558">F1237</f>
        <v>8.01</v>
      </c>
    </row>
    <row r="1238" spans="1:39" x14ac:dyDescent="0.55000000000000004">
      <c r="A1238">
        <v>3865</v>
      </c>
      <c r="B1238">
        <v>1007313</v>
      </c>
      <c r="C1238">
        <v>265.77</v>
      </c>
      <c r="E1238">
        <v>265.77</v>
      </c>
      <c r="F1238">
        <v>2.66</v>
      </c>
      <c r="G1238">
        <v>265.77</v>
      </c>
      <c r="H1238" s="14">
        <f t="shared" si="555"/>
        <v>263.10999999999996</v>
      </c>
      <c r="I1238" s="14" t="b">
        <f t="shared" si="556"/>
        <v>0</v>
      </c>
      <c r="J1238" s="2">
        <v>46003</v>
      </c>
      <c r="K1238" s="5">
        <v>1007313</v>
      </c>
      <c r="L1238" s="5">
        <v>3865</v>
      </c>
      <c r="M1238" s="5">
        <v>0</v>
      </c>
      <c r="N1238" s="5">
        <v>265.77</v>
      </c>
      <c r="O1238" s="7">
        <v>45992</v>
      </c>
      <c r="P1238" s="5">
        <v>265.77</v>
      </c>
      <c r="Q1238" s="5">
        <v>0</v>
      </c>
      <c r="R1238" s="5" t="s">
        <v>32</v>
      </c>
      <c r="S1238" s="5" t="s">
        <v>33</v>
      </c>
      <c r="T1238" s="5">
        <v>2.66</v>
      </c>
      <c r="U1238" s="5">
        <v>265.77</v>
      </c>
      <c r="V1238" s="5" t="s">
        <v>34</v>
      </c>
      <c r="W1238" s="5">
        <v>10</v>
      </c>
      <c r="X1238" s="5" t="s">
        <v>642</v>
      </c>
      <c r="Y1238" s="7">
        <v>46003</v>
      </c>
      <c r="Z1238" s="7">
        <v>45992</v>
      </c>
      <c r="AA1238" s="5" t="s">
        <v>32</v>
      </c>
      <c r="AB1238" s="6">
        <v>46003</v>
      </c>
      <c r="AC1238" s="7">
        <v>46003.572916666664</v>
      </c>
      <c r="AD1238" s="5">
        <v>38651007313</v>
      </c>
      <c r="AE1238" s="8">
        <v>45992</v>
      </c>
      <c r="AF1238" s="5" t="s">
        <v>643</v>
      </c>
      <c r="AG1238" s="5" t="s">
        <v>37</v>
      </c>
      <c r="AH1238" s="5">
        <v>205873</v>
      </c>
      <c r="AI1238" s="6">
        <v>45992</v>
      </c>
      <c r="AJ1238" s="6">
        <v>46003</v>
      </c>
      <c r="AK1238" s="1">
        <f t="shared" si="557"/>
        <v>5.3153999999999995</v>
      </c>
      <c r="AL1238" t="s">
        <v>673</v>
      </c>
      <c r="AM1238">
        <f t="shared" si="558"/>
        <v>2.66</v>
      </c>
    </row>
    <row r="1239" spans="1:39" hidden="1" x14ac:dyDescent="0.55000000000000004">
      <c r="A1239">
        <v>3865</v>
      </c>
      <c r="B1239">
        <v>1007315</v>
      </c>
      <c r="C1239" s="1">
        <v>1429</v>
      </c>
      <c r="E1239" s="1">
        <v>1429</v>
      </c>
      <c r="F1239">
        <v>14.29</v>
      </c>
      <c r="G1239" s="1">
        <v>1414.71</v>
      </c>
      <c r="H1239" s="1"/>
      <c r="I1239" s="1"/>
      <c r="J1239" s="2">
        <v>46003</v>
      </c>
      <c r="K1239" s="5">
        <v>1007315</v>
      </c>
      <c r="L1239" s="5">
        <v>3865</v>
      </c>
      <c r="M1239" s="5">
        <v>0</v>
      </c>
      <c r="N1239" s="5">
        <v>1429</v>
      </c>
      <c r="O1239" s="7">
        <v>45992</v>
      </c>
      <c r="P1239" s="5">
        <v>1429</v>
      </c>
      <c r="Q1239" s="5">
        <v>0</v>
      </c>
      <c r="R1239" s="5" t="s">
        <v>32</v>
      </c>
      <c r="S1239" s="5" t="s">
        <v>33</v>
      </c>
      <c r="T1239" s="5">
        <v>14.29</v>
      </c>
      <c r="U1239" s="5">
        <v>1414.71</v>
      </c>
      <c r="V1239" s="5" t="s">
        <v>34</v>
      </c>
      <c r="W1239" s="5">
        <v>10</v>
      </c>
      <c r="X1239" s="5" t="s">
        <v>642</v>
      </c>
      <c r="Y1239" s="7">
        <v>46003</v>
      </c>
      <c r="Z1239" s="7">
        <v>45992</v>
      </c>
      <c r="AA1239" s="5" t="s">
        <v>32</v>
      </c>
      <c r="AB1239" s="6">
        <v>46003</v>
      </c>
      <c r="AC1239" s="7">
        <v>46003.572916666664</v>
      </c>
      <c r="AD1239" s="5">
        <v>38651007315</v>
      </c>
      <c r="AE1239" s="8">
        <v>45992</v>
      </c>
      <c r="AF1239" s="5" t="s">
        <v>643</v>
      </c>
      <c r="AG1239" s="5" t="s">
        <v>38</v>
      </c>
      <c r="AH1239" s="5">
        <v>205879</v>
      </c>
      <c r="AI1239" s="6">
        <v>45992</v>
      </c>
      <c r="AJ1239" s="6">
        <v>46003</v>
      </c>
    </row>
    <row r="1240" spans="1:39" hidden="1" x14ac:dyDescent="0.55000000000000004">
      <c r="A1240">
        <v>3865</v>
      </c>
      <c r="B1240">
        <v>1007354</v>
      </c>
      <c r="C1240" s="1">
        <v>3526.98</v>
      </c>
      <c r="E1240" s="1">
        <v>3526.98</v>
      </c>
      <c r="F1240">
        <v>35.270000000000003</v>
      </c>
      <c r="G1240" s="1">
        <v>3491.71</v>
      </c>
      <c r="H1240" s="1"/>
      <c r="I1240" s="1"/>
      <c r="J1240" s="2">
        <v>46003</v>
      </c>
      <c r="K1240" s="5">
        <v>1007354</v>
      </c>
      <c r="L1240" s="5">
        <v>3865</v>
      </c>
      <c r="M1240" s="5">
        <v>0</v>
      </c>
      <c r="N1240" s="5">
        <v>3526.98</v>
      </c>
      <c r="O1240" s="7">
        <v>45992</v>
      </c>
      <c r="P1240" s="5">
        <v>3526.98</v>
      </c>
      <c r="Q1240" s="5">
        <v>0</v>
      </c>
      <c r="R1240" s="5" t="s">
        <v>32</v>
      </c>
      <c r="S1240" s="5" t="s">
        <v>33</v>
      </c>
      <c r="T1240" s="5">
        <v>35.270000000000003</v>
      </c>
      <c r="U1240" s="5">
        <v>3491.71</v>
      </c>
      <c r="V1240" s="5" t="s">
        <v>34</v>
      </c>
      <c r="W1240" s="5">
        <v>10</v>
      </c>
      <c r="X1240" s="5" t="s">
        <v>642</v>
      </c>
      <c r="Y1240" s="7">
        <v>46003</v>
      </c>
      <c r="Z1240" s="7">
        <v>45992</v>
      </c>
      <c r="AA1240" s="5" t="s">
        <v>32</v>
      </c>
      <c r="AB1240" s="6">
        <v>46003</v>
      </c>
      <c r="AC1240" s="7">
        <v>46003.572916666664</v>
      </c>
      <c r="AD1240" s="5">
        <v>38651007354</v>
      </c>
      <c r="AE1240" s="8">
        <v>45992</v>
      </c>
      <c r="AF1240" s="5" t="s">
        <v>644</v>
      </c>
      <c r="AG1240" s="5" t="s">
        <v>38</v>
      </c>
      <c r="AH1240" s="5">
        <v>205880</v>
      </c>
      <c r="AI1240" s="6">
        <v>45992</v>
      </c>
      <c r="AJ1240" s="6">
        <v>46003</v>
      </c>
    </row>
    <row r="1241" spans="1:39" hidden="1" x14ac:dyDescent="0.55000000000000004">
      <c r="A1241">
        <v>3865</v>
      </c>
      <c r="B1241">
        <v>1007630</v>
      </c>
      <c r="C1241" s="1">
        <v>3990</v>
      </c>
      <c r="E1241" s="1">
        <v>3990</v>
      </c>
      <c r="F1241">
        <v>39.9</v>
      </c>
      <c r="G1241" s="1">
        <v>3950.1</v>
      </c>
      <c r="H1241" s="1"/>
      <c r="I1241" s="1"/>
      <c r="J1241" s="2">
        <v>46003</v>
      </c>
      <c r="K1241" s="5">
        <v>1007630</v>
      </c>
      <c r="L1241" s="5">
        <v>3865</v>
      </c>
      <c r="M1241" s="5">
        <v>0</v>
      </c>
      <c r="N1241" s="5">
        <v>3990</v>
      </c>
      <c r="O1241" s="7">
        <v>45993</v>
      </c>
      <c r="P1241" s="5">
        <v>3990</v>
      </c>
      <c r="Q1241" s="5">
        <v>0</v>
      </c>
      <c r="R1241" s="5" t="s">
        <v>32</v>
      </c>
      <c r="S1241" s="5" t="s">
        <v>33</v>
      </c>
      <c r="T1241" s="5">
        <v>39.9</v>
      </c>
      <c r="U1241" s="5">
        <v>3950.1</v>
      </c>
      <c r="V1241" s="5" t="s">
        <v>34</v>
      </c>
      <c r="W1241" s="5">
        <v>10</v>
      </c>
      <c r="X1241" s="5" t="s">
        <v>642</v>
      </c>
      <c r="Y1241" s="7">
        <v>46003</v>
      </c>
      <c r="Z1241" s="7">
        <v>45993</v>
      </c>
      <c r="AA1241" s="5" t="s">
        <v>32</v>
      </c>
      <c r="AB1241" s="6">
        <v>46003</v>
      </c>
      <c r="AC1241" s="7">
        <v>46003.572916666664</v>
      </c>
      <c r="AD1241" s="5">
        <v>38651007630</v>
      </c>
      <c r="AE1241" s="8">
        <v>45993</v>
      </c>
      <c r="AF1241" s="5" t="s">
        <v>32</v>
      </c>
      <c r="AG1241" s="5" t="s">
        <v>35</v>
      </c>
      <c r="AH1241" s="5" t="s">
        <v>32</v>
      </c>
      <c r="AI1241" s="6">
        <v>45993</v>
      </c>
      <c r="AJ1241" s="6">
        <v>46003</v>
      </c>
    </row>
    <row r="1242" spans="1:39" x14ac:dyDescent="0.55000000000000004">
      <c r="A1242">
        <v>3865</v>
      </c>
      <c r="B1242">
        <v>1007751</v>
      </c>
      <c r="C1242" s="1">
        <v>1253.58</v>
      </c>
      <c r="E1242" s="1">
        <v>1253.58</v>
      </c>
      <c r="F1242">
        <v>12.54</v>
      </c>
      <c r="G1242" s="1">
        <v>1253.58</v>
      </c>
      <c r="H1242" s="14">
        <f>C1242-D1242-F1242</f>
        <v>1241.04</v>
      </c>
      <c r="I1242" s="14" t="b">
        <f>G1242=H1242</f>
        <v>0</v>
      </c>
      <c r="J1242" s="2">
        <v>46003</v>
      </c>
      <c r="K1242" s="5">
        <v>1007751</v>
      </c>
      <c r="L1242" s="5">
        <v>3865</v>
      </c>
      <c r="M1242" s="5">
        <v>0</v>
      </c>
      <c r="N1242" s="5">
        <v>1253.58</v>
      </c>
      <c r="O1242" s="7">
        <v>45993</v>
      </c>
      <c r="P1242" s="5">
        <v>1253.58</v>
      </c>
      <c r="Q1242" s="5">
        <v>0</v>
      </c>
      <c r="R1242" s="5" t="s">
        <v>32</v>
      </c>
      <c r="S1242" s="5" t="s">
        <v>33</v>
      </c>
      <c r="T1242" s="5">
        <v>12.54</v>
      </c>
      <c r="U1242" s="5">
        <v>1253.58</v>
      </c>
      <c r="V1242" s="5" t="s">
        <v>34</v>
      </c>
      <c r="W1242" s="5">
        <v>10</v>
      </c>
      <c r="X1242" s="5" t="s">
        <v>642</v>
      </c>
      <c r="Y1242" s="7">
        <v>46003</v>
      </c>
      <c r="Z1242" s="7">
        <v>45993</v>
      </c>
      <c r="AA1242" s="5" t="s">
        <v>32</v>
      </c>
      <c r="AB1242" s="6">
        <v>46003</v>
      </c>
      <c r="AC1242" s="7">
        <v>46003.572916666664</v>
      </c>
      <c r="AD1242" s="5">
        <v>38651007751</v>
      </c>
      <c r="AE1242" s="8">
        <v>45993</v>
      </c>
      <c r="AF1242" s="5" t="s">
        <v>645</v>
      </c>
      <c r="AG1242" s="5" t="s">
        <v>37</v>
      </c>
      <c r="AH1242" s="5">
        <v>206202</v>
      </c>
      <c r="AI1242" s="6">
        <v>45993</v>
      </c>
      <c r="AJ1242" s="6">
        <v>46003</v>
      </c>
      <c r="AK1242" s="1">
        <f t="shared" ref="AK1242" si="559">0.02*C1242</f>
        <v>25.0716</v>
      </c>
      <c r="AL1242" t="s">
        <v>673</v>
      </c>
      <c r="AM1242">
        <f>F1242</f>
        <v>12.54</v>
      </c>
    </row>
    <row r="1243" spans="1:39" hidden="1" x14ac:dyDescent="0.55000000000000004">
      <c r="A1243">
        <v>3865</v>
      </c>
      <c r="B1243">
        <v>1007883</v>
      </c>
      <c r="C1243" s="1">
        <v>2267.92</v>
      </c>
      <c r="E1243" s="1">
        <v>2267.92</v>
      </c>
      <c r="F1243">
        <v>22.68</v>
      </c>
      <c r="G1243" s="1">
        <v>2245.2399999999998</v>
      </c>
      <c r="H1243" s="1"/>
      <c r="I1243" s="1"/>
      <c r="J1243" s="2">
        <v>46003</v>
      </c>
      <c r="K1243" s="5">
        <v>1007883</v>
      </c>
      <c r="L1243" s="5">
        <v>3865</v>
      </c>
      <c r="M1243" s="5">
        <v>0</v>
      </c>
      <c r="N1243" s="5">
        <v>2267.92</v>
      </c>
      <c r="O1243" s="7">
        <v>45994</v>
      </c>
      <c r="P1243" s="5">
        <v>2267.92</v>
      </c>
      <c r="Q1243" s="5">
        <v>0</v>
      </c>
      <c r="R1243" s="5" t="s">
        <v>32</v>
      </c>
      <c r="S1243" s="5" t="s">
        <v>33</v>
      </c>
      <c r="T1243" s="5">
        <v>22.68</v>
      </c>
      <c r="U1243" s="5">
        <v>2245.2399999999998</v>
      </c>
      <c r="V1243" s="5" t="s">
        <v>34</v>
      </c>
      <c r="W1243" s="5">
        <v>10</v>
      </c>
      <c r="X1243" s="5" t="s">
        <v>642</v>
      </c>
      <c r="Y1243" s="7">
        <v>46003</v>
      </c>
      <c r="Z1243" s="7">
        <v>45994</v>
      </c>
      <c r="AA1243" s="5" t="s">
        <v>32</v>
      </c>
      <c r="AB1243" s="6">
        <v>46003</v>
      </c>
      <c r="AC1243" s="7">
        <v>46003.572916666664</v>
      </c>
      <c r="AD1243" s="5">
        <v>38651007883</v>
      </c>
      <c r="AE1243" s="8">
        <v>45994</v>
      </c>
      <c r="AF1243" s="5" t="s">
        <v>646</v>
      </c>
      <c r="AG1243" s="5" t="s">
        <v>38</v>
      </c>
      <c r="AH1243" s="5">
        <v>206435</v>
      </c>
      <c r="AI1243" s="6">
        <v>45994</v>
      </c>
      <c r="AJ1243" s="6">
        <v>46003</v>
      </c>
    </row>
    <row r="1244" spans="1:39" x14ac:dyDescent="0.55000000000000004">
      <c r="A1244">
        <v>3865</v>
      </c>
      <c r="B1244">
        <v>1008105</v>
      </c>
      <c r="C1244">
        <v>70.2</v>
      </c>
      <c r="E1244">
        <v>70.2</v>
      </c>
      <c r="F1244">
        <v>0.7</v>
      </c>
      <c r="G1244">
        <v>70.2</v>
      </c>
      <c r="H1244" s="14">
        <f t="shared" ref="H1244:H1245" si="560">C1244-D1244-F1244</f>
        <v>69.5</v>
      </c>
      <c r="I1244" s="14" t="b">
        <f t="shared" ref="I1244:I1245" si="561">G1244=H1244</f>
        <v>0</v>
      </c>
      <c r="J1244" s="2">
        <v>46003</v>
      </c>
      <c r="K1244" s="5">
        <v>1008105</v>
      </c>
      <c r="L1244" s="5">
        <v>3865</v>
      </c>
      <c r="M1244" s="5">
        <v>0</v>
      </c>
      <c r="N1244" s="5">
        <v>70.2</v>
      </c>
      <c r="O1244" s="7">
        <v>45995</v>
      </c>
      <c r="P1244" s="5">
        <v>70.2</v>
      </c>
      <c r="Q1244" s="5">
        <v>0</v>
      </c>
      <c r="R1244" s="5" t="s">
        <v>32</v>
      </c>
      <c r="S1244" s="5" t="s">
        <v>33</v>
      </c>
      <c r="T1244" s="5">
        <v>0.7</v>
      </c>
      <c r="U1244" s="5">
        <v>70.2</v>
      </c>
      <c r="V1244" s="5" t="s">
        <v>34</v>
      </c>
      <c r="W1244" s="5">
        <v>10</v>
      </c>
      <c r="X1244" s="5" t="s">
        <v>642</v>
      </c>
      <c r="Y1244" s="7">
        <v>46003</v>
      </c>
      <c r="Z1244" s="7">
        <v>45995</v>
      </c>
      <c r="AA1244" s="5" t="s">
        <v>32</v>
      </c>
      <c r="AB1244" s="6">
        <v>46003</v>
      </c>
      <c r="AC1244" s="7">
        <v>46003.572916666664</v>
      </c>
      <c r="AD1244" s="5">
        <v>38651008105</v>
      </c>
      <c r="AE1244" s="8">
        <v>45995</v>
      </c>
      <c r="AF1244" s="5" t="s">
        <v>643</v>
      </c>
      <c r="AG1244" s="5" t="s">
        <v>37</v>
      </c>
      <c r="AH1244" s="5">
        <v>206386</v>
      </c>
      <c r="AI1244" s="6">
        <v>45995</v>
      </c>
      <c r="AJ1244" s="6">
        <v>46003</v>
      </c>
      <c r="AK1244" s="1">
        <f t="shared" ref="AK1244:AK1245" si="562">0.02*C1244</f>
        <v>1.4040000000000001</v>
      </c>
      <c r="AL1244" t="s">
        <v>673</v>
      </c>
      <c r="AM1244">
        <f t="shared" ref="AM1244:AM1245" si="563">F1244</f>
        <v>0.7</v>
      </c>
    </row>
    <row r="1245" spans="1:39" x14ac:dyDescent="0.55000000000000004">
      <c r="A1245">
        <v>3865</v>
      </c>
      <c r="B1245">
        <v>1008148</v>
      </c>
      <c r="C1245" s="1">
        <v>1576.95</v>
      </c>
      <c r="E1245" s="1">
        <v>1576.95</v>
      </c>
      <c r="F1245">
        <v>15.77</v>
      </c>
      <c r="G1245" s="1">
        <v>1576.95</v>
      </c>
      <c r="H1245" s="14">
        <f t="shared" si="560"/>
        <v>1561.18</v>
      </c>
      <c r="I1245" s="14" t="b">
        <f t="shared" si="561"/>
        <v>0</v>
      </c>
      <c r="J1245" s="2">
        <v>46003</v>
      </c>
      <c r="K1245" s="5">
        <v>1008148</v>
      </c>
      <c r="L1245" s="5">
        <v>3865</v>
      </c>
      <c r="M1245" s="5">
        <v>0</v>
      </c>
      <c r="N1245" s="5">
        <v>1576.95</v>
      </c>
      <c r="O1245" s="7">
        <v>45995</v>
      </c>
      <c r="P1245" s="5">
        <v>1576.95</v>
      </c>
      <c r="Q1245" s="5">
        <v>0</v>
      </c>
      <c r="R1245" s="5" t="s">
        <v>32</v>
      </c>
      <c r="S1245" s="5" t="s">
        <v>33</v>
      </c>
      <c r="T1245" s="5">
        <v>15.77</v>
      </c>
      <c r="U1245" s="5">
        <v>1576.95</v>
      </c>
      <c r="V1245" s="5" t="s">
        <v>34</v>
      </c>
      <c r="W1245" s="5">
        <v>10</v>
      </c>
      <c r="X1245" s="5" t="s">
        <v>642</v>
      </c>
      <c r="Y1245" s="7">
        <v>46003</v>
      </c>
      <c r="Z1245" s="7">
        <v>45995</v>
      </c>
      <c r="AA1245" s="5" t="s">
        <v>32</v>
      </c>
      <c r="AB1245" s="6">
        <v>46003</v>
      </c>
      <c r="AC1245" s="7">
        <v>46003.572916666664</v>
      </c>
      <c r="AD1245" s="5">
        <v>38651008148</v>
      </c>
      <c r="AE1245" s="8">
        <v>45995</v>
      </c>
      <c r="AF1245" s="5" t="s">
        <v>647</v>
      </c>
      <c r="AG1245" s="5" t="s">
        <v>37</v>
      </c>
      <c r="AH1245" s="5">
        <v>206758</v>
      </c>
      <c r="AI1245" s="6">
        <v>45995</v>
      </c>
      <c r="AJ1245" s="6">
        <v>46003</v>
      </c>
      <c r="AK1245" s="1">
        <f t="shared" si="562"/>
        <v>31.539000000000001</v>
      </c>
      <c r="AL1245" t="s">
        <v>673</v>
      </c>
      <c r="AM1245">
        <f t="shared" si="563"/>
        <v>15.77</v>
      </c>
    </row>
    <row r="1246" spans="1:39" hidden="1" x14ac:dyDescent="0.55000000000000004">
      <c r="A1246">
        <v>3865</v>
      </c>
      <c r="B1246">
        <v>1008188</v>
      </c>
      <c r="C1246">
        <v>869.96</v>
      </c>
      <c r="E1246">
        <v>869.96</v>
      </c>
      <c r="F1246">
        <v>8.6999999999999993</v>
      </c>
      <c r="G1246">
        <v>861.26</v>
      </c>
      <c r="H1246"/>
      <c r="I1246"/>
      <c r="J1246" s="2">
        <v>46003</v>
      </c>
      <c r="K1246" s="5">
        <v>1008188</v>
      </c>
      <c r="L1246" s="5">
        <v>3865</v>
      </c>
      <c r="M1246" s="5">
        <v>0</v>
      </c>
      <c r="N1246" s="5">
        <v>869.96</v>
      </c>
      <c r="O1246" s="7">
        <v>45995</v>
      </c>
      <c r="P1246" s="5">
        <v>869.96</v>
      </c>
      <c r="Q1246" s="5">
        <v>0</v>
      </c>
      <c r="R1246" s="5" t="s">
        <v>32</v>
      </c>
      <c r="S1246" s="5" t="s">
        <v>33</v>
      </c>
      <c r="T1246" s="5">
        <v>8.6999999999999993</v>
      </c>
      <c r="U1246" s="5">
        <v>861.26</v>
      </c>
      <c r="V1246" s="5" t="s">
        <v>34</v>
      </c>
      <c r="W1246" s="5">
        <v>10</v>
      </c>
      <c r="X1246" s="5" t="s">
        <v>642</v>
      </c>
      <c r="Y1246" s="7">
        <v>46003</v>
      </c>
      <c r="Z1246" s="7">
        <v>45995</v>
      </c>
      <c r="AA1246" s="5" t="s">
        <v>32</v>
      </c>
      <c r="AB1246" s="6">
        <v>46003</v>
      </c>
      <c r="AC1246" s="7">
        <v>46003.572916666664</v>
      </c>
      <c r="AD1246" s="5">
        <v>38651008188</v>
      </c>
      <c r="AE1246" s="8">
        <v>45995</v>
      </c>
      <c r="AF1246" s="5" t="s">
        <v>646</v>
      </c>
      <c r="AG1246" s="5" t="s">
        <v>38</v>
      </c>
      <c r="AH1246" s="5">
        <v>206647</v>
      </c>
      <c r="AI1246" s="6">
        <v>45995</v>
      </c>
      <c r="AJ1246" s="6">
        <v>46003</v>
      </c>
    </row>
    <row r="1247" spans="1:39" hidden="1" x14ac:dyDescent="0.55000000000000004">
      <c r="A1247">
        <v>3865</v>
      </c>
      <c r="B1247">
        <v>1008460</v>
      </c>
      <c r="C1247">
        <v>216.13</v>
      </c>
      <c r="E1247">
        <v>216.13</v>
      </c>
      <c r="F1247">
        <v>2.16</v>
      </c>
      <c r="G1247">
        <v>213.97</v>
      </c>
      <c r="H1247"/>
      <c r="I1247"/>
      <c r="J1247" s="2">
        <v>46003</v>
      </c>
      <c r="K1247" s="5">
        <v>1008460</v>
      </c>
      <c r="L1247" s="5">
        <v>3865</v>
      </c>
      <c r="M1247" s="5">
        <v>0</v>
      </c>
      <c r="N1247" s="5">
        <v>216.13</v>
      </c>
      <c r="O1247" s="7">
        <v>45996</v>
      </c>
      <c r="P1247" s="5">
        <v>216.13</v>
      </c>
      <c r="Q1247" s="5">
        <v>0</v>
      </c>
      <c r="R1247" s="5" t="s">
        <v>32</v>
      </c>
      <c r="S1247" s="5" t="s">
        <v>33</v>
      </c>
      <c r="T1247" s="5">
        <v>2.16</v>
      </c>
      <c r="U1247" s="5">
        <v>213.97</v>
      </c>
      <c r="V1247" s="5" t="s">
        <v>34</v>
      </c>
      <c r="W1247" s="5">
        <v>10</v>
      </c>
      <c r="X1247" s="5" t="s">
        <v>642</v>
      </c>
      <c r="Y1247" s="7">
        <v>46003</v>
      </c>
      <c r="Z1247" s="7">
        <v>45996</v>
      </c>
      <c r="AA1247" s="5" t="s">
        <v>32</v>
      </c>
      <c r="AB1247" s="6">
        <v>46003</v>
      </c>
      <c r="AC1247" s="7">
        <v>46003.572916666664</v>
      </c>
      <c r="AD1247" s="5">
        <v>38651008460</v>
      </c>
      <c r="AE1247" s="8">
        <v>45996</v>
      </c>
      <c r="AF1247" s="5" t="s">
        <v>647</v>
      </c>
      <c r="AG1247" s="5" t="s">
        <v>38</v>
      </c>
      <c r="AH1247" s="5">
        <v>206769</v>
      </c>
      <c r="AI1247" s="6">
        <v>45996</v>
      </c>
      <c r="AJ1247" s="6">
        <v>46003</v>
      </c>
    </row>
    <row r="1248" spans="1:39" x14ac:dyDescent="0.55000000000000004">
      <c r="A1248">
        <v>3865</v>
      </c>
      <c r="B1248">
        <v>1008461</v>
      </c>
      <c r="C1248">
        <v>431.07</v>
      </c>
      <c r="E1248">
        <v>431.07</v>
      </c>
      <c r="F1248">
        <v>4.3099999999999996</v>
      </c>
      <c r="G1248">
        <v>431.07</v>
      </c>
      <c r="H1248" s="14">
        <f>C1248-D1248-F1248</f>
        <v>426.76</v>
      </c>
      <c r="I1248" s="14" t="b">
        <f>G1248=H1248</f>
        <v>0</v>
      </c>
      <c r="J1248" s="2">
        <v>46003</v>
      </c>
      <c r="K1248" s="5">
        <v>1008461</v>
      </c>
      <c r="L1248" s="5">
        <v>3865</v>
      </c>
      <c r="M1248" s="5">
        <v>0</v>
      </c>
      <c r="N1248" s="5">
        <v>431.07</v>
      </c>
      <c r="O1248" s="7">
        <v>45996</v>
      </c>
      <c r="P1248" s="5">
        <v>431.07</v>
      </c>
      <c r="Q1248" s="5">
        <v>0</v>
      </c>
      <c r="R1248" s="5" t="s">
        <v>32</v>
      </c>
      <c r="S1248" s="5" t="s">
        <v>33</v>
      </c>
      <c r="T1248" s="5">
        <v>4.3099999999999996</v>
      </c>
      <c r="U1248" s="5">
        <v>431.07</v>
      </c>
      <c r="V1248" s="5" t="s">
        <v>34</v>
      </c>
      <c r="W1248" s="5">
        <v>10</v>
      </c>
      <c r="X1248" s="5" t="s">
        <v>642</v>
      </c>
      <c r="Y1248" s="7">
        <v>46003</v>
      </c>
      <c r="Z1248" s="7">
        <v>45996</v>
      </c>
      <c r="AA1248" s="5" t="s">
        <v>32</v>
      </c>
      <c r="AB1248" s="6">
        <v>46003</v>
      </c>
      <c r="AC1248" s="7">
        <v>46003.572916666664</v>
      </c>
      <c r="AD1248" s="5">
        <v>38651008461</v>
      </c>
      <c r="AE1248" s="8">
        <v>45996</v>
      </c>
      <c r="AF1248" s="5" t="s">
        <v>647</v>
      </c>
      <c r="AG1248" s="5" t="s">
        <v>37</v>
      </c>
      <c r="AH1248" s="5">
        <v>206768</v>
      </c>
      <c r="AI1248" s="6">
        <v>45996</v>
      </c>
      <c r="AJ1248" s="6">
        <v>46003</v>
      </c>
      <c r="AK1248" s="1">
        <f t="shared" ref="AK1248" si="564">0.02*C1248</f>
        <v>8.6213999999999995</v>
      </c>
      <c r="AL1248" t="s">
        <v>673</v>
      </c>
      <c r="AM1248">
        <f>F1248</f>
        <v>4.3099999999999996</v>
      </c>
    </row>
    <row r="1249" spans="1:39" hidden="1" x14ac:dyDescent="0.55000000000000004">
      <c r="A1249">
        <v>3886</v>
      </c>
      <c r="B1249">
        <v>1007443</v>
      </c>
      <c r="C1249" s="1">
        <v>1573.57</v>
      </c>
      <c r="E1249" s="1">
        <v>1573.57</v>
      </c>
      <c r="F1249">
        <v>15.74</v>
      </c>
      <c r="G1249" s="1">
        <v>1557.83</v>
      </c>
      <c r="H1249" s="1"/>
      <c r="I1249" s="1"/>
      <c r="J1249" s="2">
        <v>46003</v>
      </c>
      <c r="K1249" s="5">
        <v>1007443</v>
      </c>
      <c r="L1249" s="5">
        <v>3886</v>
      </c>
      <c r="M1249" s="5">
        <v>0</v>
      </c>
      <c r="N1249" s="5">
        <v>1573.57</v>
      </c>
      <c r="O1249" s="7">
        <v>45992</v>
      </c>
      <c r="P1249" s="5">
        <v>1573.57</v>
      </c>
      <c r="Q1249" s="5">
        <v>0</v>
      </c>
      <c r="R1249" s="5" t="s">
        <v>32</v>
      </c>
      <c r="S1249" s="5" t="s">
        <v>33</v>
      </c>
      <c r="T1249" s="5">
        <v>15.74</v>
      </c>
      <c r="U1249" s="5">
        <v>1557.83</v>
      </c>
      <c r="V1249" s="5" t="s">
        <v>34</v>
      </c>
      <c r="W1249" s="5">
        <v>2</v>
      </c>
      <c r="X1249" s="5">
        <v>4846579557874</v>
      </c>
      <c r="Y1249" s="7">
        <v>46003</v>
      </c>
      <c r="Z1249" s="7">
        <v>45992</v>
      </c>
      <c r="AB1249" s="6">
        <v>46003</v>
      </c>
      <c r="AC1249" s="7">
        <v>45999.829861111109</v>
      </c>
      <c r="AD1249" s="5">
        <v>38861007443</v>
      </c>
      <c r="AE1249" s="8">
        <v>45992</v>
      </c>
      <c r="AF1249" s="5" t="s">
        <v>648</v>
      </c>
      <c r="AG1249" s="5" t="s">
        <v>38</v>
      </c>
      <c r="AH1249" s="5">
        <v>205905</v>
      </c>
      <c r="AI1249" s="6">
        <v>45992</v>
      </c>
      <c r="AJ1249" s="6">
        <v>46003</v>
      </c>
    </row>
    <row r="1250" spans="1:39" hidden="1" x14ac:dyDescent="0.55000000000000004">
      <c r="A1250">
        <v>3886</v>
      </c>
      <c r="B1250">
        <v>1007555</v>
      </c>
      <c r="C1250">
        <v>350</v>
      </c>
      <c r="E1250">
        <v>350</v>
      </c>
      <c r="F1250">
        <v>3.5</v>
      </c>
      <c r="G1250">
        <v>346.5</v>
      </c>
      <c r="H1250"/>
      <c r="I1250"/>
      <c r="J1250" s="2">
        <v>46003</v>
      </c>
      <c r="K1250" s="5">
        <v>1007555</v>
      </c>
      <c r="L1250" s="5">
        <v>3886</v>
      </c>
      <c r="M1250" s="5">
        <v>0</v>
      </c>
      <c r="N1250" s="5">
        <v>350</v>
      </c>
      <c r="O1250" s="7">
        <v>45993</v>
      </c>
      <c r="P1250" s="5">
        <v>350</v>
      </c>
      <c r="Q1250" s="5">
        <v>0</v>
      </c>
      <c r="R1250" s="5" t="s">
        <v>32</v>
      </c>
      <c r="S1250" s="5" t="s">
        <v>33</v>
      </c>
      <c r="T1250" s="5">
        <v>3.5</v>
      </c>
      <c r="U1250" s="5">
        <v>346.5</v>
      </c>
      <c r="V1250" s="5" t="s">
        <v>34</v>
      </c>
      <c r="W1250" s="5">
        <v>2</v>
      </c>
      <c r="X1250" s="5">
        <v>4846579557874</v>
      </c>
      <c r="Y1250" s="7">
        <v>46003</v>
      </c>
      <c r="Z1250" s="7">
        <v>45993</v>
      </c>
      <c r="AB1250" s="6">
        <v>46003</v>
      </c>
      <c r="AC1250" s="7">
        <v>45999.829861111109</v>
      </c>
      <c r="AD1250" s="5">
        <v>38861007555</v>
      </c>
      <c r="AE1250" s="8">
        <v>45993</v>
      </c>
      <c r="AF1250" s="5" t="s">
        <v>32</v>
      </c>
      <c r="AG1250" s="5" t="s">
        <v>82</v>
      </c>
      <c r="AH1250" s="5" t="s">
        <v>32</v>
      </c>
      <c r="AI1250" s="6">
        <v>45993</v>
      </c>
      <c r="AJ1250" s="6">
        <v>46003</v>
      </c>
    </row>
    <row r="1251" spans="1:39" hidden="1" x14ac:dyDescent="0.55000000000000004">
      <c r="A1251">
        <v>3886</v>
      </c>
      <c r="B1251">
        <v>1007812</v>
      </c>
      <c r="C1251" s="1">
        <v>3478.42</v>
      </c>
      <c r="E1251" s="1">
        <v>3478.42</v>
      </c>
      <c r="F1251">
        <v>34.78</v>
      </c>
      <c r="G1251" s="1">
        <v>3443.64</v>
      </c>
      <c r="H1251" s="1"/>
      <c r="I1251" s="1"/>
      <c r="J1251" s="2">
        <v>46003</v>
      </c>
      <c r="K1251" s="5">
        <v>1007812</v>
      </c>
      <c r="L1251" s="5">
        <v>3886</v>
      </c>
      <c r="M1251" s="5">
        <v>0</v>
      </c>
      <c r="N1251" s="5">
        <v>3478.42</v>
      </c>
      <c r="O1251" s="7">
        <v>45993</v>
      </c>
      <c r="P1251" s="5">
        <v>3478.42</v>
      </c>
      <c r="Q1251" s="5">
        <v>0</v>
      </c>
      <c r="R1251" s="5" t="s">
        <v>32</v>
      </c>
      <c r="S1251" s="5" t="s">
        <v>33</v>
      </c>
      <c r="T1251" s="5">
        <v>34.78</v>
      </c>
      <c r="U1251" s="5">
        <v>3443.64</v>
      </c>
      <c r="V1251" s="5" t="s">
        <v>34</v>
      </c>
      <c r="W1251" s="5">
        <v>2</v>
      </c>
      <c r="X1251" s="5">
        <v>4846579557874</v>
      </c>
      <c r="Y1251" s="7">
        <v>46003</v>
      </c>
      <c r="Z1251" s="7">
        <v>45993</v>
      </c>
      <c r="AB1251" s="6">
        <v>46003</v>
      </c>
      <c r="AC1251" s="7">
        <v>45999.829861111109</v>
      </c>
      <c r="AD1251" s="5">
        <v>38861007812</v>
      </c>
      <c r="AE1251" s="8">
        <v>45993</v>
      </c>
      <c r="AF1251" s="5" t="s">
        <v>649</v>
      </c>
      <c r="AG1251" s="5" t="s">
        <v>38</v>
      </c>
      <c r="AH1251" s="5">
        <v>206090</v>
      </c>
      <c r="AI1251" s="6">
        <v>45993</v>
      </c>
      <c r="AJ1251" s="6">
        <v>46003</v>
      </c>
    </row>
    <row r="1252" spans="1:39" hidden="1" x14ac:dyDescent="0.55000000000000004">
      <c r="A1252">
        <v>3886</v>
      </c>
      <c r="B1252">
        <v>1007817</v>
      </c>
      <c r="C1252" s="1">
        <v>3312.79</v>
      </c>
      <c r="E1252" s="1">
        <v>3312.79</v>
      </c>
      <c r="F1252">
        <v>33.130000000000003</v>
      </c>
      <c r="G1252" s="1">
        <v>3279.66</v>
      </c>
      <c r="H1252" s="1"/>
      <c r="I1252" s="1"/>
      <c r="J1252" s="2">
        <v>46003</v>
      </c>
      <c r="K1252" s="5">
        <v>1007817</v>
      </c>
      <c r="L1252" s="5">
        <v>3886</v>
      </c>
      <c r="M1252" s="5">
        <v>0</v>
      </c>
      <c r="N1252" s="5">
        <v>3312.79</v>
      </c>
      <c r="O1252" s="7">
        <v>45993</v>
      </c>
      <c r="P1252" s="5">
        <v>3312.79</v>
      </c>
      <c r="Q1252" s="5">
        <v>0</v>
      </c>
      <c r="R1252" s="5" t="s">
        <v>32</v>
      </c>
      <c r="S1252" s="5" t="s">
        <v>33</v>
      </c>
      <c r="T1252" s="5">
        <v>33.130000000000003</v>
      </c>
      <c r="U1252" s="5">
        <v>3279.66</v>
      </c>
      <c r="V1252" s="5" t="s">
        <v>34</v>
      </c>
      <c r="W1252" s="5">
        <v>2</v>
      </c>
      <c r="X1252" s="5">
        <v>4846579557874</v>
      </c>
      <c r="Y1252" s="7">
        <v>46003</v>
      </c>
      <c r="Z1252" s="7">
        <v>45993</v>
      </c>
      <c r="AB1252" s="6">
        <v>46003</v>
      </c>
      <c r="AC1252" s="7">
        <v>45999.829861111109</v>
      </c>
      <c r="AD1252" s="5">
        <v>38861007817</v>
      </c>
      <c r="AE1252" s="8">
        <v>45993</v>
      </c>
      <c r="AF1252" s="5">
        <v>321118</v>
      </c>
      <c r="AG1252" s="5" t="s">
        <v>38</v>
      </c>
      <c r="AH1252" s="5">
        <v>206091</v>
      </c>
      <c r="AI1252" s="6">
        <v>45993</v>
      </c>
      <c r="AJ1252" s="6">
        <v>46003</v>
      </c>
    </row>
    <row r="1253" spans="1:39" x14ac:dyDescent="0.55000000000000004">
      <c r="A1253">
        <v>3886</v>
      </c>
      <c r="B1253">
        <v>1007953</v>
      </c>
      <c r="C1253">
        <v>447.46</v>
      </c>
      <c r="D1253" s="4">
        <v>8.9499999999999993</v>
      </c>
      <c r="E1253">
        <v>438.51</v>
      </c>
      <c r="F1253">
        <v>4.47</v>
      </c>
      <c r="G1253">
        <v>434.04</v>
      </c>
      <c r="H1253" s="14">
        <f t="shared" ref="H1253:H1254" si="565">C1253-D1253-F1253</f>
        <v>434.03999999999996</v>
      </c>
      <c r="I1253" s="14" t="b">
        <f t="shared" ref="I1253:I1254" si="566">G1253=H1253</f>
        <v>1</v>
      </c>
      <c r="J1253" s="2">
        <v>46003</v>
      </c>
      <c r="K1253" s="5">
        <v>1007953</v>
      </c>
      <c r="L1253" s="5">
        <v>3886</v>
      </c>
      <c r="M1253" s="5">
        <v>8.9499999999999993</v>
      </c>
      <c r="N1253" s="5">
        <v>447.46</v>
      </c>
      <c r="O1253" s="7">
        <v>45994</v>
      </c>
      <c r="P1253" s="5">
        <v>438.51</v>
      </c>
      <c r="Q1253" s="5">
        <v>8.9499999999999993</v>
      </c>
      <c r="R1253" s="5" t="s">
        <v>32</v>
      </c>
      <c r="S1253" s="5" t="s">
        <v>33</v>
      </c>
      <c r="T1253" s="5">
        <v>4.47</v>
      </c>
      <c r="U1253" s="5">
        <v>434.04</v>
      </c>
      <c r="V1253" s="5" t="s">
        <v>34</v>
      </c>
      <c r="W1253" s="5">
        <v>2</v>
      </c>
      <c r="X1253" s="5">
        <v>4846579557874</v>
      </c>
      <c r="Y1253" s="7">
        <v>46003</v>
      </c>
      <c r="Z1253" s="7">
        <v>45994</v>
      </c>
      <c r="AB1253" s="6">
        <v>46003</v>
      </c>
      <c r="AC1253" s="7">
        <v>45999.829861111109</v>
      </c>
      <c r="AD1253" s="5">
        <v>38861007953</v>
      </c>
      <c r="AE1253" s="8">
        <v>45994</v>
      </c>
      <c r="AF1253" s="5" t="s">
        <v>650</v>
      </c>
      <c r="AG1253" s="5" t="s">
        <v>37</v>
      </c>
      <c r="AH1253" s="5">
        <v>206364</v>
      </c>
      <c r="AI1253" s="6">
        <v>45994</v>
      </c>
      <c r="AJ1253" s="6">
        <v>46003</v>
      </c>
      <c r="AK1253" s="1">
        <f t="shared" ref="AK1253:AK1254" si="567">0.02*C1253</f>
        <v>8.9491999999999994</v>
      </c>
    </row>
    <row r="1254" spans="1:39" x14ac:dyDescent="0.55000000000000004">
      <c r="A1254">
        <v>3886</v>
      </c>
      <c r="B1254">
        <v>1008010</v>
      </c>
      <c r="C1254">
        <v>328.78</v>
      </c>
      <c r="D1254" s="4">
        <v>6.58</v>
      </c>
      <c r="E1254">
        <v>322.2</v>
      </c>
      <c r="F1254">
        <v>3.29</v>
      </c>
      <c r="G1254">
        <v>318.91000000000003</v>
      </c>
      <c r="H1254" s="14">
        <f t="shared" si="565"/>
        <v>318.90999999999997</v>
      </c>
      <c r="I1254" s="14" t="b">
        <f t="shared" si="566"/>
        <v>1</v>
      </c>
      <c r="J1254" s="2">
        <v>46003</v>
      </c>
      <c r="K1254" s="5">
        <v>1008010</v>
      </c>
      <c r="L1254" s="5">
        <v>3886</v>
      </c>
      <c r="M1254" s="5">
        <v>6.58</v>
      </c>
      <c r="N1254" s="5">
        <v>328.78</v>
      </c>
      <c r="O1254" s="7">
        <v>45994</v>
      </c>
      <c r="P1254" s="5">
        <v>322.2</v>
      </c>
      <c r="Q1254" s="5">
        <v>6.58</v>
      </c>
      <c r="R1254" s="5" t="s">
        <v>32</v>
      </c>
      <c r="S1254" s="5" t="s">
        <v>33</v>
      </c>
      <c r="T1254" s="5">
        <v>3.29</v>
      </c>
      <c r="U1254" s="5">
        <v>318.91000000000003</v>
      </c>
      <c r="V1254" s="5" t="s">
        <v>34</v>
      </c>
      <c r="W1254" s="5">
        <v>2</v>
      </c>
      <c r="X1254" s="5">
        <v>4846579557874</v>
      </c>
      <c r="Y1254" s="7">
        <v>46003</v>
      </c>
      <c r="Z1254" s="7">
        <v>45994</v>
      </c>
      <c r="AB1254" s="6">
        <v>46003</v>
      </c>
      <c r="AC1254" s="7">
        <v>45999.829861111109</v>
      </c>
      <c r="AD1254" s="5">
        <v>38861008010</v>
      </c>
      <c r="AE1254" s="8">
        <v>45994</v>
      </c>
      <c r="AF1254" s="5" t="s">
        <v>650</v>
      </c>
      <c r="AG1254" s="5" t="s">
        <v>37</v>
      </c>
      <c r="AH1254" s="5">
        <v>206358</v>
      </c>
      <c r="AI1254" s="6">
        <v>45994</v>
      </c>
      <c r="AJ1254" s="6">
        <v>46003</v>
      </c>
      <c r="AK1254" s="1">
        <f t="shared" si="567"/>
        <v>6.5755999999999997</v>
      </c>
    </row>
    <row r="1255" spans="1:39" hidden="1" x14ac:dyDescent="0.55000000000000004">
      <c r="A1255">
        <v>3886</v>
      </c>
      <c r="B1255">
        <v>1008286</v>
      </c>
      <c r="C1255">
        <v>-150</v>
      </c>
      <c r="E1255">
        <v>-150</v>
      </c>
      <c r="G1255">
        <v>-150</v>
      </c>
      <c r="H1255"/>
      <c r="I1255"/>
      <c r="J1255" s="2">
        <v>46003</v>
      </c>
      <c r="K1255" s="5">
        <v>1008286</v>
      </c>
      <c r="L1255" s="5">
        <v>3886</v>
      </c>
      <c r="M1255" s="5">
        <v>0</v>
      </c>
      <c r="N1255" s="5">
        <v>-150</v>
      </c>
      <c r="O1255" s="7">
        <v>45995</v>
      </c>
      <c r="P1255" s="5">
        <v>-150</v>
      </c>
      <c r="Q1255" s="5">
        <v>0</v>
      </c>
      <c r="R1255" s="5" t="s">
        <v>40</v>
      </c>
      <c r="S1255" s="5" t="s">
        <v>33</v>
      </c>
      <c r="T1255" s="5">
        <v>0</v>
      </c>
      <c r="U1255" s="5">
        <v>-150</v>
      </c>
      <c r="V1255" s="5" t="s">
        <v>34</v>
      </c>
      <c r="W1255" s="5">
        <v>2</v>
      </c>
      <c r="X1255" s="5">
        <v>4846579557874</v>
      </c>
      <c r="Y1255" s="7">
        <v>46003</v>
      </c>
      <c r="Z1255" s="7">
        <v>45995</v>
      </c>
      <c r="AB1255" s="6">
        <v>46003</v>
      </c>
      <c r="AC1255" s="7">
        <v>45999.829861111109</v>
      </c>
      <c r="AD1255" s="5">
        <v>38861008286</v>
      </c>
      <c r="AE1255" s="8">
        <v>45995</v>
      </c>
      <c r="AF1255" s="5" t="s">
        <v>41</v>
      </c>
      <c r="AG1255" s="5" t="s">
        <v>38</v>
      </c>
      <c r="AH1255" s="5" t="s">
        <v>40</v>
      </c>
      <c r="AI1255" s="6">
        <v>45995</v>
      </c>
      <c r="AJ1255" s="6">
        <v>46003</v>
      </c>
    </row>
    <row r="1256" spans="1:39" x14ac:dyDescent="0.55000000000000004">
      <c r="A1256">
        <v>3886</v>
      </c>
      <c r="B1256">
        <v>1008304</v>
      </c>
      <c r="C1256">
        <v>813.12</v>
      </c>
      <c r="D1256" s="4">
        <v>16.260000000000002</v>
      </c>
      <c r="E1256">
        <v>796.86</v>
      </c>
      <c r="F1256">
        <v>8.1300000000000008</v>
      </c>
      <c r="G1256">
        <v>788.73</v>
      </c>
      <c r="H1256" s="14">
        <f>C1256-D1256-F1256</f>
        <v>788.73</v>
      </c>
      <c r="I1256" s="14" t="b">
        <f>G1256=H1256</f>
        <v>1</v>
      </c>
      <c r="J1256" s="2">
        <v>46003</v>
      </c>
      <c r="K1256" s="5">
        <v>1008304</v>
      </c>
      <c r="L1256" s="5">
        <v>3886</v>
      </c>
      <c r="M1256" s="5">
        <v>16.260000000000002</v>
      </c>
      <c r="N1256" s="5">
        <v>813.12</v>
      </c>
      <c r="O1256" s="7">
        <v>45996</v>
      </c>
      <c r="P1256" s="5">
        <v>796.86</v>
      </c>
      <c r="Q1256" s="5">
        <v>16.260000000000002</v>
      </c>
      <c r="R1256" s="5" t="s">
        <v>651</v>
      </c>
      <c r="S1256" s="5" t="s">
        <v>265</v>
      </c>
      <c r="T1256" s="5">
        <v>8.1300000000000008</v>
      </c>
      <c r="U1256" s="5">
        <v>788.73</v>
      </c>
      <c r="V1256" s="5" t="s">
        <v>34</v>
      </c>
      <c r="W1256" s="5">
        <v>2</v>
      </c>
      <c r="X1256" s="5">
        <v>4846579557874</v>
      </c>
      <c r="Y1256" s="7">
        <v>46003</v>
      </c>
      <c r="Z1256" s="7">
        <v>45996</v>
      </c>
      <c r="AB1256" s="6">
        <v>46003</v>
      </c>
      <c r="AC1256" s="7">
        <v>45999.829861111109</v>
      </c>
      <c r="AD1256" s="5">
        <v>38861008304</v>
      </c>
      <c r="AE1256" s="8">
        <v>45996</v>
      </c>
      <c r="AF1256" s="5" t="s">
        <v>32</v>
      </c>
      <c r="AG1256" s="5" t="s">
        <v>37</v>
      </c>
      <c r="AH1256" s="5" t="s">
        <v>651</v>
      </c>
      <c r="AI1256" s="6">
        <v>45996</v>
      </c>
      <c r="AJ1256" s="6">
        <v>46003</v>
      </c>
      <c r="AK1256" s="1">
        <f t="shared" ref="AK1256" si="568">0.02*C1256</f>
        <v>16.2624</v>
      </c>
    </row>
    <row r="1257" spans="1:39" hidden="1" x14ac:dyDescent="0.55000000000000004">
      <c r="A1257">
        <v>3893</v>
      </c>
      <c r="B1257">
        <v>1007591</v>
      </c>
      <c r="C1257">
        <v>350</v>
      </c>
      <c r="E1257">
        <v>350</v>
      </c>
      <c r="F1257">
        <v>3.5</v>
      </c>
      <c r="G1257">
        <v>346.5</v>
      </c>
      <c r="H1257"/>
      <c r="I1257"/>
      <c r="J1257" s="2">
        <v>46003</v>
      </c>
      <c r="K1257" s="5">
        <v>1007591</v>
      </c>
      <c r="L1257" s="5">
        <v>3893</v>
      </c>
      <c r="M1257" s="5">
        <v>0</v>
      </c>
      <c r="N1257" s="5">
        <v>350</v>
      </c>
      <c r="O1257" s="7">
        <v>45993</v>
      </c>
      <c r="P1257" s="5">
        <v>350</v>
      </c>
      <c r="Q1257" s="5">
        <v>0</v>
      </c>
      <c r="R1257" s="5" t="s">
        <v>32</v>
      </c>
      <c r="S1257" s="5" t="s">
        <v>33</v>
      </c>
      <c r="T1257" s="5">
        <v>3.5</v>
      </c>
      <c r="U1257" s="5">
        <v>346.5</v>
      </c>
      <c r="V1257" s="5" t="s">
        <v>34</v>
      </c>
      <c r="W1257" s="5">
        <v>10</v>
      </c>
      <c r="X1257" s="5" t="s">
        <v>652</v>
      </c>
      <c r="Y1257" s="7">
        <v>46003</v>
      </c>
      <c r="Z1257" s="7">
        <v>45993</v>
      </c>
      <c r="AA1257" s="5" t="s">
        <v>32</v>
      </c>
      <c r="AB1257" s="6">
        <v>46003</v>
      </c>
      <c r="AC1257" s="7">
        <v>46003.572916666664</v>
      </c>
      <c r="AD1257" s="5">
        <v>38931007591</v>
      </c>
      <c r="AE1257" s="8">
        <v>45993</v>
      </c>
      <c r="AF1257" s="5" t="s">
        <v>32</v>
      </c>
      <c r="AG1257" s="5" t="s">
        <v>82</v>
      </c>
      <c r="AH1257" s="5" t="s">
        <v>32</v>
      </c>
      <c r="AI1257" s="6">
        <v>45993</v>
      </c>
      <c r="AJ1257" s="6">
        <v>46003</v>
      </c>
    </row>
    <row r="1258" spans="1:39" hidden="1" x14ac:dyDescent="0.55000000000000004">
      <c r="A1258">
        <v>3893</v>
      </c>
      <c r="B1258">
        <v>1007728</v>
      </c>
      <c r="C1258" s="1">
        <v>1185.18</v>
      </c>
      <c r="E1258" s="1">
        <v>1185.18</v>
      </c>
      <c r="F1258">
        <v>11.85</v>
      </c>
      <c r="G1258" s="1">
        <v>1173.33</v>
      </c>
      <c r="H1258" s="1"/>
      <c r="I1258" s="1"/>
      <c r="J1258" s="2">
        <v>46003</v>
      </c>
      <c r="K1258" s="5">
        <v>1007728</v>
      </c>
      <c r="L1258" s="5">
        <v>3893</v>
      </c>
      <c r="M1258" s="5">
        <v>0</v>
      </c>
      <c r="N1258" s="5">
        <v>1185.18</v>
      </c>
      <c r="O1258" s="7">
        <v>45993</v>
      </c>
      <c r="P1258" s="5">
        <v>1185.18</v>
      </c>
      <c r="Q1258" s="5">
        <v>0</v>
      </c>
      <c r="R1258" s="5" t="s">
        <v>32</v>
      </c>
      <c r="S1258" s="5" t="s">
        <v>33</v>
      </c>
      <c r="T1258" s="5">
        <v>11.85</v>
      </c>
      <c r="U1258" s="5">
        <v>1173.33</v>
      </c>
      <c r="V1258" s="5" t="s">
        <v>34</v>
      </c>
      <c r="W1258" s="5">
        <v>10</v>
      </c>
      <c r="X1258" s="5" t="s">
        <v>652</v>
      </c>
      <c r="Y1258" s="7">
        <v>46003</v>
      </c>
      <c r="Z1258" s="7">
        <v>45993</v>
      </c>
      <c r="AA1258" s="5" t="s">
        <v>32</v>
      </c>
      <c r="AB1258" s="6">
        <v>46003</v>
      </c>
      <c r="AC1258" s="7">
        <v>46003.572916666664</v>
      </c>
      <c r="AD1258" s="5">
        <v>38931007728</v>
      </c>
      <c r="AE1258" s="8">
        <v>45993</v>
      </c>
      <c r="AF1258" s="5">
        <v>20251201</v>
      </c>
      <c r="AG1258" s="5" t="s">
        <v>38</v>
      </c>
      <c r="AH1258" s="5">
        <v>206193</v>
      </c>
      <c r="AI1258" s="6">
        <v>45993</v>
      </c>
      <c r="AJ1258" s="6">
        <v>46003</v>
      </c>
    </row>
    <row r="1259" spans="1:39" x14ac:dyDescent="0.55000000000000004">
      <c r="A1259">
        <v>3893</v>
      </c>
      <c r="B1259">
        <v>1007731</v>
      </c>
      <c r="C1259">
        <v>21.4</v>
      </c>
      <c r="E1259">
        <v>21.4</v>
      </c>
      <c r="F1259">
        <v>0.21</v>
      </c>
      <c r="G1259">
        <v>21.4</v>
      </c>
      <c r="H1259" s="14">
        <f>C1259-D1259-F1259</f>
        <v>21.189999999999998</v>
      </c>
      <c r="I1259" s="14" t="b">
        <f>G1259=H1259</f>
        <v>0</v>
      </c>
      <c r="J1259" s="2">
        <v>46003</v>
      </c>
      <c r="K1259" s="5">
        <v>1007731</v>
      </c>
      <c r="L1259" s="5">
        <v>3893</v>
      </c>
      <c r="M1259" s="5">
        <v>0</v>
      </c>
      <c r="N1259" s="5">
        <v>21.4</v>
      </c>
      <c r="O1259" s="7">
        <v>45993</v>
      </c>
      <c r="P1259" s="5">
        <v>21.4</v>
      </c>
      <c r="Q1259" s="5">
        <v>0</v>
      </c>
      <c r="R1259" s="5" t="s">
        <v>32</v>
      </c>
      <c r="S1259" s="5" t="s">
        <v>33</v>
      </c>
      <c r="T1259" s="5">
        <v>0.21</v>
      </c>
      <c r="U1259" s="5">
        <v>21.4</v>
      </c>
      <c r="V1259" s="5" t="s">
        <v>34</v>
      </c>
      <c r="W1259" s="5">
        <v>10</v>
      </c>
      <c r="X1259" s="5" t="s">
        <v>652</v>
      </c>
      <c r="Y1259" s="7">
        <v>46003</v>
      </c>
      <c r="Z1259" s="7">
        <v>45993</v>
      </c>
      <c r="AA1259" s="5" t="s">
        <v>32</v>
      </c>
      <c r="AB1259" s="6">
        <v>46003</v>
      </c>
      <c r="AC1259" s="7">
        <v>46003.572916666664</v>
      </c>
      <c r="AD1259" s="5">
        <v>38931007731</v>
      </c>
      <c r="AE1259" s="8">
        <v>45993</v>
      </c>
      <c r="AF1259" s="5">
        <v>20251201</v>
      </c>
      <c r="AG1259" s="5" t="s">
        <v>37</v>
      </c>
      <c r="AH1259" s="5">
        <v>206192</v>
      </c>
      <c r="AI1259" s="6">
        <v>45993</v>
      </c>
      <c r="AJ1259" s="6">
        <v>46003</v>
      </c>
      <c r="AK1259" s="1">
        <f t="shared" ref="AK1259" si="569">0.02*C1259</f>
        <v>0.42799999999999999</v>
      </c>
      <c r="AL1259" t="s">
        <v>673</v>
      </c>
      <c r="AM1259">
        <f>F1259</f>
        <v>0.21</v>
      </c>
    </row>
    <row r="1260" spans="1:39" hidden="1" x14ac:dyDescent="0.55000000000000004">
      <c r="A1260">
        <v>3893</v>
      </c>
      <c r="B1260">
        <v>1008063</v>
      </c>
      <c r="C1260">
        <v>-148.5</v>
      </c>
      <c r="E1260">
        <v>-148.5</v>
      </c>
      <c r="G1260">
        <v>-148.5</v>
      </c>
      <c r="H1260"/>
      <c r="I1260"/>
      <c r="J1260" s="2">
        <v>46003</v>
      </c>
      <c r="K1260" s="5">
        <v>1008063</v>
      </c>
      <c r="L1260" s="5">
        <v>3893</v>
      </c>
      <c r="M1260" s="5">
        <v>0</v>
      </c>
      <c r="N1260" s="5">
        <v>-148.5</v>
      </c>
      <c r="O1260" s="7">
        <v>45995</v>
      </c>
      <c r="P1260" s="5">
        <v>-148.5</v>
      </c>
      <c r="Q1260" s="5">
        <v>0</v>
      </c>
      <c r="R1260" s="5" t="s">
        <v>40</v>
      </c>
      <c r="S1260" s="5" t="s">
        <v>33</v>
      </c>
      <c r="T1260" s="5">
        <v>0</v>
      </c>
      <c r="U1260" s="5">
        <v>-148.5</v>
      </c>
      <c r="V1260" s="5" t="s">
        <v>34</v>
      </c>
      <c r="W1260" s="5">
        <v>10</v>
      </c>
      <c r="X1260" s="5" t="s">
        <v>652</v>
      </c>
      <c r="Y1260" s="7">
        <v>46003</v>
      </c>
      <c r="Z1260" s="7">
        <v>45995</v>
      </c>
      <c r="AA1260" s="5" t="s">
        <v>32</v>
      </c>
      <c r="AB1260" s="6">
        <v>46003</v>
      </c>
      <c r="AC1260" s="7">
        <v>46003.572916666664</v>
      </c>
      <c r="AD1260" s="5">
        <v>38931008063</v>
      </c>
      <c r="AE1260" s="8">
        <v>45995</v>
      </c>
      <c r="AF1260" s="5" t="s">
        <v>41</v>
      </c>
      <c r="AG1260" s="5" t="s">
        <v>38</v>
      </c>
      <c r="AH1260" s="5" t="s">
        <v>40</v>
      </c>
      <c r="AI1260" s="6">
        <v>45995</v>
      </c>
      <c r="AJ1260" s="6">
        <v>46003</v>
      </c>
    </row>
    <row r="1261" spans="1:39" hidden="1" x14ac:dyDescent="0.55000000000000004">
      <c r="A1261">
        <v>3893</v>
      </c>
      <c r="B1261">
        <v>1008187</v>
      </c>
      <c r="C1261">
        <v>224.76</v>
      </c>
      <c r="E1261">
        <v>224.76</v>
      </c>
      <c r="F1261">
        <v>2.25</v>
      </c>
      <c r="G1261">
        <v>222.51</v>
      </c>
      <c r="H1261"/>
      <c r="I1261"/>
      <c r="J1261" s="2">
        <v>46003</v>
      </c>
      <c r="K1261" s="5">
        <v>1008187</v>
      </c>
      <c r="L1261" s="5">
        <v>3893</v>
      </c>
      <c r="M1261" s="5">
        <v>0</v>
      </c>
      <c r="N1261" s="5">
        <v>224.76</v>
      </c>
      <c r="O1261" s="7">
        <v>45995</v>
      </c>
      <c r="P1261" s="5">
        <v>224.76</v>
      </c>
      <c r="Q1261" s="5">
        <v>0</v>
      </c>
      <c r="R1261" s="5" t="s">
        <v>32</v>
      </c>
      <c r="S1261" s="5" t="s">
        <v>33</v>
      </c>
      <c r="T1261" s="5">
        <v>2.25</v>
      </c>
      <c r="U1261" s="5">
        <v>222.51</v>
      </c>
      <c r="V1261" s="5" t="s">
        <v>34</v>
      </c>
      <c r="W1261" s="5">
        <v>10</v>
      </c>
      <c r="X1261" s="5" t="s">
        <v>652</v>
      </c>
      <c r="Y1261" s="7">
        <v>46003</v>
      </c>
      <c r="Z1261" s="7">
        <v>45995</v>
      </c>
      <c r="AA1261" s="5" t="s">
        <v>32</v>
      </c>
      <c r="AB1261" s="6">
        <v>46003</v>
      </c>
      <c r="AC1261" s="7">
        <v>46003.572916666664</v>
      </c>
      <c r="AD1261" s="5">
        <v>38931008187</v>
      </c>
      <c r="AE1261" s="8">
        <v>45995</v>
      </c>
      <c r="AF1261" s="5">
        <v>20251201</v>
      </c>
      <c r="AG1261" s="5" t="s">
        <v>38</v>
      </c>
      <c r="AH1261" s="5">
        <v>206644</v>
      </c>
      <c r="AI1261" s="6">
        <v>45995</v>
      </c>
      <c r="AJ1261" s="6">
        <v>46003</v>
      </c>
    </row>
    <row r="1262" spans="1:39" x14ac:dyDescent="0.55000000000000004">
      <c r="A1262">
        <v>3893</v>
      </c>
      <c r="B1262">
        <v>1008266</v>
      </c>
      <c r="C1262">
        <v>62.8</v>
      </c>
      <c r="E1262">
        <v>62.8</v>
      </c>
      <c r="F1262">
        <v>0.63</v>
      </c>
      <c r="G1262">
        <v>62.8</v>
      </c>
      <c r="H1262" s="14">
        <f t="shared" ref="H1262:H1263" si="570">C1262-D1262-F1262</f>
        <v>62.169999999999995</v>
      </c>
      <c r="I1262" s="14" t="b">
        <f t="shared" ref="I1262:I1263" si="571">G1262=H1262</f>
        <v>0</v>
      </c>
      <c r="J1262" s="2">
        <v>46003</v>
      </c>
      <c r="K1262" s="5">
        <v>1008266</v>
      </c>
      <c r="L1262" s="5">
        <v>3893</v>
      </c>
      <c r="M1262" s="5">
        <v>0</v>
      </c>
      <c r="N1262" s="5">
        <v>62.8</v>
      </c>
      <c r="O1262" s="7">
        <v>45995</v>
      </c>
      <c r="P1262" s="5">
        <v>62.8</v>
      </c>
      <c r="Q1262" s="5">
        <v>0</v>
      </c>
      <c r="R1262" s="5" t="s">
        <v>32</v>
      </c>
      <c r="S1262" s="5" t="s">
        <v>33</v>
      </c>
      <c r="T1262" s="5">
        <v>0.63</v>
      </c>
      <c r="U1262" s="5">
        <v>62.8</v>
      </c>
      <c r="V1262" s="5" t="s">
        <v>34</v>
      </c>
      <c r="W1262" s="5">
        <v>10</v>
      </c>
      <c r="X1262" s="5" t="s">
        <v>652</v>
      </c>
      <c r="Y1262" s="7">
        <v>46003</v>
      </c>
      <c r="Z1262" s="7">
        <v>45995</v>
      </c>
      <c r="AA1262" s="5" t="s">
        <v>32</v>
      </c>
      <c r="AB1262" s="6">
        <v>46003</v>
      </c>
      <c r="AC1262" s="7">
        <v>46003.572916666664</v>
      </c>
      <c r="AD1262" s="5">
        <v>38931008266</v>
      </c>
      <c r="AE1262" s="8">
        <v>45995</v>
      </c>
      <c r="AF1262" s="5">
        <v>20251203</v>
      </c>
      <c r="AG1262" s="5" t="s">
        <v>37</v>
      </c>
      <c r="AH1262" s="5">
        <v>206550</v>
      </c>
      <c r="AI1262" s="6">
        <v>45995</v>
      </c>
      <c r="AJ1262" s="6">
        <v>46003</v>
      </c>
      <c r="AK1262" s="1">
        <f t="shared" ref="AK1262:AK1263" si="572">0.02*C1262</f>
        <v>1.256</v>
      </c>
      <c r="AL1262" t="s">
        <v>673</v>
      </c>
      <c r="AM1262">
        <f t="shared" ref="AM1262:AM1263" si="573">F1262</f>
        <v>0.63</v>
      </c>
    </row>
    <row r="1263" spans="1:39" x14ac:dyDescent="0.55000000000000004">
      <c r="A1263">
        <v>3893</v>
      </c>
      <c r="B1263">
        <v>1008543</v>
      </c>
      <c r="C1263" s="1">
        <v>1776.57</v>
      </c>
      <c r="E1263" s="1">
        <v>1776.57</v>
      </c>
      <c r="F1263">
        <v>17.77</v>
      </c>
      <c r="G1263" s="1">
        <v>1776.57</v>
      </c>
      <c r="H1263" s="14">
        <f t="shared" si="570"/>
        <v>1758.8</v>
      </c>
      <c r="I1263" s="14" t="b">
        <f t="shared" si="571"/>
        <v>0</v>
      </c>
      <c r="J1263" s="2">
        <v>46003</v>
      </c>
      <c r="K1263" s="5">
        <v>1008543</v>
      </c>
      <c r="L1263" s="5">
        <v>3893</v>
      </c>
      <c r="M1263" s="5">
        <v>0</v>
      </c>
      <c r="N1263" s="5">
        <v>1776.57</v>
      </c>
      <c r="O1263" s="7">
        <v>45996</v>
      </c>
      <c r="P1263" s="5">
        <v>1776.57</v>
      </c>
      <c r="Q1263" s="5">
        <v>0</v>
      </c>
      <c r="R1263" s="5" t="s">
        <v>32</v>
      </c>
      <c r="S1263" s="5" t="s">
        <v>33</v>
      </c>
      <c r="T1263" s="5">
        <v>17.77</v>
      </c>
      <c r="U1263" s="5">
        <v>1776.57</v>
      </c>
      <c r="V1263" s="5" t="s">
        <v>34</v>
      </c>
      <c r="W1263" s="5">
        <v>10</v>
      </c>
      <c r="X1263" s="5" t="s">
        <v>652</v>
      </c>
      <c r="Y1263" s="7">
        <v>46003</v>
      </c>
      <c r="Z1263" s="7">
        <v>45996</v>
      </c>
      <c r="AA1263" s="5" t="s">
        <v>32</v>
      </c>
      <c r="AB1263" s="6">
        <v>46003</v>
      </c>
      <c r="AC1263" s="7">
        <v>46003.572916666664</v>
      </c>
      <c r="AD1263" s="5">
        <v>38931008543</v>
      </c>
      <c r="AE1263" s="8">
        <v>45996</v>
      </c>
      <c r="AF1263" s="5">
        <v>20251204</v>
      </c>
      <c r="AG1263" s="5" t="s">
        <v>37</v>
      </c>
      <c r="AH1263" s="5">
        <v>206863</v>
      </c>
      <c r="AI1263" s="6">
        <v>45996</v>
      </c>
      <c r="AJ1263" s="6">
        <v>46003</v>
      </c>
      <c r="AK1263" s="1">
        <f t="shared" si="572"/>
        <v>35.531399999999998</v>
      </c>
      <c r="AL1263" t="s">
        <v>673</v>
      </c>
      <c r="AM1263">
        <f t="shared" si="573"/>
        <v>17.77</v>
      </c>
    </row>
    <row r="1264" spans="1:39" hidden="1" x14ac:dyDescent="0.55000000000000004">
      <c r="A1264">
        <v>3893</v>
      </c>
      <c r="B1264">
        <v>1008961</v>
      </c>
      <c r="C1264">
        <v>-243</v>
      </c>
      <c r="E1264">
        <v>-243</v>
      </c>
      <c r="G1264">
        <v>-243</v>
      </c>
      <c r="H1264"/>
      <c r="I1264"/>
      <c r="J1264" s="2">
        <v>46003</v>
      </c>
      <c r="K1264" s="5">
        <v>1008961</v>
      </c>
      <c r="L1264" s="5">
        <v>3893</v>
      </c>
      <c r="M1264" s="5">
        <v>0</v>
      </c>
      <c r="N1264" s="5">
        <v>-243</v>
      </c>
      <c r="O1264" s="7">
        <v>46000</v>
      </c>
      <c r="P1264" s="5">
        <v>-243</v>
      </c>
      <c r="Q1264" s="5">
        <v>0</v>
      </c>
      <c r="R1264" s="5">
        <v>1008961</v>
      </c>
      <c r="S1264" s="5" t="s">
        <v>33</v>
      </c>
      <c r="T1264" s="5">
        <v>0</v>
      </c>
      <c r="U1264" s="5">
        <v>-243</v>
      </c>
      <c r="V1264" s="5" t="s">
        <v>34</v>
      </c>
      <c r="W1264" s="5">
        <v>10</v>
      </c>
      <c r="X1264" s="5" t="s">
        <v>652</v>
      </c>
      <c r="Y1264" s="7">
        <v>46003</v>
      </c>
      <c r="Z1264" s="7">
        <v>46000</v>
      </c>
      <c r="AA1264" s="5" t="s">
        <v>32</v>
      </c>
      <c r="AB1264" s="6">
        <v>46003</v>
      </c>
      <c r="AC1264" s="7">
        <v>46003.572916666664</v>
      </c>
      <c r="AD1264" s="5">
        <v>38931008961</v>
      </c>
      <c r="AE1264" s="8">
        <v>46000</v>
      </c>
      <c r="AF1264" s="5" t="s">
        <v>653</v>
      </c>
      <c r="AG1264" s="5" t="s">
        <v>38</v>
      </c>
      <c r="AH1264" s="5" t="s">
        <v>654</v>
      </c>
      <c r="AI1264" s="6">
        <v>46000</v>
      </c>
      <c r="AJ1264" s="6">
        <v>46003</v>
      </c>
    </row>
    <row r="1265" spans="1:39" hidden="1" x14ac:dyDescent="0.55000000000000004">
      <c r="A1265">
        <v>3893</v>
      </c>
      <c r="B1265">
        <v>1008962</v>
      </c>
      <c r="C1265">
        <v>-162</v>
      </c>
      <c r="E1265">
        <v>-162</v>
      </c>
      <c r="G1265">
        <v>-162</v>
      </c>
      <c r="H1265"/>
      <c r="I1265"/>
      <c r="J1265" s="2">
        <v>46003</v>
      </c>
      <c r="K1265" s="5">
        <v>1008962</v>
      </c>
      <c r="L1265" s="5">
        <v>3893</v>
      </c>
      <c r="M1265" s="5">
        <v>0</v>
      </c>
      <c r="N1265" s="5">
        <v>-162</v>
      </c>
      <c r="O1265" s="7">
        <v>46000</v>
      </c>
      <c r="P1265" s="5">
        <v>-162</v>
      </c>
      <c r="Q1265" s="5">
        <v>0</v>
      </c>
      <c r="R1265" s="5">
        <v>1008962</v>
      </c>
      <c r="S1265" s="5" t="s">
        <v>33</v>
      </c>
      <c r="T1265" s="5">
        <v>0</v>
      </c>
      <c r="U1265" s="5">
        <v>-162</v>
      </c>
      <c r="V1265" s="5" t="s">
        <v>34</v>
      </c>
      <c r="W1265" s="5">
        <v>10</v>
      </c>
      <c r="X1265" s="5" t="s">
        <v>652</v>
      </c>
      <c r="Y1265" s="7">
        <v>46003</v>
      </c>
      <c r="Z1265" s="7">
        <v>46000</v>
      </c>
      <c r="AA1265" s="5" t="s">
        <v>32</v>
      </c>
      <c r="AB1265" s="6">
        <v>46003</v>
      </c>
      <c r="AC1265" s="7">
        <v>46003.572916666664</v>
      </c>
      <c r="AD1265" s="5">
        <v>38931008962</v>
      </c>
      <c r="AE1265" s="8">
        <v>46000</v>
      </c>
      <c r="AF1265" s="5">
        <v>2025103112</v>
      </c>
      <c r="AG1265" s="5" t="s">
        <v>38</v>
      </c>
      <c r="AH1265" s="5" t="s">
        <v>655</v>
      </c>
      <c r="AI1265" s="6">
        <v>46000</v>
      </c>
      <c r="AJ1265" s="6">
        <v>46003</v>
      </c>
    </row>
    <row r="1266" spans="1:39" hidden="1" x14ac:dyDescent="0.55000000000000004">
      <c r="A1266">
        <v>3893</v>
      </c>
      <c r="B1266">
        <v>1008963</v>
      </c>
      <c r="C1266">
        <v>-162</v>
      </c>
      <c r="E1266">
        <v>-162</v>
      </c>
      <c r="G1266">
        <v>-162</v>
      </c>
      <c r="H1266"/>
      <c r="I1266"/>
      <c r="J1266" s="2">
        <v>46003</v>
      </c>
      <c r="K1266" s="5">
        <v>1008963</v>
      </c>
      <c r="L1266" s="5">
        <v>3893</v>
      </c>
      <c r="M1266" s="5">
        <v>0</v>
      </c>
      <c r="N1266" s="5">
        <v>-162</v>
      </c>
      <c r="O1266" s="7">
        <v>46000</v>
      </c>
      <c r="P1266" s="5">
        <v>-162</v>
      </c>
      <c r="Q1266" s="5">
        <v>0</v>
      </c>
      <c r="R1266" s="5">
        <v>1008963</v>
      </c>
      <c r="S1266" s="5" t="s">
        <v>33</v>
      </c>
      <c r="T1266" s="5">
        <v>0</v>
      </c>
      <c r="U1266" s="5">
        <v>-162</v>
      </c>
      <c r="V1266" s="5" t="s">
        <v>34</v>
      </c>
      <c r="W1266" s="5">
        <v>10</v>
      </c>
      <c r="X1266" s="5" t="s">
        <v>652</v>
      </c>
      <c r="Y1266" s="7">
        <v>46003</v>
      </c>
      <c r="Z1266" s="7">
        <v>46000</v>
      </c>
      <c r="AA1266" s="5" t="s">
        <v>32</v>
      </c>
      <c r="AB1266" s="6">
        <v>46003</v>
      </c>
      <c r="AC1266" s="7">
        <v>46003.572916666664</v>
      </c>
      <c r="AD1266" s="5">
        <v>38931008963</v>
      </c>
      <c r="AE1266" s="8">
        <v>46000</v>
      </c>
      <c r="AF1266" s="5">
        <v>2025103171</v>
      </c>
      <c r="AG1266" s="5" t="s">
        <v>38</v>
      </c>
      <c r="AH1266" s="5" t="s">
        <v>656</v>
      </c>
      <c r="AI1266" s="6">
        <v>46000</v>
      </c>
      <c r="AJ1266" s="6">
        <v>46003</v>
      </c>
    </row>
    <row r="1267" spans="1:39" hidden="1" x14ac:dyDescent="0.55000000000000004">
      <c r="A1267">
        <v>3900</v>
      </c>
      <c r="B1267">
        <v>1007620</v>
      </c>
      <c r="C1267" s="1">
        <v>3990</v>
      </c>
      <c r="E1267" s="1">
        <v>3990</v>
      </c>
      <c r="F1267">
        <v>39.9</v>
      </c>
      <c r="G1267" s="1">
        <v>3950.1</v>
      </c>
      <c r="H1267" s="1"/>
      <c r="I1267" s="1"/>
      <c r="J1267" s="2">
        <v>46003</v>
      </c>
      <c r="K1267" s="5">
        <v>1007620</v>
      </c>
      <c r="L1267" s="5">
        <v>3900</v>
      </c>
      <c r="M1267" s="5">
        <v>0</v>
      </c>
      <c r="N1267" s="5">
        <v>3990</v>
      </c>
      <c r="O1267" s="7">
        <v>45993</v>
      </c>
      <c r="P1267" s="5">
        <v>3990</v>
      </c>
      <c r="Q1267" s="5">
        <v>0</v>
      </c>
      <c r="R1267" s="5" t="s">
        <v>32</v>
      </c>
      <c r="S1267" s="5" t="s">
        <v>33</v>
      </c>
      <c r="T1267" s="5">
        <v>39.9</v>
      </c>
      <c r="U1267" s="5">
        <v>3950.1</v>
      </c>
      <c r="V1267" s="5" t="s">
        <v>34</v>
      </c>
      <c r="W1267" s="5">
        <v>10</v>
      </c>
      <c r="X1267" s="5" t="s">
        <v>657</v>
      </c>
      <c r="Y1267" s="7">
        <v>46003</v>
      </c>
      <c r="Z1267" s="7">
        <v>45993</v>
      </c>
      <c r="AA1267" s="5" t="s">
        <v>32</v>
      </c>
      <c r="AB1267" s="6">
        <v>46003</v>
      </c>
      <c r="AC1267" s="7">
        <v>46003.572916666664</v>
      </c>
      <c r="AD1267" s="5">
        <v>39001007620</v>
      </c>
      <c r="AE1267" s="8">
        <v>45993</v>
      </c>
      <c r="AF1267" s="5" t="s">
        <v>32</v>
      </c>
      <c r="AG1267" s="5" t="s">
        <v>35</v>
      </c>
      <c r="AH1267" s="5" t="s">
        <v>32</v>
      </c>
      <c r="AI1267" s="6">
        <v>45993</v>
      </c>
      <c r="AJ1267" s="6">
        <v>46003</v>
      </c>
    </row>
    <row r="1268" spans="1:39" hidden="1" x14ac:dyDescent="0.55000000000000004">
      <c r="A1268">
        <v>3907</v>
      </c>
      <c r="B1268">
        <v>1007657</v>
      </c>
      <c r="C1268">
        <v>350</v>
      </c>
      <c r="E1268">
        <v>350</v>
      </c>
      <c r="F1268">
        <v>3.5</v>
      </c>
      <c r="G1268">
        <v>346.5</v>
      </c>
      <c r="H1268"/>
      <c r="I1268"/>
      <c r="J1268" s="2">
        <v>46003</v>
      </c>
      <c r="K1268" s="5">
        <v>1007657</v>
      </c>
      <c r="L1268" s="5">
        <v>3907</v>
      </c>
      <c r="M1268" s="5">
        <v>0</v>
      </c>
      <c r="N1268" s="5">
        <v>350</v>
      </c>
      <c r="O1268" s="7">
        <v>45993</v>
      </c>
      <c r="P1268" s="5">
        <v>350</v>
      </c>
      <c r="Q1268" s="5">
        <v>0</v>
      </c>
      <c r="R1268" s="5" t="s">
        <v>32</v>
      </c>
      <c r="S1268" s="5" t="s">
        <v>33</v>
      </c>
      <c r="T1268" s="5">
        <v>3.5</v>
      </c>
      <c r="U1268" s="5">
        <v>346.5</v>
      </c>
      <c r="V1268" s="5" t="s">
        <v>34</v>
      </c>
      <c r="W1268" s="5">
        <v>10</v>
      </c>
      <c r="X1268" s="5" t="s">
        <v>658</v>
      </c>
      <c r="Y1268" s="7">
        <v>46003</v>
      </c>
      <c r="Z1268" s="7">
        <v>45993</v>
      </c>
      <c r="AA1268" s="5" t="s">
        <v>32</v>
      </c>
      <c r="AB1268" s="6">
        <v>46003</v>
      </c>
      <c r="AC1268" s="7">
        <v>46003.572916666664</v>
      </c>
      <c r="AD1268" s="5">
        <v>39071007657</v>
      </c>
      <c r="AE1268" s="8">
        <v>45993</v>
      </c>
      <c r="AF1268" s="5" t="s">
        <v>32</v>
      </c>
      <c r="AG1268" s="5" t="s">
        <v>82</v>
      </c>
      <c r="AH1268" s="5" t="s">
        <v>32</v>
      </c>
      <c r="AI1268" s="6">
        <v>45993</v>
      </c>
      <c r="AJ1268" s="6">
        <v>46003</v>
      </c>
    </row>
    <row r="1269" spans="1:39" x14ac:dyDescent="0.55000000000000004">
      <c r="A1269">
        <v>3921</v>
      </c>
      <c r="B1269">
        <v>1007192</v>
      </c>
      <c r="C1269">
        <v>82.28</v>
      </c>
      <c r="E1269">
        <v>82.28</v>
      </c>
      <c r="F1269">
        <v>0.82</v>
      </c>
      <c r="G1269">
        <v>82.28</v>
      </c>
      <c r="H1269" s="14">
        <f>C1269-D1269-F1269</f>
        <v>81.460000000000008</v>
      </c>
      <c r="I1269" s="14" t="b">
        <f>G1269=H1269</f>
        <v>0</v>
      </c>
      <c r="J1269" s="2">
        <v>46003</v>
      </c>
      <c r="K1269" s="5">
        <v>1007192</v>
      </c>
      <c r="L1269" s="5">
        <v>3921</v>
      </c>
      <c r="M1269" s="5">
        <v>0</v>
      </c>
      <c r="N1269" s="5">
        <v>82.28</v>
      </c>
      <c r="O1269" s="7">
        <v>45992</v>
      </c>
      <c r="P1269" s="5">
        <v>82.28</v>
      </c>
      <c r="Q1269" s="5">
        <v>0</v>
      </c>
      <c r="R1269" s="5" t="s">
        <v>32</v>
      </c>
      <c r="S1269" s="5" t="s">
        <v>33</v>
      </c>
      <c r="T1269" s="5">
        <v>0.82</v>
      </c>
      <c r="U1269" s="5">
        <v>82.28</v>
      </c>
      <c r="V1269" s="5" t="s">
        <v>34</v>
      </c>
      <c r="W1269" s="5">
        <v>10</v>
      </c>
      <c r="X1269" s="5" t="s">
        <v>659</v>
      </c>
      <c r="Y1269" s="7">
        <v>46003</v>
      </c>
      <c r="Z1269" s="7">
        <v>45992</v>
      </c>
      <c r="AA1269" s="5" t="s">
        <v>32</v>
      </c>
      <c r="AB1269" s="6">
        <v>46003</v>
      </c>
      <c r="AC1269" s="7">
        <v>46003.572916666664</v>
      </c>
      <c r="AD1269" s="5">
        <v>39211007192</v>
      </c>
      <c r="AE1269" s="8">
        <v>45992</v>
      </c>
      <c r="AF1269" s="5">
        <v>15239</v>
      </c>
      <c r="AG1269" s="5" t="s">
        <v>37</v>
      </c>
      <c r="AH1269" s="5">
        <v>205736</v>
      </c>
      <c r="AI1269" s="6">
        <v>45992</v>
      </c>
      <c r="AJ1269" s="6">
        <v>46003</v>
      </c>
      <c r="AK1269" s="1">
        <f t="shared" ref="AK1269" si="574">0.02*C1269</f>
        <v>1.6456</v>
      </c>
      <c r="AL1269" t="s">
        <v>673</v>
      </c>
      <c r="AM1269">
        <f>F1269</f>
        <v>0.82</v>
      </c>
    </row>
    <row r="1270" spans="1:39" hidden="1" x14ac:dyDescent="0.55000000000000004">
      <c r="A1270">
        <v>3921</v>
      </c>
      <c r="B1270">
        <v>1007547</v>
      </c>
      <c r="C1270">
        <v>350</v>
      </c>
      <c r="E1270">
        <v>350</v>
      </c>
      <c r="F1270">
        <v>3.5</v>
      </c>
      <c r="G1270">
        <v>346.5</v>
      </c>
      <c r="H1270"/>
      <c r="I1270"/>
      <c r="J1270" s="2">
        <v>46003</v>
      </c>
      <c r="K1270" s="5">
        <v>1007547</v>
      </c>
      <c r="L1270" s="5">
        <v>3921</v>
      </c>
      <c r="M1270" s="5">
        <v>0</v>
      </c>
      <c r="N1270" s="5">
        <v>350</v>
      </c>
      <c r="O1270" s="7">
        <v>45993</v>
      </c>
      <c r="P1270" s="5">
        <v>350</v>
      </c>
      <c r="Q1270" s="5">
        <v>0</v>
      </c>
      <c r="R1270" s="5" t="s">
        <v>32</v>
      </c>
      <c r="S1270" s="5" t="s">
        <v>33</v>
      </c>
      <c r="T1270" s="5">
        <v>3.5</v>
      </c>
      <c r="U1270" s="5">
        <v>346.5</v>
      </c>
      <c r="V1270" s="5" t="s">
        <v>34</v>
      </c>
      <c r="W1270" s="5">
        <v>10</v>
      </c>
      <c r="X1270" s="5" t="s">
        <v>659</v>
      </c>
      <c r="Y1270" s="7">
        <v>46003</v>
      </c>
      <c r="Z1270" s="7">
        <v>45993</v>
      </c>
      <c r="AA1270" s="5" t="s">
        <v>32</v>
      </c>
      <c r="AB1270" s="6">
        <v>46003</v>
      </c>
      <c r="AC1270" s="7">
        <v>46003.572916666664</v>
      </c>
      <c r="AD1270" s="5">
        <v>39211007547</v>
      </c>
      <c r="AE1270" s="8">
        <v>45993</v>
      </c>
      <c r="AF1270" s="5" t="s">
        <v>32</v>
      </c>
      <c r="AG1270" s="5" t="s">
        <v>82</v>
      </c>
      <c r="AH1270" s="5" t="s">
        <v>32</v>
      </c>
      <c r="AI1270" s="6">
        <v>45993</v>
      </c>
      <c r="AJ1270" s="6">
        <v>46003</v>
      </c>
    </row>
    <row r="1271" spans="1:39" hidden="1" x14ac:dyDescent="0.55000000000000004">
      <c r="A1271">
        <v>3921</v>
      </c>
      <c r="B1271">
        <v>1007815</v>
      </c>
      <c r="C1271" s="1">
        <v>9203.2800000000007</v>
      </c>
      <c r="E1271" s="1">
        <v>9203.2800000000007</v>
      </c>
      <c r="F1271">
        <v>92.03</v>
      </c>
      <c r="G1271" s="1">
        <v>9111.25</v>
      </c>
      <c r="H1271" s="1"/>
      <c r="I1271" s="1"/>
      <c r="J1271" s="2">
        <v>46003</v>
      </c>
      <c r="K1271" s="5">
        <v>1007815</v>
      </c>
      <c r="L1271" s="5">
        <v>3921</v>
      </c>
      <c r="M1271" s="5">
        <v>0</v>
      </c>
      <c r="N1271" s="5">
        <v>9203.2800000000007</v>
      </c>
      <c r="O1271" s="7">
        <v>45993</v>
      </c>
      <c r="P1271" s="5">
        <v>9203.2800000000007</v>
      </c>
      <c r="Q1271" s="5">
        <v>0</v>
      </c>
      <c r="R1271" s="5" t="s">
        <v>32</v>
      </c>
      <c r="S1271" s="5" t="s">
        <v>33</v>
      </c>
      <c r="T1271" s="5">
        <v>92.03</v>
      </c>
      <c r="U1271" s="5">
        <v>9111.25</v>
      </c>
      <c r="V1271" s="5" t="s">
        <v>34</v>
      </c>
      <c r="W1271" s="5">
        <v>10</v>
      </c>
      <c r="X1271" s="5" t="s">
        <v>659</v>
      </c>
      <c r="Y1271" s="7">
        <v>46003</v>
      </c>
      <c r="Z1271" s="7">
        <v>45993</v>
      </c>
      <c r="AA1271" s="5" t="s">
        <v>32</v>
      </c>
      <c r="AB1271" s="6">
        <v>46003</v>
      </c>
      <c r="AC1271" s="7">
        <v>46003.572916666664</v>
      </c>
      <c r="AD1271" s="5">
        <v>39211007815</v>
      </c>
      <c r="AE1271" s="8">
        <v>45993</v>
      </c>
      <c r="AF1271" s="5" t="s">
        <v>660</v>
      </c>
      <c r="AG1271" s="5" t="s">
        <v>38</v>
      </c>
      <c r="AH1271" s="5">
        <v>206092</v>
      </c>
      <c r="AI1271" s="6">
        <v>45993</v>
      </c>
      <c r="AJ1271" s="6">
        <v>46003</v>
      </c>
    </row>
    <row r="1272" spans="1:39" hidden="1" x14ac:dyDescent="0.55000000000000004">
      <c r="A1272">
        <v>3921</v>
      </c>
      <c r="B1272">
        <v>1007819</v>
      </c>
      <c r="C1272" s="1">
        <v>3238.6</v>
      </c>
      <c r="E1272" s="1">
        <v>3238.6</v>
      </c>
      <c r="F1272">
        <v>32.39</v>
      </c>
      <c r="G1272" s="1">
        <v>3206.21</v>
      </c>
      <c r="H1272" s="1"/>
      <c r="I1272" s="1"/>
      <c r="J1272" s="2">
        <v>46003</v>
      </c>
      <c r="K1272" s="5">
        <v>1007819</v>
      </c>
      <c r="L1272" s="5">
        <v>3921</v>
      </c>
      <c r="M1272" s="5">
        <v>0</v>
      </c>
      <c r="N1272" s="5">
        <v>3238.6</v>
      </c>
      <c r="O1272" s="7">
        <v>45993</v>
      </c>
      <c r="P1272" s="5">
        <v>3238.6</v>
      </c>
      <c r="Q1272" s="5">
        <v>0</v>
      </c>
      <c r="R1272" s="5" t="s">
        <v>32</v>
      </c>
      <c r="S1272" s="5" t="s">
        <v>33</v>
      </c>
      <c r="T1272" s="5">
        <v>32.39</v>
      </c>
      <c r="U1272" s="5">
        <v>3206.21</v>
      </c>
      <c r="V1272" s="5" t="s">
        <v>34</v>
      </c>
      <c r="W1272" s="5">
        <v>10</v>
      </c>
      <c r="X1272" s="5" t="s">
        <v>659</v>
      </c>
      <c r="Y1272" s="7">
        <v>46003</v>
      </c>
      <c r="Z1272" s="7">
        <v>45993</v>
      </c>
      <c r="AA1272" s="5" t="s">
        <v>32</v>
      </c>
      <c r="AB1272" s="6">
        <v>46003</v>
      </c>
      <c r="AC1272" s="7">
        <v>46003.572916666664</v>
      </c>
      <c r="AD1272" s="5">
        <v>39211007819</v>
      </c>
      <c r="AE1272" s="8">
        <v>45993</v>
      </c>
      <c r="AF1272" s="5">
        <v>54447859</v>
      </c>
      <c r="AG1272" s="5" t="s">
        <v>38</v>
      </c>
      <c r="AH1272" s="5">
        <v>206093</v>
      </c>
      <c r="AI1272" s="6">
        <v>45993</v>
      </c>
      <c r="AJ1272" s="6">
        <v>46003</v>
      </c>
    </row>
    <row r="1273" spans="1:39" hidden="1" x14ac:dyDescent="0.55000000000000004">
      <c r="A1273">
        <v>3921</v>
      </c>
      <c r="B1273">
        <v>1007923</v>
      </c>
      <c r="C1273">
        <v>566.96</v>
      </c>
      <c r="E1273">
        <v>566.96</v>
      </c>
      <c r="F1273">
        <v>5.67</v>
      </c>
      <c r="G1273">
        <v>561.29</v>
      </c>
      <c r="H1273"/>
      <c r="I1273"/>
      <c r="J1273" s="2">
        <v>46003</v>
      </c>
      <c r="K1273" s="5">
        <v>1007923</v>
      </c>
      <c r="L1273" s="5">
        <v>3921</v>
      </c>
      <c r="M1273" s="5">
        <v>0</v>
      </c>
      <c r="N1273" s="5">
        <v>566.96</v>
      </c>
      <c r="O1273" s="7">
        <v>45994</v>
      </c>
      <c r="P1273" s="5">
        <v>566.96</v>
      </c>
      <c r="Q1273" s="5">
        <v>0</v>
      </c>
      <c r="R1273" s="5" t="s">
        <v>32</v>
      </c>
      <c r="S1273" s="5" t="s">
        <v>33</v>
      </c>
      <c r="T1273" s="5">
        <v>5.67</v>
      </c>
      <c r="U1273" s="5">
        <v>561.29</v>
      </c>
      <c r="V1273" s="5" t="s">
        <v>34</v>
      </c>
      <c r="W1273" s="5">
        <v>10</v>
      </c>
      <c r="X1273" s="5" t="s">
        <v>659</v>
      </c>
      <c r="Y1273" s="7">
        <v>46003</v>
      </c>
      <c r="Z1273" s="7">
        <v>45994</v>
      </c>
      <c r="AA1273" s="5" t="s">
        <v>32</v>
      </c>
      <c r="AB1273" s="6">
        <v>46003</v>
      </c>
      <c r="AC1273" s="7">
        <v>46003.572916666664</v>
      </c>
      <c r="AD1273" s="5">
        <v>39211007923</v>
      </c>
      <c r="AE1273" s="8">
        <v>45994</v>
      </c>
      <c r="AF1273" s="5">
        <v>13430</v>
      </c>
      <c r="AG1273" s="5" t="s">
        <v>38</v>
      </c>
      <c r="AH1273" s="5">
        <v>206428</v>
      </c>
      <c r="AI1273" s="6">
        <v>45994</v>
      </c>
      <c r="AJ1273" s="6">
        <v>46003</v>
      </c>
    </row>
    <row r="1274" spans="1:39" x14ac:dyDescent="0.55000000000000004">
      <c r="A1274">
        <v>3921</v>
      </c>
      <c r="B1274">
        <v>1008315</v>
      </c>
      <c r="C1274">
        <v>99.91</v>
      </c>
      <c r="E1274">
        <v>99.91</v>
      </c>
      <c r="F1274">
        <v>1</v>
      </c>
      <c r="G1274">
        <v>99.91</v>
      </c>
      <c r="H1274" s="14">
        <f>C1274-D1274-F1274</f>
        <v>98.91</v>
      </c>
      <c r="I1274" s="14" t="b">
        <f>G1274=H1274</f>
        <v>0</v>
      </c>
      <c r="J1274" s="2">
        <v>46003</v>
      </c>
      <c r="K1274" s="5">
        <v>1008315</v>
      </c>
      <c r="L1274" s="5">
        <v>3921</v>
      </c>
      <c r="M1274" s="5">
        <v>0</v>
      </c>
      <c r="N1274" s="5">
        <v>99.91</v>
      </c>
      <c r="O1274" s="7">
        <v>45996</v>
      </c>
      <c r="P1274" s="5">
        <v>99.91</v>
      </c>
      <c r="Q1274" s="5">
        <v>0</v>
      </c>
      <c r="R1274" s="5">
        <v>1067808</v>
      </c>
      <c r="S1274" s="5" t="s">
        <v>152</v>
      </c>
      <c r="T1274" s="5">
        <v>1</v>
      </c>
      <c r="U1274" s="5">
        <v>99.91</v>
      </c>
      <c r="V1274" s="5" t="s">
        <v>34</v>
      </c>
      <c r="W1274" s="5">
        <v>10</v>
      </c>
      <c r="X1274" s="5" t="s">
        <v>659</v>
      </c>
      <c r="Y1274" s="7">
        <v>46003</v>
      </c>
      <c r="Z1274" s="7">
        <v>45996</v>
      </c>
      <c r="AA1274" s="5" t="s">
        <v>32</v>
      </c>
      <c r="AB1274" s="6">
        <v>46003</v>
      </c>
      <c r="AC1274" s="7">
        <v>46003.572916666664</v>
      </c>
      <c r="AD1274" s="5">
        <v>39211008315</v>
      </c>
      <c r="AE1274" s="8">
        <v>45996</v>
      </c>
      <c r="AF1274" s="5">
        <v>15621</v>
      </c>
      <c r="AG1274" s="5" t="s">
        <v>154</v>
      </c>
      <c r="AH1274" s="5">
        <v>1067808</v>
      </c>
      <c r="AI1274" s="6">
        <v>45996</v>
      </c>
      <c r="AJ1274" s="6">
        <v>46003</v>
      </c>
      <c r="AK1274" s="1">
        <f>C1274*0.01</f>
        <v>0.99909999999999999</v>
      </c>
      <c r="AL1274" t="s">
        <v>673</v>
      </c>
      <c r="AM1274">
        <f>F1274</f>
        <v>1</v>
      </c>
    </row>
    <row r="1275" spans="1:39" hidden="1" x14ac:dyDescent="0.55000000000000004">
      <c r="A1275">
        <v>3928</v>
      </c>
      <c r="B1275">
        <v>1007582</v>
      </c>
      <c r="C1275">
        <v>350</v>
      </c>
      <c r="E1275">
        <v>350</v>
      </c>
      <c r="F1275">
        <v>3.5</v>
      </c>
      <c r="G1275">
        <v>346.5</v>
      </c>
      <c r="H1275"/>
      <c r="I1275"/>
      <c r="J1275" s="2">
        <v>46003</v>
      </c>
      <c r="K1275" s="5">
        <v>1007582</v>
      </c>
      <c r="L1275" s="5">
        <v>3928</v>
      </c>
      <c r="M1275" s="5">
        <v>0</v>
      </c>
      <c r="N1275" s="5">
        <v>350</v>
      </c>
      <c r="O1275" s="7">
        <v>45993</v>
      </c>
      <c r="P1275" s="5">
        <v>350</v>
      </c>
      <c r="Q1275" s="5">
        <v>0</v>
      </c>
      <c r="R1275" s="5" t="s">
        <v>32</v>
      </c>
      <c r="S1275" s="5" t="s">
        <v>33</v>
      </c>
      <c r="T1275" s="5">
        <v>3.5</v>
      </c>
      <c r="U1275" s="5">
        <v>346.5</v>
      </c>
      <c r="V1275" s="5" t="s">
        <v>34</v>
      </c>
      <c r="W1275" s="5">
        <v>10</v>
      </c>
      <c r="X1275" s="5" t="s">
        <v>661</v>
      </c>
      <c r="Y1275" s="7">
        <v>46003</v>
      </c>
      <c r="Z1275" s="7">
        <v>45993</v>
      </c>
      <c r="AA1275" s="5" t="s">
        <v>32</v>
      </c>
      <c r="AB1275" s="6">
        <v>46003</v>
      </c>
      <c r="AC1275" s="7">
        <v>46003.572916666664</v>
      </c>
      <c r="AD1275" s="5">
        <v>39281007582</v>
      </c>
      <c r="AE1275" s="8">
        <v>45993</v>
      </c>
      <c r="AF1275" s="5" t="s">
        <v>32</v>
      </c>
      <c r="AG1275" s="5" t="s">
        <v>82</v>
      </c>
      <c r="AH1275" s="5" t="s">
        <v>32</v>
      </c>
      <c r="AI1275" s="6">
        <v>45993</v>
      </c>
      <c r="AJ1275" s="6">
        <v>46003</v>
      </c>
    </row>
    <row r="1276" spans="1:39" x14ac:dyDescent="0.55000000000000004">
      <c r="A1276">
        <v>3928</v>
      </c>
      <c r="B1276">
        <v>1007916</v>
      </c>
      <c r="C1276">
        <v>208.89</v>
      </c>
      <c r="E1276">
        <v>208.89</v>
      </c>
      <c r="F1276">
        <v>2.09</v>
      </c>
      <c r="G1276">
        <v>208.89</v>
      </c>
      <c r="H1276" s="14">
        <f>C1276-D1276-F1276</f>
        <v>206.79999999999998</v>
      </c>
      <c r="I1276" s="14" t="b">
        <f>G1276=H1276</f>
        <v>0</v>
      </c>
      <c r="J1276" s="2">
        <v>46003</v>
      </c>
      <c r="K1276" s="5">
        <v>1007916</v>
      </c>
      <c r="L1276" s="5">
        <v>3928</v>
      </c>
      <c r="M1276" s="5">
        <v>0</v>
      </c>
      <c r="N1276" s="5">
        <v>208.89</v>
      </c>
      <c r="O1276" s="7">
        <v>45994</v>
      </c>
      <c r="P1276" s="5">
        <v>208.89</v>
      </c>
      <c r="Q1276" s="5">
        <v>0</v>
      </c>
      <c r="R1276" s="5" t="s">
        <v>32</v>
      </c>
      <c r="S1276" s="5" t="s">
        <v>33</v>
      </c>
      <c r="T1276" s="5">
        <v>2.09</v>
      </c>
      <c r="U1276" s="5">
        <v>208.89</v>
      </c>
      <c r="V1276" s="5" t="s">
        <v>34</v>
      </c>
      <c r="W1276" s="5">
        <v>10</v>
      </c>
      <c r="X1276" s="5" t="s">
        <v>661</v>
      </c>
      <c r="Y1276" s="7">
        <v>46003</v>
      </c>
      <c r="Z1276" s="7">
        <v>45994</v>
      </c>
      <c r="AA1276" s="5" t="s">
        <v>32</v>
      </c>
      <c r="AB1276" s="6">
        <v>46003</v>
      </c>
      <c r="AC1276" s="7">
        <v>46003.572916666664</v>
      </c>
      <c r="AD1276" s="5">
        <v>39281007916</v>
      </c>
      <c r="AE1276" s="8">
        <v>45994</v>
      </c>
      <c r="AF1276" s="5">
        <v>220</v>
      </c>
      <c r="AG1276" s="5" t="s">
        <v>37</v>
      </c>
      <c r="AH1276" s="5">
        <v>206487</v>
      </c>
      <c r="AI1276" s="6">
        <v>45994</v>
      </c>
      <c r="AJ1276" s="6">
        <v>46003</v>
      </c>
      <c r="AK1276" s="1">
        <f t="shared" ref="AK1276" si="575">0.02*C1276</f>
        <v>4.1777999999999995</v>
      </c>
      <c r="AL1276" t="s">
        <v>673</v>
      </c>
      <c r="AM1276">
        <f>F1276</f>
        <v>2.09</v>
      </c>
    </row>
    <row r="1277" spans="1:39" hidden="1" x14ac:dyDescent="0.55000000000000004">
      <c r="A1277">
        <v>3928</v>
      </c>
      <c r="B1277">
        <v>1007920</v>
      </c>
      <c r="C1277">
        <v>648.98</v>
      </c>
      <c r="E1277">
        <v>648.98</v>
      </c>
      <c r="F1277">
        <v>6.49</v>
      </c>
      <c r="G1277">
        <v>642.49</v>
      </c>
      <c r="H1277"/>
      <c r="I1277"/>
      <c r="J1277" s="2">
        <v>46003</v>
      </c>
      <c r="K1277" s="5">
        <v>1007920</v>
      </c>
      <c r="L1277" s="5">
        <v>3928</v>
      </c>
      <c r="M1277" s="5">
        <v>0</v>
      </c>
      <c r="N1277" s="5">
        <v>648.98</v>
      </c>
      <c r="O1277" s="7">
        <v>45994</v>
      </c>
      <c r="P1277" s="5">
        <v>648.98</v>
      </c>
      <c r="Q1277" s="5">
        <v>0</v>
      </c>
      <c r="R1277" s="5" t="s">
        <v>32</v>
      </c>
      <c r="S1277" s="5" t="s">
        <v>33</v>
      </c>
      <c r="T1277" s="5">
        <v>6.49</v>
      </c>
      <c r="U1277" s="5">
        <v>642.49</v>
      </c>
      <c r="V1277" s="5" t="s">
        <v>34</v>
      </c>
      <c r="W1277" s="5">
        <v>10</v>
      </c>
      <c r="X1277" s="5" t="s">
        <v>661</v>
      </c>
      <c r="Y1277" s="7">
        <v>46003</v>
      </c>
      <c r="Z1277" s="7">
        <v>45994</v>
      </c>
      <c r="AA1277" s="5" t="s">
        <v>32</v>
      </c>
      <c r="AB1277" s="6">
        <v>46003</v>
      </c>
      <c r="AC1277" s="7">
        <v>46003.572916666664</v>
      </c>
      <c r="AD1277" s="5">
        <v>39281007920</v>
      </c>
      <c r="AE1277" s="8">
        <v>45994</v>
      </c>
      <c r="AF1277" s="5">
        <v>220</v>
      </c>
      <c r="AG1277" s="5" t="s">
        <v>38</v>
      </c>
      <c r="AH1277" s="5">
        <v>206488</v>
      </c>
      <c r="AI1277" s="6">
        <v>45994</v>
      </c>
      <c r="AJ1277" s="6">
        <v>46003</v>
      </c>
    </row>
    <row r="1278" spans="1:39" x14ac:dyDescent="0.55000000000000004">
      <c r="A1278">
        <v>3928</v>
      </c>
      <c r="B1278">
        <v>1008072</v>
      </c>
      <c r="C1278">
        <v>222.76</v>
      </c>
      <c r="E1278">
        <v>222.76</v>
      </c>
      <c r="F1278">
        <v>2.23</v>
      </c>
      <c r="G1278">
        <v>222.76</v>
      </c>
      <c r="H1278" s="14">
        <f>C1278-D1278-F1278</f>
        <v>220.53</v>
      </c>
      <c r="I1278" s="14" t="b">
        <f>G1278=H1278</f>
        <v>0</v>
      </c>
      <c r="J1278" s="2">
        <v>46003</v>
      </c>
      <c r="K1278" s="5">
        <v>1008072</v>
      </c>
      <c r="L1278" s="5">
        <v>3928</v>
      </c>
      <c r="M1278" s="5">
        <v>0</v>
      </c>
      <c r="N1278" s="5">
        <v>222.76</v>
      </c>
      <c r="O1278" s="7">
        <v>45995</v>
      </c>
      <c r="P1278" s="5">
        <v>222.76</v>
      </c>
      <c r="Q1278" s="5">
        <v>0</v>
      </c>
      <c r="R1278" s="5" t="s">
        <v>32</v>
      </c>
      <c r="S1278" s="5" t="s">
        <v>33</v>
      </c>
      <c r="T1278" s="5">
        <v>2.23</v>
      </c>
      <c r="U1278" s="5">
        <v>222.76</v>
      </c>
      <c r="V1278" s="5" t="s">
        <v>34</v>
      </c>
      <c r="W1278" s="5">
        <v>10</v>
      </c>
      <c r="X1278" s="5" t="s">
        <v>661</v>
      </c>
      <c r="Y1278" s="7">
        <v>46003</v>
      </c>
      <c r="Z1278" s="7">
        <v>45995</v>
      </c>
      <c r="AA1278" s="5" t="s">
        <v>32</v>
      </c>
      <c r="AB1278" s="6">
        <v>46003</v>
      </c>
      <c r="AC1278" s="7">
        <v>46003.572916666664</v>
      </c>
      <c r="AD1278" s="5">
        <v>39281008072</v>
      </c>
      <c r="AE1278" s="8">
        <v>45995</v>
      </c>
      <c r="AF1278" s="5">
        <v>204</v>
      </c>
      <c r="AG1278" s="5" t="s">
        <v>37</v>
      </c>
      <c r="AH1278" s="5">
        <v>206413</v>
      </c>
      <c r="AI1278" s="6">
        <v>45995</v>
      </c>
      <c r="AJ1278" s="6">
        <v>46003</v>
      </c>
      <c r="AK1278" s="1">
        <f t="shared" ref="AK1278" si="576">0.02*C1278</f>
        <v>4.4551999999999996</v>
      </c>
      <c r="AL1278" t="s">
        <v>673</v>
      </c>
      <c r="AM1278">
        <f>F1278</f>
        <v>2.23</v>
      </c>
    </row>
    <row r="1279" spans="1:39" hidden="1" x14ac:dyDescent="0.55000000000000004">
      <c r="A1279">
        <v>3928</v>
      </c>
      <c r="B1279">
        <v>1009040</v>
      </c>
      <c r="C1279">
        <v>-121.5</v>
      </c>
      <c r="E1279">
        <v>-121.5</v>
      </c>
      <c r="G1279">
        <v>-121.5</v>
      </c>
      <c r="H1279"/>
      <c r="I1279"/>
      <c r="J1279" s="2">
        <v>46003</v>
      </c>
      <c r="K1279" s="5">
        <v>1009040</v>
      </c>
      <c r="L1279" s="5">
        <v>3928</v>
      </c>
      <c r="M1279" s="5">
        <v>0</v>
      </c>
      <c r="N1279" s="5">
        <v>-121.5</v>
      </c>
      <c r="O1279" s="7">
        <v>46000</v>
      </c>
      <c r="P1279" s="5">
        <v>-121.5</v>
      </c>
      <c r="Q1279" s="5">
        <v>0</v>
      </c>
      <c r="R1279" s="5">
        <v>1009040</v>
      </c>
      <c r="S1279" s="5" t="s">
        <v>33</v>
      </c>
      <c r="T1279" s="5">
        <v>0</v>
      </c>
      <c r="U1279" s="5">
        <v>-121.5</v>
      </c>
      <c r="V1279" s="5" t="s">
        <v>34</v>
      </c>
      <c r="W1279" s="5">
        <v>10</v>
      </c>
      <c r="X1279" s="5" t="s">
        <v>661</v>
      </c>
      <c r="Y1279" s="7">
        <v>46003</v>
      </c>
      <c r="Z1279" s="7">
        <v>46000</v>
      </c>
      <c r="AA1279" s="5" t="s">
        <v>32</v>
      </c>
      <c r="AB1279" s="6">
        <v>46003</v>
      </c>
      <c r="AC1279" s="7">
        <v>46003.572916666664</v>
      </c>
      <c r="AD1279" s="5">
        <v>39281009040</v>
      </c>
      <c r="AE1279" s="8">
        <v>46000</v>
      </c>
      <c r="AF1279" s="6">
        <v>45984</v>
      </c>
      <c r="AG1279" s="5" t="s">
        <v>38</v>
      </c>
      <c r="AH1279" s="5" t="s">
        <v>662</v>
      </c>
      <c r="AI1279" s="6">
        <v>46000</v>
      </c>
      <c r="AJ1279" s="6">
        <v>46003</v>
      </c>
    </row>
    <row r="1280" spans="1:39" x14ac:dyDescent="0.55000000000000004">
      <c r="A1280">
        <v>5024</v>
      </c>
      <c r="B1280">
        <v>1002438</v>
      </c>
      <c r="C1280" s="1">
        <v>3147.52</v>
      </c>
      <c r="D1280" s="4">
        <v>62.95</v>
      </c>
      <c r="E1280" s="1">
        <v>3084.57</v>
      </c>
      <c r="G1280" s="1">
        <v>3084.57</v>
      </c>
      <c r="H1280" s="14">
        <f t="shared" ref="H1280:H1293" si="577">C1280-D1280-F1280</f>
        <v>3084.57</v>
      </c>
      <c r="I1280" s="14" t="b">
        <f t="shared" ref="I1280:I1293" si="578">G1280=H1280</f>
        <v>1</v>
      </c>
      <c r="J1280" s="2">
        <v>46003</v>
      </c>
      <c r="K1280" s="5">
        <v>1002438</v>
      </c>
      <c r="L1280" s="5">
        <v>5024</v>
      </c>
      <c r="M1280" s="5">
        <v>62.95</v>
      </c>
      <c r="N1280" s="5">
        <v>3147.52</v>
      </c>
      <c r="O1280" s="7">
        <v>45966</v>
      </c>
      <c r="P1280" s="5">
        <v>3084.57</v>
      </c>
      <c r="Q1280" s="5">
        <v>62.95</v>
      </c>
      <c r="R1280" s="5" t="s">
        <v>32</v>
      </c>
      <c r="S1280" s="5" t="s">
        <v>33</v>
      </c>
      <c r="T1280" s="5">
        <v>0</v>
      </c>
      <c r="U1280" s="5">
        <v>3084.57</v>
      </c>
      <c r="V1280" s="5" t="s">
        <v>34</v>
      </c>
      <c r="W1280" s="5">
        <v>2</v>
      </c>
      <c r="X1280" s="5">
        <v>8129018984623</v>
      </c>
      <c r="Y1280" s="7">
        <v>46003</v>
      </c>
      <c r="Z1280" s="7">
        <v>45966</v>
      </c>
      <c r="AB1280" s="6">
        <v>46003</v>
      </c>
      <c r="AC1280" s="7">
        <v>46001.586805555555</v>
      </c>
      <c r="AD1280" s="5">
        <v>50241002438</v>
      </c>
      <c r="AE1280" s="8">
        <v>45966</v>
      </c>
      <c r="AF1280" s="5" t="s">
        <v>663</v>
      </c>
      <c r="AG1280" s="5" t="s">
        <v>71</v>
      </c>
      <c r="AH1280" s="5">
        <v>201818</v>
      </c>
      <c r="AI1280" s="6">
        <v>45966</v>
      </c>
      <c r="AJ1280" s="6">
        <v>46003</v>
      </c>
      <c r="AK1280" s="1">
        <f t="shared" ref="AK1280:AK1293" si="579">0.02*C1280</f>
        <v>62.950400000000002</v>
      </c>
    </row>
    <row r="1281" spans="1:39" x14ac:dyDescent="0.55000000000000004">
      <c r="A1281">
        <v>5024</v>
      </c>
      <c r="B1281">
        <v>1003554</v>
      </c>
      <c r="C1281" s="1">
        <v>1332.52</v>
      </c>
      <c r="D1281" s="4">
        <v>26.65</v>
      </c>
      <c r="E1281" s="1">
        <v>1305.8699999999999</v>
      </c>
      <c r="G1281" s="1">
        <v>1305.8699999999999</v>
      </c>
      <c r="H1281" s="14">
        <f t="shared" si="577"/>
        <v>1305.8699999999999</v>
      </c>
      <c r="I1281" s="14" t="b">
        <f t="shared" si="578"/>
        <v>1</v>
      </c>
      <c r="J1281" s="2">
        <v>46003</v>
      </c>
      <c r="K1281" s="5">
        <v>1003554</v>
      </c>
      <c r="L1281" s="5">
        <v>5024</v>
      </c>
      <c r="M1281" s="5">
        <v>26.65</v>
      </c>
      <c r="N1281" s="5">
        <v>1332.52</v>
      </c>
      <c r="O1281" s="7">
        <v>45973</v>
      </c>
      <c r="P1281" s="5">
        <v>1305.8699999999999</v>
      </c>
      <c r="Q1281" s="5">
        <v>26.65</v>
      </c>
      <c r="R1281" s="5" t="s">
        <v>32</v>
      </c>
      <c r="S1281" s="5" t="s">
        <v>33</v>
      </c>
      <c r="T1281" s="5">
        <v>0</v>
      </c>
      <c r="U1281" s="5">
        <v>1305.8699999999999</v>
      </c>
      <c r="V1281" s="5" t="s">
        <v>34</v>
      </c>
      <c r="W1281" s="5">
        <v>2</v>
      </c>
      <c r="X1281" s="5">
        <v>8129018984623</v>
      </c>
      <c r="Y1281" s="7">
        <v>46003</v>
      </c>
      <c r="Z1281" s="7">
        <v>45973</v>
      </c>
      <c r="AB1281" s="6">
        <v>46003</v>
      </c>
      <c r="AC1281" s="7">
        <v>46001.586805555555</v>
      </c>
      <c r="AD1281" s="5">
        <v>50241003554</v>
      </c>
      <c r="AE1281" s="8">
        <v>45973</v>
      </c>
      <c r="AF1281" s="5" t="s">
        <v>664</v>
      </c>
      <c r="AG1281" s="5" t="s">
        <v>71</v>
      </c>
      <c r="AH1281" s="5">
        <v>202703</v>
      </c>
      <c r="AI1281" s="6">
        <v>45973</v>
      </c>
      <c r="AJ1281" s="6">
        <v>46003</v>
      </c>
      <c r="AK1281" s="1">
        <f t="shared" si="579"/>
        <v>26.650400000000001</v>
      </c>
    </row>
    <row r="1282" spans="1:39" x14ac:dyDescent="0.55000000000000004">
      <c r="A1282">
        <v>5036</v>
      </c>
      <c r="B1282">
        <v>1000591</v>
      </c>
      <c r="C1282">
        <v>76.08</v>
      </c>
      <c r="D1282" s="4">
        <v>1.52</v>
      </c>
      <c r="E1282">
        <v>74.56</v>
      </c>
      <c r="G1282">
        <v>74.56</v>
      </c>
      <c r="H1282" s="14">
        <f t="shared" si="577"/>
        <v>74.56</v>
      </c>
      <c r="I1282" s="14" t="b">
        <f t="shared" si="578"/>
        <v>1</v>
      </c>
      <c r="J1282" s="2">
        <v>46003</v>
      </c>
      <c r="K1282" s="5">
        <v>1000591</v>
      </c>
      <c r="L1282" s="5">
        <v>5036</v>
      </c>
      <c r="M1282" s="5">
        <v>1.52</v>
      </c>
      <c r="N1282" s="5">
        <v>76.08</v>
      </c>
      <c r="O1282" s="7">
        <v>45958</v>
      </c>
      <c r="P1282" s="5">
        <v>74.56</v>
      </c>
      <c r="Q1282" s="5">
        <v>1.52</v>
      </c>
      <c r="R1282" s="5" t="s">
        <v>32</v>
      </c>
      <c r="S1282" s="5" t="s">
        <v>33</v>
      </c>
      <c r="T1282" s="5">
        <v>0</v>
      </c>
      <c r="U1282" s="5">
        <v>74.56</v>
      </c>
      <c r="V1282" s="5" t="s">
        <v>34</v>
      </c>
      <c r="W1282" s="5">
        <v>2</v>
      </c>
      <c r="X1282" s="5">
        <v>330056339526</v>
      </c>
      <c r="Y1282" s="7">
        <v>46003</v>
      </c>
      <c r="Z1282" s="7">
        <v>45958</v>
      </c>
      <c r="AB1282" s="6">
        <v>46003</v>
      </c>
      <c r="AC1282" s="7">
        <v>46000.51666666667</v>
      </c>
      <c r="AD1282" s="5">
        <v>50361000591</v>
      </c>
      <c r="AE1282" s="8">
        <v>45958</v>
      </c>
      <c r="AF1282" s="5">
        <v>3080</v>
      </c>
      <c r="AG1282" s="5" t="s">
        <v>71</v>
      </c>
      <c r="AH1282" s="5">
        <v>200392</v>
      </c>
      <c r="AI1282" s="6">
        <v>45958</v>
      </c>
      <c r="AJ1282" s="6">
        <v>46003</v>
      </c>
      <c r="AK1282" s="1">
        <f t="shared" si="579"/>
        <v>1.5216000000000001</v>
      </c>
    </row>
    <row r="1283" spans="1:39" x14ac:dyDescent="0.55000000000000004">
      <c r="A1283">
        <v>5036</v>
      </c>
      <c r="B1283">
        <v>1002452</v>
      </c>
      <c r="C1283" s="1">
        <v>1108.52</v>
      </c>
      <c r="D1283" s="4">
        <v>22.17</v>
      </c>
      <c r="E1283" s="1">
        <v>1086.3499999999999</v>
      </c>
      <c r="G1283" s="1">
        <v>1086.3499999999999</v>
      </c>
      <c r="H1283" s="14">
        <f t="shared" si="577"/>
        <v>1086.3499999999999</v>
      </c>
      <c r="I1283" s="14" t="b">
        <f t="shared" si="578"/>
        <v>1</v>
      </c>
      <c r="J1283" s="2">
        <v>46003</v>
      </c>
      <c r="K1283" s="5">
        <v>1002452</v>
      </c>
      <c r="L1283" s="5">
        <v>5036</v>
      </c>
      <c r="M1283" s="5">
        <v>22.17</v>
      </c>
      <c r="N1283" s="5">
        <v>1108.52</v>
      </c>
      <c r="O1283" s="7">
        <v>45966</v>
      </c>
      <c r="P1283" s="5">
        <v>1086.3499999999999</v>
      </c>
      <c r="Q1283" s="5">
        <v>22.17</v>
      </c>
      <c r="R1283" s="5" t="s">
        <v>32</v>
      </c>
      <c r="S1283" s="5" t="s">
        <v>33</v>
      </c>
      <c r="T1283" s="5">
        <v>0</v>
      </c>
      <c r="U1283" s="5">
        <v>1086.3499999999999</v>
      </c>
      <c r="V1283" s="5" t="s">
        <v>34</v>
      </c>
      <c r="W1283" s="5">
        <v>2</v>
      </c>
      <c r="X1283" s="5">
        <v>330056339526</v>
      </c>
      <c r="Y1283" s="7">
        <v>46003</v>
      </c>
      <c r="Z1283" s="7">
        <v>45966</v>
      </c>
      <c r="AB1283" s="6">
        <v>46003</v>
      </c>
      <c r="AC1283" s="7">
        <v>46000.51666666667</v>
      </c>
      <c r="AD1283" s="5">
        <v>50361002452</v>
      </c>
      <c r="AE1283" s="8">
        <v>45966</v>
      </c>
      <c r="AF1283" s="5">
        <v>251105001</v>
      </c>
      <c r="AG1283" s="5" t="s">
        <v>71</v>
      </c>
      <c r="AH1283" s="5">
        <v>201837</v>
      </c>
      <c r="AI1283" s="6">
        <v>45966</v>
      </c>
      <c r="AJ1283" s="6">
        <v>46003</v>
      </c>
      <c r="AK1283" s="1">
        <f t="shared" si="579"/>
        <v>22.170400000000001</v>
      </c>
    </row>
    <row r="1284" spans="1:39" x14ac:dyDescent="0.55000000000000004">
      <c r="A1284">
        <v>5036</v>
      </c>
      <c r="B1284">
        <v>1003546</v>
      </c>
      <c r="C1284" s="1">
        <v>1074.0999999999999</v>
      </c>
      <c r="D1284" s="4">
        <v>21.48</v>
      </c>
      <c r="E1284" s="1">
        <v>1052.6199999999999</v>
      </c>
      <c r="G1284" s="1">
        <v>1052.6199999999999</v>
      </c>
      <c r="H1284" s="14">
        <f t="shared" si="577"/>
        <v>1052.6199999999999</v>
      </c>
      <c r="I1284" s="14" t="b">
        <f t="shared" si="578"/>
        <v>1</v>
      </c>
      <c r="J1284" s="2">
        <v>46003</v>
      </c>
      <c r="K1284" s="5">
        <v>1003546</v>
      </c>
      <c r="L1284" s="5">
        <v>5036</v>
      </c>
      <c r="M1284" s="5">
        <v>21.48</v>
      </c>
      <c r="N1284" s="5">
        <v>1074.0999999999999</v>
      </c>
      <c r="O1284" s="7">
        <v>45973</v>
      </c>
      <c r="P1284" s="5">
        <v>1052.6199999999999</v>
      </c>
      <c r="Q1284" s="5">
        <v>21.48</v>
      </c>
      <c r="R1284" s="5" t="s">
        <v>32</v>
      </c>
      <c r="S1284" s="5" t="s">
        <v>33</v>
      </c>
      <c r="T1284" s="5">
        <v>0</v>
      </c>
      <c r="U1284" s="5">
        <v>1052.6199999999999</v>
      </c>
      <c r="V1284" s="5" t="s">
        <v>34</v>
      </c>
      <c r="W1284" s="5">
        <v>2</v>
      </c>
      <c r="X1284" s="5">
        <v>330056339526</v>
      </c>
      <c r="Y1284" s="7">
        <v>46003</v>
      </c>
      <c r="Z1284" s="7">
        <v>45973</v>
      </c>
      <c r="AB1284" s="6">
        <v>46003</v>
      </c>
      <c r="AC1284" s="7">
        <v>46000.51666666667</v>
      </c>
      <c r="AD1284" s="5">
        <v>50361003546</v>
      </c>
      <c r="AE1284" s="8">
        <v>45973</v>
      </c>
      <c r="AF1284" s="5">
        <v>251111001</v>
      </c>
      <c r="AG1284" s="5" t="s">
        <v>71</v>
      </c>
      <c r="AH1284" s="5">
        <v>202700</v>
      </c>
      <c r="AI1284" s="6">
        <v>45973</v>
      </c>
      <c r="AJ1284" s="6">
        <v>46003</v>
      </c>
      <c r="AK1284" s="1">
        <f t="shared" si="579"/>
        <v>21.481999999999999</v>
      </c>
    </row>
    <row r="1285" spans="1:39" x14ac:dyDescent="0.55000000000000004">
      <c r="A1285">
        <v>5057</v>
      </c>
      <c r="B1285">
        <v>1007486</v>
      </c>
      <c r="C1285" s="1">
        <v>2196.9299999999998</v>
      </c>
      <c r="D1285" s="4">
        <v>43.94</v>
      </c>
      <c r="E1285" s="1">
        <v>2152.9899999999998</v>
      </c>
      <c r="F1285">
        <v>21.97</v>
      </c>
      <c r="G1285" s="1">
        <v>2131.02</v>
      </c>
      <c r="H1285" s="14">
        <f t="shared" si="577"/>
        <v>2131.02</v>
      </c>
      <c r="I1285" s="14" t="b">
        <f t="shared" si="578"/>
        <v>1</v>
      </c>
      <c r="J1285" s="2">
        <v>46003</v>
      </c>
      <c r="K1285" s="5">
        <v>1007486</v>
      </c>
      <c r="L1285" s="5">
        <v>5057</v>
      </c>
      <c r="M1285" s="5">
        <v>43.94</v>
      </c>
      <c r="N1285" s="5">
        <v>2196.9299999999998</v>
      </c>
      <c r="O1285" s="7">
        <v>45992</v>
      </c>
      <c r="P1285" s="5">
        <v>2152.9899999999998</v>
      </c>
      <c r="Q1285" s="5">
        <v>43.94</v>
      </c>
      <c r="R1285" s="5" t="s">
        <v>32</v>
      </c>
      <c r="S1285" s="5" t="s">
        <v>33</v>
      </c>
      <c r="T1285" s="5">
        <v>21.97</v>
      </c>
      <c r="U1285" s="5">
        <v>2131.02</v>
      </c>
      <c r="V1285" s="5" t="s">
        <v>34</v>
      </c>
      <c r="W1285" s="5">
        <v>2</v>
      </c>
      <c r="X1285" s="5">
        <v>9197500477107</v>
      </c>
      <c r="Y1285" s="7">
        <v>46003</v>
      </c>
      <c r="Z1285" s="7">
        <v>45992</v>
      </c>
      <c r="AB1285" s="6">
        <v>46003</v>
      </c>
      <c r="AC1285" s="7">
        <v>46000.470138888886</v>
      </c>
      <c r="AD1285" s="5">
        <v>50571007486</v>
      </c>
      <c r="AE1285" s="8">
        <v>45992</v>
      </c>
      <c r="AF1285" s="5" t="s">
        <v>665</v>
      </c>
      <c r="AG1285" s="5" t="s">
        <v>37</v>
      </c>
      <c r="AH1285" s="5">
        <v>206015</v>
      </c>
      <c r="AI1285" s="6">
        <v>45992</v>
      </c>
      <c r="AJ1285" s="6">
        <v>46003</v>
      </c>
      <c r="AK1285" s="1">
        <f t="shared" si="579"/>
        <v>43.938600000000001</v>
      </c>
    </row>
    <row r="1286" spans="1:39" x14ac:dyDescent="0.55000000000000004">
      <c r="A1286">
        <v>5057</v>
      </c>
      <c r="B1286">
        <v>1008167</v>
      </c>
      <c r="C1286" s="1">
        <v>5170.32</v>
      </c>
      <c r="D1286" s="4">
        <v>3.41</v>
      </c>
      <c r="E1286" s="1">
        <v>5066.91</v>
      </c>
      <c r="F1286">
        <v>51.7</v>
      </c>
      <c r="G1286" s="1">
        <v>5015.21</v>
      </c>
      <c r="H1286" s="14">
        <f t="shared" si="577"/>
        <v>5115.21</v>
      </c>
      <c r="I1286" s="14" t="b">
        <f t="shared" si="578"/>
        <v>0</v>
      </c>
      <c r="J1286" s="2">
        <v>46003</v>
      </c>
      <c r="K1286" s="5">
        <v>1008167</v>
      </c>
      <c r="L1286" s="5">
        <v>5057</v>
      </c>
      <c r="M1286" s="5">
        <v>103.41</v>
      </c>
      <c r="N1286" s="5">
        <v>5170.32</v>
      </c>
      <c r="O1286" s="7">
        <v>45995</v>
      </c>
      <c r="P1286" s="5">
        <v>5066.91</v>
      </c>
      <c r="Q1286" s="5">
        <v>103.41</v>
      </c>
      <c r="R1286" s="5" t="s">
        <v>32</v>
      </c>
      <c r="S1286" s="5" t="s">
        <v>33</v>
      </c>
      <c r="T1286" s="5">
        <v>51.7</v>
      </c>
      <c r="U1286" s="5">
        <v>5015.21</v>
      </c>
      <c r="V1286" s="5" t="s">
        <v>34</v>
      </c>
      <c r="W1286" s="5">
        <v>2</v>
      </c>
      <c r="X1286" s="5">
        <v>9197500477107</v>
      </c>
      <c r="Y1286" s="7">
        <v>46003</v>
      </c>
      <c r="Z1286" s="7">
        <v>45995</v>
      </c>
      <c r="AB1286" s="6">
        <v>46003</v>
      </c>
      <c r="AC1286" s="7">
        <v>46000.470138888886</v>
      </c>
      <c r="AD1286" s="5">
        <v>50571008167</v>
      </c>
      <c r="AE1286" s="8">
        <v>45995</v>
      </c>
      <c r="AF1286" s="5" t="s">
        <v>666</v>
      </c>
      <c r="AG1286" s="5" t="s">
        <v>37</v>
      </c>
      <c r="AH1286" s="5">
        <v>206731</v>
      </c>
      <c r="AI1286" s="6">
        <v>45995</v>
      </c>
      <c r="AJ1286" s="6">
        <v>46003</v>
      </c>
      <c r="AK1286" s="1">
        <f t="shared" si="579"/>
        <v>103.40639999999999</v>
      </c>
      <c r="AM1286">
        <f>F1286</f>
        <v>51.7</v>
      </c>
    </row>
    <row r="1287" spans="1:39" x14ac:dyDescent="0.55000000000000004">
      <c r="A1287">
        <v>5105</v>
      </c>
      <c r="B1287">
        <v>1002830</v>
      </c>
      <c r="C1287">
        <v>982.01</v>
      </c>
      <c r="D1287" s="4">
        <v>19.64</v>
      </c>
      <c r="E1287">
        <v>962.37</v>
      </c>
      <c r="G1287">
        <v>962.37</v>
      </c>
      <c r="H1287" s="14">
        <f t="shared" si="577"/>
        <v>962.37</v>
      </c>
      <c r="I1287" s="14" t="b">
        <f t="shared" si="578"/>
        <v>1</v>
      </c>
      <c r="J1287" s="2">
        <v>46003</v>
      </c>
      <c r="K1287" s="5">
        <v>1002830</v>
      </c>
      <c r="L1287" s="5">
        <v>5105</v>
      </c>
      <c r="M1287" s="5">
        <v>19.64</v>
      </c>
      <c r="N1287" s="5">
        <v>982.01</v>
      </c>
      <c r="O1287" s="7">
        <v>45968</v>
      </c>
      <c r="P1287" s="5">
        <v>962.37</v>
      </c>
      <c r="Q1287" s="5">
        <v>19.64</v>
      </c>
      <c r="R1287" s="5" t="s">
        <v>32</v>
      </c>
      <c r="S1287" s="5" t="s">
        <v>33</v>
      </c>
      <c r="T1287" s="5">
        <v>0</v>
      </c>
      <c r="U1287" s="5">
        <v>962.37</v>
      </c>
      <c r="V1287" s="5" t="s">
        <v>34</v>
      </c>
      <c r="W1287" s="5">
        <v>2</v>
      </c>
      <c r="X1287" s="5">
        <v>6492136810792</v>
      </c>
      <c r="Y1287" s="7">
        <v>46003</v>
      </c>
      <c r="Z1287" s="7">
        <v>45968</v>
      </c>
      <c r="AB1287" s="6">
        <v>46003</v>
      </c>
      <c r="AC1287" s="7">
        <v>46002.585416666669</v>
      </c>
      <c r="AD1287" s="5">
        <v>51051002830</v>
      </c>
      <c r="AE1287" s="8">
        <v>45968</v>
      </c>
      <c r="AF1287" s="5" t="s">
        <v>667</v>
      </c>
      <c r="AG1287" s="5" t="s">
        <v>71</v>
      </c>
      <c r="AH1287" s="5">
        <v>202166</v>
      </c>
      <c r="AI1287" s="6">
        <v>45968</v>
      </c>
      <c r="AJ1287" s="6">
        <v>46003</v>
      </c>
      <c r="AK1287" s="1">
        <f t="shared" si="579"/>
        <v>19.6402</v>
      </c>
    </row>
    <row r="1288" spans="1:39" x14ac:dyDescent="0.55000000000000004">
      <c r="A1288">
        <v>5105</v>
      </c>
      <c r="B1288">
        <v>1002927</v>
      </c>
      <c r="C1288">
        <v>10.87</v>
      </c>
      <c r="D1288" s="4">
        <v>0.22</v>
      </c>
      <c r="E1288">
        <v>10.65</v>
      </c>
      <c r="G1288">
        <v>10.65</v>
      </c>
      <c r="H1288" s="14">
        <f t="shared" si="577"/>
        <v>10.649999999999999</v>
      </c>
      <c r="I1288" s="14" t="b">
        <f t="shared" si="578"/>
        <v>1</v>
      </c>
      <c r="J1288" s="2">
        <v>46003</v>
      </c>
      <c r="K1288" s="5">
        <v>1002927</v>
      </c>
      <c r="L1288" s="5">
        <v>5105</v>
      </c>
      <c r="M1288" s="5">
        <v>0.22</v>
      </c>
      <c r="N1288" s="5">
        <v>10.87</v>
      </c>
      <c r="O1288" s="7">
        <v>45971</v>
      </c>
      <c r="P1288" s="5">
        <v>10.65</v>
      </c>
      <c r="Q1288" s="5">
        <v>0.22</v>
      </c>
      <c r="R1288" s="5" t="s">
        <v>32</v>
      </c>
      <c r="S1288" s="5" t="s">
        <v>33</v>
      </c>
      <c r="T1288" s="5">
        <v>0</v>
      </c>
      <c r="U1288" s="5">
        <v>10.65</v>
      </c>
      <c r="V1288" s="5" t="s">
        <v>34</v>
      </c>
      <c r="W1288" s="5">
        <v>2</v>
      </c>
      <c r="X1288" s="5">
        <v>6492136810792</v>
      </c>
      <c r="Y1288" s="7">
        <v>46003</v>
      </c>
      <c r="Z1288" s="7">
        <v>45971</v>
      </c>
      <c r="AB1288" s="6">
        <v>46003</v>
      </c>
      <c r="AC1288" s="7">
        <v>46002.585416666669</v>
      </c>
      <c r="AD1288" s="5">
        <v>51051002927</v>
      </c>
      <c r="AE1288" s="8">
        <v>45971</v>
      </c>
      <c r="AF1288" s="5" t="s">
        <v>668</v>
      </c>
      <c r="AG1288" s="5" t="s">
        <v>71</v>
      </c>
      <c r="AH1288" s="5">
        <v>202411</v>
      </c>
      <c r="AI1288" s="6">
        <v>45971</v>
      </c>
      <c r="AJ1288" s="6">
        <v>46003</v>
      </c>
      <c r="AK1288" s="1">
        <f t="shared" si="579"/>
        <v>0.21739999999999998</v>
      </c>
    </row>
    <row r="1289" spans="1:39" x14ac:dyDescent="0.55000000000000004">
      <c r="A1289">
        <v>5105</v>
      </c>
      <c r="B1289">
        <v>1002930</v>
      </c>
      <c r="C1289">
        <v>271.08999999999997</v>
      </c>
      <c r="D1289" s="4">
        <v>5.42</v>
      </c>
      <c r="E1289">
        <v>265.67</v>
      </c>
      <c r="G1289">
        <v>265.67</v>
      </c>
      <c r="H1289" s="14">
        <f t="shared" si="577"/>
        <v>265.66999999999996</v>
      </c>
      <c r="I1289" s="14" t="b">
        <f t="shared" si="578"/>
        <v>1</v>
      </c>
      <c r="J1289" s="2">
        <v>46003</v>
      </c>
      <c r="K1289" s="5">
        <v>1002930</v>
      </c>
      <c r="L1289" s="5">
        <v>5105</v>
      </c>
      <c r="M1289" s="5">
        <v>5.42</v>
      </c>
      <c r="N1289" s="5">
        <v>271.08999999999997</v>
      </c>
      <c r="O1289" s="7">
        <v>45971</v>
      </c>
      <c r="P1289" s="5">
        <v>265.67</v>
      </c>
      <c r="Q1289" s="5">
        <v>5.42</v>
      </c>
      <c r="R1289" s="5" t="s">
        <v>32</v>
      </c>
      <c r="S1289" s="5" t="s">
        <v>33</v>
      </c>
      <c r="T1289" s="5">
        <v>0</v>
      </c>
      <c r="U1289" s="5">
        <v>265.67</v>
      </c>
      <c r="V1289" s="5" t="s">
        <v>34</v>
      </c>
      <c r="W1289" s="5">
        <v>2</v>
      </c>
      <c r="X1289" s="5">
        <v>6492136810792</v>
      </c>
      <c r="Y1289" s="7">
        <v>46003</v>
      </c>
      <c r="Z1289" s="7">
        <v>45971</v>
      </c>
      <c r="AB1289" s="6">
        <v>46003</v>
      </c>
      <c r="AC1289" s="7">
        <v>46002.585416666669</v>
      </c>
      <c r="AD1289" s="5">
        <v>51051002930</v>
      </c>
      <c r="AE1289" s="8">
        <v>45971</v>
      </c>
      <c r="AF1289" s="5" t="s">
        <v>669</v>
      </c>
      <c r="AG1289" s="5" t="s">
        <v>71</v>
      </c>
      <c r="AH1289" s="5">
        <v>202410</v>
      </c>
      <c r="AI1289" s="6">
        <v>45971</v>
      </c>
      <c r="AJ1289" s="6">
        <v>46003</v>
      </c>
      <c r="AK1289" s="1">
        <f t="shared" si="579"/>
        <v>5.4217999999999993</v>
      </c>
    </row>
    <row r="1290" spans="1:39" x14ac:dyDescent="0.55000000000000004">
      <c r="A1290">
        <v>5105</v>
      </c>
      <c r="B1290">
        <v>1002932</v>
      </c>
      <c r="C1290">
        <v>203.06</v>
      </c>
      <c r="D1290" s="4">
        <v>4.0599999999999996</v>
      </c>
      <c r="E1290">
        <v>199</v>
      </c>
      <c r="G1290">
        <v>199</v>
      </c>
      <c r="H1290" s="14">
        <f t="shared" si="577"/>
        <v>199</v>
      </c>
      <c r="I1290" s="14" t="b">
        <f t="shared" si="578"/>
        <v>1</v>
      </c>
      <c r="J1290" s="2">
        <v>46003</v>
      </c>
      <c r="K1290" s="5">
        <v>1002932</v>
      </c>
      <c r="L1290" s="5">
        <v>5105</v>
      </c>
      <c r="M1290" s="5">
        <v>4.0599999999999996</v>
      </c>
      <c r="N1290" s="5">
        <v>203.06</v>
      </c>
      <c r="O1290" s="7">
        <v>45971</v>
      </c>
      <c r="P1290" s="5">
        <v>199</v>
      </c>
      <c r="Q1290" s="5">
        <v>4.0599999999999996</v>
      </c>
      <c r="R1290" s="5" t="s">
        <v>32</v>
      </c>
      <c r="S1290" s="5" t="s">
        <v>33</v>
      </c>
      <c r="T1290" s="5">
        <v>0</v>
      </c>
      <c r="U1290" s="5">
        <v>199</v>
      </c>
      <c r="V1290" s="5" t="s">
        <v>34</v>
      </c>
      <c r="W1290" s="5">
        <v>2</v>
      </c>
      <c r="X1290" s="5">
        <v>6492136810792</v>
      </c>
      <c r="Y1290" s="7">
        <v>46003</v>
      </c>
      <c r="Z1290" s="7">
        <v>45971</v>
      </c>
      <c r="AB1290" s="6">
        <v>46003</v>
      </c>
      <c r="AC1290" s="7">
        <v>46002.585416666669</v>
      </c>
      <c r="AD1290" s="5">
        <v>51051002932</v>
      </c>
      <c r="AE1290" s="8">
        <v>45971</v>
      </c>
      <c r="AF1290" s="5">
        <v>8110910</v>
      </c>
      <c r="AG1290" s="5" t="s">
        <v>71</v>
      </c>
      <c r="AH1290" s="5">
        <v>202412</v>
      </c>
      <c r="AI1290" s="6">
        <v>45971</v>
      </c>
      <c r="AJ1290" s="6">
        <v>46003</v>
      </c>
      <c r="AK1290" s="1">
        <f t="shared" si="579"/>
        <v>4.0612000000000004</v>
      </c>
    </row>
    <row r="1291" spans="1:39" x14ac:dyDescent="0.55000000000000004">
      <c r="A1291">
        <v>5105</v>
      </c>
      <c r="B1291">
        <v>1003910</v>
      </c>
      <c r="C1291">
        <v>912.12</v>
      </c>
      <c r="D1291" s="4">
        <v>18.239999999999998</v>
      </c>
      <c r="E1291">
        <v>893.88</v>
      </c>
      <c r="G1291">
        <v>893.88</v>
      </c>
      <c r="H1291" s="14">
        <f t="shared" si="577"/>
        <v>893.88</v>
      </c>
      <c r="I1291" s="14" t="b">
        <f t="shared" si="578"/>
        <v>1</v>
      </c>
      <c r="J1291" s="2">
        <v>46003</v>
      </c>
      <c r="K1291" s="5">
        <v>1003910</v>
      </c>
      <c r="L1291" s="5">
        <v>5105</v>
      </c>
      <c r="M1291" s="5">
        <v>18.239999999999998</v>
      </c>
      <c r="N1291" s="5">
        <v>912.12</v>
      </c>
      <c r="O1291" s="7">
        <v>45975</v>
      </c>
      <c r="P1291" s="5">
        <v>893.88</v>
      </c>
      <c r="Q1291" s="5">
        <v>18.239999999999998</v>
      </c>
      <c r="R1291" s="5" t="s">
        <v>32</v>
      </c>
      <c r="S1291" s="5" t="s">
        <v>33</v>
      </c>
      <c r="T1291" s="5">
        <v>0</v>
      </c>
      <c r="U1291" s="5">
        <v>893.88</v>
      </c>
      <c r="V1291" s="5" t="s">
        <v>34</v>
      </c>
      <c r="W1291" s="5">
        <v>2</v>
      </c>
      <c r="X1291" s="5">
        <v>6492136810792</v>
      </c>
      <c r="Y1291" s="7">
        <v>46003</v>
      </c>
      <c r="Z1291" s="7">
        <v>45975</v>
      </c>
      <c r="AB1291" s="6">
        <v>46003</v>
      </c>
      <c r="AC1291" s="7">
        <v>46002.585416666669</v>
      </c>
      <c r="AD1291" s="5">
        <v>51051003910</v>
      </c>
      <c r="AE1291" s="8">
        <v>45975</v>
      </c>
      <c r="AF1291" s="5">
        <v>8112695</v>
      </c>
      <c r="AG1291" s="5" t="s">
        <v>71</v>
      </c>
      <c r="AH1291" s="5">
        <v>203356</v>
      </c>
      <c r="AI1291" s="6">
        <v>45975</v>
      </c>
      <c r="AJ1291" s="6">
        <v>46003</v>
      </c>
      <c r="AK1291" s="1">
        <f t="shared" si="579"/>
        <v>18.2424</v>
      </c>
    </row>
    <row r="1292" spans="1:39" x14ac:dyDescent="0.55000000000000004">
      <c r="A1292">
        <v>5105</v>
      </c>
      <c r="B1292">
        <v>1004331</v>
      </c>
      <c r="C1292">
        <v>317.33</v>
      </c>
      <c r="D1292" s="4">
        <v>6.35</v>
      </c>
      <c r="E1292">
        <v>310.98</v>
      </c>
      <c r="G1292">
        <v>310.98</v>
      </c>
      <c r="H1292" s="14">
        <f t="shared" si="577"/>
        <v>310.97999999999996</v>
      </c>
      <c r="I1292" s="14" t="b">
        <f t="shared" si="578"/>
        <v>1</v>
      </c>
      <c r="J1292" s="2">
        <v>46003</v>
      </c>
      <c r="K1292" s="5">
        <v>1004331</v>
      </c>
      <c r="L1292" s="5">
        <v>5105</v>
      </c>
      <c r="M1292" s="5">
        <v>6.35</v>
      </c>
      <c r="N1292" s="5">
        <v>317.33</v>
      </c>
      <c r="O1292" s="7">
        <v>45978</v>
      </c>
      <c r="P1292" s="5">
        <v>310.98</v>
      </c>
      <c r="Q1292" s="5">
        <v>6.35</v>
      </c>
      <c r="R1292" s="5" t="s">
        <v>32</v>
      </c>
      <c r="S1292" s="5" t="s">
        <v>33</v>
      </c>
      <c r="T1292" s="5">
        <v>0</v>
      </c>
      <c r="U1292" s="5">
        <v>310.98</v>
      </c>
      <c r="V1292" s="5" t="s">
        <v>34</v>
      </c>
      <c r="W1292" s="5">
        <v>2</v>
      </c>
      <c r="X1292" s="5">
        <v>6492136810792</v>
      </c>
      <c r="Y1292" s="7">
        <v>46003</v>
      </c>
      <c r="Z1292" s="7">
        <v>45978</v>
      </c>
      <c r="AB1292" s="6">
        <v>46003</v>
      </c>
      <c r="AC1292" s="7">
        <v>46002.585416666669</v>
      </c>
      <c r="AD1292" s="5">
        <v>51051004331</v>
      </c>
      <c r="AE1292" s="8">
        <v>45978</v>
      </c>
      <c r="AF1292" s="5" t="s">
        <v>670</v>
      </c>
      <c r="AG1292" s="5" t="s">
        <v>71</v>
      </c>
      <c r="AH1292" s="5">
        <v>203489</v>
      </c>
      <c r="AI1292" s="6">
        <v>45978</v>
      </c>
      <c r="AJ1292" s="6">
        <v>46003</v>
      </c>
      <c r="AK1292" s="1">
        <f t="shared" si="579"/>
        <v>6.3465999999999996</v>
      </c>
    </row>
    <row r="1293" spans="1:39" x14ac:dyDescent="0.55000000000000004">
      <c r="A1293">
        <v>5105</v>
      </c>
      <c r="B1293">
        <v>1004393</v>
      </c>
      <c r="C1293">
        <v>303.24</v>
      </c>
      <c r="D1293" s="4">
        <v>6.06</v>
      </c>
      <c r="E1293">
        <v>297.18</v>
      </c>
      <c r="G1293">
        <v>297.18</v>
      </c>
      <c r="H1293" s="14">
        <f t="shared" si="577"/>
        <v>297.18</v>
      </c>
      <c r="I1293" s="14" t="b">
        <f t="shared" si="578"/>
        <v>1</v>
      </c>
      <c r="J1293" s="2">
        <v>46003</v>
      </c>
      <c r="K1293" s="5">
        <v>1004393</v>
      </c>
      <c r="L1293" s="5">
        <v>5105</v>
      </c>
      <c r="M1293" s="5">
        <v>6.06</v>
      </c>
      <c r="N1293" s="5">
        <v>303.24</v>
      </c>
      <c r="O1293" s="7">
        <v>45978</v>
      </c>
      <c r="P1293" s="5">
        <v>297.18</v>
      </c>
      <c r="Q1293" s="5">
        <v>6.06</v>
      </c>
      <c r="R1293" s="5" t="s">
        <v>32</v>
      </c>
      <c r="S1293" s="5" t="s">
        <v>33</v>
      </c>
      <c r="T1293" s="5">
        <v>0</v>
      </c>
      <c r="U1293" s="5">
        <v>297.18</v>
      </c>
      <c r="V1293" s="5" t="s">
        <v>34</v>
      </c>
      <c r="W1293" s="5">
        <v>2</v>
      </c>
      <c r="X1293" s="5">
        <v>6492136810792</v>
      </c>
      <c r="Y1293" s="7">
        <v>46003</v>
      </c>
      <c r="Z1293" s="7">
        <v>45978</v>
      </c>
      <c r="AB1293" s="6">
        <v>46003</v>
      </c>
      <c r="AC1293" s="7">
        <v>46002.585416666669</v>
      </c>
      <c r="AD1293" s="5">
        <v>51051004393</v>
      </c>
      <c r="AE1293" s="8">
        <v>45978</v>
      </c>
      <c r="AF1293" s="5" t="s">
        <v>670</v>
      </c>
      <c r="AG1293" s="5" t="s">
        <v>71</v>
      </c>
      <c r="AH1293" s="5">
        <v>203513</v>
      </c>
      <c r="AI1293" s="6">
        <v>45978</v>
      </c>
      <c r="AJ1293" s="6">
        <v>46003</v>
      </c>
      <c r="AK1293" s="1">
        <f t="shared" si="579"/>
        <v>6.0648</v>
      </c>
    </row>
    <row r="1294" spans="1:39" hidden="1" x14ac:dyDescent="0.55000000000000004">
      <c r="A1294">
        <v>5105</v>
      </c>
      <c r="B1294">
        <v>1004519</v>
      </c>
      <c r="C1294">
        <v>-159.83000000000001</v>
      </c>
      <c r="E1294">
        <v>-159.83000000000001</v>
      </c>
      <c r="G1294">
        <v>-159.83000000000001</v>
      </c>
      <c r="H1294"/>
      <c r="I1294"/>
      <c r="J1294" s="2">
        <v>46003</v>
      </c>
      <c r="K1294" s="5">
        <v>1004519</v>
      </c>
      <c r="L1294" s="5">
        <v>5105</v>
      </c>
      <c r="M1294" s="5">
        <v>0</v>
      </c>
      <c r="N1294" s="5">
        <v>-159.83000000000001</v>
      </c>
      <c r="O1294" s="7">
        <v>45979</v>
      </c>
      <c r="P1294" s="5">
        <v>-159.83000000000001</v>
      </c>
      <c r="Q1294" s="5">
        <v>0</v>
      </c>
      <c r="R1294" s="5">
        <v>1004519</v>
      </c>
      <c r="S1294" s="5" t="s">
        <v>33</v>
      </c>
      <c r="T1294" s="5">
        <v>0</v>
      </c>
      <c r="U1294" s="5">
        <v>-159.83000000000001</v>
      </c>
      <c r="V1294" s="5" t="s">
        <v>34</v>
      </c>
      <c r="W1294" s="5">
        <v>2</v>
      </c>
      <c r="X1294" s="5">
        <v>6492136810792</v>
      </c>
      <c r="Y1294" s="7">
        <v>46003</v>
      </c>
      <c r="Z1294" s="7">
        <v>45979</v>
      </c>
      <c r="AB1294" s="6">
        <v>46003</v>
      </c>
      <c r="AC1294" s="7">
        <v>46002.585416666669</v>
      </c>
      <c r="AD1294" s="5">
        <v>51051004519</v>
      </c>
      <c r="AE1294" s="8">
        <v>45979</v>
      </c>
      <c r="AF1294" s="5">
        <v>141925</v>
      </c>
      <c r="AG1294" s="5" t="s">
        <v>65</v>
      </c>
      <c r="AH1294" s="5">
        <v>53455</v>
      </c>
      <c r="AI1294" s="6">
        <v>45979</v>
      </c>
      <c r="AJ1294" s="6">
        <v>46003</v>
      </c>
    </row>
    <row r="1295" spans="1:39" x14ac:dyDescent="0.55000000000000004">
      <c r="A1295">
        <v>5108</v>
      </c>
      <c r="B1295">
        <v>1007786</v>
      </c>
      <c r="C1295" s="1">
        <v>9942.39</v>
      </c>
      <c r="D1295" s="4">
        <v>98.85</v>
      </c>
      <c r="E1295" s="1">
        <v>9743.5400000000009</v>
      </c>
      <c r="F1295">
        <v>99.42</v>
      </c>
      <c r="G1295" s="1">
        <v>9644.1200000000008</v>
      </c>
      <c r="H1295" s="14">
        <f t="shared" ref="H1295:H1301" si="580">C1295-D1295-F1295</f>
        <v>9744.119999999999</v>
      </c>
      <c r="I1295" s="14" t="b">
        <f t="shared" ref="I1295:I1301" si="581">G1295=H1295</f>
        <v>0</v>
      </c>
      <c r="J1295" s="2">
        <v>46003</v>
      </c>
      <c r="K1295" s="5">
        <v>1007786</v>
      </c>
      <c r="L1295" s="5">
        <v>5108</v>
      </c>
      <c r="M1295" s="5">
        <v>198.85</v>
      </c>
      <c r="N1295" s="5">
        <v>9942.39</v>
      </c>
      <c r="O1295" s="7">
        <v>45993</v>
      </c>
      <c r="P1295" s="5">
        <v>9743.5400000000009</v>
      </c>
      <c r="Q1295" s="5">
        <v>198.85</v>
      </c>
      <c r="R1295" s="5" t="s">
        <v>32</v>
      </c>
      <c r="S1295" s="5" t="s">
        <v>33</v>
      </c>
      <c r="T1295" s="5">
        <v>99.42</v>
      </c>
      <c r="U1295" s="5">
        <v>9644.1200000000008</v>
      </c>
      <c r="V1295" s="5" t="s">
        <v>34</v>
      </c>
      <c r="W1295" s="5">
        <v>2</v>
      </c>
      <c r="X1295" s="5">
        <v>8528594168162</v>
      </c>
      <c r="Y1295" s="7">
        <v>46003</v>
      </c>
      <c r="Z1295" s="7">
        <v>45993</v>
      </c>
      <c r="AB1295" s="6">
        <v>46003</v>
      </c>
      <c r="AC1295" s="7">
        <v>45999.657638888886</v>
      </c>
      <c r="AD1295" s="5">
        <v>51081007786</v>
      </c>
      <c r="AE1295" s="8">
        <v>45993</v>
      </c>
      <c r="AF1295" s="5">
        <v>22370</v>
      </c>
      <c r="AG1295" s="5" t="s">
        <v>37</v>
      </c>
      <c r="AH1295" s="5">
        <v>205964</v>
      </c>
      <c r="AI1295" s="6">
        <v>45993</v>
      </c>
      <c r="AJ1295" s="6">
        <v>46003</v>
      </c>
      <c r="AK1295" s="1">
        <f t="shared" ref="AK1295:AK1301" si="582">0.02*C1295</f>
        <v>198.84780000000001</v>
      </c>
      <c r="AM1295">
        <f>F1295</f>
        <v>99.42</v>
      </c>
    </row>
    <row r="1296" spans="1:39" x14ac:dyDescent="0.55000000000000004">
      <c r="A1296">
        <v>5132</v>
      </c>
      <c r="B1296">
        <v>1007477</v>
      </c>
      <c r="C1296">
        <v>242.46</v>
      </c>
      <c r="D1296" s="4">
        <v>4.8499999999999996</v>
      </c>
      <c r="E1296">
        <v>237.61</v>
      </c>
      <c r="F1296">
        <v>2.42</v>
      </c>
      <c r="G1296">
        <v>235.19</v>
      </c>
      <c r="H1296" s="14">
        <f t="shared" si="580"/>
        <v>235.19000000000003</v>
      </c>
      <c r="I1296" s="14" t="b">
        <f t="shared" si="581"/>
        <v>1</v>
      </c>
      <c r="J1296" s="2">
        <v>46003</v>
      </c>
      <c r="K1296" s="5">
        <v>1007477</v>
      </c>
      <c r="L1296" s="5">
        <v>5132</v>
      </c>
      <c r="M1296" s="5">
        <v>4.8499999999999996</v>
      </c>
      <c r="N1296" s="5">
        <v>242.46</v>
      </c>
      <c r="O1296" s="7">
        <v>45992</v>
      </c>
      <c r="P1296" s="5">
        <v>237.61</v>
      </c>
      <c r="Q1296" s="5">
        <v>4.8499999999999996</v>
      </c>
      <c r="R1296" s="5" t="s">
        <v>32</v>
      </c>
      <c r="S1296" s="5" t="s">
        <v>33</v>
      </c>
      <c r="T1296" s="5">
        <v>2.42</v>
      </c>
      <c r="U1296" s="5">
        <v>235.19</v>
      </c>
      <c r="V1296" s="5" t="s">
        <v>34</v>
      </c>
      <c r="W1296" s="5">
        <v>2</v>
      </c>
      <c r="X1296" s="5">
        <v>9106531087537</v>
      </c>
      <c r="Y1296" s="7">
        <v>46003</v>
      </c>
      <c r="Z1296" s="7">
        <v>45992</v>
      </c>
      <c r="AB1296" s="6">
        <v>46003</v>
      </c>
      <c r="AC1296" s="7">
        <v>46000.568055555559</v>
      </c>
      <c r="AD1296" s="5">
        <v>51321007477</v>
      </c>
      <c r="AE1296" s="8">
        <v>45992</v>
      </c>
      <c r="AF1296" s="5" t="s">
        <v>671</v>
      </c>
      <c r="AG1296" s="5" t="s">
        <v>37</v>
      </c>
      <c r="AH1296" s="5">
        <v>206026</v>
      </c>
      <c r="AI1296" s="6">
        <v>45992</v>
      </c>
      <c r="AJ1296" s="6">
        <v>46003</v>
      </c>
      <c r="AK1296" s="1">
        <f t="shared" si="582"/>
        <v>4.8492000000000006</v>
      </c>
    </row>
    <row r="1297" spans="1:37" x14ac:dyDescent="0.55000000000000004">
      <c r="A1297">
        <v>5132</v>
      </c>
      <c r="B1297">
        <v>1007825</v>
      </c>
      <c r="C1297">
        <v>659.52</v>
      </c>
      <c r="D1297" s="4">
        <v>13.19</v>
      </c>
      <c r="E1297">
        <v>646.33000000000004</v>
      </c>
      <c r="F1297">
        <v>6.6</v>
      </c>
      <c r="G1297">
        <v>639.73</v>
      </c>
      <c r="H1297" s="14">
        <f t="shared" si="580"/>
        <v>639.7299999999999</v>
      </c>
      <c r="I1297" s="14" t="b">
        <f t="shared" si="581"/>
        <v>1</v>
      </c>
      <c r="J1297" s="2">
        <v>46003</v>
      </c>
      <c r="K1297" s="5">
        <v>1007825</v>
      </c>
      <c r="L1297" s="5">
        <v>5132</v>
      </c>
      <c r="M1297" s="5">
        <v>13.19</v>
      </c>
      <c r="N1297" s="5">
        <v>659.52</v>
      </c>
      <c r="O1297" s="7">
        <v>45993</v>
      </c>
      <c r="P1297" s="5">
        <v>646.33000000000004</v>
      </c>
      <c r="Q1297" s="5">
        <v>13.19</v>
      </c>
      <c r="R1297" s="5" t="s">
        <v>32</v>
      </c>
      <c r="S1297" s="5" t="s">
        <v>33</v>
      </c>
      <c r="T1297" s="5">
        <v>6.6</v>
      </c>
      <c r="U1297" s="5">
        <v>639.73</v>
      </c>
      <c r="V1297" s="5" t="s">
        <v>34</v>
      </c>
      <c r="W1297" s="5">
        <v>2</v>
      </c>
      <c r="X1297" s="5">
        <v>9106531087537</v>
      </c>
      <c r="Y1297" s="7">
        <v>46003</v>
      </c>
      <c r="Z1297" s="7">
        <v>45993</v>
      </c>
      <c r="AB1297" s="6">
        <v>46003</v>
      </c>
      <c r="AC1297" s="7">
        <v>46000.568055555559</v>
      </c>
      <c r="AD1297" s="5">
        <v>51321007825</v>
      </c>
      <c r="AE1297" s="8">
        <v>45993</v>
      </c>
      <c r="AF1297" s="5" t="s">
        <v>671</v>
      </c>
      <c r="AG1297" s="5" t="s">
        <v>37</v>
      </c>
      <c r="AH1297" s="5">
        <v>206035</v>
      </c>
      <c r="AI1297" s="6">
        <v>45993</v>
      </c>
      <c r="AJ1297" s="6">
        <v>46003</v>
      </c>
      <c r="AK1297" s="1">
        <f t="shared" si="582"/>
        <v>13.1904</v>
      </c>
    </row>
    <row r="1298" spans="1:37" x14ac:dyDescent="0.55000000000000004">
      <c r="A1298">
        <v>5219</v>
      </c>
      <c r="B1298">
        <v>999580</v>
      </c>
      <c r="C1298">
        <v>582.08000000000004</v>
      </c>
      <c r="D1298" s="4">
        <v>11.64</v>
      </c>
      <c r="E1298">
        <v>570.44000000000005</v>
      </c>
      <c r="G1298">
        <v>570.44000000000005</v>
      </c>
      <c r="H1298" s="14">
        <f t="shared" si="580"/>
        <v>570.44000000000005</v>
      </c>
      <c r="I1298" s="14" t="b">
        <f t="shared" si="581"/>
        <v>1</v>
      </c>
      <c r="J1298" s="2">
        <v>46003</v>
      </c>
      <c r="K1298" s="5">
        <v>999580</v>
      </c>
      <c r="L1298" s="5">
        <v>5219</v>
      </c>
      <c r="M1298" s="5">
        <v>11.64</v>
      </c>
      <c r="N1298" s="5">
        <v>582.08000000000004</v>
      </c>
      <c r="O1298" s="7">
        <v>45952</v>
      </c>
      <c r="P1298" s="5">
        <v>570.44000000000005</v>
      </c>
      <c r="Q1298" s="5">
        <v>11.64</v>
      </c>
      <c r="R1298" s="5" t="s">
        <v>32</v>
      </c>
      <c r="S1298" s="5" t="s">
        <v>33</v>
      </c>
      <c r="T1298" s="5">
        <v>0</v>
      </c>
      <c r="U1298" s="5">
        <v>570.44000000000005</v>
      </c>
      <c r="V1298" s="5" t="s">
        <v>34</v>
      </c>
      <c r="W1298" s="5">
        <v>2</v>
      </c>
      <c r="X1298" s="5">
        <v>7907247050227</v>
      </c>
      <c r="Y1298" s="7">
        <v>46003</v>
      </c>
      <c r="Z1298" s="7">
        <v>45952</v>
      </c>
      <c r="AB1298" s="6">
        <v>46003</v>
      </c>
      <c r="AC1298" s="7">
        <v>46001.695138888892</v>
      </c>
      <c r="AD1298" s="5">
        <v>5219999580</v>
      </c>
      <c r="AE1298" s="8">
        <v>45952</v>
      </c>
      <c r="AF1298" s="5">
        <v>34889</v>
      </c>
      <c r="AG1298" s="5" t="s">
        <v>71</v>
      </c>
      <c r="AH1298" s="5">
        <v>199551</v>
      </c>
      <c r="AI1298" s="6">
        <v>45952</v>
      </c>
      <c r="AJ1298" s="6">
        <v>46003</v>
      </c>
      <c r="AK1298" s="1">
        <f t="shared" si="582"/>
        <v>11.6416</v>
      </c>
    </row>
    <row r="1299" spans="1:37" x14ac:dyDescent="0.55000000000000004">
      <c r="A1299">
        <v>5219</v>
      </c>
      <c r="B1299">
        <v>999942</v>
      </c>
      <c r="C1299">
        <v>61.41</v>
      </c>
      <c r="D1299" s="4">
        <v>1.23</v>
      </c>
      <c r="E1299">
        <v>60.18</v>
      </c>
      <c r="G1299">
        <v>60.18</v>
      </c>
      <c r="H1299" s="14">
        <f t="shared" si="580"/>
        <v>60.18</v>
      </c>
      <c r="I1299" s="14" t="b">
        <f t="shared" si="581"/>
        <v>1</v>
      </c>
      <c r="J1299" s="2">
        <v>46003</v>
      </c>
      <c r="K1299" s="5">
        <v>999942</v>
      </c>
      <c r="L1299" s="5">
        <v>5219</v>
      </c>
      <c r="M1299" s="5">
        <v>1.23</v>
      </c>
      <c r="N1299" s="5">
        <v>61.41</v>
      </c>
      <c r="O1299" s="7">
        <v>45953</v>
      </c>
      <c r="P1299" s="5">
        <v>60.18</v>
      </c>
      <c r="Q1299" s="5">
        <v>1.23</v>
      </c>
      <c r="R1299" s="5" t="s">
        <v>32</v>
      </c>
      <c r="S1299" s="5" t="s">
        <v>33</v>
      </c>
      <c r="T1299" s="5">
        <v>0</v>
      </c>
      <c r="U1299" s="5">
        <v>60.18</v>
      </c>
      <c r="V1299" s="5" t="s">
        <v>34</v>
      </c>
      <c r="W1299" s="5">
        <v>2</v>
      </c>
      <c r="X1299" s="5">
        <v>7907247050227</v>
      </c>
      <c r="Y1299" s="7">
        <v>46003</v>
      </c>
      <c r="Z1299" s="7">
        <v>45953</v>
      </c>
      <c r="AB1299" s="6">
        <v>46003</v>
      </c>
      <c r="AC1299" s="7">
        <v>46001.695138888892</v>
      </c>
      <c r="AD1299" s="5">
        <v>5219999942</v>
      </c>
      <c r="AE1299" s="8">
        <v>45953</v>
      </c>
      <c r="AF1299" s="5">
        <v>34507</v>
      </c>
      <c r="AG1299" s="5" t="s">
        <v>71</v>
      </c>
      <c r="AH1299" s="5">
        <v>199344</v>
      </c>
      <c r="AI1299" s="6">
        <v>45953</v>
      </c>
      <c r="AJ1299" s="6">
        <v>46003</v>
      </c>
      <c r="AK1299" s="1">
        <f t="shared" si="582"/>
        <v>1.2282</v>
      </c>
    </row>
    <row r="1300" spans="1:37" x14ac:dyDescent="0.55000000000000004">
      <c r="A1300">
        <v>5219</v>
      </c>
      <c r="B1300">
        <v>999974</v>
      </c>
      <c r="C1300">
        <v>420.79</v>
      </c>
      <c r="D1300" s="4">
        <v>8.42</v>
      </c>
      <c r="E1300">
        <v>412.37</v>
      </c>
      <c r="G1300">
        <v>412.37</v>
      </c>
      <c r="H1300" s="14">
        <f t="shared" si="580"/>
        <v>412.37</v>
      </c>
      <c r="I1300" s="14" t="b">
        <f t="shared" si="581"/>
        <v>1</v>
      </c>
      <c r="J1300" s="2">
        <v>46003</v>
      </c>
      <c r="K1300" s="5">
        <v>999974</v>
      </c>
      <c r="L1300" s="5">
        <v>5219</v>
      </c>
      <c r="M1300" s="5">
        <v>8.42</v>
      </c>
      <c r="N1300" s="5">
        <v>420.79</v>
      </c>
      <c r="O1300" s="7">
        <v>45953</v>
      </c>
      <c r="P1300" s="5">
        <v>412.37</v>
      </c>
      <c r="Q1300" s="5">
        <v>8.42</v>
      </c>
      <c r="R1300" s="5" t="s">
        <v>32</v>
      </c>
      <c r="S1300" s="5" t="s">
        <v>33</v>
      </c>
      <c r="T1300" s="5">
        <v>0</v>
      </c>
      <c r="U1300" s="5">
        <v>412.37</v>
      </c>
      <c r="V1300" s="5" t="s">
        <v>34</v>
      </c>
      <c r="W1300" s="5">
        <v>2</v>
      </c>
      <c r="X1300" s="5">
        <v>7907247050227</v>
      </c>
      <c r="Y1300" s="7">
        <v>46003</v>
      </c>
      <c r="Z1300" s="7">
        <v>45953</v>
      </c>
      <c r="AB1300" s="6">
        <v>46003</v>
      </c>
      <c r="AC1300" s="7">
        <v>46001.695138888892</v>
      </c>
      <c r="AD1300" s="5">
        <v>5219999974</v>
      </c>
      <c r="AE1300" s="8">
        <v>45953</v>
      </c>
      <c r="AF1300" s="5">
        <v>34889</v>
      </c>
      <c r="AG1300" s="5" t="s">
        <v>71</v>
      </c>
      <c r="AH1300" s="5">
        <v>199558</v>
      </c>
      <c r="AI1300" s="6">
        <v>45953</v>
      </c>
      <c r="AJ1300" s="6">
        <v>46003</v>
      </c>
      <c r="AK1300" s="1">
        <f t="shared" si="582"/>
        <v>8.4158000000000008</v>
      </c>
    </row>
    <row r="1301" spans="1:37" x14ac:dyDescent="0.55000000000000004">
      <c r="A1301">
        <v>5219</v>
      </c>
      <c r="B1301">
        <v>1005328</v>
      </c>
      <c r="C1301" s="1">
        <v>1431</v>
      </c>
      <c r="D1301" s="4">
        <v>28.62</v>
      </c>
      <c r="E1301" s="1">
        <v>1402.38</v>
      </c>
      <c r="G1301" s="1">
        <v>1402.38</v>
      </c>
      <c r="H1301" s="14">
        <f t="shared" si="580"/>
        <v>1402.38</v>
      </c>
      <c r="I1301" s="14" t="b">
        <f t="shared" si="581"/>
        <v>1</v>
      </c>
      <c r="J1301" s="2">
        <v>46003</v>
      </c>
      <c r="K1301" s="5">
        <v>1005328</v>
      </c>
      <c r="L1301" s="5">
        <v>5219</v>
      </c>
      <c r="M1301" s="5">
        <v>28.62</v>
      </c>
      <c r="N1301" s="5">
        <v>1431</v>
      </c>
      <c r="O1301" s="7">
        <v>45981</v>
      </c>
      <c r="P1301" s="5">
        <v>1402.38</v>
      </c>
      <c r="Q1301" s="5">
        <v>28.62</v>
      </c>
      <c r="R1301" s="5" t="s">
        <v>32</v>
      </c>
      <c r="S1301" s="5" t="s">
        <v>33</v>
      </c>
      <c r="T1301" s="5">
        <v>0</v>
      </c>
      <c r="U1301" s="5">
        <v>1402.38</v>
      </c>
      <c r="V1301" s="5" t="s">
        <v>34</v>
      </c>
      <c r="W1301" s="5">
        <v>2</v>
      </c>
      <c r="X1301" s="5">
        <v>7907247050227</v>
      </c>
      <c r="Y1301" s="7">
        <v>46003</v>
      </c>
      <c r="Z1301" s="7">
        <v>45981</v>
      </c>
      <c r="AB1301" s="6">
        <v>46003</v>
      </c>
      <c r="AC1301" s="7">
        <v>46001.695138888892</v>
      </c>
      <c r="AD1301" s="5">
        <v>52191005328</v>
      </c>
      <c r="AE1301" s="8">
        <v>45981</v>
      </c>
      <c r="AF1301" s="5">
        <v>35129</v>
      </c>
      <c r="AG1301" s="5" t="s">
        <v>71</v>
      </c>
      <c r="AH1301" s="5">
        <v>204178</v>
      </c>
      <c r="AI1301" s="6">
        <v>45981</v>
      </c>
      <c r="AJ1301" s="6">
        <v>46003</v>
      </c>
      <c r="AK1301" s="1">
        <f t="shared" si="582"/>
        <v>28.62</v>
      </c>
    </row>
    <row r="1302" spans="1:37" hidden="1" x14ac:dyDescent="0.55000000000000004">
      <c r="H1302"/>
      <c r="I1302"/>
    </row>
    <row r="1303" spans="1:37" hidden="1" x14ac:dyDescent="0.55000000000000004">
      <c r="H1303"/>
      <c r="I1303"/>
    </row>
    <row r="1304" spans="1:37" hidden="1" x14ac:dyDescent="0.55000000000000004">
      <c r="H1304"/>
      <c r="I1304"/>
    </row>
    <row r="1305" spans="1:37" hidden="1" x14ac:dyDescent="0.55000000000000004">
      <c r="H1305"/>
      <c r="I1305"/>
    </row>
    <row r="1306" spans="1:37" hidden="1" x14ac:dyDescent="0.55000000000000004">
      <c r="H1306"/>
      <c r="I1306"/>
    </row>
    <row r="1307" spans="1:37" hidden="1" x14ac:dyDescent="0.55000000000000004">
      <c r="H1307"/>
      <c r="I1307"/>
    </row>
    <row r="1308" spans="1:37" hidden="1" x14ac:dyDescent="0.55000000000000004">
      <c r="H1308"/>
      <c r="I1308"/>
    </row>
    <row r="1309" spans="1:37" hidden="1" x14ac:dyDescent="0.55000000000000004">
      <c r="H1309"/>
      <c r="I1309"/>
    </row>
    <row r="1310" spans="1:37" hidden="1" x14ac:dyDescent="0.55000000000000004">
      <c r="H1310"/>
      <c r="I1310"/>
    </row>
    <row r="1311" spans="1:37" hidden="1" x14ac:dyDescent="0.55000000000000004">
      <c r="H1311"/>
      <c r="I1311"/>
    </row>
    <row r="1312" spans="1:37" hidden="1" x14ac:dyDescent="0.55000000000000004">
      <c r="H1312"/>
      <c r="I1312"/>
    </row>
    <row r="1313" spans="8:9" hidden="1" x14ac:dyDescent="0.55000000000000004">
      <c r="H1313"/>
      <c r="I1313"/>
    </row>
    <row r="1314" spans="8:9" hidden="1" x14ac:dyDescent="0.55000000000000004">
      <c r="H1314"/>
      <c r="I1314"/>
    </row>
    <row r="1315" spans="8:9" hidden="1" x14ac:dyDescent="0.55000000000000004">
      <c r="H1315"/>
      <c r="I1315"/>
    </row>
    <row r="1316" spans="8:9" hidden="1" x14ac:dyDescent="0.55000000000000004">
      <c r="H1316"/>
      <c r="I1316"/>
    </row>
    <row r="1317" spans="8:9" hidden="1" x14ac:dyDescent="0.55000000000000004">
      <c r="H1317"/>
      <c r="I1317"/>
    </row>
    <row r="1318" spans="8:9" hidden="1" x14ac:dyDescent="0.55000000000000004">
      <c r="H1318"/>
      <c r="I1318"/>
    </row>
    <row r="1319" spans="8:9" hidden="1" x14ac:dyDescent="0.55000000000000004">
      <c r="H1319"/>
      <c r="I1319"/>
    </row>
    <row r="1320" spans="8:9" hidden="1" x14ac:dyDescent="0.55000000000000004">
      <c r="H1320"/>
      <c r="I1320"/>
    </row>
    <row r="1321" spans="8:9" hidden="1" x14ac:dyDescent="0.55000000000000004">
      <c r="H1321"/>
      <c r="I1321"/>
    </row>
    <row r="1322" spans="8:9" hidden="1" x14ac:dyDescent="0.55000000000000004">
      <c r="H1322"/>
      <c r="I1322"/>
    </row>
    <row r="1323" spans="8:9" hidden="1" x14ac:dyDescent="0.55000000000000004">
      <c r="H1323"/>
      <c r="I1323"/>
    </row>
    <row r="1324" spans="8:9" hidden="1" x14ac:dyDescent="0.55000000000000004">
      <c r="H1324"/>
      <c r="I1324"/>
    </row>
    <row r="1325" spans="8:9" hidden="1" x14ac:dyDescent="0.55000000000000004">
      <c r="H1325"/>
      <c r="I1325"/>
    </row>
    <row r="1326" spans="8:9" hidden="1" x14ac:dyDescent="0.55000000000000004">
      <c r="H1326"/>
      <c r="I1326"/>
    </row>
    <row r="1327" spans="8:9" hidden="1" x14ac:dyDescent="0.55000000000000004">
      <c r="H1327"/>
      <c r="I1327"/>
    </row>
    <row r="1328" spans="8:9" hidden="1" x14ac:dyDescent="0.55000000000000004">
      <c r="H1328"/>
      <c r="I1328"/>
    </row>
    <row r="1329" spans="8:9" hidden="1" x14ac:dyDescent="0.55000000000000004">
      <c r="H1329"/>
      <c r="I1329"/>
    </row>
    <row r="1330" spans="8:9" hidden="1" x14ac:dyDescent="0.55000000000000004">
      <c r="H1330"/>
      <c r="I1330"/>
    </row>
    <row r="1331" spans="8:9" hidden="1" x14ac:dyDescent="0.55000000000000004">
      <c r="H1331"/>
      <c r="I1331"/>
    </row>
    <row r="1332" spans="8:9" hidden="1" x14ac:dyDescent="0.55000000000000004">
      <c r="H1332"/>
      <c r="I1332"/>
    </row>
    <row r="1333" spans="8:9" hidden="1" x14ac:dyDescent="0.55000000000000004">
      <c r="H1333"/>
      <c r="I1333"/>
    </row>
    <row r="1334" spans="8:9" hidden="1" x14ac:dyDescent="0.55000000000000004">
      <c r="H1334"/>
      <c r="I1334"/>
    </row>
    <row r="1335" spans="8:9" hidden="1" x14ac:dyDescent="0.55000000000000004">
      <c r="H1335"/>
      <c r="I1335"/>
    </row>
    <row r="1336" spans="8:9" hidden="1" x14ac:dyDescent="0.55000000000000004">
      <c r="H1336"/>
      <c r="I1336"/>
    </row>
    <row r="1337" spans="8:9" hidden="1" x14ac:dyDescent="0.55000000000000004">
      <c r="H1337"/>
      <c r="I1337"/>
    </row>
    <row r="1338" spans="8:9" hidden="1" x14ac:dyDescent="0.55000000000000004">
      <c r="H1338"/>
      <c r="I1338"/>
    </row>
    <row r="1339" spans="8:9" hidden="1" x14ac:dyDescent="0.55000000000000004">
      <c r="H1339"/>
      <c r="I1339"/>
    </row>
    <row r="1340" spans="8:9" hidden="1" x14ac:dyDescent="0.55000000000000004">
      <c r="H1340"/>
      <c r="I1340"/>
    </row>
    <row r="1341" spans="8:9" hidden="1" x14ac:dyDescent="0.55000000000000004">
      <c r="H1341"/>
      <c r="I1341"/>
    </row>
    <row r="1342" spans="8:9" hidden="1" x14ac:dyDescent="0.55000000000000004">
      <c r="H1342"/>
      <c r="I1342"/>
    </row>
    <row r="1343" spans="8:9" hidden="1" x14ac:dyDescent="0.55000000000000004">
      <c r="H1343"/>
      <c r="I1343"/>
    </row>
    <row r="1344" spans="8:9" hidden="1" x14ac:dyDescent="0.55000000000000004">
      <c r="H1344"/>
      <c r="I1344"/>
    </row>
    <row r="1345" spans="8:9" hidden="1" x14ac:dyDescent="0.55000000000000004">
      <c r="H1345"/>
      <c r="I1345"/>
    </row>
    <row r="1346" spans="8:9" hidden="1" x14ac:dyDescent="0.55000000000000004">
      <c r="H1346"/>
      <c r="I1346"/>
    </row>
    <row r="1347" spans="8:9" hidden="1" x14ac:dyDescent="0.55000000000000004">
      <c r="H1347"/>
      <c r="I1347"/>
    </row>
    <row r="1348" spans="8:9" hidden="1" x14ac:dyDescent="0.55000000000000004">
      <c r="H1348"/>
      <c r="I1348"/>
    </row>
    <row r="1349" spans="8:9" hidden="1" x14ac:dyDescent="0.55000000000000004">
      <c r="H1349"/>
      <c r="I1349"/>
    </row>
    <row r="1350" spans="8:9" hidden="1" x14ac:dyDescent="0.55000000000000004">
      <c r="H1350"/>
      <c r="I1350"/>
    </row>
    <row r="1351" spans="8:9" hidden="1" x14ac:dyDescent="0.55000000000000004">
      <c r="H1351"/>
      <c r="I1351"/>
    </row>
    <row r="1352" spans="8:9" hidden="1" x14ac:dyDescent="0.55000000000000004">
      <c r="H1352"/>
      <c r="I1352"/>
    </row>
    <row r="1353" spans="8:9" hidden="1" x14ac:dyDescent="0.55000000000000004">
      <c r="H1353"/>
      <c r="I1353"/>
    </row>
    <row r="1354" spans="8:9" hidden="1" x14ac:dyDescent="0.55000000000000004">
      <c r="H1354"/>
      <c r="I1354"/>
    </row>
    <row r="1355" spans="8:9" hidden="1" x14ac:dyDescent="0.55000000000000004">
      <c r="H1355"/>
      <c r="I1355"/>
    </row>
    <row r="1356" spans="8:9" hidden="1" x14ac:dyDescent="0.55000000000000004">
      <c r="H1356"/>
      <c r="I1356"/>
    </row>
    <row r="1357" spans="8:9" hidden="1" x14ac:dyDescent="0.55000000000000004">
      <c r="H1357"/>
      <c r="I1357"/>
    </row>
    <row r="1358" spans="8:9" hidden="1" x14ac:dyDescent="0.55000000000000004">
      <c r="H1358"/>
      <c r="I1358"/>
    </row>
    <row r="1359" spans="8:9" hidden="1" x14ac:dyDescent="0.55000000000000004">
      <c r="H1359"/>
      <c r="I1359"/>
    </row>
    <row r="1360" spans="8:9" hidden="1" x14ac:dyDescent="0.55000000000000004">
      <c r="H1360"/>
      <c r="I1360"/>
    </row>
    <row r="1361" spans="8:9" hidden="1" x14ac:dyDescent="0.55000000000000004">
      <c r="H1361"/>
      <c r="I1361"/>
    </row>
    <row r="1362" spans="8:9" hidden="1" x14ac:dyDescent="0.55000000000000004">
      <c r="H1362"/>
      <c r="I1362"/>
    </row>
    <row r="1363" spans="8:9" hidden="1" x14ac:dyDescent="0.55000000000000004">
      <c r="H1363"/>
      <c r="I1363"/>
    </row>
    <row r="1364" spans="8:9" hidden="1" x14ac:dyDescent="0.55000000000000004">
      <c r="H1364"/>
      <c r="I1364"/>
    </row>
    <row r="1365" spans="8:9" hidden="1" x14ac:dyDescent="0.55000000000000004">
      <c r="H1365"/>
      <c r="I1365"/>
    </row>
    <row r="1366" spans="8:9" hidden="1" x14ac:dyDescent="0.55000000000000004">
      <c r="H1366"/>
      <c r="I1366"/>
    </row>
    <row r="1367" spans="8:9" hidden="1" x14ac:dyDescent="0.55000000000000004">
      <c r="H1367"/>
      <c r="I1367"/>
    </row>
    <row r="1368" spans="8:9" hidden="1" x14ac:dyDescent="0.55000000000000004">
      <c r="H1368"/>
      <c r="I1368"/>
    </row>
    <row r="1369" spans="8:9" hidden="1" x14ac:dyDescent="0.55000000000000004">
      <c r="H1369"/>
      <c r="I1369"/>
    </row>
    <row r="1370" spans="8:9" hidden="1" x14ac:dyDescent="0.55000000000000004">
      <c r="H1370"/>
      <c r="I1370"/>
    </row>
    <row r="1371" spans="8:9" hidden="1" x14ac:dyDescent="0.55000000000000004">
      <c r="H1371"/>
      <c r="I1371"/>
    </row>
    <row r="1372" spans="8:9" hidden="1" x14ac:dyDescent="0.55000000000000004">
      <c r="H1372"/>
      <c r="I1372"/>
    </row>
    <row r="1373" spans="8:9" hidden="1" x14ac:dyDescent="0.55000000000000004">
      <c r="H1373"/>
      <c r="I1373"/>
    </row>
    <row r="1374" spans="8:9" hidden="1" x14ac:dyDescent="0.55000000000000004">
      <c r="H1374"/>
      <c r="I1374"/>
    </row>
    <row r="1375" spans="8:9" hidden="1" x14ac:dyDescent="0.55000000000000004">
      <c r="H1375"/>
      <c r="I1375"/>
    </row>
    <row r="1376" spans="8:9" hidden="1" x14ac:dyDescent="0.55000000000000004">
      <c r="H1376"/>
      <c r="I1376"/>
    </row>
    <row r="1377" spans="8:9" hidden="1" x14ac:dyDescent="0.55000000000000004">
      <c r="H1377"/>
      <c r="I1377"/>
    </row>
    <row r="1378" spans="8:9" hidden="1" x14ac:dyDescent="0.55000000000000004">
      <c r="H1378"/>
      <c r="I1378"/>
    </row>
    <row r="1379" spans="8:9" hidden="1" x14ac:dyDescent="0.55000000000000004">
      <c r="H1379"/>
      <c r="I1379"/>
    </row>
    <row r="1380" spans="8:9" hidden="1" x14ac:dyDescent="0.55000000000000004">
      <c r="H1380"/>
      <c r="I1380"/>
    </row>
    <row r="1381" spans="8:9" hidden="1" x14ac:dyDescent="0.55000000000000004">
      <c r="H1381"/>
      <c r="I1381"/>
    </row>
    <row r="1382" spans="8:9" hidden="1" x14ac:dyDescent="0.55000000000000004">
      <c r="H1382"/>
      <c r="I1382"/>
    </row>
    <row r="1383" spans="8:9" hidden="1" x14ac:dyDescent="0.55000000000000004">
      <c r="H1383"/>
      <c r="I1383"/>
    </row>
    <row r="1384" spans="8:9" hidden="1" x14ac:dyDescent="0.55000000000000004">
      <c r="H1384"/>
      <c r="I1384"/>
    </row>
    <row r="1385" spans="8:9" hidden="1" x14ac:dyDescent="0.55000000000000004">
      <c r="H1385"/>
      <c r="I1385"/>
    </row>
    <row r="1386" spans="8:9" hidden="1" x14ac:dyDescent="0.55000000000000004">
      <c r="H1386"/>
      <c r="I1386"/>
    </row>
    <row r="1387" spans="8:9" hidden="1" x14ac:dyDescent="0.55000000000000004">
      <c r="H1387"/>
      <c r="I1387"/>
    </row>
    <row r="1388" spans="8:9" hidden="1" x14ac:dyDescent="0.55000000000000004">
      <c r="H1388"/>
      <c r="I1388"/>
    </row>
    <row r="1389" spans="8:9" hidden="1" x14ac:dyDescent="0.55000000000000004">
      <c r="H1389"/>
      <c r="I1389"/>
    </row>
    <row r="1390" spans="8:9" hidden="1" x14ac:dyDescent="0.55000000000000004">
      <c r="H1390"/>
      <c r="I1390"/>
    </row>
    <row r="1391" spans="8:9" hidden="1" x14ac:dyDescent="0.55000000000000004">
      <c r="H1391"/>
      <c r="I1391"/>
    </row>
    <row r="1392" spans="8:9" hidden="1" x14ac:dyDescent="0.55000000000000004">
      <c r="H1392"/>
      <c r="I1392"/>
    </row>
    <row r="1393" spans="8:9" hidden="1" x14ac:dyDescent="0.55000000000000004">
      <c r="H1393"/>
      <c r="I1393"/>
    </row>
    <row r="1394" spans="8:9" hidden="1" x14ac:dyDescent="0.55000000000000004">
      <c r="H1394"/>
      <c r="I1394"/>
    </row>
    <row r="1395" spans="8:9" hidden="1" x14ac:dyDescent="0.55000000000000004">
      <c r="H1395"/>
      <c r="I1395"/>
    </row>
    <row r="1396" spans="8:9" hidden="1" x14ac:dyDescent="0.55000000000000004">
      <c r="H1396"/>
      <c r="I1396"/>
    </row>
    <row r="1397" spans="8:9" hidden="1" x14ac:dyDescent="0.55000000000000004">
      <c r="H1397"/>
      <c r="I1397"/>
    </row>
    <row r="1398" spans="8:9" hidden="1" x14ac:dyDescent="0.55000000000000004">
      <c r="H1398"/>
      <c r="I1398"/>
    </row>
    <row r="1399" spans="8:9" hidden="1" x14ac:dyDescent="0.55000000000000004">
      <c r="H1399"/>
      <c r="I1399"/>
    </row>
    <row r="1400" spans="8:9" hidden="1" x14ac:dyDescent="0.55000000000000004">
      <c r="H1400"/>
      <c r="I1400"/>
    </row>
    <row r="1401" spans="8:9" hidden="1" x14ac:dyDescent="0.55000000000000004">
      <c r="H1401"/>
      <c r="I1401"/>
    </row>
    <row r="1402" spans="8:9" hidden="1" x14ac:dyDescent="0.55000000000000004">
      <c r="H1402"/>
      <c r="I1402"/>
    </row>
    <row r="1403" spans="8:9" hidden="1" x14ac:dyDescent="0.55000000000000004">
      <c r="H1403"/>
      <c r="I1403"/>
    </row>
    <row r="1404" spans="8:9" hidden="1" x14ac:dyDescent="0.55000000000000004">
      <c r="H1404"/>
      <c r="I1404"/>
    </row>
    <row r="1405" spans="8:9" hidden="1" x14ac:dyDescent="0.55000000000000004">
      <c r="H1405"/>
      <c r="I1405"/>
    </row>
    <row r="1406" spans="8:9" hidden="1" x14ac:dyDescent="0.55000000000000004">
      <c r="H1406"/>
      <c r="I1406"/>
    </row>
    <row r="1407" spans="8:9" hidden="1" x14ac:dyDescent="0.55000000000000004">
      <c r="H1407"/>
      <c r="I1407"/>
    </row>
    <row r="1408" spans="8:9" hidden="1" x14ac:dyDescent="0.55000000000000004">
      <c r="H1408"/>
      <c r="I1408"/>
    </row>
    <row r="1409" spans="8:9" hidden="1" x14ac:dyDescent="0.55000000000000004">
      <c r="H1409"/>
      <c r="I1409"/>
    </row>
    <row r="1410" spans="8:9" hidden="1" x14ac:dyDescent="0.55000000000000004">
      <c r="H1410"/>
      <c r="I1410"/>
    </row>
    <row r="1411" spans="8:9" hidden="1" x14ac:dyDescent="0.55000000000000004">
      <c r="H1411"/>
      <c r="I1411"/>
    </row>
    <row r="1412" spans="8:9" hidden="1" x14ac:dyDescent="0.55000000000000004">
      <c r="H1412"/>
      <c r="I1412"/>
    </row>
    <row r="1413" spans="8:9" hidden="1" x14ac:dyDescent="0.55000000000000004">
      <c r="H1413"/>
      <c r="I1413"/>
    </row>
    <row r="1414" spans="8:9" hidden="1" x14ac:dyDescent="0.55000000000000004">
      <c r="H1414"/>
      <c r="I1414"/>
    </row>
    <row r="1415" spans="8:9" hidden="1" x14ac:dyDescent="0.55000000000000004">
      <c r="H1415"/>
      <c r="I1415"/>
    </row>
    <row r="1416" spans="8:9" hidden="1" x14ac:dyDescent="0.55000000000000004">
      <c r="H1416"/>
      <c r="I1416"/>
    </row>
    <row r="1417" spans="8:9" hidden="1" x14ac:dyDescent="0.55000000000000004">
      <c r="H1417"/>
      <c r="I1417"/>
    </row>
    <row r="1418" spans="8:9" hidden="1" x14ac:dyDescent="0.55000000000000004">
      <c r="H1418"/>
      <c r="I1418"/>
    </row>
    <row r="1419" spans="8:9" hidden="1" x14ac:dyDescent="0.55000000000000004">
      <c r="H1419"/>
      <c r="I1419"/>
    </row>
    <row r="1420" spans="8:9" hidden="1" x14ac:dyDescent="0.55000000000000004">
      <c r="H1420"/>
      <c r="I1420"/>
    </row>
    <row r="1421" spans="8:9" hidden="1" x14ac:dyDescent="0.55000000000000004">
      <c r="H1421"/>
      <c r="I1421"/>
    </row>
    <row r="1422" spans="8:9" hidden="1" x14ac:dyDescent="0.55000000000000004">
      <c r="H1422"/>
      <c r="I1422"/>
    </row>
    <row r="1423" spans="8:9" hidden="1" x14ac:dyDescent="0.55000000000000004">
      <c r="H1423"/>
      <c r="I1423"/>
    </row>
    <row r="1424" spans="8:9" hidden="1" x14ac:dyDescent="0.55000000000000004">
      <c r="H1424"/>
      <c r="I1424"/>
    </row>
    <row r="1425" spans="8:9" hidden="1" x14ac:dyDescent="0.55000000000000004">
      <c r="H1425"/>
      <c r="I1425"/>
    </row>
    <row r="1426" spans="8:9" hidden="1" x14ac:dyDescent="0.55000000000000004">
      <c r="H1426"/>
      <c r="I1426"/>
    </row>
    <row r="1427" spans="8:9" hidden="1" x14ac:dyDescent="0.55000000000000004">
      <c r="H1427"/>
      <c r="I1427"/>
    </row>
    <row r="1428" spans="8:9" hidden="1" x14ac:dyDescent="0.55000000000000004">
      <c r="H1428"/>
      <c r="I1428"/>
    </row>
    <row r="1429" spans="8:9" hidden="1" x14ac:dyDescent="0.55000000000000004">
      <c r="H1429"/>
      <c r="I1429"/>
    </row>
    <row r="1430" spans="8:9" hidden="1" x14ac:dyDescent="0.55000000000000004">
      <c r="H1430"/>
      <c r="I1430"/>
    </row>
    <row r="1431" spans="8:9" hidden="1" x14ac:dyDescent="0.55000000000000004">
      <c r="H1431"/>
      <c r="I1431"/>
    </row>
    <row r="1432" spans="8:9" hidden="1" x14ac:dyDescent="0.55000000000000004">
      <c r="H1432"/>
      <c r="I1432"/>
    </row>
    <row r="1433" spans="8:9" hidden="1" x14ac:dyDescent="0.55000000000000004">
      <c r="H1433"/>
      <c r="I1433"/>
    </row>
    <row r="1434" spans="8:9" hidden="1" x14ac:dyDescent="0.55000000000000004">
      <c r="H1434"/>
      <c r="I1434"/>
    </row>
    <row r="1435" spans="8:9" hidden="1" x14ac:dyDescent="0.55000000000000004">
      <c r="H1435"/>
      <c r="I1435"/>
    </row>
    <row r="1436" spans="8:9" hidden="1" x14ac:dyDescent="0.55000000000000004">
      <c r="H1436"/>
      <c r="I1436"/>
    </row>
    <row r="1437" spans="8:9" hidden="1" x14ac:dyDescent="0.55000000000000004">
      <c r="H1437"/>
      <c r="I1437"/>
    </row>
    <row r="1438" spans="8:9" hidden="1" x14ac:dyDescent="0.55000000000000004">
      <c r="H1438"/>
      <c r="I1438"/>
    </row>
    <row r="1439" spans="8:9" hidden="1" x14ac:dyDescent="0.55000000000000004">
      <c r="H1439"/>
      <c r="I1439"/>
    </row>
    <row r="1440" spans="8:9" hidden="1" x14ac:dyDescent="0.55000000000000004">
      <c r="H1440"/>
      <c r="I1440"/>
    </row>
    <row r="1441" spans="8:9" hidden="1" x14ac:dyDescent="0.55000000000000004">
      <c r="H1441"/>
      <c r="I1441"/>
    </row>
    <row r="1442" spans="8:9" hidden="1" x14ac:dyDescent="0.55000000000000004">
      <c r="H1442"/>
      <c r="I1442"/>
    </row>
    <row r="1443" spans="8:9" hidden="1" x14ac:dyDescent="0.55000000000000004">
      <c r="H1443"/>
      <c r="I1443"/>
    </row>
    <row r="1444" spans="8:9" hidden="1" x14ac:dyDescent="0.55000000000000004">
      <c r="H1444"/>
      <c r="I1444"/>
    </row>
    <row r="1445" spans="8:9" hidden="1" x14ac:dyDescent="0.55000000000000004">
      <c r="H1445"/>
      <c r="I1445"/>
    </row>
    <row r="1446" spans="8:9" hidden="1" x14ac:dyDescent="0.55000000000000004">
      <c r="H1446"/>
      <c r="I1446"/>
    </row>
    <row r="1447" spans="8:9" hidden="1" x14ac:dyDescent="0.55000000000000004">
      <c r="H1447"/>
      <c r="I1447"/>
    </row>
    <row r="1448" spans="8:9" hidden="1" x14ac:dyDescent="0.55000000000000004">
      <c r="H1448"/>
      <c r="I1448"/>
    </row>
    <row r="1449" spans="8:9" hidden="1" x14ac:dyDescent="0.55000000000000004">
      <c r="H1449"/>
      <c r="I1449"/>
    </row>
    <row r="1450" spans="8:9" hidden="1" x14ac:dyDescent="0.55000000000000004">
      <c r="H1450"/>
      <c r="I1450"/>
    </row>
    <row r="1451" spans="8:9" hidden="1" x14ac:dyDescent="0.55000000000000004">
      <c r="H1451"/>
      <c r="I1451"/>
    </row>
    <row r="1452" spans="8:9" hidden="1" x14ac:dyDescent="0.55000000000000004">
      <c r="H1452"/>
      <c r="I1452"/>
    </row>
    <row r="1453" spans="8:9" hidden="1" x14ac:dyDescent="0.55000000000000004">
      <c r="H1453"/>
      <c r="I1453"/>
    </row>
    <row r="1454" spans="8:9" hidden="1" x14ac:dyDescent="0.55000000000000004">
      <c r="H1454"/>
      <c r="I1454"/>
    </row>
    <row r="1455" spans="8:9" hidden="1" x14ac:dyDescent="0.55000000000000004">
      <c r="H1455"/>
      <c r="I1455"/>
    </row>
    <row r="1456" spans="8:9" hidden="1" x14ac:dyDescent="0.55000000000000004">
      <c r="H1456"/>
      <c r="I1456"/>
    </row>
    <row r="1457" spans="8:9" hidden="1" x14ac:dyDescent="0.55000000000000004">
      <c r="H1457"/>
      <c r="I1457"/>
    </row>
    <row r="1458" spans="8:9" hidden="1" x14ac:dyDescent="0.55000000000000004">
      <c r="H1458"/>
      <c r="I1458"/>
    </row>
    <row r="1459" spans="8:9" hidden="1" x14ac:dyDescent="0.55000000000000004">
      <c r="H1459"/>
      <c r="I1459"/>
    </row>
    <row r="1460" spans="8:9" hidden="1" x14ac:dyDescent="0.55000000000000004">
      <c r="H1460"/>
      <c r="I1460"/>
    </row>
    <row r="1461" spans="8:9" hidden="1" x14ac:dyDescent="0.55000000000000004">
      <c r="H1461"/>
      <c r="I1461"/>
    </row>
    <row r="1462" spans="8:9" hidden="1" x14ac:dyDescent="0.55000000000000004">
      <c r="H1462"/>
      <c r="I1462"/>
    </row>
    <row r="1463" spans="8:9" hidden="1" x14ac:dyDescent="0.55000000000000004">
      <c r="H1463"/>
      <c r="I1463"/>
    </row>
    <row r="1464" spans="8:9" hidden="1" x14ac:dyDescent="0.55000000000000004">
      <c r="H1464"/>
      <c r="I1464"/>
    </row>
    <row r="1465" spans="8:9" hidden="1" x14ac:dyDescent="0.55000000000000004">
      <c r="H1465"/>
      <c r="I1465"/>
    </row>
    <row r="1466" spans="8:9" hidden="1" x14ac:dyDescent="0.55000000000000004">
      <c r="H1466"/>
      <c r="I1466"/>
    </row>
    <row r="1467" spans="8:9" hidden="1" x14ac:dyDescent="0.55000000000000004">
      <c r="H1467"/>
      <c r="I1467"/>
    </row>
    <row r="1468" spans="8:9" hidden="1" x14ac:dyDescent="0.55000000000000004">
      <c r="H1468"/>
      <c r="I1468"/>
    </row>
    <row r="1469" spans="8:9" hidden="1" x14ac:dyDescent="0.55000000000000004">
      <c r="H1469"/>
      <c r="I1469"/>
    </row>
    <row r="1470" spans="8:9" hidden="1" x14ac:dyDescent="0.55000000000000004">
      <c r="H1470"/>
      <c r="I1470"/>
    </row>
    <row r="1471" spans="8:9" hidden="1" x14ac:dyDescent="0.55000000000000004">
      <c r="H1471"/>
      <c r="I1471"/>
    </row>
    <row r="1472" spans="8:9" hidden="1" x14ac:dyDescent="0.55000000000000004">
      <c r="H1472"/>
      <c r="I1472"/>
    </row>
    <row r="1473" spans="8:9" hidden="1" x14ac:dyDescent="0.55000000000000004">
      <c r="H1473"/>
      <c r="I1473"/>
    </row>
    <row r="1474" spans="8:9" hidden="1" x14ac:dyDescent="0.55000000000000004">
      <c r="H1474"/>
      <c r="I1474"/>
    </row>
    <row r="1475" spans="8:9" hidden="1" x14ac:dyDescent="0.55000000000000004">
      <c r="H1475"/>
      <c r="I1475"/>
    </row>
    <row r="1476" spans="8:9" hidden="1" x14ac:dyDescent="0.55000000000000004">
      <c r="H1476"/>
      <c r="I1476"/>
    </row>
    <row r="1477" spans="8:9" hidden="1" x14ac:dyDescent="0.55000000000000004">
      <c r="H1477"/>
      <c r="I1477"/>
    </row>
    <row r="1478" spans="8:9" hidden="1" x14ac:dyDescent="0.55000000000000004">
      <c r="H1478"/>
      <c r="I1478"/>
    </row>
    <row r="1479" spans="8:9" hidden="1" x14ac:dyDescent="0.55000000000000004">
      <c r="H1479"/>
      <c r="I1479"/>
    </row>
    <row r="1480" spans="8:9" hidden="1" x14ac:dyDescent="0.55000000000000004">
      <c r="H1480"/>
      <c r="I1480"/>
    </row>
    <row r="1481" spans="8:9" hidden="1" x14ac:dyDescent="0.55000000000000004">
      <c r="H1481"/>
      <c r="I1481"/>
    </row>
    <row r="1482" spans="8:9" hidden="1" x14ac:dyDescent="0.55000000000000004">
      <c r="H1482"/>
      <c r="I1482"/>
    </row>
    <row r="1483" spans="8:9" hidden="1" x14ac:dyDescent="0.55000000000000004">
      <c r="H1483"/>
      <c r="I1483"/>
    </row>
    <row r="1484" spans="8:9" hidden="1" x14ac:dyDescent="0.55000000000000004">
      <c r="H1484"/>
      <c r="I1484"/>
    </row>
    <row r="1485" spans="8:9" hidden="1" x14ac:dyDescent="0.55000000000000004">
      <c r="H1485"/>
      <c r="I1485"/>
    </row>
    <row r="1486" spans="8:9" hidden="1" x14ac:dyDescent="0.55000000000000004">
      <c r="H1486"/>
      <c r="I1486"/>
    </row>
    <row r="1487" spans="8:9" hidden="1" x14ac:dyDescent="0.55000000000000004">
      <c r="H1487"/>
      <c r="I1487"/>
    </row>
    <row r="1488" spans="8:9" hidden="1" x14ac:dyDescent="0.55000000000000004">
      <c r="H1488"/>
      <c r="I1488"/>
    </row>
    <row r="1489" spans="8:9" hidden="1" x14ac:dyDescent="0.55000000000000004">
      <c r="H1489"/>
      <c r="I1489"/>
    </row>
    <row r="1490" spans="8:9" hidden="1" x14ac:dyDescent="0.55000000000000004">
      <c r="H1490"/>
      <c r="I1490"/>
    </row>
    <row r="1491" spans="8:9" hidden="1" x14ac:dyDescent="0.55000000000000004">
      <c r="H1491"/>
      <c r="I1491"/>
    </row>
    <row r="1492" spans="8:9" hidden="1" x14ac:dyDescent="0.55000000000000004">
      <c r="H1492"/>
      <c r="I1492"/>
    </row>
    <row r="1493" spans="8:9" hidden="1" x14ac:dyDescent="0.55000000000000004">
      <c r="H1493"/>
      <c r="I1493"/>
    </row>
    <row r="1494" spans="8:9" hidden="1" x14ac:dyDescent="0.55000000000000004">
      <c r="H1494"/>
      <c r="I1494"/>
    </row>
    <row r="1495" spans="8:9" hidden="1" x14ac:dyDescent="0.55000000000000004">
      <c r="H1495"/>
      <c r="I1495"/>
    </row>
    <row r="1496" spans="8:9" hidden="1" x14ac:dyDescent="0.55000000000000004">
      <c r="H1496"/>
      <c r="I1496"/>
    </row>
    <row r="1497" spans="8:9" hidden="1" x14ac:dyDescent="0.55000000000000004">
      <c r="H1497"/>
      <c r="I1497"/>
    </row>
    <row r="1498" spans="8:9" hidden="1" x14ac:dyDescent="0.55000000000000004">
      <c r="H1498"/>
      <c r="I1498"/>
    </row>
    <row r="1499" spans="8:9" hidden="1" x14ac:dyDescent="0.55000000000000004">
      <c r="H1499"/>
      <c r="I1499"/>
    </row>
    <row r="1500" spans="8:9" hidden="1" x14ac:dyDescent="0.55000000000000004">
      <c r="H1500"/>
      <c r="I1500"/>
    </row>
    <row r="1501" spans="8:9" hidden="1" x14ac:dyDescent="0.55000000000000004">
      <c r="H1501"/>
      <c r="I1501"/>
    </row>
    <row r="1502" spans="8:9" hidden="1" x14ac:dyDescent="0.55000000000000004">
      <c r="H1502"/>
      <c r="I1502"/>
    </row>
    <row r="1503" spans="8:9" hidden="1" x14ac:dyDescent="0.55000000000000004">
      <c r="H1503"/>
      <c r="I1503"/>
    </row>
    <row r="1504" spans="8:9" hidden="1" x14ac:dyDescent="0.55000000000000004">
      <c r="H1504"/>
      <c r="I1504"/>
    </row>
    <row r="1505" spans="8:9" hidden="1" x14ac:dyDescent="0.55000000000000004">
      <c r="H1505"/>
      <c r="I1505"/>
    </row>
    <row r="1506" spans="8:9" hidden="1" x14ac:dyDescent="0.55000000000000004">
      <c r="H1506"/>
      <c r="I1506"/>
    </row>
    <row r="1507" spans="8:9" hidden="1" x14ac:dyDescent="0.55000000000000004">
      <c r="H1507"/>
      <c r="I1507"/>
    </row>
    <row r="1508" spans="8:9" hidden="1" x14ac:dyDescent="0.55000000000000004">
      <c r="H1508"/>
      <c r="I1508"/>
    </row>
    <row r="1509" spans="8:9" hidden="1" x14ac:dyDescent="0.55000000000000004">
      <c r="H1509"/>
      <c r="I1509"/>
    </row>
    <row r="1510" spans="8:9" hidden="1" x14ac:dyDescent="0.55000000000000004">
      <c r="H1510"/>
      <c r="I1510"/>
    </row>
    <row r="1511" spans="8:9" hidden="1" x14ac:dyDescent="0.55000000000000004">
      <c r="H1511"/>
      <c r="I1511"/>
    </row>
    <row r="1512" spans="8:9" hidden="1" x14ac:dyDescent="0.55000000000000004">
      <c r="H1512"/>
      <c r="I1512"/>
    </row>
    <row r="1513" spans="8:9" hidden="1" x14ac:dyDescent="0.55000000000000004">
      <c r="H1513"/>
      <c r="I1513"/>
    </row>
    <row r="1514" spans="8:9" hidden="1" x14ac:dyDescent="0.55000000000000004">
      <c r="H1514"/>
      <c r="I1514"/>
    </row>
    <row r="1515" spans="8:9" hidden="1" x14ac:dyDescent="0.55000000000000004">
      <c r="H1515"/>
      <c r="I1515"/>
    </row>
    <row r="1516" spans="8:9" hidden="1" x14ac:dyDescent="0.55000000000000004">
      <c r="H1516"/>
      <c r="I1516"/>
    </row>
    <row r="1517" spans="8:9" hidden="1" x14ac:dyDescent="0.55000000000000004">
      <c r="H1517"/>
      <c r="I1517"/>
    </row>
    <row r="1518" spans="8:9" hidden="1" x14ac:dyDescent="0.55000000000000004">
      <c r="H1518"/>
      <c r="I1518"/>
    </row>
    <row r="1519" spans="8:9" hidden="1" x14ac:dyDescent="0.55000000000000004">
      <c r="H1519"/>
      <c r="I1519"/>
    </row>
    <row r="1520" spans="8:9" hidden="1" x14ac:dyDescent="0.55000000000000004">
      <c r="H1520"/>
      <c r="I1520"/>
    </row>
    <row r="1521" spans="8:9" hidden="1" x14ac:dyDescent="0.55000000000000004">
      <c r="H1521"/>
      <c r="I1521"/>
    </row>
    <row r="1522" spans="8:9" hidden="1" x14ac:dyDescent="0.55000000000000004">
      <c r="H1522"/>
      <c r="I1522"/>
    </row>
    <row r="1523" spans="8:9" hidden="1" x14ac:dyDescent="0.55000000000000004">
      <c r="H1523"/>
      <c r="I1523"/>
    </row>
    <row r="1524" spans="8:9" hidden="1" x14ac:dyDescent="0.55000000000000004">
      <c r="H1524"/>
      <c r="I1524"/>
    </row>
    <row r="1525" spans="8:9" hidden="1" x14ac:dyDescent="0.55000000000000004">
      <c r="H1525"/>
      <c r="I1525"/>
    </row>
    <row r="1526" spans="8:9" hidden="1" x14ac:dyDescent="0.55000000000000004">
      <c r="H1526"/>
      <c r="I1526"/>
    </row>
    <row r="1527" spans="8:9" hidden="1" x14ac:dyDescent="0.55000000000000004">
      <c r="H1527"/>
      <c r="I1527"/>
    </row>
    <row r="1528" spans="8:9" hidden="1" x14ac:dyDescent="0.55000000000000004">
      <c r="H1528"/>
      <c r="I1528"/>
    </row>
    <row r="1529" spans="8:9" hidden="1" x14ac:dyDescent="0.55000000000000004">
      <c r="H1529"/>
      <c r="I1529"/>
    </row>
    <row r="1530" spans="8:9" hidden="1" x14ac:dyDescent="0.55000000000000004">
      <c r="H1530"/>
      <c r="I1530"/>
    </row>
    <row r="1531" spans="8:9" hidden="1" x14ac:dyDescent="0.55000000000000004">
      <c r="H1531"/>
      <c r="I1531"/>
    </row>
    <row r="1532" spans="8:9" hidden="1" x14ac:dyDescent="0.55000000000000004">
      <c r="H1532"/>
      <c r="I1532"/>
    </row>
    <row r="1533" spans="8:9" hidden="1" x14ac:dyDescent="0.55000000000000004">
      <c r="H1533"/>
      <c r="I1533"/>
    </row>
    <row r="1534" spans="8:9" hidden="1" x14ac:dyDescent="0.55000000000000004">
      <c r="H1534"/>
      <c r="I1534"/>
    </row>
    <row r="1535" spans="8:9" hidden="1" x14ac:dyDescent="0.55000000000000004">
      <c r="H1535"/>
      <c r="I1535"/>
    </row>
    <row r="1536" spans="8:9" hidden="1" x14ac:dyDescent="0.55000000000000004">
      <c r="H1536"/>
      <c r="I1536"/>
    </row>
    <row r="1537" spans="8:9" hidden="1" x14ac:dyDescent="0.55000000000000004">
      <c r="H1537"/>
      <c r="I1537"/>
    </row>
    <row r="1538" spans="8:9" hidden="1" x14ac:dyDescent="0.55000000000000004">
      <c r="H1538"/>
      <c r="I1538"/>
    </row>
    <row r="1539" spans="8:9" hidden="1" x14ac:dyDescent="0.55000000000000004">
      <c r="H1539"/>
      <c r="I1539"/>
    </row>
    <row r="1540" spans="8:9" hidden="1" x14ac:dyDescent="0.55000000000000004">
      <c r="H1540"/>
      <c r="I1540"/>
    </row>
    <row r="1541" spans="8:9" hidden="1" x14ac:dyDescent="0.55000000000000004">
      <c r="H1541"/>
      <c r="I1541"/>
    </row>
    <row r="1542" spans="8:9" hidden="1" x14ac:dyDescent="0.55000000000000004">
      <c r="H1542"/>
      <c r="I1542"/>
    </row>
    <row r="1543" spans="8:9" hidden="1" x14ac:dyDescent="0.55000000000000004">
      <c r="H1543"/>
      <c r="I1543"/>
    </row>
    <row r="1544" spans="8:9" hidden="1" x14ac:dyDescent="0.55000000000000004">
      <c r="H1544"/>
      <c r="I1544"/>
    </row>
    <row r="1545" spans="8:9" hidden="1" x14ac:dyDescent="0.55000000000000004">
      <c r="H1545"/>
      <c r="I1545"/>
    </row>
    <row r="1546" spans="8:9" hidden="1" x14ac:dyDescent="0.55000000000000004">
      <c r="H1546"/>
      <c r="I1546"/>
    </row>
    <row r="1547" spans="8:9" hidden="1" x14ac:dyDescent="0.55000000000000004">
      <c r="H1547"/>
      <c r="I1547"/>
    </row>
    <row r="1548" spans="8:9" hidden="1" x14ac:dyDescent="0.55000000000000004">
      <c r="H1548"/>
      <c r="I1548"/>
    </row>
    <row r="1549" spans="8:9" hidden="1" x14ac:dyDescent="0.55000000000000004">
      <c r="H1549"/>
      <c r="I1549"/>
    </row>
    <row r="1550" spans="8:9" hidden="1" x14ac:dyDescent="0.55000000000000004">
      <c r="H1550"/>
      <c r="I1550"/>
    </row>
    <row r="1551" spans="8:9" hidden="1" x14ac:dyDescent="0.55000000000000004">
      <c r="H1551"/>
      <c r="I1551"/>
    </row>
    <row r="1552" spans="8:9" hidden="1" x14ac:dyDescent="0.55000000000000004">
      <c r="H1552"/>
      <c r="I1552"/>
    </row>
    <row r="1553" spans="8:9" hidden="1" x14ac:dyDescent="0.55000000000000004">
      <c r="H1553"/>
      <c r="I1553"/>
    </row>
    <row r="1554" spans="8:9" hidden="1" x14ac:dyDescent="0.55000000000000004">
      <c r="H1554"/>
      <c r="I1554"/>
    </row>
    <row r="1555" spans="8:9" hidden="1" x14ac:dyDescent="0.55000000000000004">
      <c r="H1555"/>
      <c r="I1555"/>
    </row>
    <row r="1556" spans="8:9" hidden="1" x14ac:dyDescent="0.55000000000000004">
      <c r="H1556"/>
      <c r="I1556"/>
    </row>
    <row r="1557" spans="8:9" hidden="1" x14ac:dyDescent="0.55000000000000004">
      <c r="H1557"/>
      <c r="I1557"/>
    </row>
    <row r="1558" spans="8:9" hidden="1" x14ac:dyDescent="0.55000000000000004">
      <c r="H1558"/>
      <c r="I1558"/>
    </row>
    <row r="1559" spans="8:9" hidden="1" x14ac:dyDescent="0.55000000000000004">
      <c r="H1559"/>
      <c r="I1559"/>
    </row>
    <row r="1560" spans="8:9" hidden="1" x14ac:dyDescent="0.55000000000000004">
      <c r="H1560"/>
      <c r="I1560"/>
    </row>
    <row r="1561" spans="8:9" hidden="1" x14ac:dyDescent="0.55000000000000004">
      <c r="H1561"/>
      <c r="I1561"/>
    </row>
    <row r="1562" spans="8:9" hidden="1" x14ac:dyDescent="0.55000000000000004">
      <c r="H1562"/>
      <c r="I1562"/>
    </row>
    <row r="1563" spans="8:9" hidden="1" x14ac:dyDescent="0.55000000000000004">
      <c r="H1563"/>
      <c r="I1563"/>
    </row>
    <row r="1564" spans="8:9" hidden="1" x14ac:dyDescent="0.55000000000000004">
      <c r="H1564"/>
      <c r="I1564"/>
    </row>
    <row r="1565" spans="8:9" hidden="1" x14ac:dyDescent="0.55000000000000004">
      <c r="H1565"/>
      <c r="I1565"/>
    </row>
    <row r="1566" spans="8:9" hidden="1" x14ac:dyDescent="0.55000000000000004">
      <c r="H1566"/>
      <c r="I1566"/>
    </row>
    <row r="1567" spans="8:9" hidden="1" x14ac:dyDescent="0.55000000000000004">
      <c r="H1567"/>
      <c r="I1567"/>
    </row>
    <row r="1568" spans="8:9" hidden="1" x14ac:dyDescent="0.55000000000000004">
      <c r="H1568"/>
      <c r="I1568"/>
    </row>
    <row r="1569" spans="8:9" hidden="1" x14ac:dyDescent="0.55000000000000004">
      <c r="H1569"/>
      <c r="I1569"/>
    </row>
    <row r="1570" spans="8:9" hidden="1" x14ac:dyDescent="0.55000000000000004">
      <c r="H1570"/>
      <c r="I1570"/>
    </row>
    <row r="1571" spans="8:9" hidden="1" x14ac:dyDescent="0.55000000000000004">
      <c r="H1571"/>
      <c r="I1571"/>
    </row>
    <row r="1572" spans="8:9" hidden="1" x14ac:dyDescent="0.55000000000000004">
      <c r="H1572"/>
      <c r="I1572"/>
    </row>
    <row r="1573" spans="8:9" hidden="1" x14ac:dyDescent="0.55000000000000004">
      <c r="H1573"/>
      <c r="I1573"/>
    </row>
    <row r="1574" spans="8:9" hidden="1" x14ac:dyDescent="0.55000000000000004">
      <c r="H1574"/>
      <c r="I1574"/>
    </row>
    <row r="1575" spans="8:9" hidden="1" x14ac:dyDescent="0.55000000000000004">
      <c r="H1575"/>
      <c r="I1575"/>
    </row>
    <row r="1576" spans="8:9" hidden="1" x14ac:dyDescent="0.55000000000000004">
      <c r="H1576"/>
      <c r="I1576"/>
    </row>
    <row r="1577" spans="8:9" hidden="1" x14ac:dyDescent="0.55000000000000004">
      <c r="H1577"/>
      <c r="I1577"/>
    </row>
    <row r="1578" spans="8:9" hidden="1" x14ac:dyDescent="0.55000000000000004">
      <c r="H1578"/>
      <c r="I1578"/>
    </row>
    <row r="1579" spans="8:9" hidden="1" x14ac:dyDescent="0.55000000000000004">
      <c r="H1579"/>
      <c r="I1579"/>
    </row>
    <row r="1580" spans="8:9" hidden="1" x14ac:dyDescent="0.55000000000000004">
      <c r="H1580"/>
      <c r="I1580"/>
    </row>
    <row r="1581" spans="8:9" hidden="1" x14ac:dyDescent="0.55000000000000004">
      <c r="H1581"/>
      <c r="I1581"/>
    </row>
    <row r="1582" spans="8:9" hidden="1" x14ac:dyDescent="0.55000000000000004">
      <c r="H1582"/>
      <c r="I1582"/>
    </row>
    <row r="1583" spans="8:9" hidden="1" x14ac:dyDescent="0.55000000000000004">
      <c r="H1583"/>
      <c r="I1583"/>
    </row>
    <row r="1584" spans="8:9" hidden="1" x14ac:dyDescent="0.55000000000000004">
      <c r="H1584"/>
      <c r="I1584"/>
    </row>
    <row r="1585" spans="8:9" hidden="1" x14ac:dyDescent="0.55000000000000004">
      <c r="H1585"/>
      <c r="I1585"/>
    </row>
    <row r="1586" spans="8:9" hidden="1" x14ac:dyDescent="0.55000000000000004">
      <c r="H1586"/>
      <c r="I1586"/>
    </row>
    <row r="1587" spans="8:9" hidden="1" x14ac:dyDescent="0.55000000000000004">
      <c r="H1587"/>
      <c r="I1587"/>
    </row>
    <row r="1588" spans="8:9" hidden="1" x14ac:dyDescent="0.55000000000000004">
      <c r="H1588"/>
      <c r="I1588"/>
    </row>
    <row r="1589" spans="8:9" hidden="1" x14ac:dyDescent="0.55000000000000004">
      <c r="H1589"/>
      <c r="I1589"/>
    </row>
    <row r="1590" spans="8:9" hidden="1" x14ac:dyDescent="0.55000000000000004">
      <c r="H1590"/>
      <c r="I1590"/>
    </row>
    <row r="1591" spans="8:9" hidden="1" x14ac:dyDescent="0.55000000000000004">
      <c r="H1591"/>
      <c r="I1591"/>
    </row>
    <row r="1592" spans="8:9" hidden="1" x14ac:dyDescent="0.55000000000000004">
      <c r="H1592"/>
      <c r="I1592"/>
    </row>
    <row r="1593" spans="8:9" hidden="1" x14ac:dyDescent="0.55000000000000004">
      <c r="H1593"/>
      <c r="I1593"/>
    </row>
    <row r="1594" spans="8:9" hidden="1" x14ac:dyDescent="0.55000000000000004">
      <c r="H1594"/>
      <c r="I1594"/>
    </row>
    <row r="1595" spans="8:9" hidden="1" x14ac:dyDescent="0.55000000000000004">
      <c r="H1595"/>
      <c r="I1595"/>
    </row>
    <row r="1596" spans="8:9" hidden="1" x14ac:dyDescent="0.55000000000000004">
      <c r="H1596"/>
      <c r="I1596"/>
    </row>
    <row r="1597" spans="8:9" hidden="1" x14ac:dyDescent="0.55000000000000004">
      <c r="H1597"/>
      <c r="I1597"/>
    </row>
    <row r="1598" spans="8:9" hidden="1" x14ac:dyDescent="0.55000000000000004">
      <c r="H1598"/>
      <c r="I1598"/>
    </row>
    <row r="1599" spans="8:9" hidden="1" x14ac:dyDescent="0.55000000000000004">
      <c r="H1599"/>
      <c r="I1599"/>
    </row>
    <row r="1600" spans="8:9" hidden="1" x14ac:dyDescent="0.55000000000000004">
      <c r="H1600"/>
      <c r="I1600"/>
    </row>
    <row r="1601" spans="8:9" hidden="1" x14ac:dyDescent="0.55000000000000004">
      <c r="H1601"/>
      <c r="I1601"/>
    </row>
    <row r="1602" spans="8:9" hidden="1" x14ac:dyDescent="0.55000000000000004">
      <c r="H1602"/>
      <c r="I1602"/>
    </row>
    <row r="1603" spans="8:9" hidden="1" x14ac:dyDescent="0.55000000000000004">
      <c r="H1603"/>
      <c r="I1603"/>
    </row>
    <row r="1604" spans="8:9" hidden="1" x14ac:dyDescent="0.55000000000000004">
      <c r="H1604"/>
      <c r="I1604"/>
    </row>
    <row r="1605" spans="8:9" hidden="1" x14ac:dyDescent="0.55000000000000004">
      <c r="H1605"/>
      <c r="I1605"/>
    </row>
    <row r="1606" spans="8:9" hidden="1" x14ac:dyDescent="0.55000000000000004">
      <c r="H1606"/>
      <c r="I1606"/>
    </row>
    <row r="1607" spans="8:9" hidden="1" x14ac:dyDescent="0.55000000000000004">
      <c r="H1607"/>
      <c r="I1607"/>
    </row>
    <row r="1608" spans="8:9" hidden="1" x14ac:dyDescent="0.55000000000000004">
      <c r="H1608"/>
      <c r="I1608"/>
    </row>
    <row r="1609" spans="8:9" hidden="1" x14ac:dyDescent="0.55000000000000004">
      <c r="H1609"/>
      <c r="I1609"/>
    </row>
    <row r="1610" spans="8:9" hidden="1" x14ac:dyDescent="0.55000000000000004">
      <c r="H1610"/>
      <c r="I1610"/>
    </row>
    <row r="1611" spans="8:9" hidden="1" x14ac:dyDescent="0.55000000000000004">
      <c r="H1611"/>
      <c r="I1611"/>
    </row>
    <row r="1612" spans="8:9" hidden="1" x14ac:dyDescent="0.55000000000000004">
      <c r="H1612"/>
      <c r="I1612"/>
    </row>
    <row r="1613" spans="8:9" hidden="1" x14ac:dyDescent="0.55000000000000004">
      <c r="H1613"/>
      <c r="I1613"/>
    </row>
    <row r="1614" spans="8:9" hidden="1" x14ac:dyDescent="0.55000000000000004">
      <c r="H1614"/>
      <c r="I1614"/>
    </row>
    <row r="1615" spans="8:9" hidden="1" x14ac:dyDescent="0.55000000000000004">
      <c r="H1615"/>
      <c r="I1615"/>
    </row>
    <row r="1616" spans="8:9" hidden="1" x14ac:dyDescent="0.55000000000000004">
      <c r="H1616"/>
      <c r="I1616"/>
    </row>
    <row r="1617" spans="8:9" hidden="1" x14ac:dyDescent="0.55000000000000004">
      <c r="H1617"/>
      <c r="I1617"/>
    </row>
    <row r="1618" spans="8:9" hidden="1" x14ac:dyDescent="0.55000000000000004">
      <c r="H1618"/>
      <c r="I1618"/>
    </row>
    <row r="1619" spans="8:9" hidden="1" x14ac:dyDescent="0.55000000000000004">
      <c r="H1619"/>
      <c r="I1619"/>
    </row>
    <row r="1620" spans="8:9" hidden="1" x14ac:dyDescent="0.55000000000000004">
      <c r="H1620"/>
      <c r="I1620"/>
    </row>
    <row r="1621" spans="8:9" hidden="1" x14ac:dyDescent="0.55000000000000004">
      <c r="H1621"/>
      <c r="I1621"/>
    </row>
    <row r="1622" spans="8:9" hidden="1" x14ac:dyDescent="0.55000000000000004">
      <c r="H1622"/>
      <c r="I1622"/>
    </row>
  </sheetData>
  <autoFilter ref="A1:AJ1622" xr:uid="{52D0E996-FB67-4C77-9D14-CE133BF2C63A}">
    <filterColumn colId="32">
      <filters>
        <filter val="1% 01/10/26"/>
        <filter val="1% 12/10/25"/>
        <filter val="2% 01/10/26"/>
        <filter val="2% 11/10/25"/>
        <filter val="2% 12/10/25"/>
        <filter val="5% 12/10/25"/>
      </filters>
    </filterColumn>
  </autoFilter>
  <sortState xmlns:xlrd2="http://schemas.microsoft.com/office/spreadsheetml/2017/richdata2" ref="K2:AJ1621">
    <sortCondition ref="L2:L1621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2837-BAC4-4380-A8E7-EA48D6945283}">
  <dimension ref="A1:B108"/>
  <sheetViews>
    <sheetView workbookViewId="0">
      <selection activeCell="D17" sqref="D17"/>
    </sheetView>
  </sheetViews>
  <sheetFormatPr defaultRowHeight="14.4" x14ac:dyDescent="0.55000000000000004"/>
  <cols>
    <col min="1" max="1" width="12" bestFit="1" customWidth="1"/>
    <col min="2" max="2" width="14.83984375" style="1" bestFit="1" customWidth="1"/>
  </cols>
  <sheetData>
    <row r="1" spans="1:2" x14ac:dyDescent="0.55000000000000004">
      <c r="A1" s="11" t="s">
        <v>672</v>
      </c>
      <c r="B1" t="s">
        <v>673</v>
      </c>
    </row>
    <row r="3" spans="1:2" x14ac:dyDescent="0.55000000000000004">
      <c r="A3" s="11" t="s">
        <v>674</v>
      </c>
      <c r="B3" s="1" t="s">
        <v>676</v>
      </c>
    </row>
    <row r="4" spans="1:2" x14ac:dyDescent="0.55000000000000004">
      <c r="A4" s="12">
        <v>1720</v>
      </c>
      <c r="B4" s="1">
        <v>73.778199999999998</v>
      </c>
    </row>
    <row r="5" spans="1:2" x14ac:dyDescent="0.55000000000000004">
      <c r="A5" s="12">
        <v>2035</v>
      </c>
      <c r="B5" s="1">
        <v>25.8126</v>
      </c>
    </row>
    <row r="6" spans="1:2" x14ac:dyDescent="0.55000000000000004">
      <c r="A6" s="12">
        <v>2451</v>
      </c>
      <c r="B6" s="1">
        <v>22.917000000000002</v>
      </c>
    </row>
    <row r="7" spans="1:2" x14ac:dyDescent="0.55000000000000004">
      <c r="A7" s="12">
        <v>2661</v>
      </c>
      <c r="B7" s="1">
        <v>13.231199999999999</v>
      </c>
    </row>
    <row r="8" spans="1:2" x14ac:dyDescent="0.55000000000000004">
      <c r="A8" s="12">
        <v>2682</v>
      </c>
      <c r="B8" s="1">
        <v>220.52619999999999</v>
      </c>
    </row>
    <row r="9" spans="1:2" x14ac:dyDescent="0.55000000000000004">
      <c r="A9" s="12">
        <v>2766</v>
      </c>
      <c r="B9" s="1">
        <v>833.6454</v>
      </c>
    </row>
    <row r="10" spans="1:2" x14ac:dyDescent="0.55000000000000004">
      <c r="A10" s="12">
        <v>2913</v>
      </c>
      <c r="B10" s="1">
        <v>210.72540000000001</v>
      </c>
    </row>
    <row r="11" spans="1:2" x14ac:dyDescent="0.55000000000000004">
      <c r="A11" s="12">
        <v>2948</v>
      </c>
      <c r="B11" s="1">
        <v>20.903200000000002</v>
      </c>
    </row>
    <row r="12" spans="1:2" x14ac:dyDescent="0.55000000000000004">
      <c r="A12" s="12">
        <v>3305</v>
      </c>
      <c r="B12" s="1">
        <v>0.78980000000000006</v>
      </c>
    </row>
    <row r="13" spans="1:2" x14ac:dyDescent="0.55000000000000004">
      <c r="A13" s="12">
        <v>3333</v>
      </c>
      <c r="B13" s="1">
        <v>0.9648000000000001</v>
      </c>
    </row>
    <row r="14" spans="1:2" x14ac:dyDescent="0.55000000000000004">
      <c r="A14" s="12">
        <v>3361</v>
      </c>
      <c r="B14" s="1">
        <v>85.561000000000007</v>
      </c>
    </row>
    <row r="15" spans="1:2" x14ac:dyDescent="0.55000000000000004">
      <c r="A15" s="12">
        <v>3403</v>
      </c>
      <c r="B15" s="1">
        <v>88.901600000000002</v>
      </c>
    </row>
    <row r="16" spans="1:2" x14ac:dyDescent="0.55000000000000004">
      <c r="A16" s="12">
        <v>3459</v>
      </c>
      <c r="B16" s="1">
        <v>108.68379999999999</v>
      </c>
    </row>
    <row r="17" spans="1:2" x14ac:dyDescent="0.55000000000000004">
      <c r="A17" s="12">
        <v>3571</v>
      </c>
      <c r="B17" s="1">
        <v>41.753799999999998</v>
      </c>
    </row>
    <row r="18" spans="1:2" x14ac:dyDescent="0.55000000000000004">
      <c r="A18" s="12">
        <v>3613</v>
      </c>
      <c r="B18" s="1">
        <v>69.367400000000004</v>
      </c>
    </row>
    <row r="19" spans="1:2" x14ac:dyDescent="0.55000000000000004">
      <c r="A19" s="12">
        <v>3627</v>
      </c>
      <c r="B19" s="1">
        <v>33.633400000000002</v>
      </c>
    </row>
    <row r="20" spans="1:2" x14ac:dyDescent="0.55000000000000004">
      <c r="A20" s="12">
        <v>3711</v>
      </c>
      <c r="B20" s="1">
        <v>38.857199999999999</v>
      </c>
    </row>
    <row r="21" spans="1:2" x14ac:dyDescent="0.55000000000000004">
      <c r="A21" s="12">
        <v>3718</v>
      </c>
      <c r="B21" s="1">
        <v>160.16239999999996</v>
      </c>
    </row>
    <row r="22" spans="1:2" x14ac:dyDescent="0.55000000000000004">
      <c r="A22" s="12">
        <v>3732</v>
      </c>
      <c r="B22" s="1">
        <v>83.878000000000014</v>
      </c>
    </row>
    <row r="23" spans="1:2" x14ac:dyDescent="0.55000000000000004">
      <c r="A23" s="12">
        <v>3753</v>
      </c>
      <c r="B23" s="1">
        <v>180.66739999999999</v>
      </c>
    </row>
    <row r="24" spans="1:2" x14ac:dyDescent="0.55000000000000004">
      <c r="A24" s="12">
        <v>3774</v>
      </c>
      <c r="B24" s="1">
        <v>193.35880000000003</v>
      </c>
    </row>
    <row r="25" spans="1:2" x14ac:dyDescent="0.55000000000000004">
      <c r="A25" s="12">
        <v>3830</v>
      </c>
      <c r="B25" s="1">
        <v>1.1738</v>
      </c>
    </row>
    <row r="26" spans="1:2" x14ac:dyDescent="0.55000000000000004">
      <c r="A26" s="12">
        <v>3858</v>
      </c>
      <c r="B26" s="1">
        <v>3.6594000000000002</v>
      </c>
    </row>
    <row r="27" spans="1:2" x14ac:dyDescent="0.55000000000000004">
      <c r="A27" s="12">
        <v>3865</v>
      </c>
      <c r="B27" s="1">
        <v>87.974000000000004</v>
      </c>
    </row>
    <row r="28" spans="1:2" x14ac:dyDescent="0.55000000000000004">
      <c r="A28" s="12">
        <v>3893</v>
      </c>
      <c r="B28" s="1">
        <v>37.215399999999995</v>
      </c>
    </row>
    <row r="29" spans="1:2" x14ac:dyDescent="0.55000000000000004">
      <c r="A29" s="12">
        <v>3921</v>
      </c>
      <c r="B29" s="1">
        <v>2.6446999999999998</v>
      </c>
    </row>
    <row r="30" spans="1:2" x14ac:dyDescent="0.55000000000000004">
      <c r="A30" s="12">
        <v>3928</v>
      </c>
      <c r="B30" s="1">
        <v>8.6329999999999991</v>
      </c>
    </row>
    <row r="31" spans="1:2" x14ac:dyDescent="0.55000000000000004">
      <c r="A31" s="12" t="s">
        <v>675</v>
      </c>
      <c r="B31" s="1">
        <v>2649.4188999999997</v>
      </c>
    </row>
    <row r="32" spans="1:2" x14ac:dyDescent="0.55000000000000004">
      <c r="B32"/>
    </row>
    <row r="33" spans="2:2" x14ac:dyDescent="0.55000000000000004">
      <c r="B33"/>
    </row>
    <row r="34" spans="2:2" x14ac:dyDescent="0.55000000000000004">
      <c r="B34"/>
    </row>
    <row r="35" spans="2:2" x14ac:dyDescent="0.55000000000000004">
      <c r="B35"/>
    </row>
    <row r="36" spans="2:2" x14ac:dyDescent="0.55000000000000004">
      <c r="B36"/>
    </row>
    <row r="37" spans="2:2" x14ac:dyDescent="0.55000000000000004">
      <c r="B37"/>
    </row>
    <row r="38" spans="2:2" x14ac:dyDescent="0.55000000000000004">
      <c r="B38"/>
    </row>
    <row r="39" spans="2:2" x14ac:dyDescent="0.55000000000000004">
      <c r="B39"/>
    </row>
    <row r="40" spans="2:2" x14ac:dyDescent="0.55000000000000004">
      <c r="B40"/>
    </row>
    <row r="41" spans="2:2" x14ac:dyDescent="0.55000000000000004">
      <c r="B41"/>
    </row>
    <row r="42" spans="2:2" x14ac:dyDescent="0.55000000000000004">
      <c r="B42"/>
    </row>
    <row r="43" spans="2:2" x14ac:dyDescent="0.55000000000000004">
      <c r="B43"/>
    </row>
    <row r="44" spans="2:2" x14ac:dyDescent="0.55000000000000004">
      <c r="B44"/>
    </row>
    <row r="45" spans="2:2" x14ac:dyDescent="0.55000000000000004">
      <c r="B45"/>
    </row>
    <row r="46" spans="2:2" x14ac:dyDescent="0.55000000000000004">
      <c r="B46"/>
    </row>
    <row r="47" spans="2:2" x14ac:dyDescent="0.55000000000000004">
      <c r="B47"/>
    </row>
    <row r="48" spans="2:2" x14ac:dyDescent="0.55000000000000004">
      <c r="B48"/>
    </row>
    <row r="49" spans="2:2" x14ac:dyDescent="0.55000000000000004">
      <c r="B49"/>
    </row>
    <row r="50" spans="2:2" x14ac:dyDescent="0.55000000000000004">
      <c r="B50"/>
    </row>
    <row r="51" spans="2:2" x14ac:dyDescent="0.55000000000000004">
      <c r="B51"/>
    </row>
    <row r="52" spans="2:2" x14ac:dyDescent="0.55000000000000004">
      <c r="B52"/>
    </row>
    <row r="53" spans="2:2" x14ac:dyDescent="0.55000000000000004">
      <c r="B53"/>
    </row>
    <row r="54" spans="2:2" x14ac:dyDescent="0.55000000000000004">
      <c r="B54"/>
    </row>
    <row r="55" spans="2:2" x14ac:dyDescent="0.55000000000000004">
      <c r="B55"/>
    </row>
    <row r="56" spans="2:2" x14ac:dyDescent="0.55000000000000004">
      <c r="B56"/>
    </row>
    <row r="57" spans="2:2" x14ac:dyDescent="0.55000000000000004">
      <c r="B57"/>
    </row>
    <row r="58" spans="2:2" x14ac:dyDescent="0.55000000000000004">
      <c r="B58"/>
    </row>
    <row r="59" spans="2:2" x14ac:dyDescent="0.55000000000000004">
      <c r="B59"/>
    </row>
    <row r="60" spans="2:2" x14ac:dyDescent="0.55000000000000004">
      <c r="B60"/>
    </row>
    <row r="61" spans="2:2" x14ac:dyDescent="0.55000000000000004">
      <c r="B61"/>
    </row>
    <row r="62" spans="2:2" x14ac:dyDescent="0.55000000000000004">
      <c r="B62"/>
    </row>
    <row r="63" spans="2:2" x14ac:dyDescent="0.55000000000000004">
      <c r="B63"/>
    </row>
    <row r="64" spans="2:2" x14ac:dyDescent="0.55000000000000004">
      <c r="B64"/>
    </row>
    <row r="65" spans="2:2" x14ac:dyDescent="0.55000000000000004">
      <c r="B65"/>
    </row>
    <row r="66" spans="2:2" x14ac:dyDescent="0.55000000000000004">
      <c r="B66"/>
    </row>
    <row r="67" spans="2:2" x14ac:dyDescent="0.55000000000000004">
      <c r="B67"/>
    </row>
    <row r="68" spans="2:2" x14ac:dyDescent="0.55000000000000004">
      <c r="B68"/>
    </row>
    <row r="69" spans="2:2" x14ac:dyDescent="0.55000000000000004">
      <c r="B69"/>
    </row>
    <row r="70" spans="2:2" x14ac:dyDescent="0.55000000000000004">
      <c r="B70"/>
    </row>
    <row r="71" spans="2:2" x14ac:dyDescent="0.55000000000000004">
      <c r="B71"/>
    </row>
    <row r="72" spans="2:2" x14ac:dyDescent="0.55000000000000004">
      <c r="B72"/>
    </row>
    <row r="73" spans="2:2" x14ac:dyDescent="0.55000000000000004">
      <c r="B73"/>
    </row>
    <row r="74" spans="2:2" x14ac:dyDescent="0.55000000000000004">
      <c r="B74"/>
    </row>
    <row r="75" spans="2:2" x14ac:dyDescent="0.55000000000000004">
      <c r="B75"/>
    </row>
    <row r="76" spans="2:2" x14ac:dyDescent="0.55000000000000004">
      <c r="B76"/>
    </row>
    <row r="77" spans="2:2" x14ac:dyDescent="0.55000000000000004">
      <c r="B77"/>
    </row>
    <row r="78" spans="2:2" x14ac:dyDescent="0.55000000000000004">
      <c r="B78"/>
    </row>
    <row r="79" spans="2:2" x14ac:dyDescent="0.55000000000000004">
      <c r="B79"/>
    </row>
    <row r="80" spans="2:2" x14ac:dyDescent="0.55000000000000004">
      <c r="B80"/>
    </row>
    <row r="81" spans="2:2" x14ac:dyDescent="0.55000000000000004">
      <c r="B81"/>
    </row>
    <row r="82" spans="2:2" x14ac:dyDescent="0.55000000000000004">
      <c r="B82"/>
    </row>
    <row r="83" spans="2:2" x14ac:dyDescent="0.55000000000000004">
      <c r="B83"/>
    </row>
    <row r="84" spans="2:2" x14ac:dyDescent="0.55000000000000004">
      <c r="B84"/>
    </row>
    <row r="85" spans="2:2" x14ac:dyDescent="0.55000000000000004">
      <c r="B85"/>
    </row>
    <row r="86" spans="2:2" x14ac:dyDescent="0.55000000000000004">
      <c r="B86"/>
    </row>
    <row r="87" spans="2:2" x14ac:dyDescent="0.55000000000000004">
      <c r="B87"/>
    </row>
    <row r="88" spans="2:2" x14ac:dyDescent="0.55000000000000004">
      <c r="B88"/>
    </row>
    <row r="89" spans="2:2" x14ac:dyDescent="0.55000000000000004">
      <c r="B89"/>
    </row>
    <row r="90" spans="2:2" x14ac:dyDescent="0.55000000000000004">
      <c r="B90"/>
    </row>
    <row r="91" spans="2:2" x14ac:dyDescent="0.55000000000000004">
      <c r="B91"/>
    </row>
    <row r="92" spans="2:2" x14ac:dyDescent="0.55000000000000004">
      <c r="B92"/>
    </row>
    <row r="93" spans="2:2" x14ac:dyDescent="0.55000000000000004">
      <c r="B93"/>
    </row>
    <row r="94" spans="2:2" x14ac:dyDescent="0.55000000000000004">
      <c r="B94"/>
    </row>
    <row r="95" spans="2:2" x14ac:dyDescent="0.55000000000000004">
      <c r="B95"/>
    </row>
    <row r="96" spans="2:2" x14ac:dyDescent="0.55000000000000004">
      <c r="B96"/>
    </row>
    <row r="97" spans="2:2" x14ac:dyDescent="0.55000000000000004">
      <c r="B97"/>
    </row>
    <row r="98" spans="2:2" x14ac:dyDescent="0.55000000000000004">
      <c r="B98"/>
    </row>
    <row r="99" spans="2:2" x14ac:dyDescent="0.55000000000000004">
      <c r="B99"/>
    </row>
    <row r="100" spans="2:2" x14ac:dyDescent="0.55000000000000004">
      <c r="B100"/>
    </row>
    <row r="101" spans="2:2" x14ac:dyDescent="0.55000000000000004">
      <c r="B101"/>
    </row>
    <row r="102" spans="2:2" x14ac:dyDescent="0.55000000000000004">
      <c r="B102"/>
    </row>
    <row r="103" spans="2:2" x14ac:dyDescent="0.55000000000000004">
      <c r="B103"/>
    </row>
    <row r="104" spans="2:2" x14ac:dyDescent="0.55000000000000004">
      <c r="B104"/>
    </row>
    <row r="105" spans="2:2" x14ac:dyDescent="0.55000000000000004">
      <c r="B105"/>
    </row>
    <row r="106" spans="2:2" x14ac:dyDescent="0.55000000000000004">
      <c r="B106"/>
    </row>
    <row r="107" spans="2:2" x14ac:dyDescent="0.55000000000000004">
      <c r="B107"/>
    </row>
    <row r="108" spans="2:2" x14ac:dyDescent="0.55000000000000004">
      <c r="B10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62D08D3DE4349894F5622E924D65E" ma:contentTypeVersion="18" ma:contentTypeDescription="Create a new document." ma:contentTypeScope="" ma:versionID="ea1fd86e9aef1a9aab80bb035cc5af72">
  <xsd:schema xmlns:xsd="http://www.w3.org/2001/XMLSchema" xmlns:xs="http://www.w3.org/2001/XMLSchema" xmlns:p="http://schemas.microsoft.com/office/2006/metadata/properties" xmlns:ns3="95c88bd2-b8f6-4c4c-8f43-eef4ec256be4" xmlns:ns4="9246262a-54fb-404b-9f62-a9463e0ac318" targetNamespace="http://schemas.microsoft.com/office/2006/metadata/properties" ma:root="true" ma:fieldsID="06aad11e3c6e8f7716f569fd786b174c" ns3:_="" ns4:_="">
    <xsd:import namespace="95c88bd2-b8f6-4c4c-8f43-eef4ec256be4"/>
    <xsd:import namespace="9246262a-54fb-404b-9f62-a9463e0ac31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88bd2-b8f6-4c4c-8f43-eef4ec256be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6262a-54fb-404b-9f62-a9463e0ac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46262a-54fb-404b-9f62-a9463e0ac318" xsi:nil="true"/>
  </documentManagement>
</p:properties>
</file>

<file path=customXml/itemProps1.xml><?xml version="1.0" encoding="utf-8"?>
<ds:datastoreItem xmlns:ds="http://schemas.openxmlformats.org/officeDocument/2006/customXml" ds:itemID="{FBDDA6A1-EC74-4429-B9A4-92FB2EA86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c88bd2-b8f6-4c4c-8f43-eef4ec256be4"/>
    <ds:schemaRef ds:uri="9246262a-54fb-404b-9f62-a9463e0ac3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DF3FF1-4E1B-4870-9EA4-60DE915F88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067BA3-D8DB-436E-82DC-B1F349C3F534}">
  <ds:schemaRefs>
    <ds:schemaRef ds:uri="http://schemas.microsoft.com/office/2006/metadata/properties"/>
    <ds:schemaRef ds:uri="95c88bd2-b8f6-4c4c-8f43-eef4ec256be4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9246262a-54fb-404b-9f62-a9463e0ac31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ezpay_1219_15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Klass</dc:creator>
  <cp:lastModifiedBy>Mark Klass</cp:lastModifiedBy>
  <dcterms:created xsi:type="dcterms:W3CDTF">2025-12-19T15:02:41Z</dcterms:created>
  <dcterms:modified xsi:type="dcterms:W3CDTF">2025-12-19T15:57:30Z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0x0101005D362D08D3DE4349894F5622E924D65E</vt:lpwstr>
  </property>
</Properties>
</file>